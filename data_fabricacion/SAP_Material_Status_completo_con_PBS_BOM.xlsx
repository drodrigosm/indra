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SAP_Material Status" sheetId="1" state="visible" r:id="rId1"/>
    <sheet xmlns:r="http://schemas.openxmlformats.org/officeDocument/2006/relationships" name="Resumen" sheetId="2" state="visible" r:id="rId2"/>
  </sheets>
  <definedNames>
    <definedName name="SegmentaciónDeDatos_Supplier">#N/A</definedName>
    <definedName name="Slicer_Lead_Time_Impact">#N/A</definedName>
    <definedName name="Slicer_Supplier">#N/A</definedName>
    <definedName name="Slicer_Supplier1">#N/A</definedName>
    <definedName name="Slicer_Supplier2">#N/A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4">
    <font>
      <name val="Arial"/>
      <sz val="10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color theme="0"/>
      <sz val="10"/>
    </font>
    <font>
      <name val="Arial"/>
      <family val="2"/>
      <b val="1"/>
      <i val="1"/>
      <color theme="0"/>
      <sz val="10"/>
    </font>
    <font>
      <name val="Arial Rounded MT Bold"/>
      <family val="2"/>
      <sz val="10"/>
    </font>
    <font>
      <name val="Amasis MT Pro Medium"/>
      <family val="1"/>
      <color theme="3" tint="-0.249977111117893"/>
      <sz val="14"/>
    </font>
    <font>
      <name val="Amasis MT Pro Black"/>
      <family val="1"/>
      <color theme="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masis MT Pro Black"/>
      <family val="1"/>
      <color rgb="FF03657C"/>
      <sz val="12"/>
    </font>
    <font>
      <name val="Calibri"/>
      <family val="2"/>
      <color rgb="FFFFFFFF"/>
      <sz val="11"/>
    </font>
    <font>
      <name val="Calibri"/>
      <family val="2"/>
      <color rgb="FF333F4F"/>
      <sz val="11"/>
    </font>
    <font>
      <name val="Calibri"/>
      <family val="2"/>
      <b val="1"/>
      <color rgb="FF333F4F"/>
      <sz val="11"/>
    </font>
    <font>
      <name val="Calibri"/>
      <family val="2"/>
      <sz val="10"/>
    </font>
    <font>
      <name val="Arial"/>
      <family val="2"/>
      <color theme="1"/>
      <sz val="10"/>
    </font>
    <font>
      <name val="Arial"/>
      <family val="2"/>
      <color rgb="FF004254"/>
      <sz val="10"/>
    </font>
    <font>
      <name val="Amasis MT Pro Black"/>
      <family val="1"/>
      <color rgb="FF004254"/>
      <sz val="10"/>
    </font>
    <font>
      <name val="Amasis MT Pro Light"/>
      <family val="1"/>
      <color rgb="FF004254"/>
      <sz val="10"/>
    </font>
    <font>
      <name val="Calibri"/>
      <family val="2"/>
      <color rgb="FF000000"/>
      <sz val="11"/>
    </font>
    <font>
      <name val="Calibri"/>
      <family val="2"/>
      <b val="1"/>
      <sz val="9"/>
    </font>
    <font>
      <name val="Calibri"/>
      <family val="2"/>
      <color rgb="FF000000"/>
      <sz val="9"/>
    </font>
    <font>
      <name val="Calibri"/>
      <family val="2"/>
      <color rgb="FFFF0000"/>
      <sz val="11"/>
    </font>
    <font>
      <name val="Calibri"/>
      <family val="2"/>
      <color rgb="FFFF0000"/>
      <sz val="9"/>
    </font>
    <font>
      <name val="Calibri"/>
      <family val="2"/>
      <color rgb="FF9C0006"/>
      <sz val="9"/>
    </font>
    <font>
      <name val="Calibri"/>
      <family val="2"/>
      <color rgb="FF000000"/>
      <sz val="11"/>
      <scheme val="minor"/>
    </font>
    <font>
      <b val="1"/>
    </font>
  </fonts>
  <fills count="6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BBB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74FD1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9" fontId="19" fillId="0" borderId="0"/>
  </cellStyleXfs>
  <cellXfs count="196">
    <xf numFmtId="0" fontId="18" fillId="0" borderId="0" pivotButton="0" quotePrefix="0" xfId="0"/>
    <xf numFmtId="0" fontId="0" fillId="33" borderId="10" applyAlignment="1" pivotButton="0" quotePrefix="0" xfId="0">
      <alignment vertical="center"/>
    </xf>
    <xf numFmtId="0" fontId="0" fillId="33" borderId="10" applyAlignment="1" pivotButton="0" quotePrefix="0" xfId="0">
      <alignment horizontal="center" vertical="center" wrapText="1"/>
    </xf>
    <xf numFmtId="0" fontId="0" fillId="33" borderId="10" applyAlignment="1" pivotButton="0" quotePrefix="0" xfId="0">
      <alignment vertical="center" wrapText="1"/>
    </xf>
    <xf numFmtId="0" fontId="18" fillId="0" borderId="0" applyAlignment="1" pivotButton="0" quotePrefix="0" xfId="0">
      <alignment vertical="center"/>
    </xf>
    <xf numFmtId="0" fontId="0" fillId="33" borderId="1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34" borderId="0" applyAlignment="1" pivotButton="0" quotePrefix="0" xfId="0">
      <alignment horizontal="center"/>
    </xf>
    <xf numFmtId="0" fontId="19" fillId="33" borderId="10" applyAlignment="1" pivotButton="0" quotePrefix="0" xfId="0">
      <alignment vertical="center" wrapText="1"/>
    </xf>
    <xf numFmtId="0" fontId="0" fillId="33" borderId="11" applyAlignment="1" pivotButton="0" quotePrefix="0" xfId="0">
      <alignment vertical="center" wrapText="1"/>
    </xf>
    <xf numFmtId="0" fontId="20" fillId="38" borderId="13" applyAlignment="1" pivotButton="0" quotePrefix="0" xfId="0">
      <alignment horizontal="center" vertical="center"/>
    </xf>
    <xf numFmtId="0" fontId="20" fillId="38" borderId="14" applyAlignment="1" pivotButton="0" quotePrefix="0" xfId="0">
      <alignment horizontal="center" vertical="center"/>
    </xf>
    <xf numFmtId="0" fontId="18" fillId="39" borderId="0" pivotButton="0" quotePrefix="0" xfId="0"/>
    <xf numFmtId="0" fontId="19" fillId="37" borderId="0" pivotButton="0" quotePrefix="0" xfId="0"/>
    <xf numFmtId="0" fontId="18" fillId="37" borderId="0" pivotButton="0" quotePrefix="0" xfId="0"/>
    <xf numFmtId="0" fontId="19" fillId="40" borderId="0" pivotButton="0" quotePrefix="0" xfId="0"/>
    <xf numFmtId="0" fontId="22" fillId="37" borderId="0" pivotButton="0" quotePrefix="0" xfId="0"/>
    <xf numFmtId="0" fontId="23" fillId="40" borderId="0" pivotButton="0" quotePrefix="0" xfId="0"/>
    <xf numFmtId="0" fontId="24" fillId="40" borderId="0" pivotButton="0" quotePrefix="0" xfId="0"/>
    <xf numFmtId="0" fontId="20" fillId="41" borderId="18" applyAlignment="1" pivotButton="0" quotePrefix="0" xfId="0">
      <alignment horizontal="center" vertical="center" wrapText="1"/>
    </xf>
    <xf numFmtId="0" fontId="20" fillId="43" borderId="13" applyAlignment="1" pivotButton="0" quotePrefix="0" xfId="0">
      <alignment horizontal="center" vertical="center" wrapText="1"/>
    </xf>
    <xf numFmtId="0" fontId="20" fillId="43" borderId="14" applyAlignment="1" pivotButton="0" quotePrefix="0" xfId="0">
      <alignment horizontal="center" vertical="center" wrapText="1"/>
    </xf>
    <xf numFmtId="14" fontId="18" fillId="44" borderId="16" applyAlignment="1" pivotButton="0" quotePrefix="0" xfId="0">
      <alignment horizontal="center" vertical="center"/>
    </xf>
    <xf numFmtId="0" fontId="18" fillId="44" borderId="16" pivotButton="0" quotePrefix="0" xfId="0"/>
    <xf numFmtId="1" fontId="18" fillId="44" borderId="0" applyAlignment="1" pivotButton="0" quotePrefix="0" xfId="0">
      <alignment horizontal="center"/>
    </xf>
    <xf numFmtId="0" fontId="18" fillId="42" borderId="0" applyAlignment="1" pivotButton="0" quotePrefix="0" xfId="0">
      <alignment horizontal="center"/>
    </xf>
    <xf numFmtId="0" fontId="18" fillId="39" borderId="16" applyAlignment="1" pivotButton="0" quotePrefix="0" xfId="0">
      <alignment horizontal="center"/>
    </xf>
    <xf numFmtId="9" fontId="20" fillId="38" borderId="15" applyAlignment="1" pivotButton="0" quotePrefix="0" xfId="42">
      <alignment horizontal="center" vertical="center"/>
    </xf>
    <xf numFmtId="9" fontId="18" fillId="39" borderId="17" applyAlignment="1" pivotButton="0" quotePrefix="0" xfId="42">
      <alignment horizontal="center"/>
    </xf>
    <xf numFmtId="9" fontId="18" fillId="0" borderId="0" applyAlignment="1" pivotButton="0" quotePrefix="0" xfId="42">
      <alignment horizontal="center"/>
    </xf>
    <xf numFmtId="14" fontId="18" fillId="45" borderId="21" applyAlignment="1" pivotButton="0" quotePrefix="0" xfId="0">
      <alignment horizontal="center"/>
    </xf>
    <xf numFmtId="0" fontId="18" fillId="45" borderId="21" applyAlignment="1" pivotButton="0" quotePrefix="0" xfId="0">
      <alignment horizontal="center"/>
    </xf>
    <xf numFmtId="9" fontId="18" fillId="45" borderId="23" applyAlignment="1" pivotButton="0" quotePrefix="0" xfId="42">
      <alignment horizontal="center"/>
    </xf>
    <xf numFmtId="0" fontId="21" fillId="38" borderId="14" applyAlignment="1" pivotButton="0" quotePrefix="0" xfId="0">
      <alignment horizontal="center" vertical="center" wrapText="1"/>
    </xf>
    <xf numFmtId="0" fontId="18" fillId="45" borderId="22" applyAlignment="1" pivotButton="0" quotePrefix="0" xfId="0">
      <alignment horizontal="center"/>
    </xf>
    <xf numFmtId="0" fontId="18" fillId="39" borderId="0" applyAlignment="1" pivotButton="0" quotePrefix="0" xfId="0">
      <alignment horizontal="center"/>
    </xf>
    <xf numFmtId="0" fontId="18" fillId="0" borderId="0" applyAlignment="1" pivotButton="0" quotePrefix="0" xfId="0">
      <alignment horizontal="left"/>
    </xf>
    <xf numFmtId="0" fontId="20" fillId="43" borderId="24" applyAlignment="1" pivotButton="0" quotePrefix="0" xfId="0">
      <alignment horizontal="center" vertical="center" wrapText="1"/>
    </xf>
    <xf numFmtId="1" fontId="18" fillId="39" borderId="17" applyAlignment="1" pivotButton="0" quotePrefix="0" xfId="0">
      <alignment horizontal="center"/>
    </xf>
    <xf numFmtId="0" fontId="20" fillId="38" borderId="15" applyAlignment="1" pivotButton="0" quotePrefix="0" xfId="0">
      <alignment horizontal="center" vertical="center"/>
    </xf>
    <xf numFmtId="14" fontId="18" fillId="45" borderId="20" applyAlignment="1" pivotButton="0" quotePrefix="0" xfId="0">
      <alignment horizontal="center"/>
    </xf>
    <xf numFmtId="14" fontId="18" fillId="39" borderId="16" applyAlignment="1" pivotButton="0" quotePrefix="0" xfId="0">
      <alignment horizontal="center"/>
    </xf>
    <xf numFmtId="0" fontId="21" fillId="38" borderId="13" applyAlignment="1" pivotButton="0" quotePrefix="0" xfId="0">
      <alignment horizontal="center" vertical="center"/>
    </xf>
    <xf numFmtId="0" fontId="21" fillId="38" borderId="15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/>
    </xf>
    <xf numFmtId="0" fontId="18" fillId="35" borderId="16" applyAlignment="1" pivotButton="0" quotePrefix="0" xfId="0">
      <alignment horizontal="center"/>
    </xf>
    <xf numFmtId="0" fontId="18" fillId="35" borderId="0" applyAlignment="1" pivotButton="0" quotePrefix="0" xfId="0">
      <alignment horizontal="center"/>
    </xf>
    <xf numFmtId="0" fontId="20" fillId="36" borderId="25" applyAlignment="1" pivotButton="0" quotePrefix="0" xfId="0">
      <alignment horizontal="center" vertical="center" wrapText="1"/>
    </xf>
    <xf numFmtId="14" fontId="25" fillId="39" borderId="22" applyAlignment="1" pivotButton="0" quotePrefix="0" xfId="0">
      <alignment horizontal="center"/>
    </xf>
    <xf numFmtId="0" fontId="20" fillId="36" borderId="13" applyAlignment="1" pivotButton="0" quotePrefix="0" xfId="0">
      <alignment horizontal="center" vertical="center" wrapText="1"/>
    </xf>
    <xf numFmtId="0" fontId="18" fillId="0" borderId="26" pivotButton="0" quotePrefix="0" xfId="0"/>
    <xf numFmtId="14" fontId="18" fillId="39" borderId="22" applyAlignment="1" pivotButton="0" quotePrefix="0" xfId="0">
      <alignment horizontal="center"/>
    </xf>
    <xf numFmtId="14" fontId="18" fillId="39" borderId="0" applyAlignment="1" pivotButton="0" quotePrefix="0" xfId="0">
      <alignment horizontal="center"/>
    </xf>
    <xf numFmtId="1" fontId="18" fillId="39" borderId="0" applyAlignment="1" pivotButton="0" quotePrefix="0" xfId="0">
      <alignment horizontal="center"/>
    </xf>
    <xf numFmtId="9" fontId="18" fillId="39" borderId="0" applyAlignment="1" pivotButton="0" quotePrefix="0" xfId="42">
      <alignment horizontal="center"/>
    </xf>
    <xf numFmtId="0" fontId="18" fillId="44" borderId="0" pivotButton="0" quotePrefix="0" xfId="0"/>
    <xf numFmtId="0" fontId="18" fillId="0" borderId="0" pivotButton="1" quotePrefix="0" xfId="0"/>
    <xf numFmtId="0" fontId="18" fillId="0" borderId="0" pivotButton="0" quotePrefix="0" xfId="0"/>
    <xf numFmtId="0" fontId="26" fillId="0" borderId="0" applyAlignment="1" pivotButton="0" quotePrefix="0" xfId="0">
      <alignment horizontal="left" vertical="center"/>
    </xf>
    <xf numFmtId="0" fontId="18" fillId="0" borderId="10" applyAlignment="1" pivotButton="0" quotePrefix="0" xfId="0">
      <alignment horizontal="center"/>
    </xf>
    <xf numFmtId="9" fontId="18" fillId="0" borderId="0" pivotButton="0" quotePrefix="0" xfId="42"/>
    <xf numFmtId="0" fontId="18" fillId="0" borderId="0" applyAlignment="1" pivotButton="0" quotePrefix="0" xfId="0">
      <alignment horizontal="center" vertical="center"/>
    </xf>
    <xf numFmtId="0" fontId="18" fillId="0" borderId="0" applyAlignment="1" pivotButton="1" quotePrefix="0" xfId="0">
      <alignment horizontal="center" vertical="center"/>
    </xf>
    <xf numFmtId="9" fontId="20" fillId="41" borderId="19" applyAlignment="1" pivotButton="0" quotePrefix="0" xfId="42">
      <alignment horizontal="center" vertical="center" wrapText="1"/>
    </xf>
    <xf numFmtId="9" fontId="18" fillId="42" borderId="17" applyAlignment="1" pivotButton="0" quotePrefix="0" xfId="42">
      <alignment horizontal="center"/>
    </xf>
    <xf numFmtId="1" fontId="18" fillId="44" borderId="12" applyAlignment="1" pivotButton="0" quotePrefix="0" xfId="0">
      <alignment horizontal="center"/>
    </xf>
    <xf numFmtId="9" fontId="18" fillId="0" borderId="0" applyAlignment="1" pivotButton="0" quotePrefix="0" xfId="0">
      <alignment horizontal="center"/>
    </xf>
    <xf numFmtId="0" fontId="19" fillId="0" borderId="10" applyAlignment="1" pivotButton="0" quotePrefix="0" xfId="0">
      <alignment horizontal="center"/>
    </xf>
    <xf numFmtId="9" fontId="18" fillId="0" borderId="10" applyAlignment="1" pivotButton="0" quotePrefix="0" xfId="42">
      <alignment horizontal="center"/>
    </xf>
    <xf numFmtId="0" fontId="28" fillId="46" borderId="20" applyAlignment="1" pivotButton="0" quotePrefix="0" xfId="0">
      <alignment horizontal="center" vertical="center"/>
    </xf>
    <xf numFmtId="0" fontId="28" fillId="46" borderId="23" applyAlignment="1" pivotButton="0" quotePrefix="0" xfId="0">
      <alignment horizontal="center" vertical="center"/>
    </xf>
    <xf numFmtId="0" fontId="28" fillId="46" borderId="23" applyAlignment="1" pivotButton="0" quotePrefix="0" xfId="0">
      <alignment horizontal="center" vertical="center" wrapText="1"/>
    </xf>
    <xf numFmtId="14" fontId="18" fillId="0" borderId="0" pivotButton="0" quotePrefix="0" xfId="0"/>
    <xf numFmtId="14" fontId="0" fillId="33" borderId="10" applyAlignment="1" pivotButton="0" quotePrefix="0" xfId="0">
      <alignment vertical="center"/>
    </xf>
    <xf numFmtId="14" fontId="19" fillId="33" borderId="10" applyAlignment="1" pivotButton="0" quotePrefix="0" xfId="0">
      <alignment vertical="center" wrapText="1"/>
    </xf>
    <xf numFmtId="0" fontId="29" fillId="37" borderId="12" applyAlignment="1" pivotButton="0" quotePrefix="0" xfId="0">
      <alignment horizontal="left" vertical="center" wrapText="1"/>
    </xf>
    <xf numFmtId="0" fontId="29" fillId="34" borderId="12" applyAlignment="1" pivotButton="0" quotePrefix="0" xfId="0">
      <alignment horizontal="right" vertical="center"/>
    </xf>
    <xf numFmtId="0" fontId="29" fillId="34" borderId="12" applyAlignment="1" pivotButton="0" quotePrefix="0" xfId="0">
      <alignment horizontal="center" vertical="center" wrapText="1"/>
    </xf>
    <xf numFmtId="0" fontId="29" fillId="34" borderId="27" applyAlignment="1" pivotButton="0" quotePrefix="0" xfId="0">
      <alignment horizontal="right" vertical="center"/>
    </xf>
    <xf numFmtId="0" fontId="29" fillId="34" borderId="27" applyAlignment="1" pivotButton="0" quotePrefix="0" xfId="0">
      <alignment horizontal="center" vertical="center" wrapText="1"/>
    </xf>
    <xf numFmtId="0" fontId="30" fillId="48" borderId="20" applyAlignment="1" pivotButton="0" quotePrefix="0" xfId="0">
      <alignment horizontal="left" vertical="center"/>
    </xf>
    <xf numFmtId="0" fontId="30" fillId="45" borderId="20" applyAlignment="1" pivotButton="0" quotePrefix="0" xfId="0">
      <alignment horizontal="left" vertical="center"/>
    </xf>
    <xf numFmtId="0" fontId="30" fillId="47" borderId="20" applyAlignment="1" pivotButton="0" quotePrefix="0" xfId="0">
      <alignment horizontal="left" vertical="center"/>
    </xf>
    <xf numFmtId="0" fontId="28" fillId="46" borderId="15" applyAlignment="1" pivotButton="0" quotePrefix="0" xfId="0">
      <alignment horizontal="center" vertical="center"/>
    </xf>
    <xf numFmtId="0" fontId="31" fillId="37" borderId="0" applyAlignment="1" pivotButton="0" quotePrefix="0" xfId="0">
      <alignment horizontal="right"/>
    </xf>
    <xf numFmtId="0" fontId="20" fillId="49" borderId="24" applyAlignment="1" pivotButton="0" quotePrefix="0" xfId="0">
      <alignment horizontal="center" vertical="center" wrapText="1"/>
    </xf>
    <xf numFmtId="0" fontId="18" fillId="34" borderId="12" applyAlignment="1" pivotButton="0" quotePrefix="0" xfId="0">
      <alignment horizontal="center" vertical="center"/>
    </xf>
    <xf numFmtId="0" fontId="18" fillId="45" borderId="23" applyAlignment="1" pivotButton="0" quotePrefix="0" xfId="0">
      <alignment horizontal="center"/>
    </xf>
    <xf numFmtId="0" fontId="18" fillId="39" borderId="17" applyAlignment="1" pivotButton="0" quotePrefix="0" xfId="0">
      <alignment horizontal="center"/>
    </xf>
    <xf numFmtId="14" fontId="0" fillId="33" borderId="10" applyAlignment="1" pivotButton="0" quotePrefix="0" xfId="0">
      <alignment horizontal="center" vertical="center" wrapText="1"/>
    </xf>
    <xf numFmtId="0" fontId="27" fillId="37" borderId="0" applyAlignment="1" pivotButton="0" quotePrefix="0" xfId="0">
      <alignment horizontal="center"/>
    </xf>
    <xf numFmtId="14" fontId="27" fillId="37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33" fillId="37" borderId="0" pivotButton="0" quotePrefix="0" xfId="0"/>
    <xf numFmtId="0" fontId="19" fillId="37" borderId="34" pivotButton="0" quotePrefix="0" xfId="0"/>
    <xf numFmtId="0" fontId="19" fillId="37" borderId="35" pivotButton="0" quotePrefix="0" xfId="0"/>
    <xf numFmtId="0" fontId="19" fillId="37" borderId="36" pivotButton="0" quotePrefix="0" xfId="0"/>
    <xf numFmtId="0" fontId="34" fillId="37" borderId="29" applyAlignment="1" pivotButton="0" quotePrefix="0" xfId="0">
      <alignment horizontal="center"/>
    </xf>
    <xf numFmtId="0" fontId="34" fillId="37" borderId="30" applyAlignment="1" pivotButton="0" quotePrefix="0" xfId="0">
      <alignment horizontal="center"/>
    </xf>
    <xf numFmtId="0" fontId="34" fillId="37" borderId="31" applyAlignment="1" pivotButton="0" quotePrefix="0" xfId="0">
      <alignment horizontal="center"/>
    </xf>
    <xf numFmtId="0" fontId="35" fillId="37" borderId="32" applyAlignment="1" pivotButton="0" quotePrefix="0" xfId="0">
      <alignment horizontal="center"/>
    </xf>
    <xf numFmtId="14" fontId="35" fillId="37" borderId="28" applyAlignment="1" pivotButton="0" quotePrefix="0" xfId="0">
      <alignment horizontal="center"/>
    </xf>
    <xf numFmtId="0" fontId="35" fillId="37" borderId="32" applyAlignment="1" pivotButton="0" quotePrefix="0" xfId="0">
      <alignment horizontal="center" vertical="center"/>
    </xf>
    <xf numFmtId="14" fontId="35" fillId="37" borderId="28" applyAlignment="1" pivotButton="0" quotePrefix="0" xfId="0">
      <alignment horizontal="center" vertical="center" wrapText="1"/>
    </xf>
    <xf numFmtId="0" fontId="32" fillId="37" borderId="33" applyAlignment="1" pivotButton="0" quotePrefix="0" xfId="0">
      <alignment horizontal="center" vertical="center"/>
    </xf>
    <xf numFmtId="0" fontId="29" fillId="45" borderId="12" applyAlignment="1" pivotButton="0" quotePrefix="0" xfId="0">
      <alignment horizontal="center" vertical="center"/>
    </xf>
    <xf numFmtId="0" fontId="30" fillId="37" borderId="12" applyAlignment="1" pivotButton="0" quotePrefix="0" xfId="0">
      <alignment horizontal="left" vertical="center" wrapText="1"/>
    </xf>
    <xf numFmtId="0" fontId="29" fillId="37" borderId="12" applyAlignment="1" pivotButton="0" quotePrefix="0" xfId="0">
      <alignment horizontal="center" vertical="center"/>
    </xf>
    <xf numFmtId="0" fontId="29" fillId="37" borderId="12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7" borderId="12" pivotButton="0" quotePrefix="0" xfId="0"/>
    <xf numFmtId="0" fontId="19" fillId="48" borderId="20" pivotButton="0" quotePrefix="0" xfId="0"/>
    <xf numFmtId="0" fontId="19" fillId="45" borderId="12" pivotButton="0" quotePrefix="0" xfId="0"/>
    <xf numFmtId="0" fontId="19" fillId="34" borderId="12" pivotButton="0" quotePrefix="0" xfId="0"/>
    <xf numFmtId="0" fontId="19" fillId="45" borderId="20" pivotButton="0" quotePrefix="0" xfId="0"/>
    <xf numFmtId="0" fontId="19" fillId="47" borderId="20" pivotButton="0" quotePrefix="0" xfId="0"/>
    <xf numFmtId="0" fontId="19" fillId="45" borderId="27" pivotButton="0" quotePrefix="0" xfId="0"/>
    <xf numFmtId="0" fontId="19" fillId="37" borderId="27" pivotButton="0" quotePrefix="0" xfId="0"/>
    <xf numFmtId="0" fontId="19" fillId="34" borderId="27" pivotButton="0" quotePrefix="0" xfId="0"/>
    <xf numFmtId="0" fontId="28" fillId="46" borderId="10" applyAlignment="1" pivotButton="0" quotePrefix="0" xfId="0">
      <alignment horizontal="center" vertical="center"/>
    </xf>
    <xf numFmtId="14" fontId="28" fillId="46" borderId="10" applyAlignment="1" pivotButton="0" quotePrefix="0" xfId="0">
      <alignment horizontal="center" vertical="center" wrapText="1"/>
    </xf>
    <xf numFmtId="0" fontId="28" fillId="46" borderId="10" applyAlignment="1" pivotButton="0" quotePrefix="0" xfId="0">
      <alignment horizontal="center" vertical="center" wrapText="1"/>
    </xf>
    <xf numFmtId="0" fontId="28" fillId="48" borderId="10" applyAlignment="1" pivotButton="0" quotePrefix="0" xfId="0">
      <alignment horizontal="center" vertical="center" wrapText="1"/>
    </xf>
    <xf numFmtId="0" fontId="36" fillId="0" borderId="10" applyAlignment="1" pivotButton="0" quotePrefix="0" xfId="0">
      <alignment horizontal="center" vertical="center"/>
    </xf>
    <xf numFmtId="0" fontId="37" fillId="50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/>
    </xf>
    <xf numFmtId="0" fontId="37" fillId="51" borderId="10" applyAlignment="1" pivotButton="0" quotePrefix="0" xfId="0">
      <alignment horizontal="center" vertical="center" wrapText="1"/>
    </xf>
    <xf numFmtId="0" fontId="37" fillId="52" borderId="10" applyAlignment="1" pivotButton="0" quotePrefix="0" xfId="0">
      <alignment horizontal="center" vertical="center"/>
    </xf>
    <xf numFmtId="0" fontId="38" fillId="52" borderId="10" applyAlignment="1" pivotButton="0" quotePrefix="0" xfId="0">
      <alignment horizontal="center" vertical="center"/>
    </xf>
    <xf numFmtId="0" fontId="37" fillId="53" borderId="10" applyAlignment="1" pivotButton="0" quotePrefix="0" xfId="0">
      <alignment horizontal="center" vertical="center"/>
    </xf>
    <xf numFmtId="0" fontId="37" fillId="54" borderId="10" applyAlignment="1" pivotButton="0" quotePrefix="0" xfId="0">
      <alignment horizontal="center" vertical="center"/>
    </xf>
    <xf numFmtId="0" fontId="37" fillId="55" borderId="10" applyAlignment="1" pivotButton="0" quotePrefix="0" xfId="0">
      <alignment horizontal="center" vertical="center"/>
    </xf>
    <xf numFmtId="0" fontId="37" fillId="56" borderId="10" applyAlignment="1" pivotButton="0" quotePrefix="0" xfId="0">
      <alignment horizontal="center" vertical="center"/>
    </xf>
    <xf numFmtId="0" fontId="37" fillId="57" borderId="10" applyAlignment="1" pivotButton="0" quotePrefix="0" xfId="0">
      <alignment horizontal="center" vertical="center"/>
    </xf>
    <xf numFmtId="14" fontId="38" fillId="0" borderId="10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0" fontId="40" fillId="0" borderId="10" applyAlignment="1" pivotButton="0" quotePrefix="0" xfId="0">
      <alignment horizontal="center" vertical="center"/>
    </xf>
    <xf numFmtId="14" fontId="40" fillId="0" borderId="10" applyAlignment="1" pivotButton="0" quotePrefix="0" xfId="0">
      <alignment horizontal="center" vertical="center"/>
    </xf>
    <xf numFmtId="1" fontId="38" fillId="0" borderId="10" applyAlignment="1" pivotButton="0" quotePrefix="0" xfId="0">
      <alignment horizontal="center" vertical="center"/>
    </xf>
    <xf numFmtId="1" fontId="37" fillId="50" borderId="10" applyAlignment="1" pivotButton="0" quotePrefix="0" xfId="0">
      <alignment horizontal="center" vertical="center"/>
    </xf>
    <xf numFmtId="1" fontId="36" fillId="0" borderId="10" applyAlignment="1" pivotButton="0" quotePrefix="0" xfId="0">
      <alignment horizontal="center" vertical="center"/>
    </xf>
    <xf numFmtId="1" fontId="41" fillId="58" borderId="10" applyAlignment="1" pivotButton="0" quotePrefix="0" xfId="0">
      <alignment horizontal="center" vertical="center"/>
    </xf>
    <xf numFmtId="1" fontId="40" fillId="0" borderId="10" applyAlignment="1" pivotButton="0" quotePrefix="0" xfId="0">
      <alignment horizontal="center" vertical="center"/>
    </xf>
    <xf numFmtId="1" fontId="39" fillId="0" borderId="10" applyAlignment="1" pivotButton="0" quotePrefix="0" xfId="0">
      <alignment horizontal="center" vertical="center"/>
    </xf>
    <xf numFmtId="1" fontId="18" fillId="0" borderId="0" pivotButton="0" quotePrefix="0" xfId="0"/>
    <xf numFmtId="0" fontId="19" fillId="45" borderId="10" applyAlignment="1" pivotButton="0" quotePrefix="0" xfId="0">
      <alignment horizontal="center" vertical="center"/>
    </xf>
    <xf numFmtId="0" fontId="0" fillId="33" borderId="18" applyAlignment="1" pivotButton="0" quotePrefix="0" xfId="0">
      <alignment vertical="center" wrapText="1"/>
    </xf>
    <xf numFmtId="0" fontId="0" fillId="0" borderId="0" pivotButton="0" quotePrefix="0" xfId="0"/>
    <xf numFmtId="0" fontId="18" fillId="0" borderId="37" pivotButton="0" quotePrefix="0" xfId="0"/>
    <xf numFmtId="0" fontId="18" fillId="47" borderId="0" pivotButton="0" quotePrefix="0" xfId="0"/>
    <xf numFmtId="0" fontId="0" fillId="47" borderId="0" pivotButton="0" quotePrefix="0" xfId="0"/>
    <xf numFmtId="14" fontId="18" fillId="47" borderId="0" pivotButton="0" quotePrefix="0" xfId="0"/>
    <xf numFmtId="0" fontId="18" fillId="47" borderId="0" pivotButton="0" quotePrefix="0" xfId="0"/>
    <xf numFmtId="0" fontId="19" fillId="47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pivotButton="0" quotePrefix="1" xfId="0"/>
    <xf numFmtId="1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18" fillId="0" borderId="0" pivotButton="0" quotePrefix="0" xfId="0"/>
    <xf numFmtId="0" fontId="0" fillId="45" borderId="0" pivotButton="0" quotePrefix="0" xfId="0"/>
    <xf numFmtId="14" fontId="0" fillId="45" borderId="0" applyAlignment="1" pivotButton="0" quotePrefix="0" xfId="0">
      <alignment horizontal="right"/>
    </xf>
    <xf numFmtId="3" fontId="0" fillId="45" borderId="0" applyAlignment="1" pivotButton="0" quotePrefix="0" xfId="0">
      <alignment horizontal="right"/>
    </xf>
    <xf numFmtId="164" fontId="0" fillId="45" borderId="0" applyAlignment="1" pivotButton="0" quotePrefix="0" xfId="0">
      <alignment horizontal="right"/>
    </xf>
    <xf numFmtId="0" fontId="18" fillId="45" borderId="16" applyAlignment="1" pivotButton="0" quotePrefix="0" xfId="0">
      <alignment horizontal="center"/>
    </xf>
    <xf numFmtId="0" fontId="18" fillId="45" borderId="0" pivotButton="0" quotePrefix="0" xfId="0"/>
    <xf numFmtId="14" fontId="18" fillId="45" borderId="16" applyAlignment="1" pivotButton="0" quotePrefix="0" xfId="0">
      <alignment horizontal="center"/>
    </xf>
    <xf numFmtId="1" fontId="18" fillId="45" borderId="17" applyAlignment="1" pivotButton="0" quotePrefix="0" xfId="0">
      <alignment horizontal="center"/>
    </xf>
    <xf numFmtId="0" fontId="18" fillId="45" borderId="17" applyAlignment="1" pivotButton="0" quotePrefix="0" xfId="0">
      <alignment horizontal="center"/>
    </xf>
    <xf numFmtId="0" fontId="18" fillId="45" borderId="0" applyAlignment="1" pivotButton="0" quotePrefix="0" xfId="0">
      <alignment horizontal="center"/>
    </xf>
    <xf numFmtId="9" fontId="18" fillId="45" borderId="17" applyAlignment="1" pivotButton="0" quotePrefix="0" xfId="42">
      <alignment horizontal="center"/>
    </xf>
    <xf numFmtId="0" fontId="18" fillId="45" borderId="16" pivotButton="0" quotePrefix="0" xfId="0"/>
    <xf numFmtId="1" fontId="18" fillId="45" borderId="0" applyAlignment="1" pivotButton="0" quotePrefix="0" xfId="0">
      <alignment horizontal="center"/>
    </xf>
    <xf numFmtId="1" fontId="18" fillId="45" borderId="12" applyAlignment="1" pivotButton="0" quotePrefix="0" xfId="0">
      <alignment horizontal="center"/>
    </xf>
    <xf numFmtId="0" fontId="18" fillId="45" borderId="12" applyAlignment="1" pivotButton="0" quotePrefix="0" xfId="0">
      <alignment horizontal="center" vertical="center"/>
    </xf>
    <xf numFmtId="0" fontId="18" fillId="45" borderId="0" pivotButton="0" quotePrefix="0" xfId="0"/>
    <xf numFmtId="14" fontId="18" fillId="0" borderId="0" pivotButton="0" quotePrefix="0" xfId="0"/>
    <xf numFmtId="3" fontId="42" fillId="0" borderId="0" applyAlignment="1" pivotButton="0" quotePrefix="0" xfId="0">
      <alignment vertical="top"/>
    </xf>
    <xf numFmtId="0" fontId="27" fillId="37" borderId="0" applyAlignment="1" pivotButton="0" quotePrefix="0" xfId="0">
      <alignment horizontal="center"/>
    </xf>
    <xf numFmtId="14" fontId="27" fillId="37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 wrapText="1"/>
    </xf>
    <xf numFmtId="0" fontId="0" fillId="59" borderId="0" applyAlignment="1" pivotButton="0" quotePrefix="0" xfId="0">
      <alignment horizontal="center" vertical="center"/>
    </xf>
    <xf numFmtId="0" fontId="0" fillId="60" borderId="0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0" fontId="4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</cellXfs>
  <cellStyles count="43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  <cellStyle name="Porcentaje" xfId="42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theme="9" tint="0.7999816888943144"/>
      </font>
    </dxf>
    <dxf>
      <font>
        <color theme="9" tint="0.7999816888943144"/>
      </font>
    </dxf>
    <dxf>
      <font>
        <color theme="9" tint="0.7999816888943144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numFmt numFmtId="13" formatCode="0%"/>
    </dxf>
    <dxf>
      <numFmt numFmtId="13" formatCode="0%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0"/>
        </patternFill>
      </fill>
      <border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0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0"/>
        </patternFill>
      </fill>
    </dxf>
    <dxf>
      <border>
        <bottom style="thin">
          <color theme="0"/>
        </bottom>
      </border>
    </dxf>
    <dxf>
      <font>
        <name val="Amasis MT Pro Black"/>
        <family val="1"/>
        <strike val="0"/>
        <outline val="0"/>
        <shadow val="0"/>
        <condense val="0"/>
        <color rgb="FF004254"/>
        <extend val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theme="0"/>
        </left>
        <right style="thin">
          <color theme="0"/>
        </right>
        <top/>
        <bottom/>
      </border>
    </dxf>
    <dxf>
      <font>
        <name val="Amasis MT Pro Medium"/>
        <family val="1"/>
        <color rgb="FF004254"/>
        <sz val="11"/>
      </font>
    </dxf>
    <dxf>
      <fill>
        <patternFill patternType="solid">
          <fgColor theme="0"/>
          <bgColor rgb="FFFBBB2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name val="Amasis MT Pro Medium"/>
        <family val="1"/>
        <color rgb="FFFBBB21"/>
        <sz val="11"/>
      </font>
    </dxf>
    <dxf>
      <fill>
        <patternFill patternType="solid">
          <fgColor theme="0"/>
          <bgColor rgb="FF004254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name val="Amasis MT Pro Medium"/>
        <family val="1"/>
        <color rgb="FFFBBB21"/>
        <sz val="11"/>
      </font>
    </dxf>
    <dxf>
      <fill>
        <patternFill patternType="solid">
          <fgColor theme="0"/>
          <bgColor theme="4" tint="-0.49998474074526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name val="Amasis MT Pro Medium"/>
        <family val="1"/>
        <color rgb="FFFBBB21"/>
        <sz val="1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name val="Amasis MT Pro Light"/>
        <family val="1"/>
        <color rgb="FFFBBB21"/>
        <sz val="11"/>
      </font>
    </dxf>
    <dxf>
      <font>
        <name val="Amasis MT Pro Light"/>
        <family val="1"/>
      </font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5" defaultTableStyle="TableStyleMedium2" defaultPivotStyle="PivotStyleLight16">
    <tableStyle name="Timeline Style 1" pivot="0" table="0" count="8">
      <tableStyleElement type="wholeTable" dxfId="44"/>
      <tableStyleElement type="headerRow" dxfId="43"/>
    </tableStyle>
    <tableStyle name="Timeline Style 2" pivot="0" table="0" count="8">
      <tableStyleElement type="wholeTable" dxfId="42"/>
      <tableStyleElement type="headerRow" dxfId="41"/>
    </tableStyle>
    <tableStyle name="Timeline Style 3" pivot="0" table="0" count="8">
      <tableStyleElement type="wholeTable" dxfId="40"/>
      <tableStyleElement type="headerRow" dxfId="39"/>
    </tableStyle>
    <tableStyle name="Timeline Style 4" pivot="0" table="0" count="8">
      <tableStyleElement type="wholeTable" dxfId="38"/>
      <tableStyleElement type="headerRow" dxfId="37"/>
    </tableStyle>
    <tableStyle name="Timeline Style 5" pivot="0" table="0" count="8">
      <tableStyleElement type="wholeTable" dxfId="36"/>
      <tableStyleElement type="headerRow" dxfId="35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tabColor rgb="FFBED0D4"/>
    <outlinePr summaryBelow="1" summaryRight="1"/>
    <pageSetUpPr/>
  </sheetPr>
  <dimension ref="A1:BD1693"/>
  <sheetViews>
    <sheetView workbookViewId="0">
      <selection activeCell="A1" sqref="A1"/>
    </sheetView>
  </sheetViews>
  <sheetFormatPr baseColWidth="10" defaultColWidth="10.85546875" defaultRowHeight="12.75"/>
  <cols>
    <col width="10.85546875" customWidth="1" style="45" min="1" max="1"/>
    <col width="17" bestFit="1" customWidth="1" style="162" min="2" max="2"/>
    <col width="46.85546875" customWidth="1" style="162" min="3" max="3"/>
    <col width="12.140625" customWidth="1" style="162" min="4" max="5"/>
    <col width="12" customWidth="1" style="184" min="6" max="6"/>
    <col width="12" customWidth="1" style="162" min="7" max="7"/>
    <col width="17.42578125" customWidth="1" style="162" min="8" max="8"/>
    <col width="11.5703125" customWidth="1" style="162" min="9" max="9"/>
    <col width="13.42578125" customWidth="1" style="184" min="10" max="10"/>
    <col width="14.5703125" customWidth="1" style="184" min="11" max="12"/>
    <col width="11.42578125" bestFit="1" customWidth="1" style="184" min="13" max="13"/>
    <col width="10.85546875" customWidth="1" style="162" min="14" max="14"/>
    <col width="9.85546875" customWidth="1" style="162" min="15" max="15"/>
    <col width="15.42578125" customWidth="1" style="162" min="16" max="16"/>
    <col width="12.42578125" bestFit="1" customWidth="1" style="162" min="17" max="17"/>
    <col width="10.140625" bestFit="1" customWidth="1" style="162" min="18" max="18"/>
    <col width="16.140625" bestFit="1" customWidth="1" style="162" min="19" max="19"/>
    <col width="17.42578125" bestFit="1" customWidth="1" style="162" min="20" max="20"/>
    <col width="12.42578125" bestFit="1" customWidth="1" style="162" min="21" max="21"/>
    <col width="13.7109375" bestFit="1" customWidth="1" style="162" min="22" max="22"/>
    <col width="9.42578125" customWidth="1" style="162" min="23" max="23"/>
    <col width="20.85546875" customWidth="1" style="162" min="24" max="24"/>
    <col width="16.5703125" bestFit="1" customWidth="1" style="162" min="25" max="25"/>
    <col width="40.140625" customWidth="1" style="162" min="26" max="26"/>
    <col width="21.7109375" customWidth="1" style="162" min="27" max="27"/>
    <col width="33.28515625" customWidth="1" style="162" min="28" max="28"/>
    <col width="10.42578125" customWidth="1" style="162" min="29" max="29"/>
    <col width="12.42578125" customWidth="1" style="162" min="30" max="30"/>
    <col width="13.140625" customWidth="1" style="162" min="31" max="31"/>
    <col width="11.85546875" customWidth="1" style="162" min="32" max="32"/>
    <col width="18.85546875" bestFit="1" customWidth="1" style="162" min="33" max="33"/>
    <col width="14" customWidth="1" style="45" min="34" max="35"/>
    <col width="16.5703125" customWidth="1" style="162" min="36" max="36"/>
    <col width="12.42578125" customWidth="1" style="162" min="37" max="38"/>
    <col width="7.85546875" customWidth="1" style="45" min="39" max="40"/>
    <col width="16" customWidth="1" style="45" min="41" max="41"/>
    <col width="10.85546875" customWidth="1" style="45" min="42" max="42"/>
    <col width="12.5703125" customWidth="1" style="29" min="43" max="43"/>
    <col width="13.5703125" customWidth="1" style="45" min="44" max="48"/>
    <col width="10.85546875" customWidth="1" style="29" min="49" max="49"/>
    <col width="10.85546875" customWidth="1" style="162" min="50" max="52"/>
    <col width="14" customWidth="1" style="162" min="53" max="53"/>
    <col width="18.42578125" customWidth="1" style="62" min="54" max="54"/>
    <col width="12" customWidth="1" style="162" min="55" max="55"/>
    <col width="12" customWidth="1" style="162" min="56" max="56"/>
  </cols>
  <sheetData>
    <row r="1" ht="51.75" customFormat="1" customHeight="1" s="93" thickBot="1">
      <c r="A1" s="5" t="inlineStr">
        <is>
          <t>Item</t>
        </is>
      </c>
      <c r="B1" s="1" t="inlineStr">
        <is>
          <t>Material</t>
        </is>
      </c>
      <c r="C1" s="1" t="inlineStr">
        <is>
          <t>Material Description</t>
        </is>
      </c>
      <c r="D1" s="1" t="inlineStr">
        <is>
          <t>Solped</t>
        </is>
      </c>
      <c r="E1" s="1" t="inlineStr">
        <is>
          <t>Solped Line</t>
        </is>
      </c>
      <c r="F1" s="74" t="inlineStr">
        <is>
          <t>Date Sol.</t>
        </is>
      </c>
      <c r="G1" s="2" t="inlineStr">
        <is>
          <t>Warning Sol</t>
        </is>
      </c>
      <c r="H1" s="1" t="inlineStr">
        <is>
          <t>No. PO</t>
        </is>
      </c>
      <c r="I1" s="1" t="inlineStr">
        <is>
          <t>PO Line</t>
        </is>
      </c>
      <c r="J1" s="74" t="inlineStr">
        <is>
          <t>PO Date</t>
        </is>
      </c>
      <c r="K1" s="74" t="inlineStr">
        <is>
          <t>Release PO Date</t>
        </is>
      </c>
      <c r="L1" s="90" t="inlineStr">
        <is>
          <t>Warning PO</t>
        </is>
      </c>
      <c r="M1" s="75" t="inlineStr">
        <is>
          <t>Delivery Date</t>
        </is>
      </c>
      <c r="N1" s="3" t="inlineStr">
        <is>
          <t>Planned Lead Time</t>
        </is>
      </c>
      <c r="O1" s="3" t="inlineStr">
        <is>
          <t>Tmpo.tratamiento EM</t>
        </is>
      </c>
      <c r="P1" s="1" t="inlineStr">
        <is>
          <t>Status</t>
        </is>
      </c>
      <c r="Q1" s="1" t="inlineStr">
        <is>
          <t>Ctd. Solicitada</t>
        </is>
      </c>
      <c r="R1" s="1" t="inlineStr">
        <is>
          <t>Ctd. pedido</t>
        </is>
      </c>
      <c r="S1" s="1" t="inlineStr">
        <is>
          <t>Ctd. Recepcionada</t>
        </is>
      </c>
      <c r="T1" s="1" t="inlineStr">
        <is>
          <t>Ctd. por recepcionar</t>
        </is>
      </c>
      <c r="U1" s="1" t="inlineStr">
        <is>
          <t>Ctd. Aceptada</t>
        </is>
      </c>
      <c r="V1" s="1" t="inlineStr">
        <is>
          <t>Ctd. Rechazada</t>
        </is>
      </c>
      <c r="W1" s="8" t="inlineStr">
        <is>
          <t>Received</t>
        </is>
      </c>
      <c r="X1" s="1" t="inlineStr">
        <is>
          <t>Valor por entregar</t>
        </is>
      </c>
      <c r="Y1" s="1" t="inlineStr">
        <is>
          <t>Valor ctd. aceptada</t>
        </is>
      </c>
      <c r="Z1" s="1" t="inlineStr">
        <is>
          <t>Supplier</t>
        </is>
      </c>
      <c r="AA1" s="1" t="inlineStr">
        <is>
          <t>OEM</t>
        </is>
      </c>
      <c r="AB1" s="1" t="inlineStr">
        <is>
          <t>P/N OEM</t>
        </is>
      </c>
      <c r="AC1" s="1" t="inlineStr">
        <is>
          <t>Concluída</t>
        </is>
      </c>
      <c r="AD1" s="2" t="inlineStr">
        <is>
          <t>Número modificaciones en fecha entrega</t>
        </is>
      </c>
      <c r="AE1" s="3" t="inlineStr">
        <is>
          <t>Número modificaciones fecha estadística</t>
        </is>
      </c>
      <c r="AF1" s="9" t="inlineStr">
        <is>
          <t>Es material RUF(Si='X',No='')</t>
        </is>
      </c>
      <c r="AG1" s="148" t="inlineStr">
        <is>
          <t>Elemento PEP</t>
        </is>
      </c>
      <c r="AH1" s="48" t="inlineStr">
        <is>
          <t>Lead Time</t>
        </is>
      </c>
      <c r="AI1" s="50" t="inlineStr">
        <is>
          <t>Lead Time Impact</t>
        </is>
      </c>
      <c r="AJ1" s="11" t="inlineStr">
        <is>
          <t>Revised Date</t>
        </is>
      </c>
      <c r="AK1" s="10" t="inlineStr">
        <is>
          <t>OTD</t>
        </is>
      </c>
      <c r="AL1" s="39" t="inlineStr">
        <is>
          <t>OTD Qty</t>
        </is>
      </c>
      <c r="AM1" s="42" t="inlineStr">
        <is>
          <t>Late</t>
        </is>
      </c>
      <c r="AN1" s="43" t="inlineStr">
        <is>
          <t>Late Qty</t>
        </is>
      </c>
      <c r="AO1" s="33" t="inlineStr">
        <is>
          <t>Extended dealine Orders</t>
        </is>
      </c>
      <c r="AP1" s="10" t="inlineStr">
        <is>
          <t>OTIF</t>
        </is>
      </c>
      <c r="AQ1" s="27" t="inlineStr">
        <is>
          <t>OTIF (%)</t>
        </is>
      </c>
      <c r="AR1" s="19" t="inlineStr">
        <is>
          <t>Pending Orders to be received</t>
        </is>
      </c>
      <c r="AS1" s="19" t="inlineStr">
        <is>
          <t>Pending to be issued</t>
        </is>
      </c>
      <c r="AT1" s="19" t="inlineStr">
        <is>
          <t>SOLPED BLOQ</t>
        </is>
      </c>
      <c r="AU1" s="19" t="inlineStr">
        <is>
          <t>PO BLOQ</t>
        </is>
      </c>
      <c r="AV1" s="19" t="inlineStr">
        <is>
          <t>Month</t>
        </is>
      </c>
      <c r="AW1" s="64" t="inlineStr">
        <is>
          <t>Backorder Rate</t>
        </is>
      </c>
      <c r="AX1" s="20" t="inlineStr">
        <is>
          <t>Today</t>
        </is>
      </c>
      <c r="AY1" s="21" t="inlineStr">
        <is>
          <t>Delivery Date-Today</t>
        </is>
      </c>
      <c r="AZ1" s="37" t="inlineStr">
        <is>
          <t>On-going Deliveries</t>
        </is>
      </c>
      <c r="BA1" s="21" t="inlineStr">
        <is>
          <t>On-going Deliveries (Qty)</t>
        </is>
      </c>
      <c r="BB1" s="86" t="inlineStr">
        <is>
          <t>Warning Units (neededvsordered)</t>
        </is>
      </c>
      <c r="BC1" s="86" t="inlineStr">
        <is>
          <t>PBS</t>
        </is>
      </c>
      <c r="BD1" s="86" t="inlineStr">
        <is>
          <t>BOM</t>
        </is>
      </c>
    </row>
    <row r="2" ht="15.75" customHeight="1" s="162" thickBot="1">
      <c r="A2" s="7" t="n">
        <v>1</v>
      </c>
      <c r="B2" t="inlineStr">
        <is>
          <t>39121435</t>
        </is>
      </c>
      <c r="C2" t="inlineStr">
        <is>
          <t>Unidad de distribuci&amp;#243;n de potencia</t>
        </is>
      </c>
      <c r="D2" t="inlineStr">
        <is>
          <t>1101755661</t>
        </is>
      </c>
      <c r="E2" t="inlineStr">
        <is>
          <t>1</t>
        </is>
      </c>
      <c r="F2" s="163" t="n">
        <v>45457</v>
      </c>
      <c r="G2" t="inlineStr"/>
      <c r="H2" t="inlineStr">
        <is>
          <t>4800002570</t>
        </is>
      </c>
      <c r="I2" t="inlineStr">
        <is>
          <t>5000</t>
        </is>
      </c>
      <c r="J2" s="163" t="n">
        <v>45450</v>
      </c>
      <c r="K2" s="163" t="inlineStr"/>
      <c r="L2" t="inlineStr"/>
      <c r="M2" s="163" t="n">
        <v>45458</v>
      </c>
      <c r="N2" s="164" t="n">
        <v>0</v>
      </c>
      <c r="O2" s="164" t="n">
        <v>0</v>
      </c>
      <c r="P2" t="inlineStr"/>
      <c r="Q2" s="165" t="n">
        <v>3</v>
      </c>
      <c r="R2" s="165" t="n">
        <v>3</v>
      </c>
      <c r="S2" s="165" t="n">
        <v>3</v>
      </c>
      <c r="T2" s="165" t="n">
        <v>0</v>
      </c>
      <c r="U2" s="166" t="n">
        <v>0</v>
      </c>
      <c r="V2" s="166" t="n">
        <v>0</v>
      </c>
      <c r="W2" t="inlineStr">
        <is>
          <t>X</t>
        </is>
      </c>
      <c r="X2" t="inlineStr">
        <is>
          <t>0.00</t>
        </is>
      </c>
      <c r="Y2" t="inlineStr"/>
      <c r="Z2" t="inlineStr">
        <is>
          <t>AMIDATA, S.A.</t>
        </is>
      </c>
      <c r="AA2" t="inlineStr"/>
      <c r="AB2" t="inlineStr">
        <is>
          <t>1237430</t>
        </is>
      </c>
      <c r="AC2" t="inlineStr"/>
      <c r="AD2" s="164" t="n">
        <v>0</v>
      </c>
      <c r="AE2" s="185" t="n">
        <v>0</v>
      </c>
      <c r="AG2" s="167" t="inlineStr">
        <is>
          <t>7218|JA2580_1001</t>
        </is>
      </c>
      <c r="AH2" s="46">
        <f>IF(M2=0,"-",M2-J2)</f>
        <v/>
      </c>
      <c r="AI2" s="46">
        <f>IF(AND(S2=0,M2&gt;0,L2=0),IF(AH2&gt;=120,"VERY HIGH",IF(AH2&gt;=90,"HIGH",IF(AH2&gt;=60,"MEDIUM",IF(AH2&lt;60,"LOW")))),"-")</f>
        <v/>
      </c>
      <c r="AJ2" s="49" t="n">
        <v>46052</v>
      </c>
      <c r="AK2" s="30">
        <f>IF(AND(W2="X",M2&lt;=$AJ$2),"YES","")</f>
        <v/>
      </c>
      <c r="AL2" s="40">
        <f>IF(AND(W2="X",M2&lt;=$AJ$2),S2,"")</f>
        <v/>
      </c>
      <c r="AM2" s="31">
        <f>IF(AND(W2="X",M2&gt;$AJ$2),"YES","")</f>
        <v/>
      </c>
      <c r="AN2" s="88">
        <f>IF(AND(W2="X",M2&gt;$AJ$2),S2,"")</f>
        <v/>
      </c>
      <c r="AO2" s="34">
        <f>IF(AND(W2="",M2&gt;0,$AJ$2&gt;M2,L2=""),1,0)</f>
        <v/>
      </c>
      <c r="AP2" s="31">
        <f>IF(AND(AK2="YES",W2="X"),"X","")</f>
        <v/>
      </c>
      <c r="AQ2" s="32">
        <f>IF(AP2="X",100%,0%)</f>
        <v/>
      </c>
      <c r="AR2" s="25">
        <f>IF(AND(T2&gt;0,L2=""),H2,"")</f>
        <v/>
      </c>
      <c r="AS2" s="25">
        <f>IF(AND(D2&gt;0,H2=0,G2=""),1,"")</f>
        <v/>
      </c>
      <c r="AT2" s="25">
        <f>IF(G2="BLOQ",1,"")</f>
        <v/>
      </c>
      <c r="AU2" s="25">
        <f>IF(L2="BLOQ",1,"")</f>
        <v/>
      </c>
      <c r="AV2" s="25">
        <f>MONTH(F2)</f>
        <v/>
      </c>
      <c r="AW2" s="65">
        <f>IF(AP2="",100%,0%)</f>
        <v/>
      </c>
      <c r="AX2" s="22">
        <f>TODAY()</f>
        <v/>
      </c>
      <c r="AY2" s="24">
        <f>IF(M2=0,"",M2-$AX$2)</f>
        <v/>
      </c>
      <c r="AZ2" s="66">
        <f>IF(AND(W2="",AY2&gt;0,AY2&lt;15),1,0)</f>
        <v/>
      </c>
      <c r="BA2" s="24">
        <f>IF(AND(W2="",AY2&gt;0,AY2&lt;15),T2,"")</f>
        <v/>
      </c>
      <c r="BB2" s="87">
        <f>IF(R2&lt;Q2,"X","")</f>
        <v/>
      </c>
      <c r="BC2" s="190" t="inlineStr">
        <is>
          <t>NO</t>
        </is>
      </c>
      <c r="BD2" s="190" t="inlineStr">
        <is>
          <t>NO</t>
        </is>
      </c>
    </row>
    <row r="3" ht="15.75" customHeight="1" s="162" thickBot="1">
      <c r="A3" s="7" t="n">
        <v>2</v>
      </c>
      <c r="B3" t="inlineStr">
        <is>
          <t>39121415</t>
        </is>
      </c>
      <c r="C3" t="inlineStr">
        <is>
          <t>Unidad de distribuci&amp;#243;n de potencia</t>
        </is>
      </c>
      <c r="D3" t="inlineStr">
        <is>
          <t>1101755661</t>
        </is>
      </c>
      <c r="E3" t="inlineStr">
        <is>
          <t>2</t>
        </is>
      </c>
      <c r="F3" s="163" t="n">
        <v>45457</v>
      </c>
      <c r="G3" t="inlineStr"/>
      <c r="H3" t="inlineStr">
        <is>
          <t>4800002570</t>
        </is>
      </c>
      <c r="I3" t="inlineStr">
        <is>
          <t>5010</t>
        </is>
      </c>
      <c r="J3" s="163" t="n">
        <v>45450</v>
      </c>
      <c r="K3" s="163" t="inlineStr"/>
      <c r="L3" t="inlineStr"/>
      <c r="M3" s="163" t="n">
        <v>45458</v>
      </c>
      <c r="N3" s="164" t="n">
        <v>0</v>
      </c>
      <c r="O3" s="164" t="n">
        <v>0</v>
      </c>
      <c r="P3" t="inlineStr"/>
      <c r="Q3" s="165" t="n">
        <v>1</v>
      </c>
      <c r="R3" s="165" t="n">
        <v>1</v>
      </c>
      <c r="S3" s="165" t="n">
        <v>1</v>
      </c>
      <c r="T3" s="165" t="n">
        <v>0</v>
      </c>
      <c r="U3" s="166" t="n">
        <v>0</v>
      </c>
      <c r="V3" s="166" t="n">
        <v>0</v>
      </c>
      <c r="W3" t="inlineStr">
        <is>
          <t>X</t>
        </is>
      </c>
      <c r="X3" t="inlineStr">
        <is>
          <t>0.00</t>
        </is>
      </c>
      <c r="Y3" t="inlineStr"/>
      <c r="Z3" t="inlineStr">
        <is>
          <t>AMIDATA, S.A.</t>
        </is>
      </c>
      <c r="AA3" t="inlineStr"/>
      <c r="AB3" t="inlineStr">
        <is>
          <t>6520342</t>
        </is>
      </c>
      <c r="AC3" t="inlineStr"/>
      <c r="AD3" s="164" t="n">
        <v>0</v>
      </c>
      <c r="AE3" s="185" t="n">
        <v>0</v>
      </c>
      <c r="AG3" s="167" t="inlineStr">
        <is>
          <t>7218|JA2580_1001</t>
        </is>
      </c>
      <c r="AH3" s="46">
        <f>IF(M3=0,"-",M3-J3)</f>
        <v/>
      </c>
      <c r="AI3" s="46">
        <f>IF(AND(S3=0,M3&gt;0,L3=0),IF(AH3&gt;=120,"VERY HIGH",IF(AH3&gt;=90,"HIGH",IF(AH3&gt;=60,"MEDIUM",IF(AH3&lt;60,"LOW")))),"-")</f>
        <v/>
      </c>
      <c r="AJ3" s="52" t="n"/>
      <c r="AK3" s="41">
        <f>IF(AND(W3="X",M3&lt;=$AJ$2),"YES","")</f>
        <v/>
      </c>
      <c r="AL3" s="38">
        <f>IF(AND(W3="X",M3&lt;=$AJ$2),S3,"")</f>
        <v/>
      </c>
      <c r="AM3" s="26">
        <f>IF(AND(W3="X",M3&gt;$AJ$2),"YES","")</f>
        <v/>
      </c>
      <c r="AN3" s="89">
        <f>IF(AND(W3="X",M3&gt;$AJ$2),S3,"")</f>
        <v/>
      </c>
      <c r="AO3" s="35">
        <f>IF(AND(W3="",M3&gt;0,$AJ$2&gt;M3,L3=""),1,0)</f>
        <v/>
      </c>
      <c r="AP3" s="26">
        <f>IF(AND(AK3="YES",W3="X"),"X","")</f>
        <v/>
      </c>
      <c r="AQ3" s="28">
        <f>IF(AP3="X",100%,0%)</f>
        <v/>
      </c>
      <c r="AR3" s="25">
        <f>IF(AND(T3&gt;0,L3=""),H3,"")</f>
        <v/>
      </c>
      <c r="AS3" s="25">
        <f>IF(AND(D3&gt;0,H3=0,G3=""),1,"")</f>
        <v/>
      </c>
      <c r="AT3" s="25">
        <f>IF(G3="BLOQ",1,"")</f>
        <v/>
      </c>
      <c r="AU3" s="25">
        <f>IF(L3="BLOQ",1,"")</f>
        <v/>
      </c>
      <c r="AV3" s="25">
        <f>MONTH(F3)</f>
        <v/>
      </c>
      <c r="AW3" s="65">
        <f>IF(AP3="",100%,0%)</f>
        <v/>
      </c>
      <c r="AX3" s="23" t="n"/>
      <c r="AY3" s="24">
        <f>IF(M3=0,"",M3-$AX$2)</f>
        <v/>
      </c>
      <c r="AZ3" s="66">
        <f>IF(AND(W3="",AY3&gt;0,AY3&lt;15),1,0)</f>
        <v/>
      </c>
      <c r="BA3" s="24">
        <f>IF(AND(W3="",AY3&gt;0,AY3&lt;15),T3,"")</f>
        <v/>
      </c>
      <c r="BB3" s="87">
        <f>IF(R3&lt;Q3,"X","")</f>
        <v/>
      </c>
      <c r="BC3" s="190" t="inlineStr">
        <is>
          <t>NO</t>
        </is>
      </c>
      <c r="BD3" s="190" t="inlineStr">
        <is>
          <t>NO</t>
        </is>
      </c>
    </row>
    <row r="4" ht="15" customHeight="1" s="162">
      <c r="A4" s="7" t="n">
        <v>3</v>
      </c>
      <c r="B4" t="inlineStr">
        <is>
          <t>26121536</t>
        </is>
      </c>
      <c r="C4" t="inlineStr">
        <is>
          <t>Unidad de distribuci&amp;#243;n de potencia</t>
        </is>
      </c>
      <c r="D4" t="inlineStr">
        <is>
          <t>1101755661</t>
        </is>
      </c>
      <c r="E4" t="inlineStr">
        <is>
          <t>3</t>
        </is>
      </c>
      <c r="F4" s="163" t="n">
        <v>45457</v>
      </c>
      <c r="G4" t="inlineStr"/>
      <c r="H4" t="inlineStr">
        <is>
          <t>4800002570</t>
        </is>
      </c>
      <c r="I4" t="inlineStr">
        <is>
          <t>5020</t>
        </is>
      </c>
      <c r="J4" s="163" t="n">
        <v>45450</v>
      </c>
      <c r="K4" s="163" t="inlineStr"/>
      <c r="L4" t="inlineStr"/>
      <c r="M4" s="163" t="n">
        <v>45458</v>
      </c>
      <c r="N4" s="164" t="n">
        <v>0</v>
      </c>
      <c r="O4" s="164" t="n">
        <v>0</v>
      </c>
      <c r="P4" t="inlineStr"/>
      <c r="Q4" s="165" t="n">
        <v>1</v>
      </c>
      <c r="R4" s="165" t="n">
        <v>1</v>
      </c>
      <c r="S4" s="165" t="n">
        <v>1</v>
      </c>
      <c r="T4" s="165" t="n">
        <v>0</v>
      </c>
      <c r="U4" s="166" t="n">
        <v>0</v>
      </c>
      <c r="V4" s="166" t="n">
        <v>0</v>
      </c>
      <c r="W4" t="inlineStr">
        <is>
          <t>X</t>
        </is>
      </c>
      <c r="X4" t="inlineStr">
        <is>
          <t>0.00</t>
        </is>
      </c>
      <c r="Y4" t="inlineStr"/>
      <c r="Z4" t="inlineStr">
        <is>
          <t>AMIDATA, S.A.</t>
        </is>
      </c>
      <c r="AA4" t="inlineStr"/>
      <c r="AB4" t="inlineStr">
        <is>
          <t>0479409</t>
        </is>
      </c>
      <c r="AC4" t="inlineStr"/>
      <c r="AD4" s="164" t="n">
        <v>0</v>
      </c>
      <c r="AE4" s="185" t="n">
        <v>0</v>
      </c>
      <c r="AG4" s="167" t="inlineStr">
        <is>
          <t>7218|JA2580_1001</t>
        </is>
      </c>
      <c r="AH4" s="46">
        <f>IF(M4=0,"-",M4-J4)</f>
        <v/>
      </c>
      <c r="AI4" s="46">
        <f>IF(AND(S4=0,M4&gt;0,L4=0),IF(AH4&gt;=120,"VERY HIGH",IF(AH4&gt;=90,"HIGH",IF(AH4&gt;=60,"MEDIUM",IF(AH4&lt;60,"LOW")))),"-")</f>
        <v/>
      </c>
      <c r="AJ4" s="12" t="n"/>
      <c r="AK4" s="41">
        <f>IF(AND(W4="X",M4&lt;=$AJ$2),"YES","")</f>
        <v/>
      </c>
      <c r="AL4" s="38">
        <f>IF(AND(W4="X",M4&lt;=$AJ$2),S4,"")</f>
        <v/>
      </c>
      <c r="AM4" s="26">
        <f>IF(AND(W4="X",M4&gt;$AJ$2),"YES","")</f>
        <v/>
      </c>
      <c r="AN4" s="89">
        <f>IF(AND(W4="X",M4&gt;$AJ$2),S4,"")</f>
        <v/>
      </c>
      <c r="AO4" s="35">
        <f>IF(AND(W4="",M4&gt;0,$AJ$2&gt;M4,L4=""),1,0)</f>
        <v/>
      </c>
      <c r="AP4" s="26">
        <f>IF(AND(AK4="YES",W4="X"),"X","")</f>
        <v/>
      </c>
      <c r="AQ4" s="28">
        <f>IF(AP4="X",100%,0%)</f>
        <v/>
      </c>
      <c r="AR4" s="25">
        <f>IF(AND(T4&gt;0,L4=""),H4,"")</f>
        <v/>
      </c>
      <c r="AS4" s="25">
        <f>IF(AND(D4&gt;0,H4=0,G4=""),1,"")</f>
        <v/>
      </c>
      <c r="AT4" s="25">
        <f>IF(G4="BLOQ",1,"")</f>
        <v/>
      </c>
      <c r="AU4" s="25">
        <f>IF(L4="BLOQ",1,"")</f>
        <v/>
      </c>
      <c r="AV4" s="25">
        <f>MONTH(F4)</f>
        <v/>
      </c>
      <c r="AW4" s="65">
        <f>IF(AP4="",100%,0%)</f>
        <v/>
      </c>
      <c r="AX4" s="23" t="n"/>
      <c r="AY4" s="24">
        <f>IF(M4=0,"",M4-$AX$2)</f>
        <v/>
      </c>
      <c r="AZ4" s="66">
        <f>IF(AND(W4="",AY4&gt;0,AY4&lt;15),1,0)</f>
        <v/>
      </c>
      <c r="BA4" s="24">
        <f>IF(AND(W4="",AY4&gt;0,AY4&lt;15),T4,"")</f>
        <v/>
      </c>
      <c r="BB4" s="87">
        <f>IF(R4&lt;Q4,"X","")</f>
        <v/>
      </c>
      <c r="BC4" s="190" t="inlineStr">
        <is>
          <t>NO</t>
        </is>
      </c>
      <c r="BD4" s="190" t="inlineStr">
        <is>
          <t>NO</t>
        </is>
      </c>
    </row>
    <row r="5" ht="15" customHeight="1" s="162">
      <c r="A5" s="7" t="n">
        <v>4</v>
      </c>
      <c r="B5" t="inlineStr">
        <is>
          <t>39121435</t>
        </is>
      </c>
      <c r="C5" t="inlineStr">
        <is>
          <t>Unidad de distribuci&amp;#243;n de potencia</t>
        </is>
      </c>
      <c r="D5" t="inlineStr">
        <is>
          <t>1101755661</t>
        </is>
      </c>
      <c r="E5" t="inlineStr">
        <is>
          <t>4</t>
        </is>
      </c>
      <c r="F5" s="163" t="n">
        <v>45457</v>
      </c>
      <c r="G5" t="inlineStr"/>
      <c r="H5" t="inlineStr">
        <is>
          <t>4800002570</t>
        </is>
      </c>
      <c r="I5" t="inlineStr">
        <is>
          <t>5030</t>
        </is>
      </c>
      <c r="J5" s="163" t="n">
        <v>45450</v>
      </c>
      <c r="K5" s="163" t="inlineStr"/>
      <c r="L5" t="inlineStr"/>
      <c r="M5" s="163" t="n">
        <v>45458</v>
      </c>
      <c r="N5" s="164" t="n">
        <v>0</v>
      </c>
      <c r="O5" s="164" t="n">
        <v>0</v>
      </c>
      <c r="P5" t="inlineStr"/>
      <c r="Q5" s="165" t="n">
        <v>3</v>
      </c>
      <c r="R5" s="165" t="n">
        <v>3</v>
      </c>
      <c r="S5" s="165" t="n">
        <v>3</v>
      </c>
      <c r="T5" s="165" t="n">
        <v>0</v>
      </c>
      <c r="U5" s="166" t="n">
        <v>0</v>
      </c>
      <c r="V5" s="166" t="n">
        <v>0</v>
      </c>
      <c r="W5" t="inlineStr">
        <is>
          <t>X</t>
        </is>
      </c>
      <c r="X5" t="inlineStr">
        <is>
          <t>0.00</t>
        </is>
      </c>
      <c r="Y5" t="inlineStr"/>
      <c r="Z5" t="inlineStr">
        <is>
          <t>AMIDATA, S.A.</t>
        </is>
      </c>
      <c r="AA5" t="inlineStr"/>
      <c r="AB5" t="inlineStr">
        <is>
          <t>1237433</t>
        </is>
      </c>
      <c r="AC5" t="inlineStr"/>
      <c r="AD5" s="164" t="n">
        <v>0</v>
      </c>
      <c r="AE5" s="185" t="n">
        <v>0</v>
      </c>
      <c r="AG5" s="167" t="inlineStr">
        <is>
          <t>7218|JA2580_1001</t>
        </is>
      </c>
      <c r="AH5" s="46">
        <f>IF(M5=0,"-",M5-J5)</f>
        <v/>
      </c>
      <c r="AI5" s="46">
        <f>IF(AND(S5=0,M5&gt;0,L5=0),IF(AH5&gt;=120,"VERY HIGH",IF(AH5&gt;=90,"HIGH",IF(AH5&gt;=60,"MEDIUM",IF(AH5&lt;60,"LOW")))),"-")</f>
        <v/>
      </c>
      <c r="AJ5" s="12" t="n"/>
      <c r="AK5" s="41">
        <f>IF(AND(W5="X",M5&lt;=$AJ$2),"YES","")</f>
        <v/>
      </c>
      <c r="AL5" s="38">
        <f>IF(AND(W5="X",M5&lt;=$AJ$2),S5,"")</f>
        <v/>
      </c>
      <c r="AM5" s="26">
        <f>IF(AND(W5="X",M5&gt;$AJ$2),"YES","")</f>
        <v/>
      </c>
      <c r="AN5" s="89">
        <f>IF(AND(W5="X",M5&gt;$AJ$2),S5,"")</f>
        <v/>
      </c>
      <c r="AO5" s="35">
        <f>IF(AND(W5="",M5&gt;0,$AJ$2&gt;M5,L5=""),1,0)</f>
        <v/>
      </c>
      <c r="AP5" s="26">
        <f>IF(AND(AK5="YES",W5="X"),"X","")</f>
        <v/>
      </c>
      <c r="AQ5" s="28">
        <f>IF(AP5="X",100%,0%)</f>
        <v/>
      </c>
      <c r="AR5" s="25">
        <f>IF(AND(T5&gt;0,L5=""),H5,"")</f>
        <v/>
      </c>
      <c r="AS5" s="25">
        <f>IF(AND(D5&gt;0,H5=0,G5=""),1,"")</f>
        <v/>
      </c>
      <c r="AT5" s="25">
        <f>IF(G5="BLOQ",1,"")</f>
        <v/>
      </c>
      <c r="AU5" s="25">
        <f>IF(L5="BLOQ",1,"")</f>
        <v/>
      </c>
      <c r="AV5" s="25">
        <f>MONTH(F5)</f>
        <v/>
      </c>
      <c r="AW5" s="65">
        <f>IF(AP5="",100%,0%)</f>
        <v/>
      </c>
      <c r="AX5" s="23" t="n"/>
      <c r="AY5" s="24">
        <f>IF(M5=0,"",M5-$AX$2)</f>
        <v/>
      </c>
      <c r="AZ5" s="66">
        <f>IF(AND(W5="",AY5&gt;0,AY5&lt;15),1,0)</f>
        <v/>
      </c>
      <c r="BA5" s="24">
        <f>IF(AND(W5="",AY5&gt;0,AY5&lt;15),T5,"")</f>
        <v/>
      </c>
      <c r="BB5" s="87">
        <f>IF(R5&lt;Q5,"X","")</f>
        <v/>
      </c>
      <c r="BC5" s="190" t="inlineStr">
        <is>
          <t>NO</t>
        </is>
      </c>
      <c r="BD5" s="190" t="inlineStr">
        <is>
          <t>NO</t>
        </is>
      </c>
    </row>
    <row r="6" ht="15" customHeight="1" s="162">
      <c r="A6" s="7" t="n">
        <v>5</v>
      </c>
      <c r="B6" t="inlineStr">
        <is>
          <t>39121708</t>
        </is>
      </c>
      <c r="C6" t="inlineStr">
        <is>
          <t>Tira de jumpers Wago serie TOPJOB S, 200</t>
        </is>
      </c>
      <c r="D6" t="inlineStr">
        <is>
          <t>1101756080</t>
        </is>
      </c>
      <c r="E6" t="inlineStr">
        <is>
          <t>1</t>
        </is>
      </c>
      <c r="F6" s="163" t="n">
        <v>45460</v>
      </c>
      <c r="G6" t="inlineStr"/>
      <c r="H6" t="inlineStr">
        <is>
          <t>4800002579</t>
        </is>
      </c>
      <c r="I6" t="inlineStr">
        <is>
          <t>450</t>
        </is>
      </c>
      <c r="J6" s="163" t="n">
        <v>45457</v>
      </c>
      <c r="K6" s="163" t="inlineStr"/>
      <c r="L6" t="inlineStr"/>
      <c r="M6" s="163" t="n">
        <v>45461</v>
      </c>
      <c r="N6" s="164" t="n">
        <v>0</v>
      </c>
      <c r="O6" s="164" t="n">
        <v>0</v>
      </c>
      <c r="P6" t="inlineStr"/>
      <c r="Q6" s="165" t="n">
        <v>1</v>
      </c>
      <c r="R6" s="165" t="n">
        <v>1</v>
      </c>
      <c r="S6" s="165" t="n">
        <v>1</v>
      </c>
      <c r="T6" s="165" t="n">
        <v>0</v>
      </c>
      <c r="U6" s="166" t="n">
        <v>0</v>
      </c>
      <c r="V6" s="166" t="n">
        <v>0</v>
      </c>
      <c r="W6" t="inlineStr">
        <is>
          <t>X</t>
        </is>
      </c>
      <c r="X6" t="inlineStr">
        <is>
          <t>0.00</t>
        </is>
      </c>
      <c r="Y6" t="inlineStr"/>
      <c r="Z6" t="inlineStr">
        <is>
          <t>AMIDATA, S.A.</t>
        </is>
      </c>
      <c r="AA6" t="inlineStr"/>
      <c r="AB6" t="inlineStr">
        <is>
          <t>5076591</t>
        </is>
      </c>
      <c r="AC6" t="inlineStr"/>
      <c r="AD6" s="164" t="n">
        <v>0</v>
      </c>
      <c r="AE6" s="185" t="n">
        <v>0</v>
      </c>
      <c r="AG6" s="167" t="inlineStr">
        <is>
          <t>7218|JA2581_1001</t>
        </is>
      </c>
      <c r="AH6" s="46">
        <f>IF(M6=0,"-",M6-J6)</f>
        <v/>
      </c>
      <c r="AI6" s="46">
        <f>IF(AND(S6=0,M6&gt;0,L6=0),IF(AH6&gt;=120,"VERY HIGH",IF(AH6&gt;=90,"HIGH",IF(AH6&gt;=60,"MEDIUM",IF(AH6&lt;60,"LOW")))),"-")</f>
        <v/>
      </c>
      <c r="AJ6" s="12" t="n"/>
      <c r="AK6" s="41">
        <f>IF(AND(W6="X",M6&lt;=$AJ$2),"YES","")</f>
        <v/>
      </c>
      <c r="AL6" s="38">
        <f>IF(AND(W6="X",M6&lt;=$AJ$2),S6,"")</f>
        <v/>
      </c>
      <c r="AM6" s="26">
        <f>IF(AND(W6="X",M6&gt;$AJ$2),"YES","")</f>
        <v/>
      </c>
      <c r="AN6" s="89">
        <f>IF(AND(W6="X",M6&gt;$AJ$2),S6,"")</f>
        <v/>
      </c>
      <c r="AO6" s="35">
        <f>IF(AND(W6="",M6&gt;0,$AJ$2&gt;M6,L6=""),1,0)</f>
        <v/>
      </c>
      <c r="AP6" s="26">
        <f>IF(AND(AK6="YES",W6="X"),"X","")</f>
        <v/>
      </c>
      <c r="AQ6" s="28">
        <f>IF(AP6="X",100%,0%)</f>
        <v/>
      </c>
      <c r="AR6" s="25">
        <f>IF(AND(T6&gt;0,L6=""),H6,"")</f>
        <v/>
      </c>
      <c r="AS6" s="25">
        <f>IF(AND(D6&gt;0,H6=0,G6=""),1,"")</f>
        <v/>
      </c>
      <c r="AT6" s="25">
        <f>IF(G6="BLOQ",1,"")</f>
        <v/>
      </c>
      <c r="AU6" s="25">
        <f>IF(L6="BLOQ",1,"")</f>
        <v/>
      </c>
      <c r="AV6" s="25">
        <f>MONTH(F6)</f>
        <v/>
      </c>
      <c r="AW6" s="65">
        <f>IF(AP6="",100%,0%)</f>
        <v/>
      </c>
      <c r="AX6" s="23" t="n"/>
      <c r="AY6" s="24">
        <f>IF(M6=0,"",M6-$AX$2)</f>
        <v/>
      </c>
      <c r="AZ6" s="66">
        <f>IF(AND(W6="",AY6&gt;0,AY6&lt;15),1,0)</f>
        <v/>
      </c>
      <c r="BA6" s="24">
        <f>IF(AND(W6="",AY6&gt;0,AY6&lt;15),T6,"")</f>
        <v/>
      </c>
      <c r="BB6" s="87">
        <f>IF(R6&lt;Q6,"X","")</f>
        <v/>
      </c>
      <c r="BC6" s="190" t="inlineStr">
        <is>
          <t>NO</t>
        </is>
      </c>
      <c r="BD6" s="190" t="inlineStr">
        <is>
          <t>NO</t>
        </is>
      </c>
    </row>
    <row r="7" ht="15" customHeight="1" s="162">
      <c r="A7" s="7" t="n">
        <v>6</v>
      </c>
      <c r="B7" t="inlineStr">
        <is>
          <t>39121432</t>
        </is>
      </c>
      <c r="C7" t="inlineStr">
        <is>
          <t>Conector circular Amphenol Limited Hembr</t>
        </is>
      </c>
      <c r="D7" t="inlineStr">
        <is>
          <t>1101756080</t>
        </is>
      </c>
      <c r="E7" t="inlineStr">
        <is>
          <t>2</t>
        </is>
      </c>
      <c r="F7" s="163" t="n">
        <v>45460</v>
      </c>
      <c r="G7" t="inlineStr"/>
      <c r="H7" t="inlineStr">
        <is>
          <t>4800002579</t>
        </is>
      </c>
      <c r="I7" t="inlineStr">
        <is>
          <t>460</t>
        </is>
      </c>
      <c r="J7" s="163" t="n">
        <v>45457</v>
      </c>
      <c r="K7" s="163" t="inlineStr"/>
      <c r="L7" t="inlineStr"/>
      <c r="M7" s="163" t="n">
        <v>45461</v>
      </c>
      <c r="N7" s="164" t="n">
        <v>0</v>
      </c>
      <c r="O7" s="164" t="n">
        <v>0</v>
      </c>
      <c r="P7" t="inlineStr"/>
      <c r="Q7" s="165" t="n">
        <v>1000</v>
      </c>
      <c r="R7" s="165" t="n">
        <v>1000</v>
      </c>
      <c r="S7" s="165" t="n">
        <v>1000</v>
      </c>
      <c r="T7" s="165" t="n">
        <v>0</v>
      </c>
      <c r="U7" s="166" t="n">
        <v>0</v>
      </c>
      <c r="V7" s="166" t="n">
        <v>0</v>
      </c>
      <c r="W7" t="inlineStr">
        <is>
          <t>X</t>
        </is>
      </c>
      <c r="X7" t="inlineStr">
        <is>
          <t>0.00</t>
        </is>
      </c>
      <c r="Y7" t="inlineStr"/>
      <c r="Z7" t="inlineStr">
        <is>
          <t>AMIDATA, S.A.</t>
        </is>
      </c>
      <c r="AA7" t="inlineStr"/>
      <c r="AB7" t="inlineStr">
        <is>
          <t>8751456</t>
        </is>
      </c>
      <c r="AC7" t="inlineStr"/>
      <c r="AD7" s="164" t="n">
        <v>0</v>
      </c>
      <c r="AE7" s="185" t="n">
        <v>0</v>
      </c>
      <c r="AG7" s="167" t="inlineStr">
        <is>
          <t>7218|JA2581_1001</t>
        </is>
      </c>
      <c r="AH7" s="46">
        <f>IF(M7=0,"-",M7-J7)</f>
        <v/>
      </c>
      <c r="AI7" s="46">
        <f>IF(AND(S7=0,M7&gt;0,L7=0),IF(AH7&gt;=120,"VERY HIGH",IF(AH7&gt;=90,"HIGH",IF(AH7&gt;=60,"MEDIUM",IF(AH7&lt;60,"LOW")))),"-")</f>
        <v/>
      </c>
      <c r="AJ7" s="12" t="n"/>
      <c r="AK7" s="41">
        <f>IF(AND(W7="X",M7&lt;=$AJ$2),"YES","")</f>
        <v/>
      </c>
      <c r="AL7" s="38">
        <f>IF(AND(W7="X",M7&lt;=$AJ$2),S7,"")</f>
        <v/>
      </c>
      <c r="AM7" s="26">
        <f>IF(AND(W7="X",M7&gt;$AJ$2),"YES","")</f>
        <v/>
      </c>
      <c r="AN7" s="89">
        <f>IF(AND(W7="X",M7&gt;$AJ$2),S7,"")</f>
        <v/>
      </c>
      <c r="AO7" s="35">
        <f>IF(AND(W7="",M7&gt;0,$AJ$2&gt;M7,L7=""),1,0)</f>
        <v/>
      </c>
      <c r="AP7" s="26">
        <f>IF(AND(AK7="YES",W7="X"),"X","")</f>
        <v/>
      </c>
      <c r="AQ7" s="28">
        <f>IF(AP7="X",100%,0%)</f>
        <v/>
      </c>
      <c r="AR7" s="25">
        <f>IF(AND(T7&gt;0,L7=""),H7,"")</f>
        <v/>
      </c>
      <c r="AS7" s="25">
        <f>IF(AND(D7&gt;0,H7=0,G7=""),1,"")</f>
        <v/>
      </c>
      <c r="AT7" s="25">
        <f>IF(G7="BLOQ",1,"")</f>
        <v/>
      </c>
      <c r="AU7" s="25">
        <f>IF(L7="BLOQ",1,"")</f>
        <v/>
      </c>
      <c r="AV7" s="25">
        <f>MONTH(F7)</f>
        <v/>
      </c>
      <c r="AW7" s="65">
        <f>IF(AP7="",100%,0%)</f>
        <v/>
      </c>
      <c r="AX7" s="23" t="n"/>
      <c r="AY7" s="24">
        <f>IF(M7=0,"",M7-$AX$2)</f>
        <v/>
      </c>
      <c r="AZ7" s="66">
        <f>IF(AND(W7="",AY7&gt;0,AY7&lt;15),1,0)</f>
        <v/>
      </c>
      <c r="BA7" s="24">
        <f>IF(AND(W7="",AY7&gt;0,AY7&lt;15),T7,"")</f>
        <v/>
      </c>
      <c r="BB7" s="87">
        <f>IF(R7&lt;Q7,"X","")</f>
        <v/>
      </c>
      <c r="BC7" s="190" t="inlineStr">
        <is>
          <t>NO</t>
        </is>
      </c>
      <c r="BD7" s="190" t="inlineStr">
        <is>
          <t>NO</t>
        </is>
      </c>
    </row>
    <row r="8" ht="15" customHeight="1" s="162">
      <c r="A8" s="7" t="n">
        <v>7</v>
      </c>
      <c r="B8" t="inlineStr">
        <is>
          <t>39121432</t>
        </is>
      </c>
      <c r="C8" t="inlineStr">
        <is>
          <t>Conector circular Amphenol Limited Macho</t>
        </is>
      </c>
      <c r="D8" t="inlineStr">
        <is>
          <t>1101756080</t>
        </is>
      </c>
      <c r="E8" t="inlineStr">
        <is>
          <t>3</t>
        </is>
      </c>
      <c r="F8" s="163" t="n">
        <v>45460</v>
      </c>
      <c r="G8" t="inlineStr"/>
      <c r="H8" t="inlineStr">
        <is>
          <t>4800002579</t>
        </is>
      </c>
      <c r="I8" t="inlineStr">
        <is>
          <t>470</t>
        </is>
      </c>
      <c r="J8" s="163" t="n">
        <v>45457</v>
      </c>
      <c r="K8" s="163" t="inlineStr"/>
      <c r="L8" t="inlineStr"/>
      <c r="M8" s="163" t="n">
        <v>45461</v>
      </c>
      <c r="N8" s="164" t="n">
        <v>0</v>
      </c>
      <c r="O8" s="164" t="n">
        <v>0</v>
      </c>
      <c r="P8" t="inlineStr"/>
      <c r="Q8" s="165" t="n">
        <v>1000</v>
      </c>
      <c r="R8" s="165" t="n">
        <v>1000</v>
      </c>
      <c r="S8" s="165" t="n">
        <v>1000</v>
      </c>
      <c r="T8" s="165" t="n">
        <v>0</v>
      </c>
      <c r="U8" s="166" t="n">
        <v>0</v>
      </c>
      <c r="V8" s="166" t="n">
        <v>0</v>
      </c>
      <c r="W8" t="inlineStr">
        <is>
          <t>X</t>
        </is>
      </c>
      <c r="X8" t="inlineStr">
        <is>
          <t>0.00</t>
        </is>
      </c>
      <c r="Y8" t="inlineStr"/>
      <c r="Z8" t="inlineStr">
        <is>
          <t>AMIDATA, S.A.</t>
        </is>
      </c>
      <c r="AA8" t="inlineStr"/>
      <c r="AB8" t="inlineStr">
        <is>
          <t>8751462</t>
        </is>
      </c>
      <c r="AC8" t="inlineStr"/>
      <c r="AD8" s="164" t="n">
        <v>0</v>
      </c>
      <c r="AE8" s="185" t="n">
        <v>0</v>
      </c>
      <c r="AG8" s="167" t="inlineStr">
        <is>
          <t>7218|JA2581_1001</t>
        </is>
      </c>
      <c r="AH8" s="46">
        <f>IF(M8=0,"-",M8-J8)</f>
        <v/>
      </c>
      <c r="AI8" s="46">
        <f>IF(AND(S8=0,M8&gt;0,L8=0),IF(AH8&gt;=120,"VERY HIGH",IF(AH8&gt;=90,"HIGH",IF(AH8&gt;=60,"MEDIUM",IF(AH8&lt;60,"LOW")))),"-")</f>
        <v/>
      </c>
      <c r="AJ8" s="12" t="n"/>
      <c r="AK8" s="41">
        <f>IF(AND(W8="X",M8&lt;=$AJ$2),"YES","")</f>
        <v/>
      </c>
      <c r="AL8" s="38">
        <f>IF(AND(W8="X",M8&lt;=$AJ$2),S8,"")</f>
        <v/>
      </c>
      <c r="AM8" s="26">
        <f>IF(AND(W8="X",M8&gt;$AJ$2),"YES","")</f>
        <v/>
      </c>
      <c r="AN8" s="89">
        <f>IF(AND(W8="X",M8&gt;$AJ$2),S8,"")</f>
        <v/>
      </c>
      <c r="AO8" s="35">
        <f>IF(AND(W8="",M8&gt;0,$AJ$2&gt;M8,L8=""),1,0)</f>
        <v/>
      </c>
      <c r="AP8" s="26">
        <f>IF(AND(AK8="YES",W8="X"),"X","")</f>
        <v/>
      </c>
      <c r="AQ8" s="28">
        <f>IF(AP8="X",100%,0%)</f>
        <v/>
      </c>
      <c r="AR8" s="25">
        <f>IF(AND(T8&gt;0,L8=""),H8,"")</f>
        <v/>
      </c>
      <c r="AS8" s="25">
        <f>IF(AND(D8&gt;0,H8=0,G8=""),1,"")</f>
        <v/>
      </c>
      <c r="AT8" s="25">
        <f>IF(G8="BLOQ",1,"")</f>
        <v/>
      </c>
      <c r="AU8" s="25">
        <f>IF(L8="BLOQ",1,"")</f>
        <v/>
      </c>
      <c r="AV8" s="25">
        <f>MONTH(F8)</f>
        <v/>
      </c>
      <c r="AW8" s="65">
        <f>IF(AP8="",100%,0%)</f>
        <v/>
      </c>
      <c r="AX8" s="23" t="n"/>
      <c r="AY8" s="24">
        <f>IF(M8=0,"",M8-$AX$2)</f>
        <v/>
      </c>
      <c r="AZ8" s="66">
        <f>IF(AND(W8="",AY8&gt;0,AY8&lt;15),1,0)</f>
        <v/>
      </c>
      <c r="BA8" s="24">
        <f>IF(AND(W8="",AY8&gt;0,AY8&lt;15),T8,"")</f>
        <v/>
      </c>
      <c r="BB8" s="87">
        <f>IF(R8&lt;Q8,"X","")</f>
        <v/>
      </c>
      <c r="BC8" s="190" t="inlineStr">
        <is>
          <t>NO</t>
        </is>
      </c>
      <c r="BD8" s="190" t="inlineStr">
        <is>
          <t>NO</t>
        </is>
      </c>
    </row>
    <row r="9" ht="15" customHeight="1" s="162">
      <c r="A9" s="7" t="n">
        <v>8</v>
      </c>
      <c r="B9" t="inlineStr">
        <is>
          <t>39121432</t>
        </is>
      </c>
      <c r="C9" t="inlineStr">
        <is>
          <t>Contacto para conector circular Amphenol</t>
        </is>
      </c>
      <c r="D9" t="inlineStr">
        <is>
          <t>1101756080</t>
        </is>
      </c>
      <c r="E9" t="inlineStr">
        <is>
          <t>4</t>
        </is>
      </c>
      <c r="F9" s="163" t="n">
        <v>45460</v>
      </c>
      <c r="G9" t="inlineStr"/>
      <c r="H9" t="inlineStr">
        <is>
          <t>4800002579</t>
        </is>
      </c>
      <c r="I9" t="inlineStr">
        <is>
          <t>480</t>
        </is>
      </c>
      <c r="J9" s="163" t="n">
        <v>45457</v>
      </c>
      <c r="K9" s="163" t="inlineStr"/>
      <c r="L9" t="inlineStr"/>
      <c r="M9" s="163" t="n">
        <v>45461</v>
      </c>
      <c r="N9" s="164" t="n">
        <v>0</v>
      </c>
      <c r="O9" s="164" t="n">
        <v>0</v>
      </c>
      <c r="P9" t="inlineStr"/>
      <c r="Q9" s="165" t="n">
        <v>100</v>
      </c>
      <c r="R9" s="165" t="n">
        <v>100</v>
      </c>
      <c r="S9" s="165" t="n">
        <v>100</v>
      </c>
      <c r="T9" s="165" t="n">
        <v>0</v>
      </c>
      <c r="U9" s="166" t="n">
        <v>0</v>
      </c>
      <c r="V9" s="166" t="n">
        <v>0</v>
      </c>
      <c r="W9" t="inlineStr">
        <is>
          <t>X</t>
        </is>
      </c>
      <c r="X9" t="inlineStr">
        <is>
          <t>0.00</t>
        </is>
      </c>
      <c r="Y9" t="inlineStr"/>
      <c r="Z9" t="inlineStr">
        <is>
          <t>AMIDATA, S.A.</t>
        </is>
      </c>
      <c r="AA9" t="inlineStr"/>
      <c r="AB9" t="inlineStr">
        <is>
          <t>7620695</t>
        </is>
      </c>
      <c r="AC9" t="inlineStr"/>
      <c r="AD9" s="164" t="n">
        <v>0</v>
      </c>
      <c r="AE9" s="185" t="n">
        <v>0</v>
      </c>
      <c r="AG9" s="167" t="inlineStr">
        <is>
          <t>7218|JA2581_1001</t>
        </is>
      </c>
      <c r="AH9" s="46">
        <f>IF(M9=0,"-",M9-J9)</f>
        <v/>
      </c>
      <c r="AI9" s="46">
        <f>IF(AND(S9=0,M9&gt;0,L9=0),IF(AH9&gt;=120,"VERY HIGH",IF(AH9&gt;=90,"HIGH",IF(AH9&gt;=60,"MEDIUM",IF(AH9&lt;60,"LOW")))),"-")</f>
        <v/>
      </c>
      <c r="AJ9" s="12" t="n"/>
      <c r="AK9" s="41">
        <f>IF(AND(W9="X",M9&lt;=$AJ$2),"YES","")</f>
        <v/>
      </c>
      <c r="AL9" s="38">
        <f>IF(AND(W9="X",M9&lt;=$AJ$2),S9,"")</f>
        <v/>
      </c>
      <c r="AM9" s="26">
        <f>IF(AND(W9="X",M9&gt;$AJ$2),"YES","")</f>
        <v/>
      </c>
      <c r="AN9" s="89">
        <f>IF(AND(W9="X",M9&gt;$AJ$2),S9,"")</f>
        <v/>
      </c>
      <c r="AO9" s="35">
        <f>IF(AND(W9="",M9&gt;0,$AJ$2&gt;M9,L9=""),1,0)</f>
        <v/>
      </c>
      <c r="AP9" s="26">
        <f>IF(AND(AK9="YES",W9="X"),"X","")</f>
        <v/>
      </c>
      <c r="AQ9" s="28">
        <f>IF(AP9="X",100%,0%)</f>
        <v/>
      </c>
      <c r="AR9" s="25">
        <f>IF(AND(T9&gt;0,L9=""),H9,"")</f>
        <v/>
      </c>
      <c r="AS9" s="25">
        <f>IF(AND(D9&gt;0,H9=0,G9=""),1,"")</f>
        <v/>
      </c>
      <c r="AT9" s="25">
        <f>IF(G9="BLOQ",1,"")</f>
        <v/>
      </c>
      <c r="AU9" s="25">
        <f>IF(L9="BLOQ",1,"")</f>
        <v/>
      </c>
      <c r="AV9" s="25">
        <f>MONTH(F9)</f>
        <v/>
      </c>
      <c r="AW9" s="65">
        <f>IF(AP9="",100%,0%)</f>
        <v/>
      </c>
      <c r="AX9" s="23" t="n"/>
      <c r="AY9" s="24">
        <f>IF(M9=0,"",M9-$AX$2)</f>
        <v/>
      </c>
      <c r="AZ9" s="66">
        <f>IF(AND(W9="",AY9&gt;0,AY9&lt;15),1,0)</f>
        <v/>
      </c>
      <c r="BA9" s="24">
        <f>IF(AND(W9="",AY9&gt;0,AY9&lt;15),T9,"")</f>
        <v/>
      </c>
      <c r="BB9" s="87">
        <f>IF(R9&lt;Q9,"X","")</f>
        <v/>
      </c>
      <c r="BC9" s="190" t="inlineStr">
        <is>
          <t>NO</t>
        </is>
      </c>
      <c r="BD9" s="190" t="inlineStr">
        <is>
          <t>NO</t>
        </is>
      </c>
    </row>
    <row r="10" ht="15" customHeight="1" s="162">
      <c r="A10" s="7" t="n">
        <v>9</v>
      </c>
      <c r="B10" t="inlineStr">
        <is>
          <t>39121432</t>
        </is>
      </c>
      <c r="C10" t="inlineStr">
        <is>
          <t>Contacto para conector circular Amphenol</t>
        </is>
      </c>
      <c r="D10" t="inlineStr">
        <is>
          <t>1101756080</t>
        </is>
      </c>
      <c r="E10" t="inlineStr">
        <is>
          <t>5</t>
        </is>
      </c>
      <c r="F10" s="163" t="n">
        <v>45460</v>
      </c>
      <c r="G10" t="inlineStr"/>
      <c r="H10" t="inlineStr">
        <is>
          <t>4800002579</t>
        </is>
      </c>
      <c r="I10" t="inlineStr">
        <is>
          <t>490</t>
        </is>
      </c>
      <c r="J10" s="163" t="n">
        <v>45457</v>
      </c>
      <c r="K10" s="163" t="inlineStr"/>
      <c r="L10" t="inlineStr"/>
      <c r="M10" s="163" t="n">
        <v>45461</v>
      </c>
      <c r="N10" s="164" t="n">
        <v>0</v>
      </c>
      <c r="O10" s="164" t="n">
        <v>0</v>
      </c>
      <c r="P10" t="inlineStr"/>
      <c r="Q10" s="165" t="n">
        <v>100</v>
      </c>
      <c r="R10" s="165" t="n">
        <v>100</v>
      </c>
      <c r="S10" s="165" t="n">
        <v>100</v>
      </c>
      <c r="T10" s="165" t="n">
        <v>0</v>
      </c>
      <c r="U10" s="166" t="n">
        <v>0</v>
      </c>
      <c r="V10" s="166" t="n">
        <v>0</v>
      </c>
      <c r="W10" t="inlineStr">
        <is>
          <t>X</t>
        </is>
      </c>
      <c r="X10" t="inlineStr">
        <is>
          <t>0.00</t>
        </is>
      </c>
      <c r="Y10" t="inlineStr"/>
      <c r="Z10" t="inlineStr">
        <is>
          <t>AMIDATA, S.A.</t>
        </is>
      </c>
      <c r="AA10" t="inlineStr"/>
      <c r="AB10" t="inlineStr">
        <is>
          <t>7620686</t>
        </is>
      </c>
      <c r="AC10" t="inlineStr"/>
      <c r="AD10" s="164" t="n">
        <v>0</v>
      </c>
      <c r="AE10" s="185" t="n">
        <v>0</v>
      </c>
      <c r="AG10" s="167" t="inlineStr">
        <is>
          <t>7218|JA2581_1001</t>
        </is>
      </c>
      <c r="AH10" s="46">
        <f>IF(M10=0,"-",M10-J10)</f>
        <v/>
      </c>
      <c r="AI10" s="46">
        <f>IF(AND(S10=0,M10&gt;0,L10=0),IF(AH10&gt;=120,"VERY HIGH",IF(AH10&gt;=90,"HIGH",IF(AH10&gt;=60,"MEDIUM",IF(AH10&lt;60,"LOW")))),"-")</f>
        <v/>
      </c>
      <c r="AJ10" s="12" t="n"/>
      <c r="AK10" s="41">
        <f>IF(AND(W10="X",M10&lt;=$AJ$2),"YES","")</f>
        <v/>
      </c>
      <c r="AL10" s="38">
        <f>IF(AND(W10="X",M10&lt;=$AJ$2),S10,"")</f>
        <v/>
      </c>
      <c r="AM10" s="26">
        <f>IF(AND(W10="X",M10&gt;$AJ$2),"YES","")</f>
        <v/>
      </c>
      <c r="AN10" s="89">
        <f>IF(AND(W10="X",M10&gt;$AJ$2),S10,"")</f>
        <v/>
      </c>
      <c r="AO10" s="35">
        <f>IF(AND(W10="",M10&gt;0,$AJ$2&gt;M10,L10=""),1,0)</f>
        <v/>
      </c>
      <c r="AP10" s="26">
        <f>IF(AND(AK10="YES",W10="X"),"X","")</f>
        <v/>
      </c>
      <c r="AQ10" s="28">
        <f>IF(AP10="X",100%,0%)</f>
        <v/>
      </c>
      <c r="AR10" s="25">
        <f>IF(AND(T10&gt;0,L10=""),H10,"")</f>
        <v/>
      </c>
      <c r="AS10" s="25">
        <f>IF(AND(D10&gt;0,H10=0,G10=""),1,"")</f>
        <v/>
      </c>
      <c r="AT10" s="25">
        <f>IF(G10="BLOQ",1,"")</f>
        <v/>
      </c>
      <c r="AU10" s="25">
        <f>IF(L10="BLOQ",1,"")</f>
        <v/>
      </c>
      <c r="AV10" s="25">
        <f>MONTH(F10)</f>
        <v/>
      </c>
      <c r="AW10" s="65">
        <f>IF(AP10="",100%,0%)</f>
        <v/>
      </c>
      <c r="AX10" s="23" t="n"/>
      <c r="AY10" s="24">
        <f>IF(M10=0,"",M10-$AX$2)</f>
        <v/>
      </c>
      <c r="AZ10" s="66">
        <f>IF(AND(W10="",AY10&gt;0,AY10&lt;15),1,0)</f>
        <v/>
      </c>
      <c r="BA10" s="24">
        <f>IF(AND(W10="",AY10&gt;0,AY10&lt;15),T10,"")</f>
        <v/>
      </c>
      <c r="BB10" s="87">
        <f>IF(R10&lt;Q10,"X","")</f>
        <v/>
      </c>
      <c r="BC10" s="190" t="inlineStr">
        <is>
          <t>NO</t>
        </is>
      </c>
      <c r="BD10" s="190" t="inlineStr">
        <is>
          <t>NO</t>
        </is>
      </c>
    </row>
    <row r="11" ht="15" customHeight="1" s="162">
      <c r="A11" s="7" t="n">
        <v>10</v>
      </c>
      <c r="B11" t="inlineStr">
        <is>
          <t>39121413</t>
        </is>
      </c>
      <c r="C11" t="inlineStr">
        <is>
          <t>Conector circular Amphenol Limited Hembr</t>
        </is>
      </c>
      <c r="D11" t="inlineStr">
        <is>
          <t>1101756080</t>
        </is>
      </c>
      <c r="E11" t="inlineStr">
        <is>
          <t>6</t>
        </is>
      </c>
      <c r="F11" s="163" t="n">
        <v>45460</v>
      </c>
      <c r="G11" t="inlineStr"/>
      <c r="H11" t="inlineStr">
        <is>
          <t>4800002579</t>
        </is>
      </c>
      <c r="I11" t="inlineStr">
        <is>
          <t>500</t>
        </is>
      </c>
      <c r="J11" s="163" t="n">
        <v>45457</v>
      </c>
      <c r="K11" s="163" t="inlineStr"/>
      <c r="L11" t="inlineStr"/>
      <c r="M11" s="163" t="n">
        <v>45461</v>
      </c>
      <c r="N11" s="164" t="n">
        <v>0</v>
      </c>
      <c r="O11" s="164" t="n">
        <v>0</v>
      </c>
      <c r="P11" t="inlineStr"/>
      <c r="Q11" s="165" t="n">
        <v>2000</v>
      </c>
      <c r="R11" s="165" t="n">
        <v>2000</v>
      </c>
      <c r="S11" s="165" t="n">
        <v>2000</v>
      </c>
      <c r="T11" s="165" t="n">
        <v>0</v>
      </c>
      <c r="U11" s="166" t="n">
        <v>0</v>
      </c>
      <c r="V11" s="166" t="n">
        <v>0</v>
      </c>
      <c r="W11" t="inlineStr">
        <is>
          <t>X</t>
        </is>
      </c>
      <c r="X11" t="inlineStr">
        <is>
          <t>0.00</t>
        </is>
      </c>
      <c r="Y11" t="inlineStr"/>
      <c r="Z11" t="inlineStr">
        <is>
          <t>AMIDATA, S.A.</t>
        </is>
      </c>
      <c r="AA11" t="inlineStr"/>
      <c r="AB11" t="inlineStr">
        <is>
          <t>1860301</t>
        </is>
      </c>
      <c r="AC11" t="inlineStr"/>
      <c r="AD11" s="164" t="n">
        <v>0</v>
      </c>
      <c r="AE11" s="185" t="n">
        <v>0</v>
      </c>
      <c r="AG11" s="167" t="inlineStr">
        <is>
          <t>7218|JA2581_1001</t>
        </is>
      </c>
      <c r="AH11" s="46">
        <f>IF(M11=0,"-",M11-J11)</f>
        <v/>
      </c>
      <c r="AI11" s="46">
        <f>IF(AND(S11=0,M11&gt;0,L11=0),IF(AH11&gt;=120,"VERY HIGH",IF(AH11&gt;=90,"HIGH",IF(AH11&gt;=60,"MEDIUM",IF(AH11&lt;60,"LOW")))),"-")</f>
        <v/>
      </c>
      <c r="AJ11" s="12" t="n"/>
      <c r="AK11" s="41">
        <f>IF(AND(W11="X",M11&lt;=$AJ$2),"YES","")</f>
        <v/>
      </c>
      <c r="AL11" s="38">
        <f>IF(AND(W11="X",M11&lt;=$AJ$2),S11,"")</f>
        <v/>
      </c>
      <c r="AM11" s="26">
        <f>IF(AND(W11="X",M11&gt;$AJ$2),"YES","")</f>
        <v/>
      </c>
      <c r="AN11" s="89">
        <f>IF(AND(W11="X",M11&gt;$AJ$2),S11,"")</f>
        <v/>
      </c>
      <c r="AO11" s="35">
        <f>IF(AND(W11="",M11&gt;0,$AJ$2&gt;M11,L11=""),1,0)</f>
        <v/>
      </c>
      <c r="AP11" s="26">
        <f>IF(AND(AK11="YES",W11="X"),"X","")</f>
        <v/>
      </c>
      <c r="AQ11" s="28">
        <f>IF(AP11="X",100%,0%)</f>
        <v/>
      </c>
      <c r="AR11" s="25">
        <f>IF(AND(T11&gt;0,L11=""),H11,"")</f>
        <v/>
      </c>
      <c r="AS11" s="25">
        <f>IF(AND(D11&gt;0,H11=0,G11=""),1,"")</f>
        <v/>
      </c>
      <c r="AT11" s="25">
        <f>IF(G11="BLOQ",1,"")</f>
        <v/>
      </c>
      <c r="AU11" s="25">
        <f>IF(L11="BLOQ",1,"")</f>
        <v/>
      </c>
      <c r="AV11" s="25">
        <f>MONTH(F11)</f>
        <v/>
      </c>
      <c r="AW11" s="65">
        <f>IF(AP11="",100%,0%)</f>
        <v/>
      </c>
      <c r="AX11" s="23" t="n"/>
      <c r="AY11" s="24">
        <f>IF(M11=0,"",M11-$AX$2)</f>
        <v/>
      </c>
      <c r="AZ11" s="66">
        <f>IF(AND(W11="",AY11&gt;0,AY11&lt;15),1,0)</f>
        <v/>
      </c>
      <c r="BA11" s="24">
        <f>IF(AND(W11="",AY11&gt;0,AY11&lt;15),T11,"")</f>
        <v/>
      </c>
      <c r="BB11" s="87">
        <f>IF(R11&lt;Q11,"X","")</f>
        <v/>
      </c>
      <c r="BC11" s="190" t="inlineStr">
        <is>
          <t>NO</t>
        </is>
      </c>
      <c r="BD11" s="190" t="inlineStr">
        <is>
          <t>NO</t>
        </is>
      </c>
    </row>
    <row r="12" ht="15" customHeight="1" s="162">
      <c r="A12" s="7" t="n">
        <v>11</v>
      </c>
      <c r="B12" t="inlineStr">
        <is>
          <t>39121432</t>
        </is>
      </c>
      <c r="C12" t="inlineStr">
        <is>
          <t>Contacto para conector circular Amphenol</t>
        </is>
      </c>
      <c r="D12" t="inlineStr">
        <is>
          <t>1101756080</t>
        </is>
      </c>
      <c r="E12" t="inlineStr">
        <is>
          <t>7</t>
        </is>
      </c>
      <c r="F12" s="163" t="n">
        <v>45460</v>
      </c>
      <c r="G12" t="inlineStr"/>
      <c r="H12" t="inlineStr">
        <is>
          <t>4800002579</t>
        </is>
      </c>
      <c r="I12" t="inlineStr">
        <is>
          <t>510</t>
        </is>
      </c>
      <c r="J12" s="163" t="n">
        <v>45457</v>
      </c>
      <c r="K12" s="163" t="inlineStr"/>
      <c r="L12" t="inlineStr"/>
      <c r="M12" s="163" t="n">
        <v>45461</v>
      </c>
      <c r="N12" s="164" t="n">
        <v>0</v>
      </c>
      <c r="O12" s="164" t="n">
        <v>0</v>
      </c>
      <c r="P12" t="inlineStr"/>
      <c r="Q12" s="165" t="n">
        <v>100</v>
      </c>
      <c r="R12" s="165" t="n">
        <v>100</v>
      </c>
      <c r="S12" s="165" t="n">
        <v>100</v>
      </c>
      <c r="T12" s="165" t="n">
        <v>0</v>
      </c>
      <c r="U12" s="166" t="n">
        <v>0</v>
      </c>
      <c r="V12" s="166" t="n">
        <v>0</v>
      </c>
      <c r="W12" t="inlineStr">
        <is>
          <t>X</t>
        </is>
      </c>
      <c r="X12" t="inlineStr">
        <is>
          <t>0.00</t>
        </is>
      </c>
      <c r="Y12" t="inlineStr"/>
      <c r="Z12" t="inlineStr">
        <is>
          <t>AMIDATA, S.A.</t>
        </is>
      </c>
      <c r="AA12" t="inlineStr"/>
      <c r="AB12" t="inlineStr">
        <is>
          <t>7620664</t>
        </is>
      </c>
      <c r="AC12" t="inlineStr"/>
      <c r="AD12" s="164" t="n">
        <v>0</v>
      </c>
      <c r="AE12" s="185" t="n">
        <v>0</v>
      </c>
      <c r="AG12" s="167" t="inlineStr">
        <is>
          <t>7218|JA2581_1001</t>
        </is>
      </c>
      <c r="AH12" s="46">
        <f>IF(M12=0,"-",M12-J12)</f>
        <v/>
      </c>
      <c r="AI12" s="46">
        <f>IF(AND(S12=0,M12&gt;0,L12=0),IF(AH12&gt;=120,"VERY HIGH",IF(AH12&gt;=90,"HIGH",IF(AH12&gt;=60,"MEDIUM",IF(AH12&lt;60,"LOW")))),"-")</f>
        <v/>
      </c>
      <c r="AJ12" s="12" t="n"/>
      <c r="AK12" s="41">
        <f>IF(AND(W12="X",M12&lt;=$AJ$2),"YES","")</f>
        <v/>
      </c>
      <c r="AL12" s="38">
        <f>IF(AND(W12="X",M12&lt;=$AJ$2),S12,"")</f>
        <v/>
      </c>
      <c r="AM12" s="26">
        <f>IF(AND(W12="X",M12&gt;$AJ$2),"YES","")</f>
        <v/>
      </c>
      <c r="AN12" s="89">
        <f>IF(AND(W12="X",M12&gt;$AJ$2),S12,"")</f>
        <v/>
      </c>
      <c r="AO12" s="35">
        <f>IF(AND(W12="",M12&gt;0,$AJ$2&gt;M12,L12=""),1,0)</f>
        <v/>
      </c>
      <c r="AP12" s="26">
        <f>IF(AND(AK12="YES",W12="X"),"X","")</f>
        <v/>
      </c>
      <c r="AQ12" s="28">
        <f>IF(AP12="X",100%,0%)</f>
        <v/>
      </c>
      <c r="AR12" s="25">
        <f>IF(AND(T12&gt;0,L12=""),H12,"")</f>
        <v/>
      </c>
      <c r="AS12" s="25">
        <f>IF(AND(D12&gt;0,H12=0,G12=""),1,"")</f>
        <v/>
      </c>
      <c r="AT12" s="25">
        <f>IF(G12="BLOQ",1,"")</f>
        <v/>
      </c>
      <c r="AU12" s="25">
        <f>IF(L12="BLOQ",1,"")</f>
        <v/>
      </c>
      <c r="AV12" s="25">
        <f>MONTH(F12)</f>
        <v/>
      </c>
      <c r="AW12" s="65">
        <f>IF(AP12="",100%,0%)</f>
        <v/>
      </c>
      <c r="AX12" s="23" t="n"/>
      <c r="AY12" s="24">
        <f>IF(M12=0,"",M12-$AX$2)</f>
        <v/>
      </c>
      <c r="AZ12" s="66">
        <f>IF(AND(W12="",AY12&gt;0,AY12&lt;15),1,0)</f>
        <v/>
      </c>
      <c r="BA12" s="24">
        <f>IF(AND(W12="",AY12&gt;0,AY12&lt;15),T12,"")</f>
        <v/>
      </c>
      <c r="BB12" s="87">
        <f>IF(R12&lt;Q12,"X","")</f>
        <v/>
      </c>
      <c r="BC12" s="190" t="inlineStr">
        <is>
          <t>NO</t>
        </is>
      </c>
      <c r="BD12" s="190" t="inlineStr">
        <is>
          <t>NO</t>
        </is>
      </c>
    </row>
    <row r="13" ht="15" customHeight="1" s="162">
      <c r="A13" s="7" t="n">
        <v>12</v>
      </c>
      <c r="B13" t="inlineStr">
        <is>
          <t>39121432</t>
        </is>
      </c>
      <c r="C13" t="inlineStr">
        <is>
          <t>Contacto para conector circular Amphenol</t>
        </is>
      </c>
      <c r="D13" t="inlineStr">
        <is>
          <t>1101756080</t>
        </is>
      </c>
      <c r="E13" t="inlineStr">
        <is>
          <t>8</t>
        </is>
      </c>
      <c r="F13" s="163" t="n">
        <v>45460</v>
      </c>
      <c r="G13" t="inlineStr"/>
      <c r="H13" t="inlineStr">
        <is>
          <t>4800002579</t>
        </is>
      </c>
      <c r="I13" t="inlineStr">
        <is>
          <t>520</t>
        </is>
      </c>
      <c r="J13" s="163" t="n">
        <v>45457</v>
      </c>
      <c r="K13" s="163" t="inlineStr"/>
      <c r="L13" t="inlineStr"/>
      <c r="M13" s="163" t="n">
        <v>45461</v>
      </c>
      <c r="N13" s="164" t="n">
        <v>0</v>
      </c>
      <c r="O13" s="164" t="n">
        <v>0</v>
      </c>
      <c r="P13" t="inlineStr"/>
      <c r="Q13" s="165" t="n">
        <v>100</v>
      </c>
      <c r="R13" s="165" t="n">
        <v>100</v>
      </c>
      <c r="S13" s="165" t="n">
        <v>100</v>
      </c>
      <c r="T13" s="165" t="n">
        <v>0</v>
      </c>
      <c r="U13" s="166" t="n">
        <v>0</v>
      </c>
      <c r="V13" s="166" t="n">
        <v>0</v>
      </c>
      <c r="W13" t="inlineStr">
        <is>
          <t>X</t>
        </is>
      </c>
      <c r="X13" t="inlineStr">
        <is>
          <t>0.00</t>
        </is>
      </c>
      <c r="Y13" t="inlineStr"/>
      <c r="Z13" t="inlineStr">
        <is>
          <t>AMIDATA, S.A.</t>
        </is>
      </c>
      <c r="AA13" t="inlineStr"/>
      <c r="AB13" t="inlineStr">
        <is>
          <t>7620676</t>
        </is>
      </c>
      <c r="AC13" t="inlineStr"/>
      <c r="AD13" s="164" t="n">
        <v>0</v>
      </c>
      <c r="AE13" s="185" t="n">
        <v>0</v>
      </c>
      <c r="AG13" s="167" t="inlineStr">
        <is>
          <t>7218|JA2581_1001</t>
        </is>
      </c>
      <c r="AH13" s="46">
        <f>IF(M13=0,"-",M13-J13)</f>
        <v/>
      </c>
      <c r="AI13" s="46">
        <f>IF(AND(S13=0,M13&gt;0,L13=0),IF(AH13&gt;=120,"VERY HIGH",IF(AH13&gt;=90,"HIGH",IF(AH13&gt;=60,"MEDIUM",IF(AH13&lt;60,"LOW")))),"-")</f>
        <v/>
      </c>
      <c r="AJ13" s="12" t="n"/>
      <c r="AK13" s="41">
        <f>IF(AND(W13="X",M13&lt;=$AJ$2),"YES","")</f>
        <v/>
      </c>
      <c r="AL13" s="38">
        <f>IF(AND(W13="X",M13&lt;=$AJ$2),S13,"")</f>
        <v/>
      </c>
      <c r="AM13" s="26">
        <f>IF(AND(W13="X",M13&gt;$AJ$2),"YES","")</f>
        <v/>
      </c>
      <c r="AN13" s="89">
        <f>IF(AND(W13="X",M13&gt;$AJ$2),S13,"")</f>
        <v/>
      </c>
      <c r="AO13" s="35">
        <f>IF(AND(W13="",M13&gt;0,$AJ$2&gt;M13,L13=""),1,0)</f>
        <v/>
      </c>
      <c r="AP13" s="26">
        <f>IF(AND(AK13="YES",W13="X"),"X","")</f>
        <v/>
      </c>
      <c r="AQ13" s="28">
        <f>IF(AP13="X",100%,0%)</f>
        <v/>
      </c>
      <c r="AR13" s="25">
        <f>IF(AND(T13&gt;0,L13=""),H13,"")</f>
        <v/>
      </c>
      <c r="AS13" s="25">
        <f>IF(AND(D13&gt;0,H13=0,G13=""),1,"")</f>
        <v/>
      </c>
      <c r="AT13" s="25">
        <f>IF(G13="BLOQ",1,"")</f>
        <v/>
      </c>
      <c r="AU13" s="25">
        <f>IF(L13="BLOQ",1,"")</f>
        <v/>
      </c>
      <c r="AV13" s="25">
        <f>MONTH(F13)</f>
        <v/>
      </c>
      <c r="AW13" s="65">
        <f>IF(AP13="",100%,0%)</f>
        <v/>
      </c>
      <c r="AX13" s="23" t="n"/>
      <c r="AY13" s="24">
        <f>IF(M13=0,"",M13-$AX$2)</f>
        <v/>
      </c>
      <c r="AZ13" s="66">
        <f>IF(AND(W13="",AY13&gt;0,AY13&lt;15),1,0)</f>
        <v/>
      </c>
      <c r="BA13" s="24">
        <f>IF(AND(W13="",AY13&gt;0,AY13&lt;15),T13,"")</f>
        <v/>
      </c>
      <c r="BB13" s="87">
        <f>IF(R13&lt;Q13,"X","")</f>
        <v/>
      </c>
      <c r="BC13" s="190" t="inlineStr">
        <is>
          <t>NO</t>
        </is>
      </c>
      <c r="BD13" s="190" t="inlineStr">
        <is>
          <t>NO</t>
        </is>
      </c>
    </row>
    <row r="14" ht="15" customHeight="1" s="162">
      <c r="A14" s="7" t="n">
        <v>13</v>
      </c>
      <c r="B14" t="inlineStr">
        <is>
          <t>39121432</t>
        </is>
      </c>
      <c r="C14" t="inlineStr">
        <is>
          <t>Contacto para conector circular Amphenol</t>
        </is>
      </c>
      <c r="D14" t="inlineStr">
        <is>
          <t>1101756080</t>
        </is>
      </c>
      <c r="E14" t="inlineStr">
        <is>
          <t>9</t>
        </is>
      </c>
      <c r="F14" s="163" t="n">
        <v>45460</v>
      </c>
      <c r="G14" t="inlineStr"/>
      <c r="H14" t="inlineStr">
        <is>
          <t>4800002579</t>
        </is>
      </c>
      <c r="I14" t="inlineStr">
        <is>
          <t>530</t>
        </is>
      </c>
      <c r="J14" s="163" t="n">
        <v>45457</v>
      </c>
      <c r="K14" s="163" t="inlineStr"/>
      <c r="L14" t="inlineStr"/>
      <c r="M14" s="163" t="n">
        <v>45461</v>
      </c>
      <c r="N14" s="164" t="n">
        <v>0</v>
      </c>
      <c r="O14" s="164" t="n">
        <v>0</v>
      </c>
      <c r="P14" t="inlineStr"/>
      <c r="Q14" s="165" t="n">
        <v>300</v>
      </c>
      <c r="R14" s="165" t="n">
        <v>300</v>
      </c>
      <c r="S14" s="165" t="n">
        <v>300</v>
      </c>
      <c r="T14" s="165" t="n">
        <v>0</v>
      </c>
      <c r="U14" s="166" t="n">
        <v>0</v>
      </c>
      <c r="V14" s="166" t="n">
        <v>0</v>
      </c>
      <c r="W14" t="inlineStr">
        <is>
          <t>X</t>
        </is>
      </c>
      <c r="X14" t="inlineStr">
        <is>
          <t>0.00</t>
        </is>
      </c>
      <c r="Y14" t="inlineStr"/>
      <c r="Z14" t="inlineStr">
        <is>
          <t>AMIDATA, S.A.</t>
        </is>
      </c>
      <c r="AA14" t="inlineStr"/>
      <c r="AB14" t="inlineStr">
        <is>
          <t>7620673</t>
        </is>
      </c>
      <c r="AC14" t="inlineStr"/>
      <c r="AD14" s="164" t="n">
        <v>0</v>
      </c>
      <c r="AE14" s="185" t="n">
        <v>0</v>
      </c>
      <c r="AG14" s="167" t="inlineStr">
        <is>
          <t>7218|JA2581_1001</t>
        </is>
      </c>
      <c r="AH14" s="46">
        <f>IF(M14=0,"-",M14-J14)</f>
        <v/>
      </c>
      <c r="AI14" s="46">
        <f>IF(AND(S14=0,M14&gt;0,L14=0),IF(AH14&gt;=120,"VERY HIGH",IF(AH14&gt;=90,"HIGH",IF(AH14&gt;=60,"MEDIUM",IF(AH14&lt;60,"LOW")))),"-")</f>
        <v/>
      </c>
      <c r="AJ14" s="12" t="n"/>
      <c r="AK14" s="41">
        <f>IF(AND(W14="X",M14&lt;=$AJ$2),"YES","")</f>
        <v/>
      </c>
      <c r="AL14" s="38">
        <f>IF(AND(W14="X",M14&lt;=$AJ$2),S14,"")</f>
        <v/>
      </c>
      <c r="AM14" s="26">
        <f>IF(AND(W14="X",M14&gt;$AJ$2),"YES","")</f>
        <v/>
      </c>
      <c r="AN14" s="89">
        <f>IF(AND(W14="X",M14&gt;$AJ$2),S14,"")</f>
        <v/>
      </c>
      <c r="AO14" s="35">
        <f>IF(AND(W14="",M14&gt;0,$AJ$2&gt;M14,L14=""),1,0)</f>
        <v/>
      </c>
      <c r="AP14" s="26">
        <f>IF(AND(AK14="YES",W14="X"),"X","")</f>
        <v/>
      </c>
      <c r="AQ14" s="28">
        <f>IF(AP14="X",100%,0%)</f>
        <v/>
      </c>
      <c r="AR14" s="25">
        <f>IF(AND(T14&gt;0,L14=""),H14,"")</f>
        <v/>
      </c>
      <c r="AS14" s="25">
        <f>IF(AND(D14&gt;0,H14=0,G14=""),1,"")</f>
        <v/>
      </c>
      <c r="AT14" s="25">
        <f>IF(G14="BLOQ",1,"")</f>
        <v/>
      </c>
      <c r="AU14" s="25">
        <f>IF(L14="BLOQ",1,"")</f>
        <v/>
      </c>
      <c r="AV14" s="25">
        <f>MONTH(F14)</f>
        <v/>
      </c>
      <c r="AW14" s="65">
        <f>IF(AP14="",100%,0%)</f>
        <v/>
      </c>
      <c r="AX14" s="23" t="n"/>
      <c r="AY14" s="24">
        <f>IF(M14=0,"",M14-$AX$2)</f>
        <v/>
      </c>
      <c r="AZ14" s="66">
        <f>IF(AND(W14="",AY14&gt;0,AY14&lt;15),1,0)</f>
        <v/>
      </c>
      <c r="BA14" s="24">
        <f>IF(AND(W14="",AY14&gt;0,AY14&lt;15),T14,"")</f>
        <v/>
      </c>
      <c r="BB14" s="87">
        <f>IF(R14&lt;Q14,"X","")</f>
        <v/>
      </c>
      <c r="BC14" s="190" t="inlineStr">
        <is>
          <t>NO</t>
        </is>
      </c>
      <c r="BD14" s="190" t="inlineStr">
        <is>
          <t>NO</t>
        </is>
      </c>
    </row>
    <row r="15" ht="15" customHeight="1" s="162">
      <c r="A15" s="7" t="n">
        <v>14</v>
      </c>
      <c r="B15" t="inlineStr">
        <is>
          <t>39121432</t>
        </is>
      </c>
      <c r="C15" t="inlineStr">
        <is>
          <t>Contacto para conector circular Amphenol</t>
        </is>
      </c>
      <c r="D15" t="inlineStr">
        <is>
          <t>1101756080</t>
        </is>
      </c>
      <c r="E15" t="inlineStr">
        <is>
          <t>10</t>
        </is>
      </c>
      <c r="F15" s="163" t="n">
        <v>45460</v>
      </c>
      <c r="G15" t="inlineStr"/>
      <c r="H15" t="inlineStr">
        <is>
          <t>4800002579</t>
        </is>
      </c>
      <c r="I15" t="inlineStr">
        <is>
          <t>540</t>
        </is>
      </c>
      <c r="J15" s="163" t="n">
        <v>45457</v>
      </c>
      <c r="K15" s="163" t="inlineStr"/>
      <c r="L15" t="inlineStr"/>
      <c r="M15" s="163" t="n">
        <v>45461</v>
      </c>
      <c r="N15" s="164" t="n">
        <v>0</v>
      </c>
      <c r="O15" s="164" t="n">
        <v>0</v>
      </c>
      <c r="P15" t="inlineStr"/>
      <c r="Q15" s="165" t="n">
        <v>300</v>
      </c>
      <c r="R15" s="165" t="n">
        <v>300</v>
      </c>
      <c r="S15" s="165" t="n">
        <v>300</v>
      </c>
      <c r="T15" s="165" t="n">
        <v>0</v>
      </c>
      <c r="U15" s="166" t="n">
        <v>0</v>
      </c>
      <c r="V15" s="166" t="n">
        <v>0</v>
      </c>
      <c r="W15" t="inlineStr">
        <is>
          <t>X</t>
        </is>
      </c>
      <c r="X15" t="inlineStr">
        <is>
          <t>0.00</t>
        </is>
      </c>
      <c r="Y15" t="inlineStr"/>
      <c r="Z15" t="inlineStr">
        <is>
          <t>AMIDATA, S.A.</t>
        </is>
      </c>
      <c r="AA15" t="inlineStr"/>
      <c r="AB15" t="inlineStr">
        <is>
          <t>7620670</t>
        </is>
      </c>
      <c r="AC15" t="inlineStr"/>
      <c r="AD15" s="164" t="n">
        <v>0</v>
      </c>
      <c r="AE15" s="185" t="n">
        <v>0</v>
      </c>
      <c r="AG15" s="167" t="inlineStr">
        <is>
          <t>7218|JA2581_1001</t>
        </is>
      </c>
      <c r="AH15" s="46">
        <f>IF(M15=0,"-",M15-J15)</f>
        <v/>
      </c>
      <c r="AI15" s="46">
        <f>IF(AND(S15=0,M15&gt;0,L15=0),IF(AH15&gt;=120,"VERY HIGH",IF(AH15&gt;=90,"HIGH",IF(AH15&gt;=60,"MEDIUM",IF(AH15&lt;60,"LOW")))),"-")</f>
        <v/>
      </c>
      <c r="AJ15" s="12" t="n"/>
      <c r="AK15" s="41">
        <f>IF(AND(W15="X",M15&lt;=$AJ$2),"YES","")</f>
        <v/>
      </c>
      <c r="AL15" s="38">
        <f>IF(AND(W15="X",M15&lt;=$AJ$2),S15,"")</f>
        <v/>
      </c>
      <c r="AM15" s="26">
        <f>IF(AND(W15="X",M15&gt;$AJ$2),"YES","")</f>
        <v/>
      </c>
      <c r="AN15" s="89">
        <f>IF(AND(W15="X",M15&gt;$AJ$2),S15,"")</f>
        <v/>
      </c>
      <c r="AO15" s="35">
        <f>IF(AND(W15="",M15&gt;0,$AJ$2&gt;M15,L15=""),1,0)</f>
        <v/>
      </c>
      <c r="AP15" s="26">
        <f>IF(AND(AK15="YES",W15="X"),"X","")</f>
        <v/>
      </c>
      <c r="AQ15" s="28">
        <f>IF(AP15="X",100%,0%)</f>
        <v/>
      </c>
      <c r="AR15" s="25">
        <f>IF(AND(T15&gt;0,L15=""),H15,"")</f>
        <v/>
      </c>
      <c r="AS15" s="25">
        <f>IF(AND(D15&gt;0,H15=0,G15=""),1,"")</f>
        <v/>
      </c>
      <c r="AT15" s="25">
        <f>IF(G15="BLOQ",1,"")</f>
        <v/>
      </c>
      <c r="AU15" s="25">
        <f>IF(L15="BLOQ",1,"")</f>
        <v/>
      </c>
      <c r="AV15" s="25">
        <f>MONTH(F15)</f>
        <v/>
      </c>
      <c r="AW15" s="65">
        <f>IF(AP15="",100%,0%)</f>
        <v/>
      </c>
      <c r="AX15" s="23" t="n"/>
      <c r="AY15" s="24">
        <f>IF(M15=0,"",M15-$AX$2)</f>
        <v/>
      </c>
      <c r="AZ15" s="66">
        <f>IF(AND(W15="",AY15&gt;0,AY15&lt;15),1,0)</f>
        <v/>
      </c>
      <c r="BA15" s="24">
        <f>IF(AND(W15="",AY15&gt;0,AY15&lt;15),T15,"")</f>
        <v/>
      </c>
      <c r="BB15" s="87">
        <f>IF(R15&lt;Q15,"X","")</f>
        <v/>
      </c>
      <c r="BC15" s="190" t="inlineStr">
        <is>
          <t>NO</t>
        </is>
      </c>
      <c r="BD15" s="190" t="inlineStr">
        <is>
          <t>NO</t>
        </is>
      </c>
    </row>
    <row r="16" ht="15" customHeight="1" s="162">
      <c r="A16" s="7" t="n">
        <v>15</v>
      </c>
      <c r="B16" t="inlineStr">
        <is>
          <t>39121432</t>
        </is>
      </c>
      <c r="C16" t="inlineStr">
        <is>
          <t>Contacto para conector circular Amphenol</t>
        </is>
      </c>
      <c r="D16" t="inlineStr">
        <is>
          <t>1101756080</t>
        </is>
      </c>
      <c r="E16" t="inlineStr">
        <is>
          <t>11</t>
        </is>
      </c>
      <c r="F16" s="163" t="n">
        <v>45460</v>
      </c>
      <c r="G16" t="inlineStr"/>
      <c r="H16" t="inlineStr">
        <is>
          <t>4800002579</t>
        </is>
      </c>
      <c r="I16" t="inlineStr">
        <is>
          <t>550</t>
        </is>
      </c>
      <c r="J16" s="163" t="n">
        <v>45457</v>
      </c>
      <c r="K16" s="163" t="inlineStr"/>
      <c r="L16" t="inlineStr"/>
      <c r="M16" s="163" t="n">
        <v>45461</v>
      </c>
      <c r="N16" s="164" t="n">
        <v>0</v>
      </c>
      <c r="O16" s="164" t="n">
        <v>0</v>
      </c>
      <c r="P16" t="inlineStr"/>
      <c r="Q16" s="165" t="n">
        <v>2000</v>
      </c>
      <c r="R16" s="165" t="n">
        <v>2000</v>
      </c>
      <c r="S16" s="165" t="n">
        <v>2000</v>
      </c>
      <c r="T16" s="165" t="n">
        <v>0</v>
      </c>
      <c r="U16" s="166" t="n">
        <v>0</v>
      </c>
      <c r="V16" s="166" t="n">
        <v>0</v>
      </c>
      <c r="W16" t="inlineStr">
        <is>
          <t>X</t>
        </is>
      </c>
      <c r="X16" t="inlineStr">
        <is>
          <t>0.00</t>
        </is>
      </c>
      <c r="Y16" t="inlineStr"/>
      <c r="Z16" t="inlineStr">
        <is>
          <t>AMIDATA, S.A.</t>
        </is>
      </c>
      <c r="AA16" t="inlineStr"/>
      <c r="AB16" t="inlineStr">
        <is>
          <t>7620682</t>
        </is>
      </c>
      <c r="AC16" t="inlineStr"/>
      <c r="AD16" s="164" t="n">
        <v>0</v>
      </c>
      <c r="AE16" s="185" t="n">
        <v>0</v>
      </c>
      <c r="AG16" s="167" t="inlineStr">
        <is>
          <t>7218|JA2581_1001</t>
        </is>
      </c>
      <c r="AH16" s="46">
        <f>IF(M16=0,"-",M16-J16)</f>
        <v/>
      </c>
      <c r="AI16" s="46">
        <f>IF(AND(S16=0,M16&gt;0,L16=0),IF(AH16&gt;=120,"VERY HIGH",IF(AH16&gt;=90,"HIGH",IF(AH16&gt;=60,"MEDIUM",IF(AH16&lt;60,"LOW")))),"-")</f>
        <v/>
      </c>
      <c r="AJ16" s="12" t="n"/>
      <c r="AK16" s="41">
        <f>IF(AND(W16="X",M16&lt;=$AJ$2),"YES","")</f>
        <v/>
      </c>
      <c r="AL16" s="38">
        <f>IF(AND(W16="X",M16&lt;=$AJ$2),S16,"")</f>
        <v/>
      </c>
      <c r="AM16" s="26">
        <f>IF(AND(W16="X",M16&gt;$AJ$2),"YES","")</f>
        <v/>
      </c>
      <c r="AN16" s="89">
        <f>IF(AND(W16="X",M16&gt;$AJ$2),S16,"")</f>
        <v/>
      </c>
      <c r="AO16" s="35">
        <f>IF(AND(W16="",M16&gt;0,$AJ$2&gt;M16,L16=""),1,0)</f>
        <v/>
      </c>
      <c r="AP16" s="26">
        <f>IF(AND(AK16="YES",W16="X"),"X","")</f>
        <v/>
      </c>
      <c r="AQ16" s="28">
        <f>IF(AP16="X",100%,0%)</f>
        <v/>
      </c>
      <c r="AR16" s="25">
        <f>IF(AND(T16&gt;0,L16=""),H16,"")</f>
        <v/>
      </c>
      <c r="AS16" s="25">
        <f>IF(AND(D16&gt;0,H16=0,G16=""),1,"")</f>
        <v/>
      </c>
      <c r="AT16" s="25">
        <f>IF(G16="BLOQ",1,"")</f>
        <v/>
      </c>
      <c r="AU16" s="25">
        <f>IF(L16="BLOQ",1,"")</f>
        <v/>
      </c>
      <c r="AV16" s="25">
        <f>MONTH(F16)</f>
        <v/>
      </c>
      <c r="AW16" s="65">
        <f>IF(AP16="",100%,0%)</f>
        <v/>
      </c>
      <c r="AX16" s="23" t="n"/>
      <c r="AY16" s="24">
        <f>IF(M16=0,"",M16-$AX$2)</f>
        <v/>
      </c>
      <c r="AZ16" s="66">
        <f>IF(AND(W16="",AY16&gt;0,AY16&lt;15),1,0)</f>
        <v/>
      </c>
      <c r="BA16" s="24">
        <f>IF(AND(W16="",AY16&gt;0,AY16&lt;15),T16,"")</f>
        <v/>
      </c>
      <c r="BB16" s="87">
        <f>IF(R16&lt;Q16,"X","")</f>
        <v/>
      </c>
      <c r="BC16" s="190" t="inlineStr">
        <is>
          <t>NO</t>
        </is>
      </c>
      <c r="BD16" s="190" t="inlineStr">
        <is>
          <t>NO</t>
        </is>
      </c>
    </row>
    <row r="17" ht="15" customHeight="1" s="162">
      <c r="A17" s="7" t="n">
        <v>16</v>
      </c>
      <c r="B17" t="inlineStr">
        <is>
          <t>39121413</t>
        </is>
      </c>
      <c r="C17" t="inlineStr">
        <is>
          <t>Conector circular Amphenol Limited Conec</t>
        </is>
      </c>
      <c r="D17" t="inlineStr">
        <is>
          <t>1101756080</t>
        </is>
      </c>
      <c r="E17" t="inlineStr">
        <is>
          <t>12</t>
        </is>
      </c>
      <c r="F17" s="163" t="n">
        <v>45460</v>
      </c>
      <c r="G17" t="inlineStr"/>
      <c r="H17" t="inlineStr">
        <is>
          <t>4800002579</t>
        </is>
      </c>
      <c r="I17" t="inlineStr">
        <is>
          <t>560</t>
        </is>
      </c>
      <c r="J17" s="163" t="n">
        <v>45457</v>
      </c>
      <c r="K17" s="163" t="inlineStr"/>
      <c r="L17" t="inlineStr"/>
      <c r="M17" s="163" t="n">
        <v>45461</v>
      </c>
      <c r="N17" s="164" t="n">
        <v>0</v>
      </c>
      <c r="O17" s="164" t="n">
        <v>0</v>
      </c>
      <c r="P17" t="inlineStr"/>
      <c r="Q17" s="165" t="n">
        <v>2</v>
      </c>
      <c r="R17" s="165" t="n">
        <v>2</v>
      </c>
      <c r="S17" s="165" t="n">
        <v>2</v>
      </c>
      <c r="T17" s="165" t="n">
        <v>0</v>
      </c>
      <c r="U17" s="166" t="n">
        <v>0</v>
      </c>
      <c r="V17" s="166" t="n">
        <v>0</v>
      </c>
      <c r="W17" t="inlineStr">
        <is>
          <t>X</t>
        </is>
      </c>
      <c r="X17" t="inlineStr">
        <is>
          <t>0.00</t>
        </is>
      </c>
      <c r="Y17" t="inlineStr"/>
      <c r="Z17" t="inlineStr">
        <is>
          <t>AMIDATA, S.A.</t>
        </is>
      </c>
      <c r="AA17" t="inlineStr"/>
      <c r="AB17" t="inlineStr">
        <is>
          <t>2368091</t>
        </is>
      </c>
      <c r="AC17" t="inlineStr"/>
      <c r="AD17" s="164" t="n">
        <v>0</v>
      </c>
      <c r="AE17" s="185" t="n">
        <v>0</v>
      </c>
      <c r="AG17" s="167" t="inlineStr">
        <is>
          <t>7218|JA2581_1001</t>
        </is>
      </c>
      <c r="AH17" s="46">
        <f>IF(M17=0,"-",M17-J17)</f>
        <v/>
      </c>
      <c r="AI17" s="46">
        <f>IF(AND(S17=0,M17&gt;0,L17=0),IF(AH17&gt;=120,"VERY HIGH",IF(AH17&gt;=90,"HIGH",IF(AH17&gt;=60,"MEDIUM",IF(AH17&lt;60,"LOW")))),"-")</f>
        <v/>
      </c>
      <c r="AJ17" s="12" t="n"/>
      <c r="AK17" s="41">
        <f>IF(AND(W17="X",M17&lt;=$AJ$2),"YES","")</f>
        <v/>
      </c>
      <c r="AL17" s="38">
        <f>IF(AND(W17="X",M17&lt;=$AJ$2),S17,"")</f>
        <v/>
      </c>
      <c r="AM17" s="26">
        <f>IF(AND(W17="X",M17&gt;$AJ$2),"YES","")</f>
        <v/>
      </c>
      <c r="AN17" s="89">
        <f>IF(AND(W17="X",M17&gt;$AJ$2),S17,"")</f>
        <v/>
      </c>
      <c r="AO17" s="35">
        <f>IF(AND(W17="",M17&gt;0,$AJ$2&gt;M17,L17=""),1,0)</f>
        <v/>
      </c>
      <c r="AP17" s="26">
        <f>IF(AND(AK17="YES",W17="X"),"X","")</f>
        <v/>
      </c>
      <c r="AQ17" s="28">
        <f>IF(AP17="X",100%,0%)</f>
        <v/>
      </c>
      <c r="AR17" s="25">
        <f>IF(AND(T17&gt;0,L17=""),H17,"")</f>
        <v/>
      </c>
      <c r="AS17" s="25">
        <f>IF(AND(D17&gt;0,H17=0,G17=""),1,"")</f>
        <v/>
      </c>
      <c r="AT17" s="25">
        <f>IF(G17="BLOQ",1,"")</f>
        <v/>
      </c>
      <c r="AU17" s="25">
        <f>IF(L17="BLOQ",1,"")</f>
        <v/>
      </c>
      <c r="AV17" s="25">
        <f>MONTH(F17)</f>
        <v/>
      </c>
      <c r="AW17" s="65">
        <f>IF(AP17="",100%,0%)</f>
        <v/>
      </c>
      <c r="AX17" s="23" t="n"/>
      <c r="AY17" s="24">
        <f>IF(M17=0,"",M17-$AX$2)</f>
        <v/>
      </c>
      <c r="AZ17" s="66">
        <f>IF(AND(W17="",AY17&gt;0,AY17&lt;15),1,0)</f>
        <v/>
      </c>
      <c r="BA17" s="24">
        <f>IF(AND(W17="",AY17&gt;0,AY17&lt;15),T17,"")</f>
        <v/>
      </c>
      <c r="BB17" s="87">
        <f>IF(R17&lt;Q17,"X","")</f>
        <v/>
      </c>
      <c r="BC17" s="190" t="inlineStr">
        <is>
          <t>NO</t>
        </is>
      </c>
      <c r="BD17" s="190" t="inlineStr">
        <is>
          <t>NO</t>
        </is>
      </c>
    </row>
    <row r="18" ht="15" customHeight="1" s="162">
      <c r="A18" s="7" t="n">
        <v>17</v>
      </c>
      <c r="B18" t="inlineStr">
        <is>
          <t>39121413</t>
        </is>
      </c>
      <c r="C18" t="inlineStr">
        <is>
          <t>Conector circular Amphenol Limited Conec</t>
        </is>
      </c>
      <c r="D18" t="inlineStr">
        <is>
          <t>1101756080</t>
        </is>
      </c>
      <c r="E18" t="inlineStr">
        <is>
          <t>13</t>
        </is>
      </c>
      <c r="F18" s="163" t="n">
        <v>45460</v>
      </c>
      <c r="G18" t="inlineStr"/>
      <c r="H18" t="inlineStr">
        <is>
          <t>4800002579</t>
        </is>
      </c>
      <c r="I18" t="inlineStr">
        <is>
          <t>570</t>
        </is>
      </c>
      <c r="J18" s="163" t="n">
        <v>45457</v>
      </c>
      <c r="K18" s="163" t="inlineStr"/>
      <c r="L18" t="inlineStr"/>
      <c r="M18" s="163" t="n">
        <v>45461</v>
      </c>
      <c r="N18" s="164" t="n">
        <v>0</v>
      </c>
      <c r="O18" s="164" t="n">
        <v>0</v>
      </c>
      <c r="P18" t="inlineStr"/>
      <c r="Q18" s="165" t="n">
        <v>2</v>
      </c>
      <c r="R18" s="165" t="n">
        <v>2</v>
      </c>
      <c r="S18" s="165" t="n">
        <v>2</v>
      </c>
      <c r="T18" s="165" t="n">
        <v>0</v>
      </c>
      <c r="U18" s="166" t="n">
        <v>0</v>
      </c>
      <c r="V18" s="166" t="n">
        <v>0</v>
      </c>
      <c r="W18" t="inlineStr">
        <is>
          <t>X</t>
        </is>
      </c>
      <c r="X18" t="inlineStr">
        <is>
          <t>0.00</t>
        </is>
      </c>
      <c r="Y18" t="inlineStr"/>
      <c r="Z18" t="inlineStr">
        <is>
          <t>AMIDATA, S.A.</t>
        </is>
      </c>
      <c r="AA18" t="inlineStr"/>
      <c r="AB18" t="inlineStr">
        <is>
          <t>2368157</t>
        </is>
      </c>
      <c r="AC18" t="inlineStr"/>
      <c r="AD18" s="164" t="n">
        <v>0</v>
      </c>
      <c r="AE18" s="185" t="n">
        <v>0</v>
      </c>
      <c r="AG18" s="167" t="inlineStr">
        <is>
          <t>7218|JA2581_1001</t>
        </is>
      </c>
      <c r="AH18" s="46">
        <f>IF(M18=0,"-",M18-J18)</f>
        <v/>
      </c>
      <c r="AI18" s="46">
        <f>IF(AND(S18=0,M18&gt;0,L18=0),IF(AH18&gt;=120,"VERY HIGH",IF(AH18&gt;=90,"HIGH",IF(AH18&gt;=60,"MEDIUM",IF(AH18&lt;60,"LOW")))),"-")</f>
        <v/>
      </c>
      <c r="AJ18" s="12" t="n"/>
      <c r="AK18" s="41">
        <f>IF(AND(W18="X",M18&lt;=$AJ$2),"YES","")</f>
        <v/>
      </c>
      <c r="AL18" s="38">
        <f>IF(AND(W18="X",M18&lt;=$AJ$2),S18,"")</f>
        <v/>
      </c>
      <c r="AM18" s="26">
        <f>IF(AND(W18="X",M18&gt;$AJ$2),"YES","")</f>
        <v/>
      </c>
      <c r="AN18" s="89">
        <f>IF(AND(W18="X",M18&gt;$AJ$2),S18,"")</f>
        <v/>
      </c>
      <c r="AO18" s="35">
        <f>IF(AND(W18="",M18&gt;0,$AJ$2&gt;M18,L18=""),1,0)</f>
        <v/>
      </c>
      <c r="AP18" s="26">
        <f>IF(AND(AK18="YES",W18="X"),"X","")</f>
        <v/>
      </c>
      <c r="AQ18" s="28">
        <f>IF(AP18="X",100%,0%)</f>
        <v/>
      </c>
      <c r="AR18" s="25">
        <f>IF(AND(T18&gt;0,L18=""),H18,"")</f>
        <v/>
      </c>
      <c r="AS18" s="25">
        <f>IF(AND(D18&gt;0,H18=0,G18=""),1,"")</f>
        <v/>
      </c>
      <c r="AT18" s="25">
        <f>IF(G18="BLOQ",1,"")</f>
        <v/>
      </c>
      <c r="AU18" s="25">
        <f>IF(L18="BLOQ",1,"")</f>
        <v/>
      </c>
      <c r="AV18" s="25">
        <f>MONTH(F18)</f>
        <v/>
      </c>
      <c r="AW18" s="65">
        <f>IF(AP18="",100%,0%)</f>
        <v/>
      </c>
      <c r="AX18" s="23" t="n"/>
      <c r="AY18" s="24">
        <f>IF(M18=0,"",M18-$AX$2)</f>
        <v/>
      </c>
      <c r="AZ18" s="66">
        <f>IF(AND(W18="",AY18&gt;0,AY18&lt;15),1,0)</f>
        <v/>
      </c>
      <c r="BA18" s="24">
        <f>IF(AND(W18="",AY18&gt;0,AY18&lt;15),T18,"")</f>
        <v/>
      </c>
      <c r="BB18" s="87">
        <f>IF(R18&lt;Q18,"X","")</f>
        <v/>
      </c>
      <c r="BC18" s="190" t="inlineStr">
        <is>
          <t>NO</t>
        </is>
      </c>
      <c r="BD18" s="190" t="inlineStr">
        <is>
          <t>NO</t>
        </is>
      </c>
    </row>
    <row r="19" ht="15" customHeight="1" s="162">
      <c r="A19" s="7" t="n">
        <v>18</v>
      </c>
      <c r="B19" t="inlineStr">
        <is>
          <t>39121413</t>
        </is>
      </c>
      <c r="C19" t="inlineStr">
        <is>
          <t>Conector circular Amphenol Limited Conec</t>
        </is>
      </c>
      <c r="D19" t="inlineStr">
        <is>
          <t>1101756080</t>
        </is>
      </c>
      <c r="E19" t="inlineStr">
        <is>
          <t>14</t>
        </is>
      </c>
      <c r="F19" s="163" t="n">
        <v>45460</v>
      </c>
      <c r="G19" t="inlineStr"/>
      <c r="H19" t="inlineStr">
        <is>
          <t>4800002579</t>
        </is>
      </c>
      <c r="I19" t="inlineStr">
        <is>
          <t>580</t>
        </is>
      </c>
      <c r="J19" s="163" t="n">
        <v>45457</v>
      </c>
      <c r="K19" s="163" t="inlineStr"/>
      <c r="L19" t="inlineStr"/>
      <c r="M19" s="163" t="n">
        <v>45461</v>
      </c>
      <c r="N19" s="164" t="n">
        <v>0</v>
      </c>
      <c r="O19" s="164" t="n">
        <v>0</v>
      </c>
      <c r="P19" t="inlineStr"/>
      <c r="Q19" s="165" t="n">
        <v>2</v>
      </c>
      <c r="R19" s="165" t="n">
        <v>2</v>
      </c>
      <c r="S19" s="165" t="n">
        <v>2</v>
      </c>
      <c r="T19" s="165" t="n">
        <v>0</v>
      </c>
      <c r="U19" s="166" t="n">
        <v>0</v>
      </c>
      <c r="V19" s="166" t="n">
        <v>0</v>
      </c>
      <c r="W19" t="inlineStr">
        <is>
          <t>X</t>
        </is>
      </c>
      <c r="X19" t="inlineStr">
        <is>
          <t>0.00</t>
        </is>
      </c>
      <c r="Y19" t="inlineStr"/>
      <c r="Z19" t="inlineStr">
        <is>
          <t>AMIDATA, S.A.</t>
        </is>
      </c>
      <c r="AA19" t="inlineStr"/>
      <c r="AB19" t="inlineStr">
        <is>
          <t>2368092</t>
        </is>
      </c>
      <c r="AC19" t="inlineStr"/>
      <c r="AD19" s="164" t="n">
        <v>0</v>
      </c>
      <c r="AE19" s="185" t="n">
        <v>0</v>
      </c>
      <c r="AG19" s="167" t="inlineStr">
        <is>
          <t>7218|JA2581_1001</t>
        </is>
      </c>
      <c r="AH19" s="46">
        <f>IF(M19=0,"-",M19-J19)</f>
        <v/>
      </c>
      <c r="AI19" s="46">
        <f>IF(AND(S19=0,M19&gt;0,L19=0),IF(AH19&gt;=120,"VERY HIGH",IF(AH19&gt;=90,"HIGH",IF(AH19&gt;=60,"MEDIUM",IF(AH19&lt;60,"LOW")))),"-")</f>
        <v/>
      </c>
      <c r="AJ19" s="12" t="n"/>
      <c r="AK19" s="41">
        <f>IF(AND(W19="X",M19&lt;=$AJ$2),"YES","")</f>
        <v/>
      </c>
      <c r="AL19" s="38">
        <f>IF(AND(W19="X",M19&lt;=$AJ$2),S19,"")</f>
        <v/>
      </c>
      <c r="AM19" s="26">
        <f>IF(AND(W19="X",M19&gt;$AJ$2),"YES","")</f>
        <v/>
      </c>
      <c r="AN19" s="89">
        <f>IF(AND(W19="X",M19&gt;$AJ$2),S19,"")</f>
        <v/>
      </c>
      <c r="AO19" s="35">
        <f>IF(AND(W19="",M19&gt;0,$AJ$2&gt;M19,L19=""),1,0)</f>
        <v/>
      </c>
      <c r="AP19" s="26">
        <f>IF(AND(AK19="YES",W19="X"),"X","")</f>
        <v/>
      </c>
      <c r="AQ19" s="28">
        <f>IF(AP19="X",100%,0%)</f>
        <v/>
      </c>
      <c r="AR19" s="25">
        <f>IF(AND(T19&gt;0,L19=""),H19,"")</f>
        <v/>
      </c>
      <c r="AS19" s="25">
        <f>IF(AND(D19&gt;0,H19=0,G19=""),1,"")</f>
        <v/>
      </c>
      <c r="AT19" s="25">
        <f>IF(G19="BLOQ",1,"")</f>
        <v/>
      </c>
      <c r="AU19" s="25">
        <f>IF(L19="BLOQ",1,"")</f>
        <v/>
      </c>
      <c r="AV19" s="25">
        <f>MONTH(F19)</f>
        <v/>
      </c>
      <c r="AW19" s="65">
        <f>IF(AP19="",100%,0%)</f>
        <v/>
      </c>
      <c r="AX19" s="23" t="n"/>
      <c r="AY19" s="24">
        <f>IF(M19=0,"",M19-$AX$2)</f>
        <v/>
      </c>
      <c r="AZ19" s="66">
        <f>IF(AND(W19="",AY19&gt;0,AY19&lt;15),1,0)</f>
        <v/>
      </c>
      <c r="BA19" s="24">
        <f>IF(AND(W19="",AY19&gt;0,AY19&lt;15),T19,"")</f>
        <v/>
      </c>
      <c r="BB19" s="87">
        <f>IF(R19&lt;Q19,"X","")</f>
        <v/>
      </c>
      <c r="BC19" s="190" t="inlineStr">
        <is>
          <t>NO</t>
        </is>
      </c>
      <c r="BD19" s="190" t="inlineStr">
        <is>
          <t>NO</t>
        </is>
      </c>
    </row>
    <row r="20" ht="15" customHeight="1" s="162">
      <c r="A20" s="7" t="n">
        <v>19</v>
      </c>
      <c r="B20" t="inlineStr">
        <is>
          <t>39121413</t>
        </is>
      </c>
      <c r="C20" t="inlineStr">
        <is>
          <t>Conector circular Amphenol Limited Conec</t>
        </is>
      </c>
      <c r="D20" t="inlineStr">
        <is>
          <t>1101756080</t>
        </is>
      </c>
      <c r="E20" t="inlineStr">
        <is>
          <t>15</t>
        </is>
      </c>
      <c r="F20" s="163" t="n">
        <v>45460</v>
      </c>
      <c r="G20" t="inlineStr"/>
      <c r="H20" t="inlineStr">
        <is>
          <t>4800002579</t>
        </is>
      </c>
      <c r="I20" t="inlineStr">
        <is>
          <t>590</t>
        </is>
      </c>
      <c r="J20" s="163" t="n">
        <v>45457</v>
      </c>
      <c r="K20" s="163" t="inlineStr"/>
      <c r="L20" t="inlineStr"/>
      <c r="M20" s="163" t="n">
        <v>45461</v>
      </c>
      <c r="N20" s="164" t="n">
        <v>0</v>
      </c>
      <c r="O20" s="164" t="n">
        <v>0</v>
      </c>
      <c r="P20" t="inlineStr"/>
      <c r="Q20" s="165" t="n">
        <v>2</v>
      </c>
      <c r="R20" s="165" t="n">
        <v>2</v>
      </c>
      <c r="S20" s="165" t="n">
        <v>2</v>
      </c>
      <c r="T20" s="165" t="n">
        <v>0</v>
      </c>
      <c r="U20" s="166" t="n">
        <v>0</v>
      </c>
      <c r="V20" s="166" t="n">
        <v>0</v>
      </c>
      <c r="W20" t="inlineStr">
        <is>
          <t>X</t>
        </is>
      </c>
      <c r="X20" t="inlineStr">
        <is>
          <t>0.00</t>
        </is>
      </c>
      <c r="Y20" t="inlineStr"/>
      <c r="Z20" t="inlineStr">
        <is>
          <t>AMIDATA, S.A.</t>
        </is>
      </c>
      <c r="AA20" t="inlineStr"/>
      <c r="AB20" t="inlineStr">
        <is>
          <t>2368155</t>
        </is>
      </c>
      <c r="AC20" t="inlineStr"/>
      <c r="AD20" s="164" t="n">
        <v>0</v>
      </c>
      <c r="AE20" s="185" t="n">
        <v>0</v>
      </c>
      <c r="AG20" s="167" t="inlineStr">
        <is>
          <t>7218|JA2581_1001</t>
        </is>
      </c>
      <c r="AH20" s="46">
        <f>IF(M20=0,"-",M20-J20)</f>
        <v/>
      </c>
      <c r="AI20" s="46">
        <f>IF(AND(S20=0,M20&gt;0,L20=0),IF(AH20&gt;=120,"VERY HIGH",IF(AH20&gt;=90,"HIGH",IF(AH20&gt;=60,"MEDIUM",IF(AH20&lt;60,"LOW")))),"-")</f>
        <v/>
      </c>
      <c r="AJ20" s="12" t="n"/>
      <c r="AK20" s="41">
        <f>IF(AND(W20="X",M20&lt;=$AJ$2),"YES","")</f>
        <v/>
      </c>
      <c r="AL20" s="38">
        <f>IF(AND(W20="X",M20&lt;=$AJ$2),S20,"")</f>
        <v/>
      </c>
      <c r="AM20" s="26">
        <f>IF(AND(W20="X",M20&gt;$AJ$2),"YES","")</f>
        <v/>
      </c>
      <c r="AN20" s="89">
        <f>IF(AND(W20="X",M20&gt;$AJ$2),S20,"")</f>
        <v/>
      </c>
      <c r="AO20" s="35">
        <f>IF(AND(W20="",M20&gt;0,$AJ$2&gt;M20,L20=""),1,0)</f>
        <v/>
      </c>
      <c r="AP20" s="26">
        <f>IF(AND(AK20="YES",W20="X"),"X","")</f>
        <v/>
      </c>
      <c r="AQ20" s="28">
        <f>IF(AP20="X",100%,0%)</f>
        <v/>
      </c>
      <c r="AR20" s="25">
        <f>IF(AND(T20&gt;0,L20=""),H20,"")</f>
        <v/>
      </c>
      <c r="AS20" s="25">
        <f>IF(AND(D20&gt;0,H20=0,G20=""),1,"")</f>
        <v/>
      </c>
      <c r="AT20" s="25">
        <f>IF(G20="BLOQ",1,"")</f>
        <v/>
      </c>
      <c r="AU20" s="25">
        <f>IF(L20="BLOQ",1,"")</f>
        <v/>
      </c>
      <c r="AV20" s="25">
        <f>MONTH(F20)</f>
        <v/>
      </c>
      <c r="AW20" s="65">
        <f>IF(AP20="",100%,0%)</f>
        <v/>
      </c>
      <c r="AX20" s="23" t="n"/>
      <c r="AY20" s="24">
        <f>IF(M20=0,"",M20-$AX$2)</f>
        <v/>
      </c>
      <c r="AZ20" s="66">
        <f>IF(AND(W20="",AY20&gt;0,AY20&lt;15),1,0)</f>
        <v/>
      </c>
      <c r="BA20" s="24">
        <f>IF(AND(W20="",AY20&gt;0,AY20&lt;15),T20,"")</f>
        <v/>
      </c>
      <c r="BB20" s="87">
        <f>IF(R20&lt;Q20,"X","")</f>
        <v/>
      </c>
      <c r="BC20" s="190" t="inlineStr">
        <is>
          <t>NO</t>
        </is>
      </c>
      <c r="BD20" s="190" t="inlineStr">
        <is>
          <t>NO</t>
        </is>
      </c>
    </row>
    <row r="21" ht="15" customHeight="1" s="162">
      <c r="A21" s="7" t="n">
        <v>20</v>
      </c>
      <c r="B21" t="inlineStr">
        <is>
          <t>32000000</t>
        </is>
      </c>
      <c r="C21" t="inlineStr">
        <is>
          <t>Conector circular MIL-C-38999 serie III</t>
        </is>
      </c>
      <c r="D21" t="inlineStr">
        <is>
          <t>1101756080</t>
        </is>
      </c>
      <c r="E21" t="inlineStr">
        <is>
          <t>16</t>
        </is>
      </c>
      <c r="F21" s="163" t="n">
        <v>45460</v>
      </c>
      <c r="G21" t="inlineStr"/>
      <c r="H21" t="inlineStr">
        <is>
          <t>4800002579</t>
        </is>
      </c>
      <c r="I21" t="inlineStr">
        <is>
          <t>600</t>
        </is>
      </c>
      <c r="J21" s="163" t="n">
        <v>45457</v>
      </c>
      <c r="K21" s="163" t="inlineStr"/>
      <c r="L21" t="inlineStr"/>
      <c r="M21" s="163" t="n">
        <v>45461</v>
      </c>
      <c r="N21" s="164" t="n">
        <v>0</v>
      </c>
      <c r="O21" s="164" t="n">
        <v>0</v>
      </c>
      <c r="P21" t="inlineStr"/>
      <c r="Q21" s="165" t="n">
        <v>2</v>
      </c>
      <c r="R21" s="165" t="n">
        <v>2</v>
      </c>
      <c r="S21" s="165" t="n">
        <v>2</v>
      </c>
      <c r="T21" s="165" t="n">
        <v>0</v>
      </c>
      <c r="U21" s="166" t="n">
        <v>0</v>
      </c>
      <c r="V21" s="166" t="n">
        <v>0</v>
      </c>
      <c r="W21" t="inlineStr">
        <is>
          <t>X</t>
        </is>
      </c>
      <c r="X21" t="inlineStr">
        <is>
          <t>0.00</t>
        </is>
      </c>
      <c r="Y21" t="inlineStr"/>
      <c r="Z21" t="inlineStr">
        <is>
          <t>AMIDATA, S.A.</t>
        </is>
      </c>
      <c r="AA21" t="inlineStr"/>
      <c r="AB21" t="inlineStr">
        <is>
          <t>2804838</t>
        </is>
      </c>
      <c r="AC21" t="inlineStr"/>
      <c r="AD21" s="164" t="n">
        <v>0</v>
      </c>
      <c r="AE21" s="185" t="n">
        <v>0</v>
      </c>
      <c r="AG21" s="167" t="inlineStr">
        <is>
          <t>7218|JA2581_1001</t>
        </is>
      </c>
      <c r="AH21" s="46">
        <f>IF(M21=0,"-",M21-J21)</f>
        <v/>
      </c>
      <c r="AI21" s="46">
        <f>IF(AND(S21=0,M21&gt;0,L21=0),IF(AH21&gt;=120,"VERY HIGH",IF(AH21&gt;=90,"HIGH",IF(AH21&gt;=60,"MEDIUM",IF(AH21&lt;60,"LOW")))),"-")</f>
        <v/>
      </c>
      <c r="AJ21" s="12" t="n"/>
      <c r="AK21" s="41">
        <f>IF(AND(W21="X",M21&lt;=$AJ$2),"YES","")</f>
        <v/>
      </c>
      <c r="AL21" s="38">
        <f>IF(AND(W21="X",M21&lt;=$AJ$2),S21,"")</f>
        <v/>
      </c>
      <c r="AM21" s="26">
        <f>IF(AND(W21="X",M21&gt;$AJ$2),"YES","")</f>
        <v/>
      </c>
      <c r="AN21" s="89">
        <f>IF(AND(W21="X",M21&gt;$AJ$2),S21,"")</f>
        <v/>
      </c>
      <c r="AO21" s="35">
        <f>IF(AND(W21="",M21&gt;0,$AJ$2&gt;M21,L21=""),1,0)</f>
        <v/>
      </c>
      <c r="AP21" s="26">
        <f>IF(AND(AK21="YES",W21="X"),"X","")</f>
        <v/>
      </c>
      <c r="AQ21" s="28">
        <f>IF(AP21="X",100%,0%)</f>
        <v/>
      </c>
      <c r="AR21" s="25">
        <f>IF(AND(T21&gt;0,L21=""),H21,"")</f>
        <v/>
      </c>
      <c r="AS21" s="25">
        <f>IF(AND(D21&gt;0,H21=0,G21=""),1,"")</f>
        <v/>
      </c>
      <c r="AT21" s="25">
        <f>IF(G21="BLOQ",1,"")</f>
        <v/>
      </c>
      <c r="AU21" s="25">
        <f>IF(L21="BLOQ",1,"")</f>
        <v/>
      </c>
      <c r="AV21" s="25">
        <f>MONTH(F21)</f>
        <v/>
      </c>
      <c r="AW21" s="65">
        <f>IF(AP21="",100%,0%)</f>
        <v/>
      </c>
      <c r="AX21" s="23" t="n"/>
      <c r="AY21" s="24">
        <f>IF(M21=0,"",M21-$AX$2)</f>
        <v/>
      </c>
      <c r="AZ21" s="66">
        <f>IF(AND(W21="",AY21&gt;0,AY21&lt;15),1,0)</f>
        <v/>
      </c>
      <c r="BA21" s="24">
        <f>IF(AND(W21="",AY21&gt;0,AY21&lt;15),T21,"")</f>
        <v/>
      </c>
      <c r="BB21" s="87">
        <f>IF(R21&lt;Q21,"X","")</f>
        <v/>
      </c>
      <c r="BC21" s="190" t="inlineStr">
        <is>
          <t>NO</t>
        </is>
      </c>
      <c r="BD21" s="190" t="inlineStr">
        <is>
          <t>NO</t>
        </is>
      </c>
    </row>
    <row r="22" ht="15" customHeight="1" s="162">
      <c r="A22" s="7" t="n">
        <v>21</v>
      </c>
      <c r="B22" t="inlineStr">
        <is>
          <t>32000000</t>
        </is>
      </c>
      <c r="C22" t="inlineStr">
        <is>
          <t>Conector circular MIL-C-38999 serie III</t>
        </is>
      </c>
      <c r="D22" t="inlineStr">
        <is>
          <t>1101756080</t>
        </is>
      </c>
      <c r="E22" t="inlineStr">
        <is>
          <t>17</t>
        </is>
      </c>
      <c r="F22" s="163" t="n">
        <v>45460</v>
      </c>
      <c r="G22" t="inlineStr"/>
      <c r="H22" t="inlineStr">
        <is>
          <t>4800002579</t>
        </is>
      </c>
      <c r="I22" t="inlineStr">
        <is>
          <t>610</t>
        </is>
      </c>
      <c r="J22" s="163" t="n">
        <v>45457</v>
      </c>
      <c r="K22" s="163" t="inlineStr"/>
      <c r="L22" t="inlineStr"/>
      <c r="M22" s="163" t="n">
        <v>45461</v>
      </c>
      <c r="N22" s="164" t="n">
        <v>0</v>
      </c>
      <c r="O22" s="164" t="n">
        <v>0</v>
      </c>
      <c r="P22" t="inlineStr"/>
      <c r="Q22" s="165" t="n">
        <v>2</v>
      </c>
      <c r="R22" s="165" t="n">
        <v>2</v>
      </c>
      <c r="S22" s="165" t="n">
        <v>2</v>
      </c>
      <c r="T22" s="165" t="n">
        <v>0</v>
      </c>
      <c r="U22" s="166" t="n">
        <v>0</v>
      </c>
      <c r="V22" s="166" t="n">
        <v>0</v>
      </c>
      <c r="W22" t="inlineStr">
        <is>
          <t>X</t>
        </is>
      </c>
      <c r="X22" t="inlineStr">
        <is>
          <t>0.00</t>
        </is>
      </c>
      <c r="Y22" t="inlineStr"/>
      <c r="Z22" t="inlineStr">
        <is>
          <t>AMIDATA, S.A.</t>
        </is>
      </c>
      <c r="AA22" t="inlineStr"/>
      <c r="AB22" t="inlineStr">
        <is>
          <t>2804913</t>
        </is>
      </c>
      <c r="AC22" t="inlineStr"/>
      <c r="AD22" s="164" t="n">
        <v>0</v>
      </c>
      <c r="AE22" s="185" t="n">
        <v>0</v>
      </c>
      <c r="AG22" s="167" t="inlineStr">
        <is>
          <t>7218|JA2581_1001</t>
        </is>
      </c>
      <c r="AH22" s="46">
        <f>IF(M22=0,"-",M22-J22)</f>
        <v/>
      </c>
      <c r="AI22" s="46">
        <f>IF(AND(S22=0,M22&gt;0,L22=0),IF(AH22&gt;=120,"VERY HIGH",IF(AH22&gt;=90,"HIGH",IF(AH22&gt;=60,"MEDIUM",IF(AH22&lt;60,"LOW")))),"-")</f>
        <v/>
      </c>
      <c r="AJ22" s="12" t="n"/>
      <c r="AK22" s="41">
        <f>IF(AND(W22="X",M22&lt;=$AJ$2),"YES","")</f>
        <v/>
      </c>
      <c r="AL22" s="38">
        <f>IF(AND(W22="X",M22&lt;=$AJ$2),S22,"")</f>
        <v/>
      </c>
      <c r="AM22" s="26">
        <f>IF(AND(W22="X",M22&gt;$AJ$2),"YES","")</f>
        <v/>
      </c>
      <c r="AN22" s="89">
        <f>IF(AND(W22="X",M22&gt;$AJ$2),S22,"")</f>
        <v/>
      </c>
      <c r="AO22" s="35">
        <f>IF(AND(W22="",M22&gt;0,$AJ$2&gt;M22,L22=""),1,0)</f>
        <v/>
      </c>
      <c r="AP22" s="26">
        <f>IF(AND(AK22="YES",W22="X"),"X","")</f>
        <v/>
      </c>
      <c r="AQ22" s="28">
        <f>IF(AP22="X",100%,0%)</f>
        <v/>
      </c>
      <c r="AR22" s="25">
        <f>IF(AND(T22&gt;0,L22=""),H22,"")</f>
        <v/>
      </c>
      <c r="AS22" s="25">
        <f>IF(AND(D22&gt;0,H22=0,G22=""),1,"")</f>
        <v/>
      </c>
      <c r="AT22" s="25">
        <f>IF(G22="BLOQ",1,"")</f>
        <v/>
      </c>
      <c r="AU22" s="25">
        <f>IF(L22="BLOQ",1,"")</f>
        <v/>
      </c>
      <c r="AV22" s="25">
        <f>MONTH(F22)</f>
        <v/>
      </c>
      <c r="AW22" s="65">
        <f>IF(AP22="",100%,0%)</f>
        <v/>
      </c>
      <c r="AX22" s="23" t="n"/>
      <c r="AY22" s="24">
        <f>IF(M22=0,"",M22-$AX$2)</f>
        <v/>
      </c>
      <c r="AZ22" s="66">
        <f>IF(AND(W22="",AY22&gt;0,AY22&lt;15),1,0)</f>
        <v/>
      </c>
      <c r="BA22" s="24">
        <f>IF(AND(W22="",AY22&gt;0,AY22&lt;15),T22,"")</f>
        <v/>
      </c>
      <c r="BB22" s="87">
        <f>IF(R22&lt;Q22,"X","")</f>
        <v/>
      </c>
      <c r="BC22" s="190" t="inlineStr">
        <is>
          <t>NO</t>
        </is>
      </c>
      <c r="BD22" s="190" t="inlineStr">
        <is>
          <t>NO</t>
        </is>
      </c>
    </row>
    <row r="23" ht="15" customHeight="1" s="162">
      <c r="A23" s="7" t="n">
        <v>22</v>
      </c>
      <c r="B23" t="inlineStr">
        <is>
          <t>32000000</t>
        </is>
      </c>
      <c r="C23" t="inlineStr">
        <is>
          <t>Conector circular MIL-C-38999 serie III</t>
        </is>
      </c>
      <c r="D23" t="inlineStr">
        <is>
          <t>1101756129</t>
        </is>
      </c>
      <c r="E23" t="inlineStr">
        <is>
          <t>1</t>
        </is>
      </c>
      <c r="F23" s="163" t="n">
        <v>45460</v>
      </c>
      <c r="G23" t="inlineStr"/>
      <c r="H23" t="inlineStr">
        <is>
          <t>4800002579</t>
        </is>
      </c>
      <c r="I23" t="inlineStr">
        <is>
          <t>800</t>
        </is>
      </c>
      <c r="J23" s="163" t="n">
        <v>45457</v>
      </c>
      <c r="K23" s="163" t="inlineStr"/>
      <c r="L23" t="inlineStr"/>
      <c r="M23" s="163" t="n">
        <v>45461</v>
      </c>
      <c r="N23" s="164" t="n">
        <v>0</v>
      </c>
      <c r="O23" s="164" t="n">
        <v>0</v>
      </c>
      <c r="P23" t="inlineStr"/>
      <c r="Q23" s="165" t="n">
        <v>2</v>
      </c>
      <c r="R23" s="165" t="n">
        <v>2</v>
      </c>
      <c r="S23" s="165" t="n">
        <v>2</v>
      </c>
      <c r="T23" s="165" t="n">
        <v>0</v>
      </c>
      <c r="U23" s="166" t="n">
        <v>0</v>
      </c>
      <c r="V23" s="166" t="n">
        <v>0</v>
      </c>
      <c r="W23" t="inlineStr">
        <is>
          <t>X</t>
        </is>
      </c>
      <c r="X23" t="inlineStr">
        <is>
          <t>0.00</t>
        </is>
      </c>
      <c r="Y23" t="inlineStr"/>
      <c r="Z23" t="inlineStr">
        <is>
          <t>AMIDATA, S.A.</t>
        </is>
      </c>
      <c r="AA23" t="inlineStr"/>
      <c r="AB23" t="inlineStr">
        <is>
          <t>2804913</t>
        </is>
      </c>
      <c r="AC23" t="inlineStr"/>
      <c r="AD23" s="164" t="n">
        <v>0</v>
      </c>
      <c r="AE23" s="185" t="n">
        <v>0</v>
      </c>
      <c r="AG23" s="167" t="inlineStr">
        <is>
          <t>7218|JA2581_1001</t>
        </is>
      </c>
      <c r="AH23" s="46">
        <f>IF(M23=0,"-",M23-J23)</f>
        <v/>
      </c>
      <c r="AI23" s="46">
        <f>IF(AND(S23=0,M23&gt;0,L23=0),IF(AH23&gt;=120,"VERY HIGH",IF(AH23&gt;=90,"HIGH",IF(AH23&gt;=60,"MEDIUM",IF(AH23&lt;60,"LOW")))),"-")</f>
        <v/>
      </c>
      <c r="AJ23" s="12" t="n"/>
      <c r="AK23" s="41">
        <f>IF(AND(W23="X",M23&lt;=$AJ$2),"YES","")</f>
        <v/>
      </c>
      <c r="AL23" s="38">
        <f>IF(AND(W23="X",M23&lt;=$AJ$2),S23,"")</f>
        <v/>
      </c>
      <c r="AM23" s="26">
        <f>IF(AND(W23="X",M23&gt;$AJ$2),"YES","")</f>
        <v/>
      </c>
      <c r="AN23" s="89">
        <f>IF(AND(W23="X",M23&gt;$AJ$2),S23,"")</f>
        <v/>
      </c>
      <c r="AO23" s="35">
        <f>IF(AND(W23="",M23&gt;0,$AJ$2&gt;M23,L23=""),1,0)</f>
        <v/>
      </c>
      <c r="AP23" s="26">
        <f>IF(AND(AK23="YES",W23="X"),"X","")</f>
        <v/>
      </c>
      <c r="AQ23" s="28">
        <f>IF(AP23="X",100%,0%)</f>
        <v/>
      </c>
      <c r="AR23" s="25">
        <f>IF(AND(T23&gt;0,L23=""),H23,"")</f>
        <v/>
      </c>
      <c r="AS23" s="25">
        <f>IF(AND(D23&gt;0,H23=0,G23=""),1,"")</f>
        <v/>
      </c>
      <c r="AT23" s="25">
        <f>IF(G23="BLOQ",1,"")</f>
        <v/>
      </c>
      <c r="AU23" s="25">
        <f>IF(L23="BLOQ",1,"")</f>
        <v/>
      </c>
      <c r="AV23" s="25">
        <f>MONTH(F23)</f>
        <v/>
      </c>
      <c r="AW23" s="65">
        <f>IF(AP23="",100%,0%)</f>
        <v/>
      </c>
      <c r="AX23" s="23" t="n"/>
      <c r="AY23" s="24">
        <f>IF(M23=0,"",M23-$AX$2)</f>
        <v/>
      </c>
      <c r="AZ23" s="66">
        <f>IF(AND(W23="",AY23&gt;0,AY23&lt;15),1,0)</f>
        <v/>
      </c>
      <c r="BA23" s="24">
        <f>IF(AND(W23="",AY23&gt;0,AY23&lt;15),T23,"")</f>
        <v/>
      </c>
      <c r="BB23" s="87">
        <f>IF(R23&lt;Q23,"X","")</f>
        <v/>
      </c>
      <c r="BC23" s="190" t="inlineStr">
        <is>
          <t>NO</t>
        </is>
      </c>
      <c r="BD23" s="190" t="inlineStr">
        <is>
          <t>NO</t>
        </is>
      </c>
    </row>
    <row r="24" ht="15" customHeight="1" s="162">
      <c r="A24" s="7" t="n">
        <v>23</v>
      </c>
      <c r="B24" t="inlineStr">
        <is>
          <t>39121413</t>
        </is>
      </c>
      <c r="C24" t="inlineStr">
        <is>
          <t>Conector circular Amphenol Limited Conec</t>
        </is>
      </c>
      <c r="D24" t="inlineStr">
        <is>
          <t>1101756129</t>
        </is>
      </c>
      <c r="E24" t="inlineStr">
        <is>
          <t>2</t>
        </is>
      </c>
      <c r="F24" s="163" t="n">
        <v>45460</v>
      </c>
      <c r="G24" t="inlineStr"/>
      <c r="H24" t="inlineStr">
        <is>
          <t>4800002579</t>
        </is>
      </c>
      <c r="I24" t="inlineStr">
        <is>
          <t>810</t>
        </is>
      </c>
      <c r="J24" s="163" t="n">
        <v>45457</v>
      </c>
      <c r="K24" s="163" t="inlineStr"/>
      <c r="L24" t="inlineStr"/>
      <c r="M24" s="163" t="n">
        <v>45461</v>
      </c>
      <c r="N24" s="164" t="n">
        <v>0</v>
      </c>
      <c r="O24" s="164" t="n">
        <v>0</v>
      </c>
      <c r="P24" t="inlineStr"/>
      <c r="Q24" s="165" t="n">
        <v>1</v>
      </c>
      <c r="R24" s="165" t="n">
        <v>1</v>
      </c>
      <c r="S24" s="165" t="n">
        <v>1</v>
      </c>
      <c r="T24" s="165" t="n">
        <v>0</v>
      </c>
      <c r="U24" s="166" t="n">
        <v>0</v>
      </c>
      <c r="V24" s="166" t="n">
        <v>0</v>
      </c>
      <c r="W24" t="inlineStr">
        <is>
          <t>X</t>
        </is>
      </c>
      <c r="X24" t="inlineStr">
        <is>
          <t>0.00</t>
        </is>
      </c>
      <c r="Y24" t="inlineStr"/>
      <c r="Z24" t="inlineStr">
        <is>
          <t>AMIDATA, S.A.</t>
        </is>
      </c>
      <c r="AA24" t="inlineStr"/>
      <c r="AB24" t="inlineStr">
        <is>
          <t>2368094</t>
        </is>
      </c>
      <c r="AC24" t="inlineStr"/>
      <c r="AD24" s="164" t="n">
        <v>0</v>
      </c>
      <c r="AE24" s="185" t="n">
        <v>0</v>
      </c>
      <c r="AG24" s="167" t="inlineStr">
        <is>
          <t>7218|JA2581_1001</t>
        </is>
      </c>
      <c r="AH24" s="46">
        <f>IF(M24=0,"-",M24-J24)</f>
        <v/>
      </c>
      <c r="AI24" s="46">
        <f>IF(AND(S24=0,M24&gt;0,L24=0),IF(AH24&gt;=120,"VERY HIGH",IF(AH24&gt;=90,"HIGH",IF(AH24&gt;=60,"MEDIUM",IF(AH24&lt;60,"LOW")))),"-")</f>
        <v/>
      </c>
      <c r="AJ24" s="12" t="n"/>
      <c r="AK24" s="41">
        <f>IF(AND(W24="X",M24&lt;=$AJ$2),"YES","")</f>
        <v/>
      </c>
      <c r="AL24" s="38">
        <f>IF(AND(W24="X",M24&lt;=$AJ$2),S24,"")</f>
        <v/>
      </c>
      <c r="AM24" s="26">
        <f>IF(AND(W24="X",M24&gt;$AJ$2),"YES","")</f>
        <v/>
      </c>
      <c r="AN24" s="89">
        <f>IF(AND(W24="X",M24&gt;$AJ$2),S24,"")</f>
        <v/>
      </c>
      <c r="AO24" s="35">
        <f>IF(AND(W24="",M24&gt;0,$AJ$2&gt;M24,L24=""),1,0)</f>
        <v/>
      </c>
      <c r="AP24" s="26">
        <f>IF(AND(AK24="YES",W24="X"),"X","")</f>
        <v/>
      </c>
      <c r="AQ24" s="28">
        <f>IF(AP24="X",100%,0%)</f>
        <v/>
      </c>
      <c r="AR24" s="25">
        <f>IF(AND(T24&gt;0,L24=""),H24,"")</f>
        <v/>
      </c>
      <c r="AS24" s="25">
        <f>IF(AND(D24&gt;0,H24=0,G24=""),1,"")</f>
        <v/>
      </c>
      <c r="AT24" s="25">
        <f>IF(G24="BLOQ",1,"")</f>
        <v/>
      </c>
      <c r="AU24" s="25">
        <f>IF(L24="BLOQ",1,"")</f>
        <v/>
      </c>
      <c r="AV24" s="25">
        <f>MONTH(F24)</f>
        <v/>
      </c>
      <c r="AW24" s="65">
        <f>IF(AP24="",100%,0%)</f>
        <v/>
      </c>
      <c r="AX24" s="23" t="n"/>
      <c r="AY24" s="24">
        <f>IF(M24=0,"",M24-$AX$2)</f>
        <v/>
      </c>
      <c r="AZ24" s="66">
        <f>IF(AND(W24="",AY24&gt;0,AY24&lt;15),1,0)</f>
        <v/>
      </c>
      <c r="BA24" s="24">
        <f>IF(AND(W24="",AY24&gt;0,AY24&lt;15),T24,"")</f>
        <v/>
      </c>
      <c r="BB24" s="87">
        <f>IF(R24&lt;Q24,"X","")</f>
        <v/>
      </c>
      <c r="BC24" s="190" t="inlineStr">
        <is>
          <t>NO</t>
        </is>
      </c>
      <c r="BD24" s="190" t="inlineStr">
        <is>
          <t>NO</t>
        </is>
      </c>
    </row>
    <row r="25" ht="15" customHeight="1" s="162">
      <c r="A25" s="7" t="n">
        <v>24</v>
      </c>
      <c r="B25" t="inlineStr">
        <is>
          <t>39121413</t>
        </is>
      </c>
      <c r="C25" t="inlineStr">
        <is>
          <t>Conector circular Amphenol Limited Conec</t>
        </is>
      </c>
      <c r="D25" t="inlineStr">
        <is>
          <t>1101756129</t>
        </is>
      </c>
      <c r="E25" t="inlineStr">
        <is>
          <t>3</t>
        </is>
      </c>
      <c r="F25" s="163" t="n">
        <v>45460</v>
      </c>
      <c r="G25" t="inlineStr"/>
      <c r="H25" t="inlineStr">
        <is>
          <t>4800002579</t>
        </is>
      </c>
      <c r="I25" t="inlineStr">
        <is>
          <t>820</t>
        </is>
      </c>
      <c r="J25" s="163" t="n">
        <v>45457</v>
      </c>
      <c r="K25" s="163" t="inlineStr"/>
      <c r="L25" t="inlineStr"/>
      <c r="M25" s="163" t="n">
        <v>45461</v>
      </c>
      <c r="N25" s="164" t="n">
        <v>0</v>
      </c>
      <c r="O25" s="164" t="n">
        <v>0</v>
      </c>
      <c r="P25" t="inlineStr"/>
      <c r="Q25" s="165" t="n">
        <v>1</v>
      </c>
      <c r="R25" s="165" t="n">
        <v>1</v>
      </c>
      <c r="S25" s="165" t="n">
        <v>1</v>
      </c>
      <c r="T25" s="165" t="n">
        <v>0</v>
      </c>
      <c r="U25" s="166" t="n">
        <v>0</v>
      </c>
      <c r="V25" s="166" t="n">
        <v>0</v>
      </c>
      <c r="W25" t="inlineStr">
        <is>
          <t>X</t>
        </is>
      </c>
      <c r="X25" t="inlineStr">
        <is>
          <t>0.00</t>
        </is>
      </c>
      <c r="Y25" t="inlineStr"/>
      <c r="Z25" t="inlineStr">
        <is>
          <t>AMIDATA, S.A.</t>
        </is>
      </c>
      <c r="AA25" t="inlineStr"/>
      <c r="AB25" t="inlineStr">
        <is>
          <t>2368158</t>
        </is>
      </c>
      <c r="AC25" t="inlineStr"/>
      <c r="AD25" s="164" t="n">
        <v>0</v>
      </c>
      <c r="AE25" s="185" t="n">
        <v>0</v>
      </c>
      <c r="AG25" s="167" t="inlineStr">
        <is>
          <t>7218|JA2581_1001</t>
        </is>
      </c>
      <c r="AH25" s="46">
        <f>IF(M25=0,"-",M25-J25)</f>
        <v/>
      </c>
      <c r="AI25" s="46">
        <f>IF(AND(S25=0,M25&gt;0,L25=0),IF(AH25&gt;=120,"VERY HIGH",IF(AH25&gt;=90,"HIGH",IF(AH25&gt;=60,"MEDIUM",IF(AH25&lt;60,"LOW")))),"-")</f>
        <v/>
      </c>
      <c r="AJ25" s="12" t="n"/>
      <c r="AK25" s="41">
        <f>IF(AND(W25="X",M25&lt;=$AJ$2),"YES","")</f>
        <v/>
      </c>
      <c r="AL25" s="38">
        <f>IF(AND(W25="X",M25&lt;=$AJ$2),S25,"")</f>
        <v/>
      </c>
      <c r="AM25" s="26">
        <f>IF(AND(W25="X",M25&gt;$AJ$2),"YES","")</f>
        <v/>
      </c>
      <c r="AN25" s="89">
        <f>IF(AND(W25="X",M25&gt;$AJ$2),S25,"")</f>
        <v/>
      </c>
      <c r="AO25" s="35">
        <f>IF(AND(W25="",M25&gt;0,$AJ$2&gt;M25,L25=""),1,0)</f>
        <v/>
      </c>
      <c r="AP25" s="26">
        <f>IF(AND(AK25="YES",W25="X"),"X","")</f>
        <v/>
      </c>
      <c r="AQ25" s="28">
        <f>IF(AP25="X",100%,0%)</f>
        <v/>
      </c>
      <c r="AR25" s="25">
        <f>IF(AND(T25&gt;0,L25=""),H25,"")</f>
        <v/>
      </c>
      <c r="AS25" s="25">
        <f>IF(AND(D25&gt;0,H25=0,G25=""),1,"")</f>
        <v/>
      </c>
      <c r="AT25" s="25">
        <f>IF(G25="BLOQ",1,"")</f>
        <v/>
      </c>
      <c r="AU25" s="25">
        <f>IF(L25="BLOQ",1,"")</f>
        <v/>
      </c>
      <c r="AV25" s="25">
        <f>MONTH(F25)</f>
        <v/>
      </c>
      <c r="AW25" s="65">
        <f>IF(AP25="",100%,0%)</f>
        <v/>
      </c>
      <c r="AX25" s="23" t="n"/>
      <c r="AY25" s="24">
        <f>IF(M25=0,"",M25-$AX$2)</f>
        <v/>
      </c>
      <c r="AZ25" s="66">
        <f>IF(AND(W25="",AY25&gt;0,AY25&lt;15),1,0)</f>
        <v/>
      </c>
      <c r="BA25" s="24">
        <f>IF(AND(W25="",AY25&gt;0,AY25&lt;15),T25,"")</f>
        <v/>
      </c>
      <c r="BB25" s="87">
        <f>IF(R25&lt;Q25,"X","")</f>
        <v/>
      </c>
      <c r="BC25" s="190" t="inlineStr">
        <is>
          <t>NO</t>
        </is>
      </c>
      <c r="BD25" s="190" t="inlineStr">
        <is>
          <t>NO</t>
        </is>
      </c>
    </row>
    <row r="26" ht="15" customHeight="1" s="162">
      <c r="A26" s="7" t="n">
        <v>25</v>
      </c>
      <c r="B26" t="inlineStr">
        <is>
          <t>39121413</t>
        </is>
      </c>
      <c r="C26" t="inlineStr">
        <is>
          <t>Conector circular Amphenol Limited Conec</t>
        </is>
      </c>
      <c r="D26" t="inlineStr">
        <is>
          <t>1101756129</t>
        </is>
      </c>
      <c r="E26" t="inlineStr">
        <is>
          <t>4</t>
        </is>
      </c>
      <c r="F26" s="163" t="n">
        <v>45460</v>
      </c>
      <c r="G26" t="inlineStr"/>
      <c r="H26" t="inlineStr">
        <is>
          <t>4800002579</t>
        </is>
      </c>
      <c r="I26" t="inlineStr">
        <is>
          <t>830</t>
        </is>
      </c>
      <c r="J26" s="163" t="n">
        <v>45457</v>
      </c>
      <c r="K26" s="163" t="inlineStr"/>
      <c r="L26" t="inlineStr"/>
      <c r="M26" s="163" t="n">
        <v>45461</v>
      </c>
      <c r="N26" s="164" t="n">
        <v>0</v>
      </c>
      <c r="O26" s="164" t="n">
        <v>0</v>
      </c>
      <c r="P26" t="inlineStr"/>
      <c r="Q26" s="165" t="n">
        <v>2</v>
      </c>
      <c r="R26" s="165" t="n">
        <v>2</v>
      </c>
      <c r="S26" s="165" t="n">
        <v>2</v>
      </c>
      <c r="T26" s="165" t="n">
        <v>0</v>
      </c>
      <c r="U26" s="166" t="n">
        <v>0</v>
      </c>
      <c r="V26" s="166" t="n">
        <v>0</v>
      </c>
      <c r="W26" t="inlineStr">
        <is>
          <t>X</t>
        </is>
      </c>
      <c r="X26" t="inlineStr">
        <is>
          <t>0.00</t>
        </is>
      </c>
      <c r="Y26" t="inlineStr"/>
      <c r="Z26" t="inlineStr">
        <is>
          <t>AMIDATA, S.A.</t>
        </is>
      </c>
      <c r="AA26" t="inlineStr"/>
      <c r="AB26" t="inlineStr">
        <is>
          <t>2368095</t>
        </is>
      </c>
      <c r="AC26" t="inlineStr"/>
      <c r="AD26" s="164" t="n">
        <v>0</v>
      </c>
      <c r="AE26" s="185" t="n">
        <v>0</v>
      </c>
      <c r="AG26" s="167" t="inlineStr">
        <is>
          <t>7218|JA2581_1001</t>
        </is>
      </c>
      <c r="AH26" s="46">
        <f>IF(M26=0,"-",M26-J26)</f>
        <v/>
      </c>
      <c r="AI26" s="46">
        <f>IF(AND(S26=0,M26&gt;0,L26=0),IF(AH26&gt;=120,"VERY HIGH",IF(AH26&gt;=90,"HIGH",IF(AH26&gt;=60,"MEDIUM",IF(AH26&lt;60,"LOW")))),"-")</f>
        <v/>
      </c>
      <c r="AJ26" s="12" t="n"/>
      <c r="AK26" s="41">
        <f>IF(AND(W26="X",M26&lt;=$AJ$2),"YES","")</f>
        <v/>
      </c>
      <c r="AL26" s="38">
        <f>IF(AND(W26="X",M26&lt;=$AJ$2),S26,"")</f>
        <v/>
      </c>
      <c r="AM26" s="26">
        <f>IF(AND(W26="X",M26&gt;$AJ$2),"YES","")</f>
        <v/>
      </c>
      <c r="AN26" s="89">
        <f>IF(AND(W26="X",M26&gt;$AJ$2),S26,"")</f>
        <v/>
      </c>
      <c r="AO26" s="35">
        <f>IF(AND(W26="",M26&gt;0,$AJ$2&gt;M26,L26=""),1,0)</f>
        <v/>
      </c>
      <c r="AP26" s="26">
        <f>IF(AND(AK26="YES",W26="X"),"X","")</f>
        <v/>
      </c>
      <c r="AQ26" s="28">
        <f>IF(AP26="X",100%,0%)</f>
        <v/>
      </c>
      <c r="AR26" s="25">
        <f>IF(AND(T26&gt;0,L26=""),H26,"")</f>
        <v/>
      </c>
      <c r="AS26" s="25">
        <f>IF(AND(D26&gt;0,H26=0,G26=""),1,"")</f>
        <v/>
      </c>
      <c r="AT26" s="25">
        <f>IF(G26="BLOQ",1,"")</f>
        <v/>
      </c>
      <c r="AU26" s="25">
        <f>IF(L26="BLOQ",1,"")</f>
        <v/>
      </c>
      <c r="AV26" s="25">
        <f>MONTH(F26)</f>
        <v/>
      </c>
      <c r="AW26" s="65">
        <f>IF(AP26="",100%,0%)</f>
        <v/>
      </c>
      <c r="AX26" s="23" t="n"/>
      <c r="AY26" s="24">
        <f>IF(M26=0,"",M26-$AX$2)</f>
        <v/>
      </c>
      <c r="AZ26" s="66">
        <f>IF(AND(W26="",AY26&gt;0,AY26&lt;15),1,0)</f>
        <v/>
      </c>
      <c r="BA26" s="24">
        <f>IF(AND(W26="",AY26&gt;0,AY26&lt;15),T26,"")</f>
        <v/>
      </c>
      <c r="BB26" s="87">
        <f>IF(R26&lt;Q26,"X","")</f>
        <v/>
      </c>
      <c r="BC26" s="190" t="inlineStr">
        <is>
          <t>NO</t>
        </is>
      </c>
      <c r="BD26" s="190" t="inlineStr">
        <is>
          <t>NO</t>
        </is>
      </c>
    </row>
    <row r="27" ht="15" customHeight="1" s="162">
      <c r="A27" s="7" t="n">
        <v>26</v>
      </c>
      <c r="B27" t="inlineStr">
        <is>
          <t>39121413</t>
        </is>
      </c>
      <c r="C27" t="inlineStr">
        <is>
          <t>Conector circular Amphenol Limited Conec</t>
        </is>
      </c>
      <c r="D27" t="inlineStr">
        <is>
          <t>1101756129</t>
        </is>
      </c>
      <c r="E27" t="inlineStr">
        <is>
          <t>5</t>
        </is>
      </c>
      <c r="F27" s="163" t="n">
        <v>45460</v>
      </c>
      <c r="G27" t="inlineStr"/>
      <c r="H27" t="inlineStr">
        <is>
          <t>4800002579</t>
        </is>
      </c>
      <c r="I27" t="inlineStr">
        <is>
          <t>840</t>
        </is>
      </c>
      <c r="J27" s="163" t="n">
        <v>45457</v>
      </c>
      <c r="K27" s="163" t="inlineStr"/>
      <c r="L27" t="inlineStr"/>
      <c r="M27" s="163" t="n">
        <v>45461</v>
      </c>
      <c r="N27" s="164" t="n">
        <v>0</v>
      </c>
      <c r="O27" s="164" t="n">
        <v>0</v>
      </c>
      <c r="P27" t="inlineStr"/>
      <c r="Q27" s="165" t="n">
        <v>2</v>
      </c>
      <c r="R27" s="165" t="n">
        <v>2</v>
      </c>
      <c r="S27" s="165" t="n">
        <v>2</v>
      </c>
      <c r="T27" s="165" t="n">
        <v>0</v>
      </c>
      <c r="U27" s="166" t="n">
        <v>0</v>
      </c>
      <c r="V27" s="166" t="n">
        <v>0</v>
      </c>
      <c r="W27" t="inlineStr">
        <is>
          <t>X</t>
        </is>
      </c>
      <c r="X27" t="inlineStr">
        <is>
          <t>0.00</t>
        </is>
      </c>
      <c r="Y27" t="inlineStr"/>
      <c r="Z27" t="inlineStr">
        <is>
          <t>AMIDATA, S.A.</t>
        </is>
      </c>
      <c r="AA27" t="inlineStr"/>
      <c r="AB27" t="inlineStr">
        <is>
          <t>2368161</t>
        </is>
      </c>
      <c r="AC27" t="inlineStr"/>
      <c r="AD27" s="164" t="n">
        <v>0</v>
      </c>
      <c r="AE27" s="185" t="n">
        <v>0</v>
      </c>
      <c r="AG27" s="167" t="inlineStr">
        <is>
          <t>7218|JA2581_1001</t>
        </is>
      </c>
      <c r="AH27" s="46">
        <f>IF(M27=0,"-",M27-J27)</f>
        <v/>
      </c>
      <c r="AI27" s="46">
        <f>IF(AND(S27=0,M27&gt;0,L27=0),IF(AH27&gt;=120,"VERY HIGH",IF(AH27&gt;=90,"HIGH",IF(AH27&gt;=60,"MEDIUM",IF(AH27&lt;60,"LOW")))),"-")</f>
        <v/>
      </c>
      <c r="AJ27" s="12" t="n"/>
      <c r="AK27" s="41">
        <f>IF(AND(W27="X",M27&lt;=$AJ$2),"YES","")</f>
        <v/>
      </c>
      <c r="AL27" s="38">
        <f>IF(AND(W27="X",M27&lt;=$AJ$2),S27,"")</f>
        <v/>
      </c>
      <c r="AM27" s="26">
        <f>IF(AND(W27="X",M27&gt;$AJ$2),"YES","")</f>
        <v/>
      </c>
      <c r="AN27" s="89">
        <f>IF(AND(W27="X",M27&gt;$AJ$2),S27,"")</f>
        <v/>
      </c>
      <c r="AO27" s="35">
        <f>IF(AND(W27="",M27&gt;0,$AJ$2&gt;M27,L27=""),1,0)</f>
        <v/>
      </c>
      <c r="AP27" s="26">
        <f>IF(AND(AK27="YES",W27="X"),"X","")</f>
        <v/>
      </c>
      <c r="AQ27" s="28">
        <f>IF(AP27="X",100%,0%)</f>
        <v/>
      </c>
      <c r="AR27" s="25">
        <f>IF(AND(T27&gt;0,L27=""),H27,"")</f>
        <v/>
      </c>
      <c r="AS27" s="25">
        <f>IF(AND(D27&gt;0,H27=0,G27=""),1,"")</f>
        <v/>
      </c>
      <c r="AT27" s="25">
        <f>IF(G27="BLOQ",1,"")</f>
        <v/>
      </c>
      <c r="AU27" s="25">
        <f>IF(L27="BLOQ",1,"")</f>
        <v/>
      </c>
      <c r="AV27" s="25">
        <f>MONTH(F27)</f>
        <v/>
      </c>
      <c r="AW27" s="65">
        <f>IF(AP27="",100%,0%)</f>
        <v/>
      </c>
      <c r="AX27" s="23" t="n"/>
      <c r="AY27" s="24">
        <f>IF(M27=0,"",M27-$AX$2)</f>
        <v/>
      </c>
      <c r="AZ27" s="66">
        <f>IF(AND(W27="",AY27&gt;0,AY27&lt;15),1,0)</f>
        <v/>
      </c>
      <c r="BA27" s="24">
        <f>IF(AND(W27="",AY27&gt;0,AY27&lt;15),T27,"")</f>
        <v/>
      </c>
      <c r="BB27" s="87">
        <f>IF(R27&lt;Q27,"X","")</f>
        <v/>
      </c>
      <c r="BC27" s="190" t="inlineStr">
        <is>
          <t>NO</t>
        </is>
      </c>
      <c r="BD27" s="190" t="inlineStr">
        <is>
          <t>NO</t>
        </is>
      </c>
    </row>
    <row r="28" ht="15" customHeight="1" s="162">
      <c r="A28" s="7" t="n">
        <v>27</v>
      </c>
      <c r="B28" t="inlineStr">
        <is>
          <t>32000000</t>
        </is>
      </c>
      <c r="C28" t="inlineStr">
        <is>
          <t>Conector circular MIL-C-38999 serie III</t>
        </is>
      </c>
      <c r="D28" t="inlineStr">
        <is>
          <t>1101756129</t>
        </is>
      </c>
      <c r="E28" t="inlineStr">
        <is>
          <t>6</t>
        </is>
      </c>
      <c r="F28" s="163" t="n">
        <v>45460</v>
      </c>
      <c r="G28" t="inlineStr"/>
      <c r="H28" t="inlineStr">
        <is>
          <t>4800002579</t>
        </is>
      </c>
      <c r="I28" t="inlineStr">
        <is>
          <t>850</t>
        </is>
      </c>
      <c r="J28" s="163" t="n">
        <v>45457</v>
      </c>
      <c r="K28" s="163" t="inlineStr"/>
      <c r="L28" t="inlineStr"/>
      <c r="M28" s="163" t="n">
        <v>45461</v>
      </c>
      <c r="N28" s="164" t="n">
        <v>0</v>
      </c>
      <c r="O28" s="164" t="n">
        <v>0</v>
      </c>
      <c r="P28" t="inlineStr"/>
      <c r="Q28" s="165" t="n">
        <v>1</v>
      </c>
      <c r="R28" s="165" t="n">
        <v>1</v>
      </c>
      <c r="S28" s="165" t="n">
        <v>1</v>
      </c>
      <c r="T28" s="165" t="n">
        <v>0</v>
      </c>
      <c r="U28" s="166" t="n">
        <v>0</v>
      </c>
      <c r="V28" s="166" t="n">
        <v>0</v>
      </c>
      <c r="W28" t="inlineStr">
        <is>
          <t>X</t>
        </is>
      </c>
      <c r="X28" t="inlineStr">
        <is>
          <t>0.00</t>
        </is>
      </c>
      <c r="Y28" t="inlineStr"/>
      <c r="Z28" t="inlineStr">
        <is>
          <t>AMIDATA, S.A.</t>
        </is>
      </c>
      <c r="AA28" t="inlineStr"/>
      <c r="AB28" t="inlineStr">
        <is>
          <t>2804840</t>
        </is>
      </c>
      <c r="AC28" t="inlineStr"/>
      <c r="AD28" s="164" t="n">
        <v>0</v>
      </c>
      <c r="AE28" s="185" t="n">
        <v>0</v>
      </c>
      <c r="AG28" s="167" t="inlineStr">
        <is>
          <t>7218|JA2581_1001</t>
        </is>
      </c>
      <c r="AH28" s="46">
        <f>IF(M28=0,"-",M28-J28)</f>
        <v/>
      </c>
      <c r="AI28" s="46">
        <f>IF(AND(S28=0,M28&gt;0,L28=0),IF(AH28&gt;=120,"VERY HIGH",IF(AH28&gt;=90,"HIGH",IF(AH28&gt;=60,"MEDIUM",IF(AH28&lt;60,"LOW")))),"-")</f>
        <v/>
      </c>
      <c r="AJ28" s="12" t="n"/>
      <c r="AK28" s="41">
        <f>IF(AND(W28="X",M28&lt;=$AJ$2),"YES","")</f>
        <v/>
      </c>
      <c r="AL28" s="38">
        <f>IF(AND(W28="X",M28&lt;=$AJ$2),S28,"")</f>
        <v/>
      </c>
      <c r="AM28" s="26">
        <f>IF(AND(W28="X",M28&gt;$AJ$2),"YES","")</f>
        <v/>
      </c>
      <c r="AN28" s="89">
        <f>IF(AND(W28="X",M28&gt;$AJ$2),S28,"")</f>
        <v/>
      </c>
      <c r="AO28" s="35">
        <f>IF(AND(W28="",M28&gt;0,$AJ$2&gt;M28,L28=""),1,0)</f>
        <v/>
      </c>
      <c r="AP28" s="26">
        <f>IF(AND(AK28="YES",W28="X"),"X","")</f>
        <v/>
      </c>
      <c r="AQ28" s="28">
        <f>IF(AP28="X",100%,0%)</f>
        <v/>
      </c>
      <c r="AR28" s="25">
        <f>IF(AND(T28&gt;0,L28=""),H28,"")</f>
        <v/>
      </c>
      <c r="AS28" s="25">
        <f>IF(AND(D28&gt;0,H28=0,G28=""),1,"")</f>
        <v/>
      </c>
      <c r="AT28" s="25">
        <f>IF(G28="BLOQ",1,"")</f>
        <v/>
      </c>
      <c r="AU28" s="25">
        <f>IF(L28="BLOQ",1,"")</f>
        <v/>
      </c>
      <c r="AV28" s="25">
        <f>MONTH(F28)</f>
        <v/>
      </c>
      <c r="AW28" s="65">
        <f>IF(AP28="",100%,0%)</f>
        <v/>
      </c>
      <c r="AX28" s="23" t="n"/>
      <c r="AY28" s="24">
        <f>IF(M28=0,"",M28-$AX$2)</f>
        <v/>
      </c>
      <c r="AZ28" s="66">
        <f>IF(AND(W28="",AY28&gt;0,AY28&lt;15),1,0)</f>
        <v/>
      </c>
      <c r="BA28" s="24">
        <f>IF(AND(W28="",AY28&gt;0,AY28&lt;15),T28,"")</f>
        <v/>
      </c>
      <c r="BB28" s="87">
        <f>IF(R28&lt;Q28,"X","")</f>
        <v/>
      </c>
      <c r="BC28" s="190" t="inlineStr">
        <is>
          <t>NO</t>
        </is>
      </c>
      <c r="BD28" s="190" t="inlineStr">
        <is>
          <t>NO</t>
        </is>
      </c>
    </row>
    <row r="29" ht="15" customHeight="1" s="162">
      <c r="A29" s="7" t="n">
        <v>28</v>
      </c>
      <c r="B29" t="inlineStr">
        <is>
          <t>39121413</t>
        </is>
      </c>
      <c r="C29" t="inlineStr">
        <is>
          <t>Conector circular Amphenol Limited Conec</t>
        </is>
      </c>
      <c r="D29" t="inlineStr">
        <is>
          <t>1101756129</t>
        </is>
      </c>
      <c r="E29" t="inlineStr">
        <is>
          <t>7</t>
        </is>
      </c>
      <c r="F29" s="163" t="n">
        <v>45460</v>
      </c>
      <c r="G29" t="inlineStr"/>
      <c r="H29" t="inlineStr">
        <is>
          <t>4800002579</t>
        </is>
      </c>
      <c r="I29" t="inlineStr">
        <is>
          <t>860</t>
        </is>
      </c>
      <c r="J29" s="163" t="n">
        <v>45457</v>
      </c>
      <c r="K29" s="163" t="inlineStr"/>
      <c r="L29" t="inlineStr"/>
      <c r="M29" s="163" t="n">
        <v>45461</v>
      </c>
      <c r="N29" s="164" t="n">
        <v>0</v>
      </c>
      <c r="O29" s="164" t="n">
        <v>0</v>
      </c>
      <c r="P29" t="inlineStr"/>
      <c r="Q29" s="165" t="n">
        <v>1</v>
      </c>
      <c r="R29" s="165" t="n">
        <v>1</v>
      </c>
      <c r="S29" s="165" t="n">
        <v>1</v>
      </c>
      <c r="T29" s="165" t="n">
        <v>0</v>
      </c>
      <c r="U29" s="166" t="n">
        <v>0</v>
      </c>
      <c r="V29" s="166" t="n">
        <v>0</v>
      </c>
      <c r="W29" t="inlineStr">
        <is>
          <t>X</t>
        </is>
      </c>
      <c r="X29" t="inlineStr">
        <is>
          <t>0.00</t>
        </is>
      </c>
      <c r="Y29" t="inlineStr"/>
      <c r="Z29" t="inlineStr">
        <is>
          <t>AMIDATA, S.A.</t>
        </is>
      </c>
      <c r="AA29" t="inlineStr"/>
      <c r="AB29" t="inlineStr">
        <is>
          <t>2368163</t>
        </is>
      </c>
      <c r="AC29" t="inlineStr"/>
      <c r="AD29" s="164" t="n">
        <v>0</v>
      </c>
      <c r="AE29" s="185" t="n">
        <v>0</v>
      </c>
      <c r="AG29" s="167" t="inlineStr">
        <is>
          <t>7218|JA2581_1001</t>
        </is>
      </c>
      <c r="AH29" s="46">
        <f>IF(M29=0,"-",M29-J29)</f>
        <v/>
      </c>
      <c r="AI29" s="46">
        <f>IF(AND(S29=0,M29&gt;0,L29=0),IF(AH29&gt;=120,"VERY HIGH",IF(AH29&gt;=90,"HIGH",IF(AH29&gt;=60,"MEDIUM",IF(AH29&lt;60,"LOW")))),"-")</f>
        <v/>
      </c>
      <c r="AJ29" s="12" t="n"/>
      <c r="AK29" s="41">
        <f>IF(AND(W29="X",M29&lt;=$AJ$2),"YES","")</f>
        <v/>
      </c>
      <c r="AL29" s="38">
        <f>IF(AND(W29="X",M29&lt;=$AJ$2),S29,"")</f>
        <v/>
      </c>
      <c r="AM29" s="26">
        <f>IF(AND(W29="X",M29&gt;$AJ$2),"YES","")</f>
        <v/>
      </c>
      <c r="AN29" s="89">
        <f>IF(AND(W29="X",M29&gt;$AJ$2),S29,"")</f>
        <v/>
      </c>
      <c r="AO29" s="35">
        <f>IF(AND(W29="",M29&gt;0,$AJ$2&gt;M29,L29=""),1,0)</f>
        <v/>
      </c>
      <c r="AP29" s="26">
        <f>IF(AND(AK29="YES",W29="X"),"X","")</f>
        <v/>
      </c>
      <c r="AQ29" s="28">
        <f>IF(AP29="X",100%,0%)</f>
        <v/>
      </c>
      <c r="AR29" s="25">
        <f>IF(AND(T29&gt;0,L29=""),H29,"")</f>
        <v/>
      </c>
      <c r="AS29" s="25">
        <f>IF(AND(D29&gt;0,H29=0,G29=""),1,"")</f>
        <v/>
      </c>
      <c r="AT29" s="25">
        <f>IF(G29="BLOQ",1,"")</f>
        <v/>
      </c>
      <c r="AU29" s="25">
        <f>IF(L29="BLOQ",1,"")</f>
        <v/>
      </c>
      <c r="AV29" s="25">
        <f>MONTH(F29)</f>
        <v/>
      </c>
      <c r="AW29" s="65">
        <f>IF(AP29="",100%,0%)</f>
        <v/>
      </c>
      <c r="AX29" s="23" t="n"/>
      <c r="AY29" s="24">
        <f>IF(M29=0,"",M29-$AX$2)</f>
        <v/>
      </c>
      <c r="AZ29" s="66">
        <f>IF(AND(W29="",AY29&gt;0,AY29&lt;15),1,0)</f>
        <v/>
      </c>
      <c r="BA29" s="24">
        <f>IF(AND(W29="",AY29&gt;0,AY29&lt;15),T29,"")</f>
        <v/>
      </c>
      <c r="BB29" s="87">
        <f>IF(R29&lt;Q29,"X","")</f>
        <v/>
      </c>
      <c r="BC29" s="190" t="inlineStr">
        <is>
          <t>NO</t>
        </is>
      </c>
      <c r="BD29" s="190" t="inlineStr">
        <is>
          <t>NO</t>
        </is>
      </c>
    </row>
    <row r="30" ht="15" customHeight="1" s="162">
      <c r="A30" s="7" t="n">
        <v>29</v>
      </c>
      <c r="B30" t="inlineStr">
        <is>
          <t>32000000</t>
        </is>
      </c>
      <c r="C30" t="inlineStr">
        <is>
          <t>Conector circular MIL-C-38999 serie III</t>
        </is>
      </c>
      <c r="D30" t="inlineStr">
        <is>
          <t>1101756129</t>
        </is>
      </c>
      <c r="E30" t="inlineStr">
        <is>
          <t>8</t>
        </is>
      </c>
      <c r="F30" s="163" t="n">
        <v>45460</v>
      </c>
      <c r="G30" t="inlineStr"/>
      <c r="H30" t="inlineStr">
        <is>
          <t>4800002579</t>
        </is>
      </c>
      <c r="I30" t="inlineStr">
        <is>
          <t>870</t>
        </is>
      </c>
      <c r="J30" s="163" t="n">
        <v>45457</v>
      </c>
      <c r="K30" s="163" t="inlineStr"/>
      <c r="L30" t="inlineStr"/>
      <c r="M30" s="163" t="n">
        <v>45461</v>
      </c>
      <c r="N30" s="164" t="n">
        <v>0</v>
      </c>
      <c r="O30" s="164" t="n">
        <v>0</v>
      </c>
      <c r="P30" t="inlineStr"/>
      <c r="Q30" s="165" t="n">
        <v>2</v>
      </c>
      <c r="R30" s="165" t="n">
        <v>2</v>
      </c>
      <c r="S30" s="165" t="n">
        <v>2</v>
      </c>
      <c r="T30" s="165" t="n">
        <v>0</v>
      </c>
      <c r="U30" s="166" t="n">
        <v>0</v>
      </c>
      <c r="V30" s="166" t="n">
        <v>0</v>
      </c>
      <c r="W30" t="inlineStr">
        <is>
          <t>X</t>
        </is>
      </c>
      <c r="X30" t="inlineStr">
        <is>
          <t>0.00</t>
        </is>
      </c>
      <c r="Y30" t="inlineStr"/>
      <c r="Z30" t="inlineStr">
        <is>
          <t>AMIDATA, S.A.</t>
        </is>
      </c>
      <c r="AA30" t="inlineStr"/>
      <c r="AB30" t="inlineStr">
        <is>
          <t>2804846</t>
        </is>
      </c>
      <c r="AC30" t="inlineStr"/>
      <c r="AD30" s="164" t="n">
        <v>0</v>
      </c>
      <c r="AE30" s="185" t="n">
        <v>0</v>
      </c>
      <c r="AG30" s="167" t="inlineStr">
        <is>
          <t>7218|JA2581_1001</t>
        </is>
      </c>
      <c r="AH30" s="46">
        <f>IF(M30=0,"-",M30-J30)</f>
        <v/>
      </c>
      <c r="AI30" s="46">
        <f>IF(AND(S30=0,M30&gt;0,L30=0),IF(AH30&gt;=120,"VERY HIGH",IF(AH30&gt;=90,"HIGH",IF(AH30&gt;=60,"MEDIUM",IF(AH30&lt;60,"LOW")))),"-")</f>
        <v/>
      </c>
      <c r="AJ30" s="12" t="n"/>
      <c r="AK30" s="41">
        <f>IF(AND(W30="X",M30&lt;=$AJ$2),"YES","")</f>
        <v/>
      </c>
      <c r="AL30" s="38">
        <f>IF(AND(W30="X",M30&lt;=$AJ$2),S30,"")</f>
        <v/>
      </c>
      <c r="AM30" s="26">
        <f>IF(AND(W30="X",M30&gt;$AJ$2),"YES","")</f>
        <v/>
      </c>
      <c r="AN30" s="89">
        <f>IF(AND(W30="X",M30&gt;$AJ$2),S30,"")</f>
        <v/>
      </c>
      <c r="AO30" s="35">
        <f>IF(AND(W30="",M30&gt;0,$AJ$2&gt;M30,L30=""),1,0)</f>
        <v/>
      </c>
      <c r="AP30" s="26">
        <f>IF(AND(AK30="YES",W30="X"),"X","")</f>
        <v/>
      </c>
      <c r="AQ30" s="28">
        <f>IF(AP30="X",100%,0%)</f>
        <v/>
      </c>
      <c r="AR30" s="25">
        <f>IF(AND(T30&gt;0,L30=""),H30,"")</f>
        <v/>
      </c>
      <c r="AS30" s="25">
        <f>IF(AND(D30&gt;0,H30=0,G30=""),1,"")</f>
        <v/>
      </c>
      <c r="AT30" s="25">
        <f>IF(G30="BLOQ",1,"")</f>
        <v/>
      </c>
      <c r="AU30" s="25">
        <f>IF(L30="BLOQ",1,"")</f>
        <v/>
      </c>
      <c r="AV30" s="25">
        <f>MONTH(F30)</f>
        <v/>
      </c>
      <c r="AW30" s="65">
        <f>IF(AP30="",100%,0%)</f>
        <v/>
      </c>
      <c r="AX30" s="23" t="n"/>
      <c r="AY30" s="24">
        <f>IF(M30=0,"",M30-$AX$2)</f>
        <v/>
      </c>
      <c r="AZ30" s="66">
        <f>IF(AND(W30="",AY30&gt;0,AY30&lt;15),1,0)</f>
        <v/>
      </c>
      <c r="BA30" s="24">
        <f>IF(AND(W30="",AY30&gt;0,AY30&lt;15),T30,"")</f>
        <v/>
      </c>
      <c r="BB30" s="87">
        <f>IF(R30&lt;Q30,"X","")</f>
        <v/>
      </c>
      <c r="BC30" s="190" t="inlineStr">
        <is>
          <t>NO</t>
        </is>
      </c>
      <c r="BD30" s="190" t="inlineStr">
        <is>
          <t>NO</t>
        </is>
      </c>
    </row>
    <row r="31" ht="15" customHeight="1" s="162">
      <c r="A31" s="7" t="n">
        <v>30</v>
      </c>
      <c r="B31" t="inlineStr">
        <is>
          <t>32000000</t>
        </is>
      </c>
      <c r="C31" t="inlineStr">
        <is>
          <t>Conector circular MIL-C-38999 serie III</t>
        </is>
      </c>
      <c r="D31" t="inlineStr">
        <is>
          <t>1101756129</t>
        </is>
      </c>
      <c r="E31" t="inlineStr">
        <is>
          <t>9</t>
        </is>
      </c>
      <c r="F31" s="163" t="n">
        <v>45460</v>
      </c>
      <c r="G31" t="inlineStr"/>
      <c r="H31" t="inlineStr">
        <is>
          <t>4800002579</t>
        </is>
      </c>
      <c r="I31" t="inlineStr">
        <is>
          <t>880</t>
        </is>
      </c>
      <c r="J31" s="163" t="n">
        <v>45457</v>
      </c>
      <c r="K31" s="163" t="inlineStr"/>
      <c r="L31" t="inlineStr"/>
      <c r="M31" s="163" t="n">
        <v>45461</v>
      </c>
      <c r="N31" s="164" t="n">
        <v>0</v>
      </c>
      <c r="O31" s="164" t="n">
        <v>0</v>
      </c>
      <c r="P31" t="inlineStr"/>
      <c r="Q31" s="165" t="n">
        <v>2</v>
      </c>
      <c r="R31" s="165" t="n">
        <v>2</v>
      </c>
      <c r="S31" s="165" t="n">
        <v>2</v>
      </c>
      <c r="T31" s="165" t="n">
        <v>0</v>
      </c>
      <c r="U31" s="166" t="n">
        <v>0</v>
      </c>
      <c r="V31" s="166" t="n">
        <v>0</v>
      </c>
      <c r="W31" t="inlineStr">
        <is>
          <t>X</t>
        </is>
      </c>
      <c r="X31" t="inlineStr">
        <is>
          <t>0.00</t>
        </is>
      </c>
      <c r="Y31" t="inlineStr"/>
      <c r="Z31" t="inlineStr">
        <is>
          <t>AMIDATA, S.A.</t>
        </is>
      </c>
      <c r="AA31" t="inlineStr"/>
      <c r="AB31" t="inlineStr">
        <is>
          <t>2804918</t>
        </is>
      </c>
      <c r="AC31" t="inlineStr"/>
      <c r="AD31" s="164" t="n">
        <v>0</v>
      </c>
      <c r="AE31" s="185" t="n">
        <v>0</v>
      </c>
      <c r="AG31" s="167" t="inlineStr">
        <is>
          <t>7218|JA2581_1001</t>
        </is>
      </c>
      <c r="AH31" s="46">
        <f>IF(M31=0,"-",M31-J31)</f>
        <v/>
      </c>
      <c r="AI31" s="46">
        <f>IF(AND(S31=0,M31&gt;0,L31=0),IF(AH31&gt;=120,"VERY HIGH",IF(AH31&gt;=90,"HIGH",IF(AH31&gt;=60,"MEDIUM",IF(AH31&lt;60,"LOW")))),"-")</f>
        <v/>
      </c>
      <c r="AJ31" s="12" t="n"/>
      <c r="AK31" s="41">
        <f>IF(AND(W31="X",M31&lt;=$AJ$2),"YES","")</f>
        <v/>
      </c>
      <c r="AL31" s="38">
        <f>IF(AND(W31="X",M31&lt;=$AJ$2),S31,"")</f>
        <v/>
      </c>
      <c r="AM31" s="26">
        <f>IF(AND(W31="X",M31&gt;$AJ$2),"YES","")</f>
        <v/>
      </c>
      <c r="AN31" s="89">
        <f>IF(AND(W31="X",M31&gt;$AJ$2),S31,"")</f>
        <v/>
      </c>
      <c r="AO31" s="35">
        <f>IF(AND(W31="",M31&gt;0,$AJ$2&gt;M31,L31=""),1,0)</f>
        <v/>
      </c>
      <c r="AP31" s="26">
        <f>IF(AND(AK31="YES",W31="X"),"X","")</f>
        <v/>
      </c>
      <c r="AQ31" s="28">
        <f>IF(AP31="X",100%,0%)</f>
        <v/>
      </c>
      <c r="AR31" s="25">
        <f>IF(AND(T31&gt;0,L31=""),H31,"")</f>
        <v/>
      </c>
      <c r="AS31" s="25">
        <f>IF(AND(D31&gt;0,H31=0,G31=""),1,"")</f>
        <v/>
      </c>
      <c r="AT31" s="25">
        <f>IF(G31="BLOQ",1,"")</f>
        <v/>
      </c>
      <c r="AU31" s="25">
        <f>IF(L31="BLOQ",1,"")</f>
        <v/>
      </c>
      <c r="AV31" s="25">
        <f>MONTH(F31)</f>
        <v/>
      </c>
      <c r="AW31" s="65">
        <f>IF(AP31="",100%,0%)</f>
        <v/>
      </c>
      <c r="AX31" s="23" t="n"/>
      <c r="AY31" s="24">
        <f>IF(M31=0,"",M31-$AX$2)</f>
        <v/>
      </c>
      <c r="AZ31" s="66">
        <f>IF(AND(W31="",AY31&gt;0,AY31&lt;15),1,0)</f>
        <v/>
      </c>
      <c r="BA31" s="24">
        <f>IF(AND(W31="",AY31&gt;0,AY31&lt;15),T31,"")</f>
        <v/>
      </c>
      <c r="BB31" s="87">
        <f>IF(R31&lt;Q31,"X","")</f>
        <v/>
      </c>
      <c r="BC31" s="190" t="inlineStr">
        <is>
          <t>NO</t>
        </is>
      </c>
      <c r="BD31" s="190" t="inlineStr">
        <is>
          <t>NO</t>
        </is>
      </c>
    </row>
    <row r="32" ht="15" customHeight="1" s="162">
      <c r="A32" s="7" t="n">
        <v>31</v>
      </c>
      <c r="B32" t="inlineStr">
        <is>
          <t>32000000</t>
        </is>
      </c>
      <c r="C32" t="inlineStr">
        <is>
          <t>Conector circular MIL-C-38999 serie III</t>
        </is>
      </c>
      <c r="D32" t="inlineStr">
        <is>
          <t>1101756129</t>
        </is>
      </c>
      <c r="E32" t="inlineStr">
        <is>
          <t>10</t>
        </is>
      </c>
      <c r="F32" s="163" t="n">
        <v>45460</v>
      </c>
      <c r="G32" t="inlineStr"/>
      <c r="H32" t="inlineStr">
        <is>
          <t>4800002579</t>
        </is>
      </c>
      <c r="I32" t="inlineStr">
        <is>
          <t>890</t>
        </is>
      </c>
      <c r="J32" s="163" t="n">
        <v>45457</v>
      </c>
      <c r="K32" s="163" t="inlineStr"/>
      <c r="L32" t="inlineStr"/>
      <c r="M32" s="163" t="n">
        <v>45461</v>
      </c>
      <c r="N32" s="164" t="n">
        <v>0</v>
      </c>
      <c r="O32" s="164" t="n">
        <v>0</v>
      </c>
      <c r="P32" t="inlineStr"/>
      <c r="Q32" s="165" t="n">
        <v>9</v>
      </c>
      <c r="R32" s="165" t="n">
        <v>9</v>
      </c>
      <c r="S32" s="165" t="n">
        <v>9</v>
      </c>
      <c r="T32" s="165" t="n">
        <v>0</v>
      </c>
      <c r="U32" s="166" t="n">
        <v>0</v>
      </c>
      <c r="V32" s="166" t="n">
        <v>0</v>
      </c>
      <c r="W32" t="inlineStr">
        <is>
          <t>X</t>
        </is>
      </c>
      <c r="X32" t="inlineStr">
        <is>
          <t>0.00</t>
        </is>
      </c>
      <c r="Y32" t="inlineStr"/>
      <c r="Z32" t="inlineStr">
        <is>
          <t>AMIDATA, S.A.</t>
        </is>
      </c>
      <c r="AA32" t="inlineStr"/>
      <c r="AB32" t="inlineStr">
        <is>
          <t>2804847</t>
        </is>
      </c>
      <c r="AC32" t="inlineStr"/>
      <c r="AD32" s="164" t="n">
        <v>0</v>
      </c>
      <c r="AE32" s="185" t="n">
        <v>0</v>
      </c>
      <c r="AG32" s="167" t="inlineStr">
        <is>
          <t>7218|JA2581_1001</t>
        </is>
      </c>
      <c r="AH32" s="46">
        <f>IF(M32=0,"-",M32-J32)</f>
        <v/>
      </c>
      <c r="AI32" s="46">
        <f>IF(AND(S32=0,M32&gt;0,L32=0),IF(AH32&gt;=120,"VERY HIGH",IF(AH32&gt;=90,"HIGH",IF(AH32&gt;=60,"MEDIUM",IF(AH32&lt;60,"LOW")))),"-")</f>
        <v/>
      </c>
      <c r="AJ32" s="12" t="n"/>
      <c r="AK32" s="41">
        <f>IF(AND(W32="X",M32&lt;=$AJ$2),"YES","")</f>
        <v/>
      </c>
      <c r="AL32" s="38">
        <f>IF(AND(W32="X",M32&lt;=$AJ$2),S32,"")</f>
        <v/>
      </c>
      <c r="AM32" s="26">
        <f>IF(AND(W32="X",M32&gt;$AJ$2),"YES","")</f>
        <v/>
      </c>
      <c r="AN32" s="89">
        <f>IF(AND(W32="X",M32&gt;$AJ$2),S32,"")</f>
        <v/>
      </c>
      <c r="AO32" s="35">
        <f>IF(AND(W32="",M32&gt;0,$AJ$2&gt;M32,L32=""),1,0)</f>
        <v/>
      </c>
      <c r="AP32" s="26">
        <f>IF(AND(AK32="YES",W32="X"),"X","")</f>
        <v/>
      </c>
      <c r="AQ32" s="28">
        <f>IF(AP32="X",100%,0%)</f>
        <v/>
      </c>
      <c r="AR32" s="25">
        <f>IF(AND(T32&gt;0,L32=""),H32,"")</f>
        <v/>
      </c>
      <c r="AS32" s="25">
        <f>IF(AND(D32&gt;0,H32=0,G32=""),1,"")</f>
        <v/>
      </c>
      <c r="AT32" s="25">
        <f>IF(G32="BLOQ",1,"")</f>
        <v/>
      </c>
      <c r="AU32" s="25">
        <f>IF(L32="BLOQ",1,"")</f>
        <v/>
      </c>
      <c r="AV32" s="25">
        <f>MONTH(F32)</f>
        <v/>
      </c>
      <c r="AW32" s="65">
        <f>IF(AP32="",100%,0%)</f>
        <v/>
      </c>
      <c r="AX32" s="23" t="n"/>
      <c r="AY32" s="24">
        <f>IF(M32=0,"",M32-$AX$2)</f>
        <v/>
      </c>
      <c r="AZ32" s="66">
        <f>IF(AND(W32="",AY32&gt;0,AY32&lt;15),1,0)</f>
        <v/>
      </c>
      <c r="BA32" s="24">
        <f>IF(AND(W32="",AY32&gt;0,AY32&lt;15),T32,"")</f>
        <v/>
      </c>
      <c r="BB32" s="87">
        <f>IF(R32&lt;Q32,"X","")</f>
        <v/>
      </c>
      <c r="BC32" s="190" t="inlineStr">
        <is>
          <t>NO</t>
        </is>
      </c>
      <c r="BD32" s="190" t="inlineStr">
        <is>
          <t>NO</t>
        </is>
      </c>
    </row>
    <row r="33" ht="15" customHeight="1" s="162">
      <c r="A33" s="7" t="n">
        <v>32</v>
      </c>
      <c r="B33" t="inlineStr">
        <is>
          <t>32000000</t>
        </is>
      </c>
      <c r="C33" t="inlineStr">
        <is>
          <t>Conector circular MIL-C-38999 serie III</t>
        </is>
      </c>
      <c r="D33" t="inlineStr">
        <is>
          <t>1101756129</t>
        </is>
      </c>
      <c r="E33" t="inlineStr">
        <is>
          <t>11</t>
        </is>
      </c>
      <c r="F33" s="163" t="n">
        <v>45460</v>
      </c>
      <c r="G33" t="inlineStr"/>
      <c r="H33" t="inlineStr">
        <is>
          <t>4800002579</t>
        </is>
      </c>
      <c r="I33" t="inlineStr">
        <is>
          <t>900</t>
        </is>
      </c>
      <c r="J33" s="163" t="n">
        <v>45457</v>
      </c>
      <c r="K33" s="163" t="inlineStr"/>
      <c r="L33" t="inlineStr"/>
      <c r="M33" s="163" t="n">
        <v>45461</v>
      </c>
      <c r="N33" s="164" t="n">
        <v>0</v>
      </c>
      <c r="O33" s="164" t="n">
        <v>0</v>
      </c>
      <c r="P33" t="inlineStr"/>
      <c r="Q33" s="165" t="n">
        <v>9</v>
      </c>
      <c r="R33" s="165" t="n">
        <v>9</v>
      </c>
      <c r="S33" s="165" t="n">
        <v>9</v>
      </c>
      <c r="T33" s="165" t="n">
        <v>0</v>
      </c>
      <c r="U33" s="166" t="n">
        <v>0</v>
      </c>
      <c r="V33" s="166" t="n">
        <v>0</v>
      </c>
      <c r="W33" t="inlineStr">
        <is>
          <t>X</t>
        </is>
      </c>
      <c r="X33" t="inlineStr">
        <is>
          <t>0.00</t>
        </is>
      </c>
      <c r="Y33" t="inlineStr"/>
      <c r="Z33" t="inlineStr">
        <is>
          <t>AMIDATA, S.A.</t>
        </is>
      </c>
      <c r="AA33" t="inlineStr"/>
      <c r="AB33" t="inlineStr">
        <is>
          <t>2804921</t>
        </is>
      </c>
      <c r="AC33" t="inlineStr"/>
      <c r="AD33" s="164" t="n">
        <v>0</v>
      </c>
      <c r="AE33" s="185" t="n">
        <v>0</v>
      </c>
      <c r="AG33" s="167" t="inlineStr">
        <is>
          <t>7218|JA2581_1001</t>
        </is>
      </c>
      <c r="AH33" s="46">
        <f>IF(M33=0,"-",M33-J33)</f>
        <v/>
      </c>
      <c r="AI33" s="46">
        <f>IF(AND(S33=0,M33&gt;0,L33=0),IF(AH33&gt;=120,"VERY HIGH",IF(AH33&gt;=90,"HIGH",IF(AH33&gt;=60,"MEDIUM",IF(AH33&lt;60,"LOW")))),"-")</f>
        <v/>
      </c>
      <c r="AJ33" s="12" t="n"/>
      <c r="AK33" s="41">
        <f>IF(AND(W33="X",M33&lt;=$AJ$2),"YES","")</f>
        <v/>
      </c>
      <c r="AL33" s="38">
        <f>IF(AND(W33="X",M33&lt;=$AJ$2),S33,"")</f>
        <v/>
      </c>
      <c r="AM33" s="26">
        <f>IF(AND(W33="X",M33&gt;$AJ$2),"YES","")</f>
        <v/>
      </c>
      <c r="AN33" s="89">
        <f>IF(AND(W33="X",M33&gt;$AJ$2),S33,"")</f>
        <v/>
      </c>
      <c r="AO33" s="35">
        <f>IF(AND(W33="",M33&gt;0,$AJ$2&gt;M33,L33=""),1,0)</f>
        <v/>
      </c>
      <c r="AP33" s="26">
        <f>IF(AND(AK33="YES",W33="X"),"X","")</f>
        <v/>
      </c>
      <c r="AQ33" s="28">
        <f>IF(AP33="X",100%,0%)</f>
        <v/>
      </c>
      <c r="AR33" s="25">
        <f>IF(AND(T33&gt;0,L33=""),H33,"")</f>
        <v/>
      </c>
      <c r="AS33" s="25">
        <f>IF(AND(D33&gt;0,H33=0,G33=""),1,"")</f>
        <v/>
      </c>
      <c r="AT33" s="25">
        <f>IF(G33="BLOQ",1,"")</f>
        <v/>
      </c>
      <c r="AU33" s="25">
        <f>IF(L33="BLOQ",1,"")</f>
        <v/>
      </c>
      <c r="AV33" s="25">
        <f>MONTH(F33)</f>
        <v/>
      </c>
      <c r="AW33" s="65">
        <f>IF(AP33="",100%,0%)</f>
        <v/>
      </c>
      <c r="AX33" s="23" t="n"/>
      <c r="AY33" s="24">
        <f>IF(M33=0,"",M33-$AX$2)</f>
        <v/>
      </c>
      <c r="AZ33" s="66">
        <f>IF(AND(W33="",AY33&gt;0,AY33&lt;15),1,0)</f>
        <v/>
      </c>
      <c r="BA33" s="24">
        <f>IF(AND(W33="",AY33&gt;0,AY33&lt;15),T33,"")</f>
        <v/>
      </c>
      <c r="BB33" s="87">
        <f>IF(R33&lt;Q33,"X","")</f>
        <v/>
      </c>
      <c r="BC33" s="190" t="inlineStr">
        <is>
          <t>NO</t>
        </is>
      </c>
      <c r="BD33" s="190" t="inlineStr">
        <is>
          <t>NO</t>
        </is>
      </c>
    </row>
    <row r="34" ht="15" customHeight="1" s="162">
      <c r="A34" s="7" t="n">
        <v>33</v>
      </c>
      <c r="B34" t="inlineStr">
        <is>
          <t>32000000</t>
        </is>
      </c>
      <c r="C34" t="inlineStr">
        <is>
          <t>Conector circular MIL-C-38999 serie III</t>
        </is>
      </c>
      <c r="D34" t="inlineStr">
        <is>
          <t>1101756129</t>
        </is>
      </c>
      <c r="E34" t="inlineStr">
        <is>
          <t>12</t>
        </is>
      </c>
      <c r="F34" s="163" t="n">
        <v>45460</v>
      </c>
      <c r="G34" t="inlineStr"/>
      <c r="H34" t="inlineStr">
        <is>
          <t>4800002579</t>
        </is>
      </c>
      <c r="I34" t="inlineStr">
        <is>
          <t>910</t>
        </is>
      </c>
      <c r="J34" s="163" t="n">
        <v>45457</v>
      </c>
      <c r="K34" s="163" t="inlineStr"/>
      <c r="L34" t="inlineStr"/>
      <c r="M34" s="163" t="n">
        <v>45461</v>
      </c>
      <c r="N34" s="164" t="n">
        <v>0</v>
      </c>
      <c r="O34" s="164" t="n">
        <v>0</v>
      </c>
      <c r="P34" t="inlineStr"/>
      <c r="Q34" s="165" t="n">
        <v>29</v>
      </c>
      <c r="R34" s="165" t="n">
        <v>29</v>
      </c>
      <c r="S34" s="165" t="n">
        <v>29</v>
      </c>
      <c r="T34" s="165" t="n">
        <v>0</v>
      </c>
      <c r="U34" s="166" t="n">
        <v>0</v>
      </c>
      <c r="V34" s="166" t="n">
        <v>0</v>
      </c>
      <c r="W34" t="inlineStr">
        <is>
          <t>X</t>
        </is>
      </c>
      <c r="X34" t="inlineStr">
        <is>
          <t>0.00</t>
        </is>
      </c>
      <c r="Y34" t="inlineStr"/>
      <c r="Z34" t="inlineStr">
        <is>
          <t>AMIDATA, S.A.</t>
        </is>
      </c>
      <c r="AA34" t="inlineStr"/>
      <c r="AB34" t="inlineStr">
        <is>
          <t>2804849</t>
        </is>
      </c>
      <c r="AC34" t="inlineStr"/>
      <c r="AD34" s="164" t="n">
        <v>0</v>
      </c>
      <c r="AE34" s="185" t="n">
        <v>0</v>
      </c>
      <c r="AG34" s="167" t="inlineStr">
        <is>
          <t>7218|JA2581_1001</t>
        </is>
      </c>
      <c r="AH34" s="46">
        <f>IF(M34=0,"-",M34-J34)</f>
        <v/>
      </c>
      <c r="AI34" s="46">
        <f>IF(AND(S34=0,M34&gt;0,L34=0),IF(AH34&gt;=120,"VERY HIGH",IF(AH34&gt;=90,"HIGH",IF(AH34&gt;=60,"MEDIUM",IF(AH34&lt;60,"LOW")))),"-")</f>
        <v/>
      </c>
      <c r="AJ34" s="12" t="n"/>
      <c r="AK34" s="41">
        <f>IF(AND(W34="X",M34&lt;=$AJ$2),"YES","")</f>
        <v/>
      </c>
      <c r="AL34" s="38">
        <f>IF(AND(W34="X",M34&lt;=$AJ$2),S34,"")</f>
        <v/>
      </c>
      <c r="AM34" s="26">
        <f>IF(AND(W34="X",M34&gt;$AJ$2),"YES","")</f>
        <v/>
      </c>
      <c r="AN34" s="89">
        <f>IF(AND(W34="X",M34&gt;$AJ$2),S34,"")</f>
        <v/>
      </c>
      <c r="AO34" s="35">
        <f>IF(AND(W34="",M34&gt;0,$AJ$2&gt;M34,L34=""),1,0)</f>
        <v/>
      </c>
      <c r="AP34" s="26">
        <f>IF(AND(AK34="YES",W34="X"),"X","")</f>
        <v/>
      </c>
      <c r="AQ34" s="28">
        <f>IF(AP34="X",100%,0%)</f>
        <v/>
      </c>
      <c r="AR34" s="25">
        <f>IF(AND(T34&gt;0,L34=""),H34,"")</f>
        <v/>
      </c>
      <c r="AS34" s="25">
        <f>IF(AND(D34&gt;0,H34=0,G34=""),1,"")</f>
        <v/>
      </c>
      <c r="AT34" s="25">
        <f>IF(G34="BLOQ",1,"")</f>
        <v/>
      </c>
      <c r="AU34" s="25">
        <f>IF(L34="BLOQ",1,"")</f>
        <v/>
      </c>
      <c r="AV34" s="25">
        <f>MONTH(F34)</f>
        <v/>
      </c>
      <c r="AW34" s="65">
        <f>IF(AP34="",100%,0%)</f>
        <v/>
      </c>
      <c r="AX34" s="23" t="n"/>
      <c r="AY34" s="24">
        <f>IF(M34=0,"",M34-$AX$2)</f>
        <v/>
      </c>
      <c r="AZ34" s="66">
        <f>IF(AND(W34="",AY34&gt;0,AY34&lt;15),1,0)</f>
        <v/>
      </c>
      <c r="BA34" s="24">
        <f>IF(AND(W34="",AY34&gt;0,AY34&lt;15),T34,"")</f>
        <v/>
      </c>
      <c r="BB34" s="87">
        <f>IF(R34&lt;Q34,"X","")</f>
        <v/>
      </c>
      <c r="BC34" s="190" t="inlineStr">
        <is>
          <t>NO</t>
        </is>
      </c>
      <c r="BD34" s="190" t="inlineStr">
        <is>
          <t>NO</t>
        </is>
      </c>
    </row>
    <row r="35" ht="15" customHeight="1" s="162">
      <c r="A35" s="7" t="n">
        <v>34</v>
      </c>
      <c r="B35" t="inlineStr">
        <is>
          <t>32000000</t>
        </is>
      </c>
      <c r="C35" t="inlineStr">
        <is>
          <t>Conector circular MIL-C-38999 serie III</t>
        </is>
      </c>
      <c r="D35" t="inlineStr">
        <is>
          <t>1101756129</t>
        </is>
      </c>
      <c r="E35" t="inlineStr">
        <is>
          <t>13</t>
        </is>
      </c>
      <c r="F35" s="163" t="n">
        <v>45460</v>
      </c>
      <c r="G35" t="inlineStr"/>
      <c r="H35" t="inlineStr">
        <is>
          <t>4800002579</t>
        </is>
      </c>
      <c r="I35" t="inlineStr">
        <is>
          <t>920</t>
        </is>
      </c>
      <c r="J35" s="163" t="n">
        <v>45457</v>
      </c>
      <c r="K35" s="163" t="inlineStr"/>
      <c r="L35" t="inlineStr"/>
      <c r="M35" s="163" t="n">
        <v>45461</v>
      </c>
      <c r="N35" s="164" t="n">
        <v>0</v>
      </c>
      <c r="O35" s="164" t="n">
        <v>0</v>
      </c>
      <c r="P35" t="inlineStr"/>
      <c r="Q35" s="165" t="n">
        <v>29</v>
      </c>
      <c r="R35" s="165" t="n">
        <v>29</v>
      </c>
      <c r="S35" s="165" t="n">
        <v>29</v>
      </c>
      <c r="T35" s="165" t="n">
        <v>0</v>
      </c>
      <c r="U35" s="166" t="n">
        <v>0</v>
      </c>
      <c r="V35" s="166" t="n">
        <v>0</v>
      </c>
      <c r="W35" t="inlineStr">
        <is>
          <t>X</t>
        </is>
      </c>
      <c r="X35" t="inlineStr">
        <is>
          <t>0.00</t>
        </is>
      </c>
      <c r="Y35" t="inlineStr"/>
      <c r="Z35" t="inlineStr">
        <is>
          <t>AMIDATA, S.A.</t>
        </is>
      </c>
      <c r="AA35" t="inlineStr"/>
      <c r="AB35" t="inlineStr">
        <is>
          <t>2804920</t>
        </is>
      </c>
      <c r="AC35" t="inlineStr"/>
      <c r="AD35" s="164" t="n">
        <v>0</v>
      </c>
      <c r="AE35" s="185" t="n">
        <v>0</v>
      </c>
      <c r="AG35" s="167" t="inlineStr">
        <is>
          <t>7218|JA2581_1001</t>
        </is>
      </c>
      <c r="AH35" s="46">
        <f>IF(M35=0,"-",M35-J35)</f>
        <v/>
      </c>
      <c r="AI35" s="46">
        <f>IF(AND(S35=0,M35&gt;0,L35=0),IF(AH35&gt;=120,"VERY HIGH",IF(AH35&gt;=90,"HIGH",IF(AH35&gt;=60,"MEDIUM",IF(AH35&lt;60,"LOW")))),"-")</f>
        <v/>
      </c>
      <c r="AJ35" s="12" t="n"/>
      <c r="AK35" s="41">
        <f>IF(AND(W35="X",M35&lt;=$AJ$2),"YES","")</f>
        <v/>
      </c>
      <c r="AL35" s="38">
        <f>IF(AND(W35="X",M35&lt;=$AJ$2),S35,"")</f>
        <v/>
      </c>
      <c r="AM35" s="26">
        <f>IF(AND(W35="X",M35&gt;$AJ$2),"YES","")</f>
        <v/>
      </c>
      <c r="AN35" s="89">
        <f>IF(AND(W35="X",M35&gt;$AJ$2),S35,"")</f>
        <v/>
      </c>
      <c r="AO35" s="35">
        <f>IF(AND(W35="",M35&gt;0,$AJ$2&gt;M35,L35=""),1,0)</f>
        <v/>
      </c>
      <c r="AP35" s="26">
        <f>IF(AND(AK35="YES",W35="X"),"X","")</f>
        <v/>
      </c>
      <c r="AQ35" s="28">
        <f>IF(AP35="X",100%,0%)</f>
        <v/>
      </c>
      <c r="AR35" s="25">
        <f>IF(AND(T35&gt;0,L35=""),H35,"")</f>
        <v/>
      </c>
      <c r="AS35" s="25">
        <f>IF(AND(D35&gt;0,H35=0,G35=""),1,"")</f>
        <v/>
      </c>
      <c r="AT35" s="25">
        <f>IF(G35="BLOQ",1,"")</f>
        <v/>
      </c>
      <c r="AU35" s="25">
        <f>IF(L35="BLOQ",1,"")</f>
        <v/>
      </c>
      <c r="AV35" s="25">
        <f>MONTH(F35)</f>
        <v/>
      </c>
      <c r="AW35" s="65">
        <f>IF(AP35="",100%,0%)</f>
        <v/>
      </c>
      <c r="AX35" s="23" t="n"/>
      <c r="AY35" s="24">
        <f>IF(M35=0,"",M35-$AX$2)</f>
        <v/>
      </c>
      <c r="AZ35" s="66">
        <f>IF(AND(W35="",AY35&gt;0,AY35&lt;15),1,0)</f>
        <v/>
      </c>
      <c r="BA35" s="24">
        <f>IF(AND(W35="",AY35&gt;0,AY35&lt;15),T35,"")</f>
        <v/>
      </c>
      <c r="BB35" s="87">
        <f>IF(R35&lt;Q35,"X","")</f>
        <v/>
      </c>
      <c r="BC35" s="190" t="inlineStr">
        <is>
          <t>NO</t>
        </is>
      </c>
      <c r="BD35" s="190" t="inlineStr">
        <is>
          <t>NO</t>
        </is>
      </c>
    </row>
    <row r="36" ht="15" customHeight="1" s="162">
      <c r="A36" s="7" t="n">
        <v>35</v>
      </c>
      <c r="B36" t="inlineStr">
        <is>
          <t>32000000</t>
        </is>
      </c>
      <c r="C36" t="inlineStr">
        <is>
          <t>Conector circular MIL-C-38999 serie III</t>
        </is>
      </c>
      <c r="D36" t="inlineStr">
        <is>
          <t>1101756211</t>
        </is>
      </c>
      <c r="E36" t="inlineStr">
        <is>
          <t>1</t>
        </is>
      </c>
      <c r="F36" s="163" t="n">
        <v>45460</v>
      </c>
      <c r="G36" t="inlineStr"/>
      <c r="H36" t="inlineStr">
        <is>
          <t>4800002579</t>
        </is>
      </c>
      <c r="I36" t="inlineStr">
        <is>
          <t>980</t>
        </is>
      </c>
      <c r="J36" s="163" t="n">
        <v>45457</v>
      </c>
      <c r="K36" s="163" t="inlineStr"/>
      <c r="L36" t="inlineStr"/>
      <c r="M36" s="163" t="n">
        <v>45461</v>
      </c>
      <c r="N36" s="164" t="n">
        <v>0</v>
      </c>
      <c r="O36" s="164" t="n">
        <v>0</v>
      </c>
      <c r="P36" t="inlineStr"/>
      <c r="Q36" s="165" t="n">
        <v>1</v>
      </c>
      <c r="R36" s="165" t="n">
        <v>1</v>
      </c>
      <c r="S36" s="165" t="n">
        <v>1</v>
      </c>
      <c r="T36" s="165" t="n">
        <v>0</v>
      </c>
      <c r="U36" s="166" t="n">
        <v>0</v>
      </c>
      <c r="V36" s="166" t="n">
        <v>0</v>
      </c>
      <c r="W36" t="inlineStr">
        <is>
          <t>X</t>
        </is>
      </c>
      <c r="X36" t="inlineStr">
        <is>
          <t>0.00</t>
        </is>
      </c>
      <c r="Y36" t="inlineStr"/>
      <c r="Z36" t="inlineStr">
        <is>
          <t>AMIDATA, S.A.</t>
        </is>
      </c>
      <c r="AA36" t="inlineStr"/>
      <c r="AB36" t="inlineStr">
        <is>
          <t>2804923</t>
        </is>
      </c>
      <c r="AC36" t="inlineStr"/>
      <c r="AD36" s="164" t="n">
        <v>0</v>
      </c>
      <c r="AE36" s="185" t="n">
        <v>0</v>
      </c>
      <c r="AG36" s="167" t="inlineStr">
        <is>
          <t>7218|JA2581_1001</t>
        </is>
      </c>
      <c r="AH36" s="46">
        <f>IF(M36=0,"-",M36-J36)</f>
        <v/>
      </c>
      <c r="AI36" s="46">
        <f>IF(AND(S36=0,M36&gt;0,L36=0),IF(AH36&gt;=120,"VERY HIGH",IF(AH36&gt;=90,"HIGH",IF(AH36&gt;=60,"MEDIUM",IF(AH36&lt;60,"LOW")))),"-")</f>
        <v/>
      </c>
      <c r="AJ36" s="12" t="n"/>
      <c r="AK36" s="41">
        <f>IF(AND(W36="X",M36&lt;=$AJ$2),"YES","")</f>
        <v/>
      </c>
      <c r="AL36" s="38">
        <f>IF(AND(W36="X",M36&lt;=$AJ$2),S36,"")</f>
        <v/>
      </c>
      <c r="AM36" s="26">
        <f>IF(AND(W36="X",M36&gt;$AJ$2),"YES","")</f>
        <v/>
      </c>
      <c r="AN36" s="89">
        <f>IF(AND(W36="X",M36&gt;$AJ$2),S36,"")</f>
        <v/>
      </c>
      <c r="AO36" s="35">
        <f>IF(AND(W36="",M36&gt;0,$AJ$2&gt;M36,L36=""),1,0)</f>
        <v/>
      </c>
      <c r="AP36" s="26">
        <f>IF(AND(AK36="YES",W36="X"),"X","")</f>
        <v/>
      </c>
      <c r="AQ36" s="28">
        <f>IF(AP36="X",100%,0%)</f>
        <v/>
      </c>
      <c r="AR36" s="25">
        <f>IF(AND(T36&gt;0,L36=""),H36,"")</f>
        <v/>
      </c>
      <c r="AS36" s="25">
        <f>IF(AND(D36&gt;0,H36=0,G36=""),1,"")</f>
        <v/>
      </c>
      <c r="AT36" s="25">
        <f>IF(G36="BLOQ",1,"")</f>
        <v/>
      </c>
      <c r="AU36" s="25">
        <f>IF(L36="BLOQ",1,"")</f>
        <v/>
      </c>
      <c r="AV36" s="25">
        <f>MONTH(F36)</f>
        <v/>
      </c>
      <c r="AW36" s="65">
        <f>IF(AP36="",100%,0%)</f>
        <v/>
      </c>
      <c r="AX36" s="23" t="n"/>
      <c r="AY36" s="24">
        <f>IF(M36=0,"",M36-$AX$2)</f>
        <v/>
      </c>
      <c r="AZ36" s="66">
        <f>IF(AND(W36="",AY36&gt;0,AY36&lt;15),1,0)</f>
        <v/>
      </c>
      <c r="BA36" s="24">
        <f>IF(AND(W36="",AY36&gt;0,AY36&lt;15),T36,"")</f>
        <v/>
      </c>
      <c r="BB36" s="87">
        <f>IF(R36&lt;Q36,"X","")</f>
        <v/>
      </c>
      <c r="BC36" s="190" t="inlineStr">
        <is>
          <t>NO</t>
        </is>
      </c>
      <c r="BD36" s="190" t="inlineStr">
        <is>
          <t>NO</t>
        </is>
      </c>
    </row>
    <row r="37" ht="15" customHeight="1" s="162">
      <c r="A37" s="7" t="n">
        <v>36</v>
      </c>
      <c r="B37" t="inlineStr">
        <is>
          <t>39121413</t>
        </is>
      </c>
      <c r="C37" t="inlineStr">
        <is>
          <t>Conector circular Amphenol India Hembra</t>
        </is>
      </c>
      <c r="D37" t="inlineStr">
        <is>
          <t>1101756211</t>
        </is>
      </c>
      <c r="E37" t="inlineStr">
        <is>
          <t>2</t>
        </is>
      </c>
      <c r="F37" s="163" t="n">
        <v>45460</v>
      </c>
      <c r="G37" t="inlineStr"/>
      <c r="H37" t="inlineStr">
        <is>
          <t>4800002579</t>
        </is>
      </c>
      <c r="I37" t="inlineStr">
        <is>
          <t>990</t>
        </is>
      </c>
      <c r="J37" s="163" t="n">
        <v>45457</v>
      </c>
      <c r="K37" s="163" t="inlineStr"/>
      <c r="L37" t="inlineStr"/>
      <c r="M37" s="163" t="n">
        <v>45461</v>
      </c>
      <c r="N37" s="164" t="n">
        <v>0</v>
      </c>
      <c r="O37" s="164" t="n">
        <v>0</v>
      </c>
      <c r="P37" t="inlineStr"/>
      <c r="Q37" s="165" t="n">
        <v>1</v>
      </c>
      <c r="R37" s="165" t="n">
        <v>1</v>
      </c>
      <c r="S37" s="165" t="n">
        <v>1</v>
      </c>
      <c r="T37" s="165" t="n">
        <v>0</v>
      </c>
      <c r="U37" s="166" t="n">
        <v>0</v>
      </c>
      <c r="V37" s="166" t="n">
        <v>0</v>
      </c>
      <c r="W37" t="inlineStr">
        <is>
          <t>X</t>
        </is>
      </c>
      <c r="X37" t="inlineStr">
        <is>
          <t>0.00</t>
        </is>
      </c>
      <c r="Y37" t="inlineStr"/>
      <c r="Z37" t="inlineStr">
        <is>
          <t>AMIDATA, S.A.</t>
        </is>
      </c>
      <c r="AA37" t="inlineStr"/>
      <c r="AB37" t="inlineStr">
        <is>
          <t>2475435</t>
        </is>
      </c>
      <c r="AC37" t="inlineStr"/>
      <c r="AD37" s="164" t="n">
        <v>0</v>
      </c>
      <c r="AE37" s="185" t="n">
        <v>0</v>
      </c>
      <c r="AG37" s="167" t="inlineStr">
        <is>
          <t>7218|JA2581_1001</t>
        </is>
      </c>
      <c r="AH37" s="46">
        <f>IF(M37=0,"-",M37-J37)</f>
        <v/>
      </c>
      <c r="AI37" s="46">
        <f>IF(AND(S37=0,M37&gt;0,L37=0),IF(AH37&gt;=120,"VERY HIGH",IF(AH37&gt;=90,"HIGH",IF(AH37&gt;=60,"MEDIUM",IF(AH37&lt;60,"LOW")))),"-")</f>
        <v/>
      </c>
      <c r="AJ37" s="12" t="n"/>
      <c r="AK37" s="41">
        <f>IF(AND(W37="X",M37&lt;=$AJ$2),"YES","")</f>
        <v/>
      </c>
      <c r="AL37" s="38">
        <f>IF(AND(W37="X",M37&lt;=$AJ$2),S37,"")</f>
        <v/>
      </c>
      <c r="AM37" s="26">
        <f>IF(AND(W37="X",M37&gt;$AJ$2),"YES","")</f>
        <v/>
      </c>
      <c r="AN37" s="89">
        <f>IF(AND(W37="X",M37&gt;$AJ$2),S37,"")</f>
        <v/>
      </c>
      <c r="AO37" s="35">
        <f>IF(AND(W37="",M37&gt;0,$AJ$2&gt;M37,L37=""),1,0)</f>
        <v/>
      </c>
      <c r="AP37" s="26">
        <f>IF(AND(AK37="YES",W37="X"),"X","")</f>
        <v/>
      </c>
      <c r="AQ37" s="28">
        <f>IF(AP37="X",100%,0%)</f>
        <v/>
      </c>
      <c r="AR37" s="25">
        <f>IF(AND(T37&gt;0,L37=""),H37,"")</f>
        <v/>
      </c>
      <c r="AS37" s="25">
        <f>IF(AND(D37&gt;0,H37=0,G37=""),1,"")</f>
        <v/>
      </c>
      <c r="AT37" s="25">
        <f>IF(G37="BLOQ",1,"")</f>
        <v/>
      </c>
      <c r="AU37" s="25">
        <f>IF(L37="BLOQ",1,"")</f>
        <v/>
      </c>
      <c r="AV37" s="25">
        <f>MONTH(F37)</f>
        <v/>
      </c>
      <c r="AW37" s="65">
        <f>IF(AP37="",100%,0%)</f>
        <v/>
      </c>
      <c r="AX37" s="23" t="n"/>
      <c r="AY37" s="24">
        <f>IF(M37=0,"",M37-$AX$2)</f>
        <v/>
      </c>
      <c r="AZ37" s="66">
        <f>IF(AND(W37="",AY37&gt;0,AY37&lt;15),1,0)</f>
        <v/>
      </c>
      <c r="BA37" s="24">
        <f>IF(AND(W37="",AY37&gt;0,AY37&lt;15),T37,"")</f>
        <v/>
      </c>
      <c r="BB37" s="87">
        <f>IF(R37&lt;Q37,"X","")</f>
        <v/>
      </c>
      <c r="BC37" s="190" t="inlineStr">
        <is>
          <t>NO</t>
        </is>
      </c>
      <c r="BD37" s="190" t="inlineStr">
        <is>
          <t>NO</t>
        </is>
      </c>
    </row>
    <row r="38" ht="15" customHeight="1" s="162">
      <c r="A38" s="7" t="n">
        <v>37</v>
      </c>
      <c r="B38" t="inlineStr">
        <is>
          <t>39121413</t>
        </is>
      </c>
      <c r="C38" t="inlineStr">
        <is>
          <t>Conector circular Amphenol India Hembra</t>
        </is>
      </c>
      <c r="D38" t="inlineStr">
        <is>
          <t>1101756211</t>
        </is>
      </c>
      <c r="E38" t="inlineStr">
        <is>
          <t>3</t>
        </is>
      </c>
      <c r="F38" s="163" t="n">
        <v>45460</v>
      </c>
      <c r="G38" t="inlineStr"/>
      <c r="H38" t="inlineStr">
        <is>
          <t>4800002579</t>
        </is>
      </c>
      <c r="I38" t="inlineStr">
        <is>
          <t>1000</t>
        </is>
      </c>
      <c r="J38" s="163" t="n">
        <v>45457</v>
      </c>
      <c r="K38" s="163" t="inlineStr"/>
      <c r="L38" t="inlineStr"/>
      <c r="M38" s="163" t="n">
        <v>45461</v>
      </c>
      <c r="N38" s="164" t="n">
        <v>0</v>
      </c>
      <c r="O38" s="164" t="n">
        <v>0</v>
      </c>
      <c r="P38" t="inlineStr"/>
      <c r="Q38" s="165" t="n">
        <v>10</v>
      </c>
      <c r="R38" s="165" t="n">
        <v>10</v>
      </c>
      <c r="S38" s="165" t="n">
        <v>10</v>
      </c>
      <c r="T38" s="165" t="n">
        <v>0</v>
      </c>
      <c r="U38" s="166" t="n">
        <v>0</v>
      </c>
      <c r="V38" s="166" t="n">
        <v>0</v>
      </c>
      <c r="W38" t="inlineStr">
        <is>
          <t>X</t>
        </is>
      </c>
      <c r="X38" t="inlineStr">
        <is>
          <t>0.00</t>
        </is>
      </c>
      <c r="Y38" t="inlineStr"/>
      <c r="Z38" t="inlineStr">
        <is>
          <t>AMIDATA, S.A.</t>
        </is>
      </c>
      <c r="AA38" t="inlineStr"/>
      <c r="AB38" t="inlineStr">
        <is>
          <t>2475437</t>
        </is>
      </c>
      <c r="AC38" t="inlineStr"/>
      <c r="AD38" s="164" t="n">
        <v>0</v>
      </c>
      <c r="AE38" s="185" t="n">
        <v>0</v>
      </c>
      <c r="AG38" s="167" t="inlineStr">
        <is>
          <t>7218|JA2581_1001</t>
        </is>
      </c>
      <c r="AH38" s="46">
        <f>IF(M38=0,"-",M38-J38)</f>
        <v/>
      </c>
      <c r="AI38" s="46">
        <f>IF(AND(S38=0,M38&gt;0,L38=0),IF(AH38&gt;=120,"VERY HIGH",IF(AH38&gt;=90,"HIGH",IF(AH38&gt;=60,"MEDIUM",IF(AH38&lt;60,"LOW")))),"-")</f>
        <v/>
      </c>
      <c r="AJ38" s="12" t="n"/>
      <c r="AK38" s="41">
        <f>IF(AND(W38="X",M38&lt;=$AJ$2),"YES","")</f>
        <v/>
      </c>
      <c r="AL38" s="38">
        <f>IF(AND(W38="X",M38&lt;=$AJ$2),S38,"")</f>
        <v/>
      </c>
      <c r="AM38" s="26">
        <f>IF(AND(W38="X",M38&gt;$AJ$2),"YES","")</f>
        <v/>
      </c>
      <c r="AN38" s="89">
        <f>IF(AND(W38="X",M38&gt;$AJ$2),S38,"")</f>
        <v/>
      </c>
      <c r="AO38" s="35">
        <f>IF(AND(W38="",M38&gt;0,$AJ$2&gt;M38,L38=""),1,0)</f>
        <v/>
      </c>
      <c r="AP38" s="26">
        <f>IF(AND(AK38="YES",W38="X"),"X","")</f>
        <v/>
      </c>
      <c r="AQ38" s="28">
        <f>IF(AP38="X",100%,0%)</f>
        <v/>
      </c>
      <c r="AR38" s="25">
        <f>IF(AND(T38&gt;0,L38=""),H38,"")</f>
        <v/>
      </c>
      <c r="AS38" s="25">
        <f>IF(AND(D38&gt;0,H38=0,G38=""),1,"")</f>
        <v/>
      </c>
      <c r="AT38" s="25">
        <f>IF(G38="BLOQ",1,"")</f>
        <v/>
      </c>
      <c r="AU38" s="25">
        <f>IF(L38="BLOQ",1,"")</f>
        <v/>
      </c>
      <c r="AV38" s="25">
        <f>MONTH(F38)</f>
        <v/>
      </c>
      <c r="AW38" s="65">
        <f>IF(AP38="",100%,0%)</f>
        <v/>
      </c>
      <c r="AX38" s="23" t="n"/>
      <c r="AY38" s="24">
        <f>IF(M38=0,"",M38-$AX$2)</f>
        <v/>
      </c>
      <c r="AZ38" s="66">
        <f>IF(AND(W38="",AY38&gt;0,AY38&lt;15),1,0)</f>
        <v/>
      </c>
      <c r="BA38" s="24">
        <f>IF(AND(W38="",AY38&gt;0,AY38&lt;15),T38,"")</f>
        <v/>
      </c>
      <c r="BB38" s="87">
        <f>IF(R38&lt;Q38,"X","")</f>
        <v/>
      </c>
      <c r="BC38" s="190" t="inlineStr">
        <is>
          <t>NO</t>
        </is>
      </c>
      <c r="BD38" s="190" t="inlineStr">
        <is>
          <t>NO</t>
        </is>
      </c>
    </row>
    <row r="39" ht="15" customHeight="1" s="162">
      <c r="A39" s="7" t="n">
        <v>38</v>
      </c>
      <c r="B39" t="inlineStr">
        <is>
          <t>39121413</t>
        </is>
      </c>
      <c r="C39" t="inlineStr">
        <is>
          <t>Conector circular Souriau Sunbank by Eat</t>
        </is>
      </c>
      <c r="D39" t="inlineStr">
        <is>
          <t>1101756211</t>
        </is>
      </c>
      <c r="E39" t="inlineStr">
        <is>
          <t>4</t>
        </is>
      </c>
      <c r="F39" s="163" t="n">
        <v>45460</v>
      </c>
      <c r="G39" t="inlineStr"/>
      <c r="H39" t="inlineStr">
        <is>
          <t>4800002579</t>
        </is>
      </c>
      <c r="I39" t="inlineStr">
        <is>
          <t>1010</t>
        </is>
      </c>
      <c r="J39" s="163" t="n">
        <v>45457</v>
      </c>
      <c r="K39" s="163" t="inlineStr"/>
      <c r="L39" t="inlineStr"/>
      <c r="M39" s="163" t="n">
        <v>45461</v>
      </c>
      <c r="N39" s="164" t="n">
        <v>0</v>
      </c>
      <c r="O39" s="164" t="n">
        <v>0</v>
      </c>
      <c r="P39" t="inlineStr"/>
      <c r="Q39" s="165" t="n">
        <v>2</v>
      </c>
      <c r="R39" s="165" t="n">
        <v>2</v>
      </c>
      <c r="S39" s="165" t="n">
        <v>2</v>
      </c>
      <c r="T39" s="165" t="n">
        <v>0</v>
      </c>
      <c r="U39" s="166" t="n">
        <v>0</v>
      </c>
      <c r="V39" s="166" t="n">
        <v>0</v>
      </c>
      <c r="W39" t="inlineStr">
        <is>
          <t>X</t>
        </is>
      </c>
      <c r="X39" t="inlineStr">
        <is>
          <t>0.00</t>
        </is>
      </c>
      <c r="Y39" t="inlineStr"/>
      <c r="Z39" t="inlineStr">
        <is>
          <t>AMIDATA, S.A.</t>
        </is>
      </c>
      <c r="AA39" t="inlineStr"/>
      <c r="AB39" t="inlineStr">
        <is>
          <t>7601259</t>
        </is>
      </c>
      <c r="AC39" t="inlineStr"/>
      <c r="AD39" s="164" t="n">
        <v>0</v>
      </c>
      <c r="AE39" s="185" t="n">
        <v>0</v>
      </c>
      <c r="AG39" s="167" t="inlineStr">
        <is>
          <t>7218|JA2581_1001</t>
        </is>
      </c>
      <c r="AH39" s="46">
        <f>IF(M39=0,"-",M39-J39)</f>
        <v/>
      </c>
      <c r="AI39" s="46">
        <f>IF(AND(S39=0,M39&gt;0,L39=0),IF(AH39&gt;=120,"VERY HIGH",IF(AH39&gt;=90,"HIGH",IF(AH39&gt;=60,"MEDIUM",IF(AH39&lt;60,"LOW")))),"-")</f>
        <v/>
      </c>
      <c r="AJ39" s="12" t="n"/>
      <c r="AK39" s="41">
        <f>IF(AND(W39="X",M39&lt;=$AJ$2),"YES","")</f>
        <v/>
      </c>
      <c r="AL39" s="38">
        <f>IF(AND(W39="X",M39&lt;=$AJ$2),S39,"")</f>
        <v/>
      </c>
      <c r="AM39" s="26">
        <f>IF(AND(W39="X",M39&gt;$AJ$2),"YES","")</f>
        <v/>
      </c>
      <c r="AN39" s="89">
        <f>IF(AND(W39="X",M39&gt;$AJ$2),S39,"")</f>
        <v/>
      </c>
      <c r="AO39" s="35">
        <f>IF(AND(W39="",M39&gt;0,$AJ$2&gt;M39,L39=""),1,0)</f>
        <v/>
      </c>
      <c r="AP39" s="26">
        <f>IF(AND(AK39="YES",W39="X"),"X","")</f>
        <v/>
      </c>
      <c r="AQ39" s="28">
        <f>IF(AP39="X",100%,0%)</f>
        <v/>
      </c>
      <c r="AR39" s="25">
        <f>IF(AND(T39&gt;0,L39=""),H39,"")</f>
        <v/>
      </c>
      <c r="AS39" s="25">
        <f>IF(AND(D39&gt;0,H39=0,G39=""),1,"")</f>
        <v/>
      </c>
      <c r="AT39" s="25">
        <f>IF(G39="BLOQ",1,"")</f>
        <v/>
      </c>
      <c r="AU39" s="25">
        <f>IF(L39="BLOQ",1,"")</f>
        <v/>
      </c>
      <c r="AV39" s="25">
        <f>MONTH(F39)</f>
        <v/>
      </c>
      <c r="AW39" s="65">
        <f>IF(AP39="",100%,0%)</f>
        <v/>
      </c>
      <c r="AX39" s="23" t="n"/>
      <c r="AY39" s="24">
        <f>IF(M39=0,"",M39-$AX$2)</f>
        <v/>
      </c>
      <c r="AZ39" s="66">
        <f>IF(AND(W39="",AY39&gt;0,AY39&lt;15),1,0)</f>
        <v/>
      </c>
      <c r="BA39" s="24">
        <f>IF(AND(W39="",AY39&gt;0,AY39&lt;15),T39,"")</f>
        <v/>
      </c>
      <c r="BB39" s="87">
        <f>IF(R39&lt;Q39,"X","")</f>
        <v/>
      </c>
      <c r="BC39" s="190" t="inlineStr">
        <is>
          <t>NO</t>
        </is>
      </c>
      <c r="BD39" s="190" t="inlineStr">
        <is>
          <t>NO</t>
        </is>
      </c>
    </row>
    <row r="40" ht="15" customHeight="1" s="162">
      <c r="A40" s="7" t="n">
        <v>39</v>
      </c>
      <c r="B40" t="inlineStr">
        <is>
          <t>39121415</t>
        </is>
      </c>
      <c r="C40" t="inlineStr">
        <is>
          <t>Conector D-sub FCT from Molex, Serie 173</t>
        </is>
      </c>
      <c r="D40" t="inlineStr">
        <is>
          <t>1101756211</t>
        </is>
      </c>
      <c r="E40" t="inlineStr">
        <is>
          <t>5</t>
        </is>
      </c>
      <c r="F40" s="163" t="n">
        <v>45460</v>
      </c>
      <c r="G40" t="inlineStr"/>
      <c r="H40" t="inlineStr">
        <is>
          <t>4800002579</t>
        </is>
      </c>
      <c r="I40" t="inlineStr">
        <is>
          <t>1020</t>
        </is>
      </c>
      <c r="J40" s="163" t="n">
        <v>45457</v>
      </c>
      <c r="K40" s="163" t="inlineStr"/>
      <c r="L40" t="inlineStr"/>
      <c r="M40" s="163" t="n">
        <v>45461</v>
      </c>
      <c r="N40" s="164" t="n">
        <v>0</v>
      </c>
      <c r="O40" s="164" t="n">
        <v>0</v>
      </c>
      <c r="P40" t="inlineStr"/>
      <c r="Q40" s="165" t="n">
        <v>5</v>
      </c>
      <c r="R40" s="165" t="n">
        <v>5</v>
      </c>
      <c r="S40" s="165" t="n">
        <v>5</v>
      </c>
      <c r="T40" s="165" t="n">
        <v>0</v>
      </c>
      <c r="U40" s="166" t="n">
        <v>0</v>
      </c>
      <c r="V40" s="166" t="n">
        <v>0</v>
      </c>
      <c r="W40" t="inlineStr">
        <is>
          <t>X</t>
        </is>
      </c>
      <c r="X40" t="inlineStr">
        <is>
          <t>0.00</t>
        </is>
      </c>
      <c r="Y40" t="inlineStr"/>
      <c r="Z40" t="inlineStr">
        <is>
          <t>AMIDATA, S.A.</t>
        </is>
      </c>
      <c r="AA40" t="inlineStr"/>
      <c r="AB40" t="inlineStr">
        <is>
          <t>2075813</t>
        </is>
      </c>
      <c r="AC40" t="inlineStr"/>
      <c r="AD40" s="164" t="n">
        <v>0</v>
      </c>
      <c r="AE40" s="185" t="n">
        <v>0</v>
      </c>
      <c r="AG40" s="167" t="inlineStr">
        <is>
          <t>7218|JA2581_1001</t>
        </is>
      </c>
      <c r="AH40" s="46">
        <f>IF(M40=0,"-",M40-J40)</f>
        <v/>
      </c>
      <c r="AI40" s="46">
        <f>IF(AND(S40=0,M40&gt;0,L40=0),IF(AH40&gt;=120,"VERY HIGH",IF(AH40&gt;=90,"HIGH",IF(AH40&gt;=60,"MEDIUM",IF(AH40&lt;60,"LOW")))),"-")</f>
        <v/>
      </c>
      <c r="AJ40" s="12" t="n"/>
      <c r="AK40" s="41">
        <f>IF(AND(W40="X",M40&lt;=$AJ$2),"YES","")</f>
        <v/>
      </c>
      <c r="AL40" s="38">
        <f>IF(AND(W40="X",M40&lt;=$AJ$2),S40,"")</f>
        <v/>
      </c>
      <c r="AM40" s="26">
        <f>IF(AND(W40="X",M40&gt;$AJ$2),"YES","")</f>
        <v/>
      </c>
      <c r="AN40" s="89">
        <f>IF(AND(W40="X",M40&gt;$AJ$2),S40,"")</f>
        <v/>
      </c>
      <c r="AO40" s="35">
        <f>IF(AND(W40="",M40&gt;0,$AJ$2&gt;M40,L40=""),1,0)</f>
        <v/>
      </c>
      <c r="AP40" s="26">
        <f>IF(AND(AK40="YES",W40="X"),"X","")</f>
        <v/>
      </c>
      <c r="AQ40" s="28">
        <f>IF(AP40="X",100%,0%)</f>
        <v/>
      </c>
      <c r="AR40" s="25">
        <f>IF(AND(T40&gt;0,L40=""),H40,"")</f>
        <v/>
      </c>
      <c r="AS40" s="25">
        <f>IF(AND(D40&gt;0,H40=0,G40=""),1,"")</f>
        <v/>
      </c>
      <c r="AT40" s="25">
        <f>IF(G40="BLOQ",1,"")</f>
        <v/>
      </c>
      <c r="AU40" s="25">
        <f>IF(L40="BLOQ",1,"")</f>
        <v/>
      </c>
      <c r="AV40" s="25">
        <f>MONTH(F40)</f>
        <v/>
      </c>
      <c r="AW40" s="65">
        <f>IF(AP40="",100%,0%)</f>
        <v/>
      </c>
      <c r="AX40" s="23" t="n"/>
      <c r="AY40" s="24">
        <f>IF(M40=0,"",M40-$AX$2)</f>
        <v/>
      </c>
      <c r="AZ40" s="66">
        <f>IF(AND(W40="",AY40&gt;0,AY40&lt;15),1,0)</f>
        <v/>
      </c>
      <c r="BA40" s="24">
        <f>IF(AND(W40="",AY40&gt;0,AY40&lt;15),T40,"")</f>
        <v/>
      </c>
      <c r="BB40" s="87">
        <f>IF(R40&lt;Q40,"X","")</f>
        <v/>
      </c>
      <c r="BC40" s="190" t="inlineStr">
        <is>
          <t>NO</t>
        </is>
      </c>
      <c r="BD40" s="190" t="inlineStr">
        <is>
          <t>NO</t>
        </is>
      </c>
    </row>
    <row r="41" ht="15" customHeight="1" s="162">
      <c r="A41" s="7" t="n">
        <v>40</v>
      </c>
      <c r="B41" t="inlineStr">
        <is>
          <t>39121421</t>
        </is>
      </c>
      <c r="C41" t="inlineStr">
        <is>
          <t>Carcasa de conector Molex 39-01-4031, Se</t>
        </is>
      </c>
      <c r="D41" t="inlineStr">
        <is>
          <t>1101756211</t>
        </is>
      </c>
      <c r="E41" t="inlineStr">
        <is>
          <t>6</t>
        </is>
      </c>
      <c r="F41" s="163" t="n">
        <v>45460</v>
      </c>
      <c r="G41" t="inlineStr"/>
      <c r="H41" t="inlineStr">
        <is>
          <t>4800002579</t>
        </is>
      </c>
      <c r="I41" t="inlineStr">
        <is>
          <t>1030</t>
        </is>
      </c>
      <c r="J41" s="163" t="n">
        <v>45457</v>
      </c>
      <c r="K41" s="163" t="inlineStr"/>
      <c r="L41" t="inlineStr"/>
      <c r="M41" s="163" t="n">
        <v>45461</v>
      </c>
      <c r="N41" s="164" t="n">
        <v>0</v>
      </c>
      <c r="O41" s="164" t="n">
        <v>0</v>
      </c>
      <c r="P41" t="inlineStr"/>
      <c r="Q41" s="165" t="n">
        <v>100</v>
      </c>
      <c r="R41" s="165" t="n">
        <v>100</v>
      </c>
      <c r="S41" s="165" t="n">
        <v>100</v>
      </c>
      <c r="T41" s="165" t="n">
        <v>0</v>
      </c>
      <c r="U41" s="166" t="n">
        <v>0</v>
      </c>
      <c r="V41" s="166" t="n">
        <v>0</v>
      </c>
      <c r="W41" t="inlineStr">
        <is>
          <t>X</t>
        </is>
      </c>
      <c r="X41" t="inlineStr">
        <is>
          <t>0.00</t>
        </is>
      </c>
      <c r="Y41" t="inlineStr"/>
      <c r="Z41" t="inlineStr">
        <is>
          <t>AMIDATA, S.A.</t>
        </is>
      </c>
      <c r="AA41" t="inlineStr"/>
      <c r="AB41" t="inlineStr">
        <is>
          <t>6795842P</t>
        </is>
      </c>
      <c r="AC41" t="inlineStr"/>
      <c r="AD41" s="164" t="n">
        <v>0</v>
      </c>
      <c r="AE41" s="185" t="n">
        <v>0</v>
      </c>
      <c r="AG41" s="167" t="inlineStr">
        <is>
          <t>7218|JA2581_1001</t>
        </is>
      </c>
      <c r="AH41" s="46">
        <f>IF(M41=0,"-",M41-J41)</f>
        <v/>
      </c>
      <c r="AI41" s="46">
        <f>IF(AND(S41=0,M41&gt;0,L41=0),IF(AH41&gt;=120,"VERY HIGH",IF(AH41&gt;=90,"HIGH",IF(AH41&gt;=60,"MEDIUM",IF(AH41&lt;60,"LOW")))),"-")</f>
        <v/>
      </c>
      <c r="AJ41" s="12" t="n"/>
      <c r="AK41" s="41">
        <f>IF(AND(W41="X",M41&lt;=$AJ$2),"YES","")</f>
        <v/>
      </c>
      <c r="AL41" s="38">
        <f>IF(AND(W41="X",M41&lt;=$AJ$2),S41,"")</f>
        <v/>
      </c>
      <c r="AM41" s="26">
        <f>IF(AND(W41="X",M41&gt;$AJ$2),"YES","")</f>
        <v/>
      </c>
      <c r="AN41" s="89">
        <f>IF(AND(W41="X",M41&gt;$AJ$2),S41,"")</f>
        <v/>
      </c>
      <c r="AO41" s="35">
        <f>IF(AND(W41="",M41&gt;0,$AJ$2&gt;M41,L41=""),1,0)</f>
        <v/>
      </c>
      <c r="AP41" s="26">
        <f>IF(AND(AK41="YES",W41="X"),"X","")</f>
        <v/>
      </c>
      <c r="AQ41" s="28">
        <f>IF(AP41="X",100%,0%)</f>
        <v/>
      </c>
      <c r="AR41" s="25">
        <f>IF(AND(T41&gt;0,L41=""),H41,"")</f>
        <v/>
      </c>
      <c r="AS41" s="25">
        <f>IF(AND(D41&gt;0,H41=0,G41=""),1,"")</f>
        <v/>
      </c>
      <c r="AT41" s="25">
        <f>IF(G41="BLOQ",1,"")</f>
        <v/>
      </c>
      <c r="AU41" s="25">
        <f>IF(L41="BLOQ",1,"")</f>
        <v/>
      </c>
      <c r="AV41" s="25">
        <f>MONTH(F41)</f>
        <v/>
      </c>
      <c r="AW41" s="65">
        <f>IF(AP41="",100%,0%)</f>
        <v/>
      </c>
      <c r="AX41" s="23" t="n"/>
      <c r="AY41" s="24">
        <f>IF(M41=0,"",M41-$AX$2)</f>
        <v/>
      </c>
      <c r="AZ41" s="66">
        <f>IF(AND(W41="",AY41&gt;0,AY41&lt;15),1,0)</f>
        <v/>
      </c>
      <c r="BA41" s="24">
        <f>IF(AND(W41="",AY41&gt;0,AY41&lt;15),T41,"")</f>
        <v/>
      </c>
      <c r="BB41" s="87">
        <f>IF(R41&lt;Q41,"X","")</f>
        <v/>
      </c>
      <c r="BC41" s="190" t="inlineStr">
        <is>
          <t>NO</t>
        </is>
      </c>
      <c r="BD41" s="190" t="inlineStr">
        <is>
          <t>NO</t>
        </is>
      </c>
    </row>
    <row r="42" ht="15" customHeight="1" s="162">
      <c r="A42" s="7" t="n">
        <v>41</v>
      </c>
      <c r="B42" t="inlineStr">
        <is>
          <t>39121432</t>
        </is>
      </c>
      <c r="C42" t="inlineStr">
        <is>
          <t>Contacto de crimpado Molex 39-00-0039, M</t>
        </is>
      </c>
      <c r="D42" t="inlineStr">
        <is>
          <t>1101756211</t>
        </is>
      </c>
      <c r="E42" t="inlineStr">
        <is>
          <t>7</t>
        </is>
      </c>
      <c r="F42" s="163" t="n">
        <v>45460</v>
      </c>
      <c r="G42" t="inlineStr"/>
      <c r="H42" t="inlineStr">
        <is>
          <t>4800002579</t>
        </is>
      </c>
      <c r="I42" t="inlineStr">
        <is>
          <t>1040</t>
        </is>
      </c>
      <c r="J42" s="163" t="n">
        <v>45457</v>
      </c>
      <c r="K42" s="163" t="inlineStr"/>
      <c r="L42" t="inlineStr"/>
      <c r="M42" s="163" t="n">
        <v>45461</v>
      </c>
      <c r="N42" s="164" t="n">
        <v>0</v>
      </c>
      <c r="O42" s="164" t="n">
        <v>0</v>
      </c>
      <c r="P42" t="inlineStr"/>
      <c r="Q42" s="165" t="n">
        <v>1000</v>
      </c>
      <c r="R42" s="165" t="n">
        <v>1000</v>
      </c>
      <c r="S42" s="165" t="n">
        <v>1000</v>
      </c>
      <c r="T42" s="165" t="n">
        <v>0</v>
      </c>
      <c r="U42" s="166" t="n">
        <v>0</v>
      </c>
      <c r="V42" s="166" t="n">
        <v>0</v>
      </c>
      <c r="W42" t="inlineStr">
        <is>
          <t>X</t>
        </is>
      </c>
      <c r="X42" t="inlineStr">
        <is>
          <t>0.00</t>
        </is>
      </c>
      <c r="Y42" t="inlineStr"/>
      <c r="Z42" t="inlineStr">
        <is>
          <t>AMIDATA, S.A.</t>
        </is>
      </c>
      <c r="AA42" t="inlineStr"/>
      <c r="AB42" t="inlineStr">
        <is>
          <t>1729134P</t>
        </is>
      </c>
      <c r="AC42" t="inlineStr"/>
      <c r="AD42" s="164" t="n">
        <v>0</v>
      </c>
      <c r="AE42" s="185" t="n">
        <v>0</v>
      </c>
      <c r="AG42" s="167" t="inlineStr">
        <is>
          <t>7218|JA2581_1001</t>
        </is>
      </c>
      <c r="AH42" s="46">
        <f>IF(M42=0,"-",M42-J42)</f>
        <v/>
      </c>
      <c r="AI42" s="46">
        <f>IF(AND(S42=0,M42&gt;0,L42=0),IF(AH42&gt;=120,"VERY HIGH",IF(AH42&gt;=90,"HIGH",IF(AH42&gt;=60,"MEDIUM",IF(AH42&lt;60,"LOW")))),"-")</f>
        <v/>
      </c>
      <c r="AJ42" s="12" t="n"/>
      <c r="AK42" s="41">
        <f>IF(AND(W42="X",M42&lt;=$AJ$2),"YES","")</f>
        <v/>
      </c>
      <c r="AL42" s="38">
        <f>IF(AND(W42="X",M42&lt;=$AJ$2),S42,"")</f>
        <v/>
      </c>
      <c r="AM42" s="26">
        <f>IF(AND(W42="X",M42&gt;$AJ$2),"YES","")</f>
        <v/>
      </c>
      <c r="AN42" s="89">
        <f>IF(AND(W42="X",M42&gt;$AJ$2),S42,"")</f>
        <v/>
      </c>
      <c r="AO42" s="35">
        <f>IF(AND(W42="",M42&gt;0,$AJ$2&gt;M42,L42=""),1,0)</f>
        <v/>
      </c>
      <c r="AP42" s="26">
        <f>IF(AND(AK42="YES",W42="X"),"X","")</f>
        <v/>
      </c>
      <c r="AQ42" s="28">
        <f>IF(AP42="X",100%,0%)</f>
        <v/>
      </c>
      <c r="AR42" s="25">
        <f>IF(AND(T42&gt;0,L42=""),H42,"")</f>
        <v/>
      </c>
      <c r="AS42" s="25">
        <f>IF(AND(D42&gt;0,H42=0,G42=""),1,"")</f>
        <v/>
      </c>
      <c r="AT42" s="25">
        <f>IF(G42="BLOQ",1,"")</f>
        <v/>
      </c>
      <c r="AU42" s="25">
        <f>IF(L42="BLOQ",1,"")</f>
        <v/>
      </c>
      <c r="AV42" s="25">
        <f>MONTH(F42)</f>
        <v/>
      </c>
      <c r="AW42" s="65">
        <f>IF(AP42="",100%,0%)</f>
        <v/>
      </c>
      <c r="AX42" s="23" t="n"/>
      <c r="AY42" s="24">
        <f>IF(M42=0,"",M42-$AX$2)</f>
        <v/>
      </c>
      <c r="AZ42" s="66">
        <f>IF(AND(W42="",AY42&gt;0,AY42&lt;15),1,0)</f>
        <v/>
      </c>
      <c r="BA42" s="24">
        <f>IF(AND(W42="",AY42&gt;0,AY42&lt;15),T42,"")</f>
        <v/>
      </c>
      <c r="BB42" s="87">
        <f>IF(R42&lt;Q42,"X","")</f>
        <v/>
      </c>
      <c r="BC42" s="190" t="inlineStr">
        <is>
          <t>NO</t>
        </is>
      </c>
      <c r="BD42" s="190" t="inlineStr">
        <is>
          <t>NO</t>
        </is>
      </c>
    </row>
    <row r="43" ht="15" customHeight="1" s="162">
      <c r="A43" s="7" t="n">
        <v>42</v>
      </c>
      <c r="B43" t="inlineStr">
        <is>
          <t>39121421</t>
        </is>
      </c>
      <c r="C43" t="inlineStr">
        <is>
          <t>Carcasa de conector de crimpado Molex 39</t>
        </is>
      </c>
      <c r="D43" t="inlineStr">
        <is>
          <t>1101756211</t>
        </is>
      </c>
      <c r="E43" t="inlineStr">
        <is>
          <t>8</t>
        </is>
      </c>
      <c r="F43" s="163" t="n">
        <v>45460</v>
      </c>
      <c r="G43" t="inlineStr"/>
      <c r="H43" t="inlineStr">
        <is>
          <t>4800002579</t>
        </is>
      </c>
      <c r="I43" t="inlineStr">
        <is>
          <t>1050</t>
        </is>
      </c>
      <c r="J43" s="163" t="n">
        <v>45457</v>
      </c>
      <c r="K43" s="163" t="inlineStr"/>
      <c r="L43" t="inlineStr"/>
      <c r="M43" s="163" t="n">
        <v>45461</v>
      </c>
      <c r="N43" s="164" t="n">
        <v>0</v>
      </c>
      <c r="O43" s="164" t="n">
        <v>0</v>
      </c>
      <c r="P43" t="inlineStr"/>
      <c r="Q43" s="165" t="n">
        <v>30</v>
      </c>
      <c r="R43" s="165" t="n">
        <v>30</v>
      </c>
      <c r="S43" s="165" t="n">
        <v>30</v>
      </c>
      <c r="T43" s="165" t="n">
        <v>0</v>
      </c>
      <c r="U43" s="166" t="n">
        <v>0</v>
      </c>
      <c r="V43" s="166" t="n">
        <v>0</v>
      </c>
      <c r="W43" t="inlineStr">
        <is>
          <t>X</t>
        </is>
      </c>
      <c r="X43" t="inlineStr">
        <is>
          <t>0.00</t>
        </is>
      </c>
      <c r="Y43" t="inlineStr"/>
      <c r="Z43" t="inlineStr">
        <is>
          <t>AMIDATA, S.A.</t>
        </is>
      </c>
      <c r="AA43" t="inlineStr"/>
      <c r="AB43" t="inlineStr">
        <is>
          <t>2076789</t>
        </is>
      </c>
      <c r="AC43" t="inlineStr"/>
      <c r="AD43" s="164" t="n">
        <v>0</v>
      </c>
      <c r="AE43" s="185" t="n">
        <v>0</v>
      </c>
      <c r="AG43" s="167" t="inlineStr">
        <is>
          <t>7218|JA2581_1001</t>
        </is>
      </c>
      <c r="AH43" s="46">
        <f>IF(M43=0,"-",M43-J43)</f>
        <v/>
      </c>
      <c r="AI43" s="46">
        <f>IF(AND(S43=0,M43&gt;0,L43=0),IF(AH43&gt;=120,"VERY HIGH",IF(AH43&gt;=90,"HIGH",IF(AH43&gt;=60,"MEDIUM",IF(AH43&lt;60,"LOW")))),"-")</f>
        <v/>
      </c>
      <c r="AJ43" s="12" t="n"/>
      <c r="AK43" s="41">
        <f>IF(AND(W43="X",M43&lt;=$AJ$2),"YES","")</f>
        <v/>
      </c>
      <c r="AL43" s="38">
        <f>IF(AND(W43="X",M43&lt;=$AJ$2),S43,"")</f>
        <v/>
      </c>
      <c r="AM43" s="26">
        <f>IF(AND(W43="X",M43&gt;$AJ$2),"YES","")</f>
        <v/>
      </c>
      <c r="AN43" s="89">
        <f>IF(AND(W43="X",M43&gt;$AJ$2),S43,"")</f>
        <v/>
      </c>
      <c r="AO43" s="35">
        <f>IF(AND(W43="",M43&gt;0,$AJ$2&gt;M43,L43=""),1,0)</f>
        <v/>
      </c>
      <c r="AP43" s="26">
        <f>IF(AND(AK43="YES",W43="X"),"X","")</f>
        <v/>
      </c>
      <c r="AQ43" s="28">
        <f>IF(AP43="X",100%,0%)</f>
        <v/>
      </c>
      <c r="AR43" s="25">
        <f>IF(AND(T43&gt;0,L43=""),H43,"")</f>
        <v/>
      </c>
      <c r="AS43" s="25">
        <f>IF(AND(D43&gt;0,H43=0,G43=""),1,"")</f>
        <v/>
      </c>
      <c r="AT43" s="25">
        <f>IF(G43="BLOQ",1,"")</f>
        <v/>
      </c>
      <c r="AU43" s="25">
        <f>IF(L43="BLOQ",1,"")</f>
        <v/>
      </c>
      <c r="AV43" s="25">
        <f>MONTH(F43)</f>
        <v/>
      </c>
      <c r="AW43" s="65">
        <f>IF(AP43="",100%,0%)</f>
        <v/>
      </c>
      <c r="AX43" s="23" t="n"/>
      <c r="AY43" s="24">
        <f>IF(M43=0,"",M43-$AX$2)</f>
        <v/>
      </c>
      <c r="AZ43" s="66">
        <f>IF(AND(W43="",AY43&gt;0,AY43&lt;15),1,0)</f>
        <v/>
      </c>
      <c r="BA43" s="24">
        <f>IF(AND(W43="",AY43&gt;0,AY43&lt;15),T43,"")</f>
        <v/>
      </c>
      <c r="BB43" s="87">
        <f>IF(R43&lt;Q43,"X","")</f>
        <v/>
      </c>
      <c r="BC43" s="190" t="inlineStr">
        <is>
          <t>NO</t>
        </is>
      </c>
      <c r="BD43" s="190" t="inlineStr">
        <is>
          <t>NO</t>
        </is>
      </c>
    </row>
    <row r="44" ht="15" customHeight="1" s="162">
      <c r="A44" s="7" t="n">
        <v>43</v>
      </c>
      <c r="B44" t="inlineStr">
        <is>
          <t>39121432</t>
        </is>
      </c>
      <c r="C44" t="inlineStr">
        <is>
          <t>Contacto de crimpado Molex 39-00-0041, M</t>
        </is>
      </c>
      <c r="D44" t="inlineStr">
        <is>
          <t>1101756211</t>
        </is>
      </c>
      <c r="E44" t="inlineStr">
        <is>
          <t>9</t>
        </is>
      </c>
      <c r="F44" s="163" t="n">
        <v>45460</v>
      </c>
      <c r="G44" t="inlineStr"/>
      <c r="H44" t="inlineStr">
        <is>
          <t>4800002579</t>
        </is>
      </c>
      <c r="I44" t="inlineStr">
        <is>
          <t>1060</t>
        </is>
      </c>
      <c r="J44" s="163" t="n">
        <v>45457</v>
      </c>
      <c r="K44" s="163" t="inlineStr"/>
      <c r="L44" t="inlineStr"/>
      <c r="M44" s="163" t="n">
        <v>45461</v>
      </c>
      <c r="N44" s="164" t="n">
        <v>0</v>
      </c>
      <c r="O44" s="164" t="n">
        <v>0</v>
      </c>
      <c r="P44" t="inlineStr"/>
      <c r="Q44" s="165" t="n">
        <v>1000</v>
      </c>
      <c r="R44" s="165" t="n">
        <v>1000</v>
      </c>
      <c r="S44" s="165" t="n">
        <v>1000</v>
      </c>
      <c r="T44" s="165" t="n">
        <v>0</v>
      </c>
      <c r="U44" s="166" t="n">
        <v>0</v>
      </c>
      <c r="V44" s="166" t="n">
        <v>0</v>
      </c>
      <c r="W44" t="inlineStr">
        <is>
          <t>X</t>
        </is>
      </c>
      <c r="X44" t="inlineStr">
        <is>
          <t>0.00</t>
        </is>
      </c>
      <c r="Y44" t="inlineStr"/>
      <c r="Z44" t="inlineStr">
        <is>
          <t>AMIDATA, S.A.</t>
        </is>
      </c>
      <c r="AA44" t="inlineStr"/>
      <c r="AB44" t="inlineStr">
        <is>
          <t>1729140P</t>
        </is>
      </c>
      <c r="AC44" t="inlineStr"/>
      <c r="AD44" s="164" t="n">
        <v>0</v>
      </c>
      <c r="AE44" s="185" t="n">
        <v>0</v>
      </c>
      <c r="AG44" s="167" t="inlineStr">
        <is>
          <t>7218|JA2581_1001</t>
        </is>
      </c>
      <c r="AH44" s="46">
        <f>IF(M44=0,"-",M44-J44)</f>
        <v/>
      </c>
      <c r="AI44" s="46">
        <f>IF(AND(S44=0,M44&gt;0,L44=0),IF(AH44&gt;=120,"VERY HIGH",IF(AH44&gt;=90,"HIGH",IF(AH44&gt;=60,"MEDIUM",IF(AH44&lt;60,"LOW")))),"-")</f>
        <v/>
      </c>
      <c r="AJ44" s="12" t="n"/>
      <c r="AK44" s="41">
        <f>IF(AND(W44="X",M44&lt;=$AJ$2),"YES","")</f>
        <v/>
      </c>
      <c r="AL44" s="38">
        <f>IF(AND(W44="X",M44&lt;=$AJ$2),S44,"")</f>
        <v/>
      </c>
      <c r="AM44" s="26">
        <f>IF(AND(W44="X",M44&gt;$AJ$2),"YES","")</f>
        <v/>
      </c>
      <c r="AN44" s="89">
        <f>IF(AND(W44="X",M44&gt;$AJ$2),S44,"")</f>
        <v/>
      </c>
      <c r="AO44" s="35">
        <f>IF(AND(W44="",M44&gt;0,$AJ$2&gt;M44,L44=""),1,0)</f>
        <v/>
      </c>
      <c r="AP44" s="26">
        <f>IF(AND(AK44="YES",W44="X"),"X","")</f>
        <v/>
      </c>
      <c r="AQ44" s="28">
        <f>IF(AP44="X",100%,0%)</f>
        <v/>
      </c>
      <c r="AR44" s="25">
        <f>IF(AND(T44&gt;0,L44=""),H44,"")</f>
        <v/>
      </c>
      <c r="AS44" s="25">
        <f>IF(AND(D44&gt;0,H44=0,G44=""),1,"")</f>
        <v/>
      </c>
      <c r="AT44" s="25">
        <f>IF(G44="BLOQ",1,"")</f>
        <v/>
      </c>
      <c r="AU44" s="25">
        <f>IF(L44="BLOQ",1,"")</f>
        <v/>
      </c>
      <c r="AV44" s="25">
        <f>MONTH(F44)</f>
        <v/>
      </c>
      <c r="AW44" s="65">
        <f>IF(AP44="",100%,0%)</f>
        <v/>
      </c>
      <c r="AX44" s="23" t="n"/>
      <c r="AY44" s="24">
        <f>IF(M44=0,"",M44-$AX$2)</f>
        <v/>
      </c>
      <c r="AZ44" s="66">
        <f>IF(AND(W44="",AY44&gt;0,AY44&lt;15),1,0)</f>
        <v/>
      </c>
      <c r="BA44" s="24">
        <f>IF(AND(W44="",AY44&gt;0,AY44&lt;15),T44,"")</f>
        <v/>
      </c>
      <c r="BB44" s="87">
        <f>IF(R44&lt;Q44,"X","")</f>
        <v/>
      </c>
      <c r="BC44" s="190" t="inlineStr">
        <is>
          <t>NO</t>
        </is>
      </c>
      <c r="BD44" s="190" t="inlineStr">
        <is>
          <t>NO</t>
        </is>
      </c>
    </row>
    <row r="45" ht="15" customHeight="1" s="162">
      <c r="A45" s="7" t="n">
        <v>44</v>
      </c>
      <c r="B45" t="inlineStr">
        <is>
          <t>39121432</t>
        </is>
      </c>
      <c r="C45" t="inlineStr">
        <is>
          <t>Contacto de crimpado hembra Molex serie</t>
        </is>
      </c>
      <c r="D45" t="inlineStr">
        <is>
          <t>1101756211</t>
        </is>
      </c>
      <c r="E45" t="inlineStr">
        <is>
          <t>10</t>
        </is>
      </c>
      <c r="F45" s="163" t="n">
        <v>45460</v>
      </c>
      <c r="G45" t="inlineStr"/>
      <c r="H45" t="inlineStr">
        <is>
          <t>4800002579</t>
        </is>
      </c>
      <c r="I45" t="inlineStr">
        <is>
          <t>1070</t>
        </is>
      </c>
      <c r="J45" s="163" t="n">
        <v>45457</v>
      </c>
      <c r="K45" s="163" t="inlineStr"/>
      <c r="L45" t="inlineStr"/>
      <c r="M45" s="163" t="n">
        <v>45461</v>
      </c>
      <c r="N45" s="164" t="n">
        <v>0</v>
      </c>
      <c r="O45" s="164" t="n">
        <v>0</v>
      </c>
      <c r="P45" t="inlineStr"/>
      <c r="Q45" s="165" t="n">
        <v>250</v>
      </c>
      <c r="R45" s="165" t="n">
        <v>250</v>
      </c>
      <c r="S45" s="165" t="n">
        <v>250</v>
      </c>
      <c r="T45" s="165" t="n">
        <v>0</v>
      </c>
      <c r="U45" s="166" t="n">
        <v>0</v>
      </c>
      <c r="V45" s="166" t="n">
        <v>0</v>
      </c>
      <c r="W45" t="inlineStr">
        <is>
          <t>X</t>
        </is>
      </c>
      <c r="X45" t="inlineStr">
        <is>
          <t>0.00</t>
        </is>
      </c>
      <c r="Y45" t="inlineStr"/>
      <c r="Z45" t="inlineStr">
        <is>
          <t>AMIDATA, S.A.</t>
        </is>
      </c>
      <c r="AA45" t="inlineStr"/>
      <c r="AB45" t="inlineStr">
        <is>
          <t>2363050P</t>
        </is>
      </c>
      <c r="AC45" t="inlineStr"/>
      <c r="AD45" s="164" t="n">
        <v>0</v>
      </c>
      <c r="AE45" s="185" t="n">
        <v>0</v>
      </c>
      <c r="AG45" s="167" t="inlineStr">
        <is>
          <t>7218|JA2581_1001</t>
        </is>
      </c>
      <c r="AH45" s="46">
        <f>IF(M45=0,"-",M45-J45)</f>
        <v/>
      </c>
      <c r="AI45" s="46">
        <f>IF(AND(S45=0,M45&gt;0,L45=0),IF(AH45&gt;=120,"VERY HIGH",IF(AH45&gt;=90,"HIGH",IF(AH45&gt;=60,"MEDIUM",IF(AH45&lt;60,"LOW")))),"-")</f>
        <v/>
      </c>
      <c r="AJ45" s="12" t="n"/>
      <c r="AK45" s="41">
        <f>IF(AND(W45="X",M45&lt;=$AJ$2),"YES","")</f>
        <v/>
      </c>
      <c r="AL45" s="38">
        <f>IF(AND(W45="X",M45&lt;=$AJ$2),S45,"")</f>
        <v/>
      </c>
      <c r="AM45" s="26">
        <f>IF(AND(W45="X",M45&gt;$AJ$2),"YES","")</f>
        <v/>
      </c>
      <c r="AN45" s="89">
        <f>IF(AND(W45="X",M45&gt;$AJ$2),S45,"")</f>
        <v/>
      </c>
      <c r="AO45" s="35">
        <f>IF(AND(W45="",M45&gt;0,$AJ$2&gt;M45,L45=""),1,0)</f>
        <v/>
      </c>
      <c r="AP45" s="26">
        <f>IF(AND(AK45="YES",W45="X"),"X","")</f>
        <v/>
      </c>
      <c r="AQ45" s="28">
        <f>IF(AP45="X",100%,0%)</f>
        <v/>
      </c>
      <c r="AR45" s="25">
        <f>IF(AND(T45&gt;0,L45=""),H45,"")</f>
        <v/>
      </c>
      <c r="AS45" s="25">
        <f>IF(AND(D45&gt;0,H45=0,G45=""),1,"")</f>
        <v/>
      </c>
      <c r="AT45" s="25">
        <f>IF(G45="BLOQ",1,"")</f>
        <v/>
      </c>
      <c r="AU45" s="25">
        <f>IF(L45="BLOQ",1,"")</f>
        <v/>
      </c>
      <c r="AV45" s="25">
        <f>MONTH(F45)</f>
        <v/>
      </c>
      <c r="AW45" s="65">
        <f>IF(AP45="",100%,0%)</f>
        <v/>
      </c>
      <c r="AX45" s="23" t="n"/>
      <c r="AY45" s="24">
        <f>IF(M45=0,"",M45-$AX$2)</f>
        <v/>
      </c>
      <c r="AZ45" s="66">
        <f>IF(AND(W45="",AY45&gt;0,AY45&lt;15),1,0)</f>
        <v/>
      </c>
      <c r="BA45" s="24">
        <f>IF(AND(W45="",AY45&gt;0,AY45&lt;15),T45,"")</f>
        <v/>
      </c>
      <c r="BB45" s="87">
        <f>IF(R45&lt;Q45,"X","")</f>
        <v/>
      </c>
      <c r="BC45" s="190" t="inlineStr">
        <is>
          <t>NO</t>
        </is>
      </c>
      <c r="BD45" s="190" t="inlineStr">
        <is>
          <t>NO</t>
        </is>
      </c>
    </row>
    <row r="46" ht="15" customHeight="1" s="162">
      <c r="A46" s="7" t="n">
        <v>45</v>
      </c>
      <c r="B46" t="inlineStr">
        <is>
          <t>39121432</t>
        </is>
      </c>
      <c r="C46" t="inlineStr">
        <is>
          <t>Contacto de crimpado macho Molex serie S</t>
        </is>
      </c>
      <c r="D46" t="inlineStr">
        <is>
          <t>1101756211</t>
        </is>
      </c>
      <c r="E46" t="inlineStr">
        <is>
          <t>11</t>
        </is>
      </c>
      <c r="F46" s="163" t="n">
        <v>45460</v>
      </c>
      <c r="G46" t="inlineStr"/>
      <c r="H46" t="inlineStr">
        <is>
          <t>4800002579</t>
        </is>
      </c>
      <c r="I46" t="inlineStr">
        <is>
          <t>1080</t>
        </is>
      </c>
      <c r="J46" s="163" t="n">
        <v>45457</v>
      </c>
      <c r="K46" s="163" t="inlineStr"/>
      <c r="L46" t="inlineStr"/>
      <c r="M46" s="163" t="n">
        <v>45461</v>
      </c>
      <c r="N46" s="164" t="n">
        <v>0</v>
      </c>
      <c r="O46" s="164" t="n">
        <v>0</v>
      </c>
      <c r="P46" t="inlineStr"/>
      <c r="Q46" s="165" t="n">
        <v>250</v>
      </c>
      <c r="R46" s="165" t="n">
        <v>250</v>
      </c>
      <c r="S46" s="165" t="n">
        <v>250</v>
      </c>
      <c r="T46" s="165" t="n">
        <v>0</v>
      </c>
      <c r="U46" s="166" t="n">
        <v>0</v>
      </c>
      <c r="V46" s="166" t="n">
        <v>0</v>
      </c>
      <c r="W46" t="inlineStr">
        <is>
          <t>X</t>
        </is>
      </c>
      <c r="X46" t="inlineStr">
        <is>
          <t>0.00</t>
        </is>
      </c>
      <c r="Y46" t="inlineStr"/>
      <c r="Z46" t="inlineStr">
        <is>
          <t>AMIDATA, S.A.</t>
        </is>
      </c>
      <c r="AA46" t="inlineStr"/>
      <c r="AB46" t="inlineStr">
        <is>
          <t>2363044P</t>
        </is>
      </c>
      <c r="AC46" t="inlineStr"/>
      <c r="AD46" s="164" t="n">
        <v>0</v>
      </c>
      <c r="AE46" s="185" t="n">
        <v>0</v>
      </c>
      <c r="AG46" s="167" t="inlineStr">
        <is>
          <t>7218|JA2581_1001</t>
        </is>
      </c>
      <c r="AH46" s="46">
        <f>IF(M46=0,"-",M46-J46)</f>
        <v/>
      </c>
      <c r="AI46" s="46">
        <f>IF(AND(S46=0,M46&gt;0,L46=0),IF(AH46&gt;=120,"VERY HIGH",IF(AH46&gt;=90,"HIGH",IF(AH46&gt;=60,"MEDIUM",IF(AH46&lt;60,"LOW")))),"-")</f>
        <v/>
      </c>
      <c r="AJ46" s="12" t="n"/>
      <c r="AK46" s="41">
        <f>IF(AND(W46="X",M46&lt;=$AJ$2),"YES","")</f>
        <v/>
      </c>
      <c r="AL46" s="38">
        <f>IF(AND(W46="X",M46&lt;=$AJ$2),S46,"")</f>
        <v/>
      </c>
      <c r="AM46" s="26">
        <f>IF(AND(W46="X",M46&gt;$AJ$2),"YES","")</f>
        <v/>
      </c>
      <c r="AN46" s="89">
        <f>IF(AND(W46="X",M46&gt;$AJ$2),S46,"")</f>
        <v/>
      </c>
      <c r="AO46" s="35">
        <f>IF(AND(W46="",M46&gt;0,$AJ$2&gt;M46,L46=""),1,0)</f>
        <v/>
      </c>
      <c r="AP46" s="26">
        <f>IF(AND(AK46="YES",W46="X"),"X","")</f>
        <v/>
      </c>
      <c r="AQ46" s="28">
        <f>IF(AP46="X",100%,0%)</f>
        <v/>
      </c>
      <c r="AR46" s="25">
        <f>IF(AND(T46&gt;0,L46=""),H46,"")</f>
        <v/>
      </c>
      <c r="AS46" s="25">
        <f>IF(AND(D46&gt;0,H46=0,G46=""),1,"")</f>
        <v/>
      </c>
      <c r="AT46" s="25">
        <f>IF(G46="BLOQ",1,"")</f>
        <v/>
      </c>
      <c r="AU46" s="25">
        <f>IF(L46="BLOQ",1,"")</f>
        <v/>
      </c>
      <c r="AV46" s="25">
        <f>MONTH(F46)</f>
        <v/>
      </c>
      <c r="AW46" s="65">
        <f>IF(AP46="",100%,0%)</f>
        <v/>
      </c>
      <c r="AX46" s="23" t="n"/>
      <c r="AY46" s="24">
        <f>IF(M46=0,"",M46-$AX$2)</f>
        <v/>
      </c>
      <c r="AZ46" s="66">
        <f>IF(AND(W46="",AY46&gt;0,AY46&lt;15),1,0)</f>
        <v/>
      </c>
      <c r="BA46" s="24">
        <f>IF(AND(W46="",AY46&gt;0,AY46&lt;15),T46,"")</f>
        <v/>
      </c>
      <c r="BB46" s="87">
        <f>IF(R46&lt;Q46,"X","")</f>
        <v/>
      </c>
      <c r="BC46" s="190" t="inlineStr">
        <is>
          <t>NO</t>
        </is>
      </c>
      <c r="BD46" s="190" t="inlineStr">
        <is>
          <t>NO</t>
        </is>
      </c>
    </row>
    <row r="47" ht="15" customHeight="1" s="162">
      <c r="A47" s="7" t="n">
        <v>46</v>
      </c>
      <c r="B47" t="inlineStr">
        <is>
          <t>39121421</t>
        </is>
      </c>
      <c r="C47" t="inlineStr">
        <is>
          <t>Carcasa de conector Molex 50-57-9204, Se</t>
        </is>
      </c>
      <c r="D47" t="inlineStr">
        <is>
          <t>1101756211</t>
        </is>
      </c>
      <c r="E47" t="inlineStr">
        <is>
          <t>12</t>
        </is>
      </c>
      <c r="F47" s="163" t="n">
        <v>45460</v>
      </c>
      <c r="G47" t="inlineStr"/>
      <c r="H47" t="inlineStr">
        <is>
          <t>4800002579</t>
        </is>
      </c>
      <c r="I47" t="inlineStr">
        <is>
          <t>1090</t>
        </is>
      </c>
      <c r="J47" s="163" t="n">
        <v>45457</v>
      </c>
      <c r="K47" s="163" t="inlineStr"/>
      <c r="L47" t="inlineStr"/>
      <c r="M47" s="163" t="n">
        <v>45461</v>
      </c>
      <c r="N47" s="164" t="n">
        <v>0</v>
      </c>
      <c r="O47" s="164" t="n">
        <v>0</v>
      </c>
      <c r="P47" t="inlineStr"/>
      <c r="Q47" s="165" t="n">
        <v>10</v>
      </c>
      <c r="R47" s="165" t="n">
        <v>10</v>
      </c>
      <c r="S47" s="165" t="n">
        <v>10</v>
      </c>
      <c r="T47" s="165" t="n">
        <v>0</v>
      </c>
      <c r="U47" s="166" t="n">
        <v>0</v>
      </c>
      <c r="V47" s="166" t="n">
        <v>0</v>
      </c>
      <c r="W47" t="inlineStr">
        <is>
          <t>X</t>
        </is>
      </c>
      <c r="X47" t="inlineStr">
        <is>
          <t>0.00</t>
        </is>
      </c>
      <c r="Y47" t="inlineStr"/>
      <c r="Z47" t="inlineStr">
        <is>
          <t>AMIDATA, S.A.</t>
        </is>
      </c>
      <c r="AA47" t="inlineStr"/>
      <c r="AB47" t="inlineStr">
        <is>
          <t>6703887</t>
        </is>
      </c>
      <c r="AC47" t="inlineStr"/>
      <c r="AD47" s="164" t="n">
        <v>0</v>
      </c>
      <c r="AE47" s="185" t="n">
        <v>0</v>
      </c>
      <c r="AG47" s="167" t="inlineStr">
        <is>
          <t>7218|JA2581_1001</t>
        </is>
      </c>
      <c r="AH47" s="46">
        <f>IF(M47=0,"-",M47-J47)</f>
        <v/>
      </c>
      <c r="AI47" s="46">
        <f>IF(AND(S47=0,M47&gt;0,L47=0),IF(AH47&gt;=120,"VERY HIGH",IF(AH47&gt;=90,"HIGH",IF(AH47&gt;=60,"MEDIUM",IF(AH47&lt;60,"LOW")))),"-")</f>
        <v/>
      </c>
      <c r="AJ47" s="12" t="n"/>
      <c r="AK47" s="41">
        <f>IF(AND(W47="X",M47&lt;=$AJ$2),"YES","")</f>
        <v/>
      </c>
      <c r="AL47" s="38">
        <f>IF(AND(W47="X",M47&lt;=$AJ$2),S47,"")</f>
        <v/>
      </c>
      <c r="AM47" s="26">
        <f>IF(AND(W47="X",M47&gt;$AJ$2),"YES","")</f>
        <v/>
      </c>
      <c r="AN47" s="89">
        <f>IF(AND(W47="X",M47&gt;$AJ$2),S47,"")</f>
        <v/>
      </c>
      <c r="AO47" s="35">
        <f>IF(AND(W47="",M47&gt;0,$AJ$2&gt;M47,L47=""),1,0)</f>
        <v/>
      </c>
      <c r="AP47" s="26">
        <f>IF(AND(AK47="YES",W47="X"),"X","")</f>
        <v/>
      </c>
      <c r="AQ47" s="28">
        <f>IF(AP47="X",100%,0%)</f>
        <v/>
      </c>
      <c r="AR47" s="25">
        <f>IF(AND(T47&gt;0,L47=""),H47,"")</f>
        <v/>
      </c>
      <c r="AS47" s="25">
        <f>IF(AND(D47&gt;0,H47=0,G47=""),1,"")</f>
        <v/>
      </c>
      <c r="AT47" s="25">
        <f>IF(G47="BLOQ",1,"")</f>
        <v/>
      </c>
      <c r="AU47" s="25">
        <f>IF(L47="BLOQ",1,"")</f>
        <v/>
      </c>
      <c r="AV47" s="25">
        <f>MONTH(F47)</f>
        <v/>
      </c>
      <c r="AW47" s="65">
        <f>IF(AP47="",100%,0%)</f>
        <v/>
      </c>
      <c r="AX47" s="23" t="n"/>
      <c r="AY47" s="24">
        <f>IF(M47=0,"",M47-$AX$2)</f>
        <v/>
      </c>
      <c r="AZ47" s="66">
        <f>IF(AND(W47="",AY47&gt;0,AY47&lt;15),1,0)</f>
        <v/>
      </c>
      <c r="BA47" s="24">
        <f>IF(AND(W47="",AY47&gt;0,AY47&lt;15),T47,"")</f>
        <v/>
      </c>
      <c r="BB47" s="87">
        <f>IF(R47&lt;Q47,"X","")</f>
        <v/>
      </c>
      <c r="BC47" s="190" t="inlineStr">
        <is>
          <t>NO</t>
        </is>
      </c>
      <c r="BD47" s="190" t="inlineStr">
        <is>
          <t>NO</t>
        </is>
      </c>
    </row>
    <row r="48" ht="15" customHeight="1" s="162">
      <c r="A48" s="7" t="n">
        <v>47</v>
      </c>
      <c r="B48" t="inlineStr">
        <is>
          <t>39121421</t>
        </is>
      </c>
      <c r="C48" t="inlineStr">
        <is>
          <t>Carcasa de conector Molex 50-57-9404, Se</t>
        </is>
      </c>
      <c r="D48" t="inlineStr">
        <is>
          <t>1101756211</t>
        </is>
      </c>
      <c r="E48" t="inlineStr">
        <is>
          <t>13</t>
        </is>
      </c>
      <c r="F48" s="163" t="n">
        <v>45460</v>
      </c>
      <c r="G48" t="inlineStr"/>
      <c r="H48" t="inlineStr">
        <is>
          <t>4800002579</t>
        </is>
      </c>
      <c r="I48" t="inlineStr">
        <is>
          <t>1100</t>
        </is>
      </c>
      <c r="J48" s="163" t="n">
        <v>45457</v>
      </c>
      <c r="K48" s="163" t="inlineStr"/>
      <c r="L48" t="inlineStr"/>
      <c r="M48" s="163" t="n">
        <v>45461</v>
      </c>
      <c r="N48" s="164" t="n">
        <v>0</v>
      </c>
      <c r="O48" s="164" t="n">
        <v>0</v>
      </c>
      <c r="P48" t="inlineStr"/>
      <c r="Q48" s="165" t="n">
        <v>10</v>
      </c>
      <c r="R48" s="165" t="n">
        <v>10</v>
      </c>
      <c r="S48" s="165" t="n">
        <v>10</v>
      </c>
      <c r="T48" s="165" t="n">
        <v>0</v>
      </c>
      <c r="U48" s="166" t="n">
        <v>0</v>
      </c>
      <c r="V48" s="166" t="n">
        <v>0</v>
      </c>
      <c r="W48" t="inlineStr">
        <is>
          <t>X</t>
        </is>
      </c>
      <c r="X48" t="inlineStr">
        <is>
          <t>0.00</t>
        </is>
      </c>
      <c r="Y48" t="inlineStr"/>
      <c r="Z48" t="inlineStr">
        <is>
          <t>AMIDATA, S.A.</t>
        </is>
      </c>
      <c r="AA48" t="inlineStr"/>
      <c r="AB48" t="inlineStr">
        <is>
          <t>6783161</t>
        </is>
      </c>
      <c r="AC48" t="inlineStr"/>
      <c r="AD48" s="164" t="n">
        <v>0</v>
      </c>
      <c r="AE48" s="185" t="n">
        <v>0</v>
      </c>
      <c r="AG48" s="167" t="inlineStr">
        <is>
          <t>7218|JA2581_1001</t>
        </is>
      </c>
      <c r="AH48" s="46">
        <f>IF(M48=0,"-",M48-J48)</f>
        <v/>
      </c>
      <c r="AI48" s="46">
        <f>IF(AND(S48=0,M48&gt;0,L48=0),IF(AH48&gt;=120,"VERY HIGH",IF(AH48&gt;=90,"HIGH",IF(AH48&gt;=60,"MEDIUM",IF(AH48&lt;60,"LOW")))),"-")</f>
        <v/>
      </c>
      <c r="AJ48" s="12" t="n"/>
      <c r="AK48" s="41">
        <f>IF(AND(W48="X",M48&lt;=$AJ$2),"YES","")</f>
        <v/>
      </c>
      <c r="AL48" s="38">
        <f>IF(AND(W48="X",M48&lt;=$AJ$2),S48,"")</f>
        <v/>
      </c>
      <c r="AM48" s="26">
        <f>IF(AND(W48="X",M48&gt;$AJ$2),"YES","")</f>
        <v/>
      </c>
      <c r="AN48" s="89">
        <f>IF(AND(W48="X",M48&gt;$AJ$2),S48,"")</f>
        <v/>
      </c>
      <c r="AO48" s="35">
        <f>IF(AND(W48="",M48&gt;0,$AJ$2&gt;M48,L48=""),1,0)</f>
        <v/>
      </c>
      <c r="AP48" s="26">
        <f>IF(AND(AK48="YES",W48="X"),"X","")</f>
        <v/>
      </c>
      <c r="AQ48" s="28">
        <f>IF(AP48="X",100%,0%)</f>
        <v/>
      </c>
      <c r="AR48" s="25">
        <f>IF(AND(T48&gt;0,L48=""),H48,"")</f>
        <v/>
      </c>
      <c r="AS48" s="25">
        <f>IF(AND(D48&gt;0,H48=0,G48=""),1,"")</f>
        <v/>
      </c>
      <c r="AT48" s="25">
        <f>IF(G48="BLOQ",1,"")</f>
        <v/>
      </c>
      <c r="AU48" s="25">
        <f>IF(L48="BLOQ",1,"")</f>
        <v/>
      </c>
      <c r="AV48" s="25">
        <f>MONTH(F48)</f>
        <v/>
      </c>
      <c r="AW48" s="65">
        <f>IF(AP48="",100%,0%)</f>
        <v/>
      </c>
      <c r="AX48" s="23" t="n"/>
      <c r="AY48" s="24">
        <f>IF(M48=0,"",M48-$AX$2)</f>
        <v/>
      </c>
      <c r="AZ48" s="66">
        <f>IF(AND(W48="",AY48&gt;0,AY48&lt;15),1,0)</f>
        <v/>
      </c>
      <c r="BA48" s="24">
        <f>IF(AND(W48="",AY48&gt;0,AY48&lt;15),T48,"")</f>
        <v/>
      </c>
      <c r="BB48" s="87">
        <f>IF(R48&lt;Q48,"X","")</f>
        <v/>
      </c>
      <c r="BC48" s="190" t="inlineStr">
        <is>
          <t>NO</t>
        </is>
      </c>
      <c r="BD48" s="190" t="inlineStr">
        <is>
          <t>NO</t>
        </is>
      </c>
    </row>
    <row r="49" ht="15" customHeight="1" s="162">
      <c r="A49" s="7" t="n">
        <v>48</v>
      </c>
      <c r="B49" t="inlineStr">
        <is>
          <t>39121432</t>
        </is>
      </c>
      <c r="C49" t="inlineStr">
        <is>
          <t>Contacto de crimpado hembra Molex serie</t>
        </is>
      </c>
      <c r="D49" t="inlineStr">
        <is>
          <t>1101756211</t>
        </is>
      </c>
      <c r="E49" t="inlineStr">
        <is>
          <t>14</t>
        </is>
      </c>
      <c r="F49" s="163" t="n">
        <v>45460</v>
      </c>
      <c r="G49" t="inlineStr"/>
      <c r="H49" t="inlineStr">
        <is>
          <t>4800002579</t>
        </is>
      </c>
      <c r="I49" t="inlineStr">
        <is>
          <t>1110</t>
        </is>
      </c>
      <c r="J49" s="163" t="n">
        <v>45457</v>
      </c>
      <c r="K49" s="163" t="inlineStr"/>
      <c r="L49" t="inlineStr"/>
      <c r="M49" s="163" t="n">
        <v>45461</v>
      </c>
      <c r="N49" s="164" t="n">
        <v>0</v>
      </c>
      <c r="O49" s="164" t="n">
        <v>0</v>
      </c>
      <c r="P49" t="inlineStr"/>
      <c r="Q49" s="165" t="n">
        <v>1000</v>
      </c>
      <c r="R49" s="165" t="n">
        <v>1000</v>
      </c>
      <c r="S49" s="165" t="n">
        <v>1000</v>
      </c>
      <c r="T49" s="165" t="n">
        <v>0</v>
      </c>
      <c r="U49" s="166" t="n">
        <v>0</v>
      </c>
      <c r="V49" s="166" t="n">
        <v>0</v>
      </c>
      <c r="W49" t="inlineStr">
        <is>
          <t>X</t>
        </is>
      </c>
      <c r="X49" t="inlineStr">
        <is>
          <t>0.00</t>
        </is>
      </c>
      <c r="Y49" t="inlineStr"/>
      <c r="Z49" t="inlineStr">
        <is>
          <t>AMIDATA, S.A.</t>
        </is>
      </c>
      <c r="AA49" t="inlineStr"/>
      <c r="AB49" t="inlineStr">
        <is>
          <t>6794742P</t>
        </is>
      </c>
      <c r="AC49" t="inlineStr"/>
      <c r="AD49" s="164" t="n">
        <v>0</v>
      </c>
      <c r="AE49" s="185" t="n">
        <v>0</v>
      </c>
      <c r="AG49" s="167" t="inlineStr">
        <is>
          <t>7218|JA2581_1001</t>
        </is>
      </c>
      <c r="AH49" s="46">
        <f>IF(M49=0,"-",M49-J49)</f>
        <v/>
      </c>
      <c r="AI49" s="46">
        <f>IF(AND(S49=0,M49&gt;0,L49=0),IF(AH49&gt;=120,"VERY HIGH",IF(AH49&gt;=90,"HIGH",IF(AH49&gt;=60,"MEDIUM",IF(AH49&lt;60,"LOW")))),"-")</f>
        <v/>
      </c>
      <c r="AJ49" s="12" t="n"/>
      <c r="AK49" s="41">
        <f>IF(AND(W49="X",M49&lt;=$AJ$2),"YES","")</f>
        <v/>
      </c>
      <c r="AL49" s="38">
        <f>IF(AND(W49="X",M49&lt;=$AJ$2),S49,"")</f>
        <v/>
      </c>
      <c r="AM49" s="26">
        <f>IF(AND(W49="X",M49&gt;$AJ$2),"YES","")</f>
        <v/>
      </c>
      <c r="AN49" s="89">
        <f>IF(AND(W49="X",M49&gt;$AJ$2),S49,"")</f>
        <v/>
      </c>
      <c r="AO49" s="35">
        <f>IF(AND(W49="",M49&gt;0,$AJ$2&gt;M49,L49=""),1,0)</f>
        <v/>
      </c>
      <c r="AP49" s="26">
        <f>IF(AND(AK49="YES",W49="X"),"X","")</f>
        <v/>
      </c>
      <c r="AQ49" s="28">
        <f>IF(AP49="X",100%,0%)</f>
        <v/>
      </c>
      <c r="AR49" s="25">
        <f>IF(AND(T49&gt;0,L49=""),H49,"")</f>
        <v/>
      </c>
      <c r="AS49" s="25">
        <f>IF(AND(D49&gt;0,H49=0,G49=""),1,"")</f>
        <v/>
      </c>
      <c r="AT49" s="25">
        <f>IF(G49="BLOQ",1,"")</f>
        <v/>
      </c>
      <c r="AU49" s="25">
        <f>IF(L49="BLOQ",1,"")</f>
        <v/>
      </c>
      <c r="AV49" s="25">
        <f>MONTH(F49)</f>
        <v/>
      </c>
      <c r="AW49" s="65">
        <f>IF(AP49="",100%,0%)</f>
        <v/>
      </c>
      <c r="AX49" s="23" t="n"/>
      <c r="AY49" s="24">
        <f>IF(M49=0,"",M49-$AX$2)</f>
        <v/>
      </c>
      <c r="AZ49" s="66">
        <f>IF(AND(W49="",AY49&gt;0,AY49&lt;15),1,0)</f>
        <v/>
      </c>
      <c r="BA49" s="24">
        <f>IF(AND(W49="",AY49&gt;0,AY49&lt;15),T49,"")</f>
        <v/>
      </c>
      <c r="BB49" s="87">
        <f>IF(R49&lt;Q49,"X","")</f>
        <v/>
      </c>
      <c r="BC49" s="190" t="inlineStr">
        <is>
          <t>NO</t>
        </is>
      </c>
      <c r="BD49" s="190" t="inlineStr">
        <is>
          <t>NO</t>
        </is>
      </c>
    </row>
    <row r="50" ht="15" customHeight="1" s="162">
      <c r="A50" s="7" t="n">
        <v>49</v>
      </c>
      <c r="B50" t="inlineStr">
        <is>
          <t>39121421</t>
        </is>
      </c>
      <c r="C50" t="inlineStr">
        <is>
          <t>Carcasa de conector Molex 43025-0600, Se</t>
        </is>
      </c>
      <c r="D50" t="inlineStr">
        <is>
          <t>1101756211</t>
        </is>
      </c>
      <c r="E50" t="inlineStr">
        <is>
          <t>15</t>
        </is>
      </c>
      <c r="F50" s="163" t="n">
        <v>45460</v>
      </c>
      <c r="G50" t="inlineStr"/>
      <c r="H50" t="inlineStr">
        <is>
          <t>4800002579</t>
        </is>
      </c>
      <c r="I50" t="inlineStr">
        <is>
          <t>1120</t>
        </is>
      </c>
      <c r="J50" s="163" t="n">
        <v>45457</v>
      </c>
      <c r="K50" s="163" t="inlineStr"/>
      <c r="L50" t="inlineStr"/>
      <c r="M50" s="163" t="n">
        <v>45461</v>
      </c>
      <c r="N50" s="164" t="n">
        <v>0</v>
      </c>
      <c r="O50" s="164" t="n">
        <v>0</v>
      </c>
      <c r="P50" t="inlineStr"/>
      <c r="Q50" s="165" t="n">
        <v>125</v>
      </c>
      <c r="R50" s="165" t="n">
        <v>125</v>
      </c>
      <c r="S50" s="165" t="n">
        <v>125</v>
      </c>
      <c r="T50" s="165" t="n">
        <v>0</v>
      </c>
      <c r="U50" s="166" t="n">
        <v>0</v>
      </c>
      <c r="V50" s="166" t="n">
        <v>0</v>
      </c>
      <c r="W50" t="inlineStr">
        <is>
          <t>X</t>
        </is>
      </c>
      <c r="X50" t="inlineStr">
        <is>
          <t>0.00</t>
        </is>
      </c>
      <c r="Y50" t="inlineStr"/>
      <c r="Z50" t="inlineStr">
        <is>
          <t>AMIDATA, S.A.</t>
        </is>
      </c>
      <c r="AA50" t="inlineStr"/>
      <c r="AB50" t="inlineStr">
        <is>
          <t>2332769P</t>
        </is>
      </c>
      <c r="AC50" t="inlineStr"/>
      <c r="AD50" s="164" t="n">
        <v>0</v>
      </c>
      <c r="AE50" s="185" t="n">
        <v>0</v>
      </c>
      <c r="AG50" s="167" t="inlineStr">
        <is>
          <t>7218|JA2581_1001</t>
        </is>
      </c>
      <c r="AH50" s="46">
        <f>IF(M50=0,"-",M50-J50)</f>
        <v/>
      </c>
      <c r="AI50" s="46">
        <f>IF(AND(S50=0,M50&gt;0,L50=0),IF(AH50&gt;=120,"VERY HIGH",IF(AH50&gt;=90,"HIGH",IF(AH50&gt;=60,"MEDIUM",IF(AH50&lt;60,"LOW")))),"-")</f>
        <v/>
      </c>
      <c r="AJ50" s="12" t="n"/>
      <c r="AK50" s="41">
        <f>IF(AND(W50="X",M50&lt;=$AJ$2),"YES","")</f>
        <v/>
      </c>
      <c r="AL50" s="38">
        <f>IF(AND(W50="X",M50&lt;=$AJ$2),S50,"")</f>
        <v/>
      </c>
      <c r="AM50" s="26">
        <f>IF(AND(W50="X",M50&gt;$AJ$2),"YES","")</f>
        <v/>
      </c>
      <c r="AN50" s="89">
        <f>IF(AND(W50="X",M50&gt;$AJ$2),S50,"")</f>
        <v/>
      </c>
      <c r="AO50" s="35">
        <f>IF(AND(W50="",M50&gt;0,$AJ$2&gt;M50,L50=""),1,0)</f>
        <v/>
      </c>
      <c r="AP50" s="26">
        <f>IF(AND(AK50="YES",W50="X"),"X","")</f>
        <v/>
      </c>
      <c r="AQ50" s="28">
        <f>IF(AP50="X",100%,0%)</f>
        <v/>
      </c>
      <c r="AR50" s="25">
        <f>IF(AND(T50&gt;0,L50=""),H50,"")</f>
        <v/>
      </c>
      <c r="AS50" s="25">
        <f>IF(AND(D50&gt;0,H50=0,G50=""),1,"")</f>
        <v/>
      </c>
      <c r="AT50" s="25">
        <f>IF(G50="BLOQ",1,"")</f>
        <v/>
      </c>
      <c r="AU50" s="25">
        <f>IF(L50="BLOQ",1,"")</f>
        <v/>
      </c>
      <c r="AV50" s="25">
        <f>MONTH(F50)</f>
        <v/>
      </c>
      <c r="AW50" s="65">
        <f>IF(AP50="",100%,0%)</f>
        <v/>
      </c>
      <c r="AX50" s="23" t="n"/>
      <c r="AY50" s="24">
        <f>IF(M50=0,"",M50-$AX$2)</f>
        <v/>
      </c>
      <c r="AZ50" s="66">
        <f>IF(AND(W50="",AY50&gt;0,AY50&lt;15),1,0)</f>
        <v/>
      </c>
      <c r="BA50" s="24">
        <f>IF(AND(W50="",AY50&gt;0,AY50&lt;15),T50,"")</f>
        <v/>
      </c>
      <c r="BB50" s="87">
        <f>IF(R50&lt;Q50,"X","")</f>
        <v/>
      </c>
      <c r="BC50" s="190" t="inlineStr">
        <is>
          <t>NO</t>
        </is>
      </c>
      <c r="BD50" s="190" t="inlineStr">
        <is>
          <t>NO</t>
        </is>
      </c>
    </row>
    <row r="51" ht="15" customHeight="1" s="162">
      <c r="A51" s="7" t="n">
        <v>50</v>
      </c>
      <c r="B51" t="inlineStr">
        <is>
          <t>39121421</t>
        </is>
      </c>
      <c r="C51" t="inlineStr">
        <is>
          <t>Carcasa de conector Molex 43020-0600, Se</t>
        </is>
      </c>
      <c r="D51" t="inlineStr">
        <is>
          <t>1101756211</t>
        </is>
      </c>
      <c r="E51" t="inlineStr">
        <is>
          <t>16</t>
        </is>
      </c>
      <c r="F51" s="163" t="n">
        <v>45460</v>
      </c>
      <c r="G51" t="inlineStr"/>
      <c r="H51" t="inlineStr">
        <is>
          <t>4800002579</t>
        </is>
      </c>
      <c r="I51" t="inlineStr">
        <is>
          <t>1130</t>
        </is>
      </c>
      <c r="J51" s="163" t="n">
        <v>45457</v>
      </c>
      <c r="K51" s="163" t="inlineStr"/>
      <c r="L51" t="inlineStr"/>
      <c r="M51" s="163" t="n">
        <v>45461</v>
      </c>
      <c r="N51" s="164" t="n">
        <v>0</v>
      </c>
      <c r="O51" s="164" t="n">
        <v>0</v>
      </c>
      <c r="P51" t="inlineStr"/>
      <c r="Q51" s="165" t="n">
        <v>100</v>
      </c>
      <c r="R51" s="165" t="n">
        <v>100</v>
      </c>
      <c r="S51" s="165" t="n">
        <v>100</v>
      </c>
      <c r="T51" s="165" t="n">
        <v>0</v>
      </c>
      <c r="U51" s="166" t="n">
        <v>0</v>
      </c>
      <c r="V51" s="166" t="n">
        <v>0</v>
      </c>
      <c r="W51" t="inlineStr">
        <is>
          <t>X</t>
        </is>
      </c>
      <c r="X51" t="inlineStr">
        <is>
          <t>0.00</t>
        </is>
      </c>
      <c r="Y51" t="inlineStr"/>
      <c r="Z51" t="inlineStr">
        <is>
          <t>AMIDATA, S.A.</t>
        </is>
      </c>
      <c r="AA51" t="inlineStr"/>
      <c r="AB51" t="inlineStr">
        <is>
          <t>2332826P</t>
        </is>
      </c>
      <c r="AC51" t="inlineStr"/>
      <c r="AD51" s="164" t="n">
        <v>0</v>
      </c>
      <c r="AE51" s="185" t="n">
        <v>0</v>
      </c>
      <c r="AG51" s="167" t="inlineStr">
        <is>
          <t>7218|JA2581_1001</t>
        </is>
      </c>
      <c r="AH51" s="46">
        <f>IF(M51=0,"-",M51-J51)</f>
        <v/>
      </c>
      <c r="AI51" s="46">
        <f>IF(AND(S51=0,M51&gt;0,L51=0),IF(AH51&gt;=120,"VERY HIGH",IF(AH51&gt;=90,"HIGH",IF(AH51&gt;=60,"MEDIUM",IF(AH51&lt;60,"LOW")))),"-")</f>
        <v/>
      </c>
      <c r="AJ51" s="12" t="n"/>
      <c r="AK51" s="41">
        <f>IF(AND(W51="X",M51&lt;=$AJ$2),"YES","")</f>
        <v/>
      </c>
      <c r="AL51" s="38">
        <f>IF(AND(W51="X",M51&lt;=$AJ$2),S51,"")</f>
        <v/>
      </c>
      <c r="AM51" s="26">
        <f>IF(AND(W51="X",M51&gt;$AJ$2),"YES","")</f>
        <v/>
      </c>
      <c r="AN51" s="89">
        <f>IF(AND(W51="X",M51&gt;$AJ$2),S51,"")</f>
        <v/>
      </c>
      <c r="AO51" s="35">
        <f>IF(AND(W51="",M51&gt;0,$AJ$2&gt;M51,L51=""),1,0)</f>
        <v/>
      </c>
      <c r="AP51" s="26">
        <f>IF(AND(AK51="YES",W51="X"),"X","")</f>
        <v/>
      </c>
      <c r="AQ51" s="28">
        <f>IF(AP51="X",100%,0%)</f>
        <v/>
      </c>
      <c r="AR51" s="25">
        <f>IF(AND(T51&gt;0,L51=""),H51,"")</f>
        <v/>
      </c>
      <c r="AS51" s="25">
        <f>IF(AND(D51&gt;0,H51=0,G51=""),1,"")</f>
        <v/>
      </c>
      <c r="AT51" s="25">
        <f>IF(G51="BLOQ",1,"")</f>
        <v/>
      </c>
      <c r="AU51" s="25">
        <f>IF(L51="BLOQ",1,"")</f>
        <v/>
      </c>
      <c r="AV51" s="25">
        <f>MONTH(F51)</f>
        <v/>
      </c>
      <c r="AW51" s="65">
        <f>IF(AP51="",100%,0%)</f>
        <v/>
      </c>
      <c r="AX51" s="23" t="n"/>
      <c r="AY51" s="24">
        <f>IF(M51=0,"",M51-$AX$2)</f>
        <v/>
      </c>
      <c r="AZ51" s="66">
        <f>IF(AND(W51="",AY51&gt;0,AY51&lt;15),1,0)</f>
        <v/>
      </c>
      <c r="BA51" s="24">
        <f>IF(AND(W51="",AY51&gt;0,AY51&lt;15),T51,"")</f>
        <v/>
      </c>
      <c r="BB51" s="87">
        <f>IF(R51&lt;Q51,"X","")</f>
        <v/>
      </c>
      <c r="BC51" s="190" t="inlineStr">
        <is>
          <t>NO</t>
        </is>
      </c>
      <c r="BD51" s="190" t="inlineStr">
        <is>
          <t>NO</t>
        </is>
      </c>
    </row>
    <row r="52" ht="15" customHeight="1" s="162">
      <c r="A52" s="7" t="n">
        <v>51</v>
      </c>
      <c r="B52" t="inlineStr">
        <is>
          <t>39121432</t>
        </is>
      </c>
      <c r="C52" t="inlineStr">
        <is>
          <t>Contacto de crimpado hembra Molex serie</t>
        </is>
      </c>
      <c r="D52" t="inlineStr">
        <is>
          <t>1101756211</t>
        </is>
      </c>
      <c r="E52" t="inlineStr">
        <is>
          <t>17</t>
        </is>
      </c>
      <c r="F52" s="163" t="n">
        <v>45460</v>
      </c>
      <c r="G52" t="inlineStr"/>
      <c r="H52" t="inlineStr">
        <is>
          <t>4800002579</t>
        </is>
      </c>
      <c r="I52" t="inlineStr">
        <is>
          <t>1140</t>
        </is>
      </c>
      <c r="J52" s="163" t="n">
        <v>45457</v>
      </c>
      <c r="K52" s="163" t="inlineStr"/>
      <c r="L52" t="inlineStr"/>
      <c r="M52" s="163" t="n">
        <v>45461</v>
      </c>
      <c r="N52" s="164" t="n">
        <v>0</v>
      </c>
      <c r="O52" s="164" t="n">
        <v>0</v>
      </c>
      <c r="P52" t="inlineStr"/>
      <c r="Q52" s="165" t="n">
        <v>100</v>
      </c>
      <c r="R52" s="165" t="n">
        <v>100</v>
      </c>
      <c r="S52" s="165" t="n">
        <v>100</v>
      </c>
      <c r="T52" s="165" t="n">
        <v>0</v>
      </c>
      <c r="U52" s="166" t="n">
        <v>0</v>
      </c>
      <c r="V52" s="166" t="n">
        <v>0</v>
      </c>
      <c r="W52" t="inlineStr">
        <is>
          <t>X</t>
        </is>
      </c>
      <c r="X52" t="inlineStr">
        <is>
          <t>0.00</t>
        </is>
      </c>
      <c r="Y52" t="inlineStr"/>
      <c r="Z52" t="inlineStr">
        <is>
          <t>AMIDATA, S.A.</t>
        </is>
      </c>
      <c r="AA52" t="inlineStr"/>
      <c r="AB52" t="inlineStr">
        <is>
          <t>2333009</t>
        </is>
      </c>
      <c r="AC52" t="inlineStr"/>
      <c r="AD52" s="164" t="n">
        <v>0</v>
      </c>
      <c r="AE52" s="185" t="n">
        <v>0</v>
      </c>
      <c r="AG52" s="167" t="inlineStr">
        <is>
          <t>7218|JA2581_1001</t>
        </is>
      </c>
      <c r="AH52" s="46">
        <f>IF(M52=0,"-",M52-J52)</f>
        <v/>
      </c>
      <c r="AI52" s="46">
        <f>IF(AND(S52=0,M52&gt;0,L52=0),IF(AH52&gt;=120,"VERY HIGH",IF(AH52&gt;=90,"HIGH",IF(AH52&gt;=60,"MEDIUM",IF(AH52&lt;60,"LOW")))),"-")</f>
        <v/>
      </c>
      <c r="AJ52" s="12" t="n"/>
      <c r="AK52" s="41">
        <f>IF(AND(W52="X",M52&lt;=$AJ$2),"YES","")</f>
        <v/>
      </c>
      <c r="AL52" s="38">
        <f>IF(AND(W52="X",M52&lt;=$AJ$2),S52,"")</f>
        <v/>
      </c>
      <c r="AM52" s="26">
        <f>IF(AND(W52="X",M52&gt;$AJ$2),"YES","")</f>
        <v/>
      </c>
      <c r="AN52" s="89">
        <f>IF(AND(W52="X",M52&gt;$AJ$2),S52,"")</f>
        <v/>
      </c>
      <c r="AO52" s="35">
        <f>IF(AND(W52="",M52&gt;0,$AJ$2&gt;M52,L52=""),1,0)</f>
        <v/>
      </c>
      <c r="AP52" s="26">
        <f>IF(AND(AK52="YES",W52="X"),"X","")</f>
        <v/>
      </c>
      <c r="AQ52" s="28">
        <f>IF(AP52="X",100%,0%)</f>
        <v/>
      </c>
      <c r="AR52" s="25">
        <f>IF(AND(T52&gt;0,L52=""),H52,"")</f>
        <v/>
      </c>
      <c r="AS52" s="25">
        <f>IF(AND(D52&gt;0,H52=0,G52=""),1,"")</f>
        <v/>
      </c>
      <c r="AT52" s="25">
        <f>IF(G52="BLOQ",1,"")</f>
        <v/>
      </c>
      <c r="AU52" s="25">
        <f>IF(L52="BLOQ",1,"")</f>
        <v/>
      </c>
      <c r="AV52" s="25">
        <f>MONTH(F52)</f>
        <v/>
      </c>
      <c r="AW52" s="65">
        <f>IF(AP52="",100%,0%)</f>
        <v/>
      </c>
      <c r="AX52" s="23" t="n"/>
      <c r="AY52" s="24">
        <f>IF(M52=0,"",M52-$AX$2)</f>
        <v/>
      </c>
      <c r="AZ52" s="66">
        <f>IF(AND(W52="",AY52&gt;0,AY52&lt;15),1,0)</f>
        <v/>
      </c>
      <c r="BA52" s="24">
        <f>IF(AND(W52="",AY52&gt;0,AY52&lt;15),T52,"")</f>
        <v/>
      </c>
      <c r="BB52" s="87">
        <f>IF(R52&lt;Q52,"X","")</f>
        <v/>
      </c>
      <c r="BC52" s="190" t="inlineStr">
        <is>
          <t>NO</t>
        </is>
      </c>
      <c r="BD52" s="190" t="inlineStr">
        <is>
          <t>NO</t>
        </is>
      </c>
    </row>
    <row r="53" ht="15" customHeight="1" s="162">
      <c r="A53" s="7" t="n">
        <v>52</v>
      </c>
      <c r="B53" t="inlineStr">
        <is>
          <t>39121432</t>
        </is>
      </c>
      <c r="C53" t="inlineStr">
        <is>
          <t>Contacto de terminal de crimpado Molex 4</t>
        </is>
      </c>
      <c r="D53" t="inlineStr">
        <is>
          <t>1101756211</t>
        </is>
      </c>
      <c r="E53" t="inlineStr">
        <is>
          <t>18</t>
        </is>
      </c>
      <c r="F53" s="163" t="n">
        <v>45460</v>
      </c>
      <c r="G53" t="inlineStr"/>
      <c r="H53" t="inlineStr">
        <is>
          <t>4800002579</t>
        </is>
      </c>
      <c r="I53" t="inlineStr">
        <is>
          <t>1150</t>
        </is>
      </c>
      <c r="J53" s="163" t="n">
        <v>45457</v>
      </c>
      <c r="K53" s="163" t="inlineStr"/>
      <c r="L53" t="inlineStr"/>
      <c r="M53" s="163" t="n">
        <v>45461</v>
      </c>
      <c r="N53" s="164" t="n">
        <v>0</v>
      </c>
      <c r="O53" s="164" t="n">
        <v>0</v>
      </c>
      <c r="P53" t="inlineStr"/>
      <c r="Q53" s="165" t="n">
        <v>100</v>
      </c>
      <c r="R53" s="165" t="n">
        <v>100</v>
      </c>
      <c r="S53" s="165" t="n">
        <v>100</v>
      </c>
      <c r="T53" s="165" t="n">
        <v>0</v>
      </c>
      <c r="U53" s="166" t="n">
        <v>0</v>
      </c>
      <c r="V53" s="166" t="n">
        <v>0</v>
      </c>
      <c r="W53" t="inlineStr">
        <is>
          <t>X</t>
        </is>
      </c>
      <c r="X53" t="inlineStr">
        <is>
          <t>0.00</t>
        </is>
      </c>
      <c r="Y53" t="inlineStr"/>
      <c r="Z53" t="inlineStr">
        <is>
          <t>AMIDATA, S.A.</t>
        </is>
      </c>
      <c r="AA53" t="inlineStr"/>
      <c r="AB53" t="inlineStr">
        <is>
          <t>2333037</t>
        </is>
      </c>
      <c r="AC53" t="inlineStr"/>
      <c r="AD53" s="164" t="n">
        <v>0</v>
      </c>
      <c r="AE53" s="185" t="n">
        <v>0</v>
      </c>
      <c r="AG53" s="167" t="inlineStr">
        <is>
          <t>7218|JA2581_1001</t>
        </is>
      </c>
      <c r="AH53" s="46">
        <f>IF(M53=0,"-",M53-J53)</f>
        <v/>
      </c>
      <c r="AI53" s="46">
        <f>IF(AND(S53=0,M53&gt;0,L53=0),IF(AH53&gt;=120,"VERY HIGH",IF(AH53&gt;=90,"HIGH",IF(AH53&gt;=60,"MEDIUM",IF(AH53&lt;60,"LOW")))),"-")</f>
        <v/>
      </c>
      <c r="AJ53" s="12" t="n"/>
      <c r="AK53" s="41">
        <f>IF(AND(W53="X",M53&lt;=$AJ$2),"YES","")</f>
        <v/>
      </c>
      <c r="AL53" s="38">
        <f>IF(AND(W53="X",M53&lt;=$AJ$2),S53,"")</f>
        <v/>
      </c>
      <c r="AM53" s="26">
        <f>IF(AND(W53="X",M53&gt;$AJ$2),"YES","")</f>
        <v/>
      </c>
      <c r="AN53" s="89">
        <f>IF(AND(W53="X",M53&gt;$AJ$2),S53,"")</f>
        <v/>
      </c>
      <c r="AO53" s="35">
        <f>IF(AND(W53="",M53&gt;0,$AJ$2&gt;M53,L53=""),1,0)</f>
        <v/>
      </c>
      <c r="AP53" s="26">
        <f>IF(AND(AK53="YES",W53="X"),"X","")</f>
        <v/>
      </c>
      <c r="AQ53" s="28">
        <f>IF(AP53="X",100%,0%)</f>
        <v/>
      </c>
      <c r="AR53" s="25">
        <f>IF(AND(T53&gt;0,L53=""),H53,"")</f>
        <v/>
      </c>
      <c r="AS53" s="25">
        <f>IF(AND(D53&gt;0,H53=0,G53=""),1,"")</f>
        <v/>
      </c>
      <c r="AT53" s="25">
        <f>IF(G53="BLOQ",1,"")</f>
        <v/>
      </c>
      <c r="AU53" s="25">
        <f>IF(L53="BLOQ",1,"")</f>
        <v/>
      </c>
      <c r="AV53" s="25">
        <f>MONTH(F53)</f>
        <v/>
      </c>
      <c r="AW53" s="65">
        <f>IF(AP53="",100%,0%)</f>
        <v/>
      </c>
      <c r="AX53" s="23" t="n"/>
      <c r="AY53" s="24">
        <f>IF(M53=0,"",M53-$AX$2)</f>
        <v/>
      </c>
      <c r="AZ53" s="66">
        <f>IF(AND(W53="",AY53&gt;0,AY53&lt;15),1,0)</f>
        <v/>
      </c>
      <c r="BA53" s="24">
        <f>IF(AND(W53="",AY53&gt;0,AY53&lt;15),T53,"")</f>
        <v/>
      </c>
      <c r="BB53" s="87">
        <f>IF(R53&lt;Q53,"X","")</f>
        <v/>
      </c>
      <c r="BC53" s="190" t="inlineStr">
        <is>
          <t>NO</t>
        </is>
      </c>
      <c r="BD53" s="190" t="inlineStr">
        <is>
          <t>NO</t>
        </is>
      </c>
    </row>
    <row r="54" ht="15" customHeight="1" s="162">
      <c r="A54" s="7" t="n">
        <v>53</v>
      </c>
      <c r="B54" t="inlineStr">
        <is>
          <t>39121432</t>
        </is>
      </c>
      <c r="C54" t="inlineStr">
        <is>
          <t>Contacto de crimpado hembra Molex serie</t>
        </is>
      </c>
      <c r="D54" t="inlineStr">
        <is>
          <t>1101756236</t>
        </is>
      </c>
      <c r="E54" t="inlineStr">
        <is>
          <t>1</t>
        </is>
      </c>
      <c r="F54" s="163" t="n">
        <v>45460</v>
      </c>
      <c r="G54" t="inlineStr"/>
      <c r="H54" t="inlineStr">
        <is>
          <t>4800002579</t>
        </is>
      </c>
      <c r="I54" t="inlineStr">
        <is>
          <t>1220</t>
        </is>
      </c>
      <c r="J54" s="163" t="n">
        <v>45457</v>
      </c>
      <c r="K54" s="163" t="inlineStr"/>
      <c r="L54" t="inlineStr"/>
      <c r="M54" s="163" t="n">
        <v>45461</v>
      </c>
      <c r="N54" s="164" t="n">
        <v>0</v>
      </c>
      <c r="O54" s="164" t="n">
        <v>0</v>
      </c>
      <c r="P54" t="inlineStr"/>
      <c r="Q54" s="165" t="n">
        <v>100</v>
      </c>
      <c r="R54" s="165" t="n">
        <v>100</v>
      </c>
      <c r="S54" s="165" t="n">
        <v>100</v>
      </c>
      <c r="T54" s="165" t="n">
        <v>0</v>
      </c>
      <c r="U54" s="166" t="n">
        <v>0</v>
      </c>
      <c r="V54" s="166" t="n">
        <v>0</v>
      </c>
      <c r="W54" t="inlineStr">
        <is>
          <t>X</t>
        </is>
      </c>
      <c r="X54" t="inlineStr">
        <is>
          <t>0.00</t>
        </is>
      </c>
      <c r="Y54" t="inlineStr"/>
      <c r="Z54" t="inlineStr">
        <is>
          <t>AMIDATA, S.A.</t>
        </is>
      </c>
      <c r="AA54" t="inlineStr"/>
      <c r="AB54" t="inlineStr">
        <is>
          <t>6706293</t>
        </is>
      </c>
      <c r="AC54" t="inlineStr"/>
      <c r="AD54" s="164" t="n">
        <v>0</v>
      </c>
      <c r="AE54" s="185" t="n">
        <v>0</v>
      </c>
      <c r="AG54" s="167" t="inlineStr">
        <is>
          <t>7218|JA2581_1001</t>
        </is>
      </c>
      <c r="AH54" s="46">
        <f>IF(M54=0,"-",M54-J54)</f>
        <v/>
      </c>
      <c r="AI54" s="46">
        <f>IF(AND(S54=0,M54&gt;0,L54=0),IF(AH54&gt;=120,"VERY HIGH",IF(AH54&gt;=90,"HIGH",IF(AH54&gt;=60,"MEDIUM",IF(AH54&lt;60,"LOW")))),"-")</f>
        <v/>
      </c>
      <c r="AJ54" s="12" t="n"/>
      <c r="AK54" s="41">
        <f>IF(AND(W54="X",M54&lt;=$AJ$2),"YES","")</f>
        <v/>
      </c>
      <c r="AL54" s="38">
        <f>IF(AND(W54="X",M54&lt;=$AJ$2),S54,"")</f>
        <v/>
      </c>
      <c r="AM54" s="26">
        <f>IF(AND(W54="X",M54&gt;$AJ$2),"YES","")</f>
        <v/>
      </c>
      <c r="AN54" s="89">
        <f>IF(AND(W54="X",M54&gt;$AJ$2),S54,"")</f>
        <v/>
      </c>
      <c r="AO54" s="35">
        <f>IF(AND(W54="",M54&gt;0,$AJ$2&gt;M54,L54=""),1,0)</f>
        <v/>
      </c>
      <c r="AP54" s="26">
        <f>IF(AND(AK54="YES",W54="X"),"X","")</f>
        <v/>
      </c>
      <c r="AQ54" s="28">
        <f>IF(AP54="X",100%,0%)</f>
        <v/>
      </c>
      <c r="AR54" s="25">
        <f>IF(AND(T54&gt;0,L54=""),H54,"")</f>
        <v/>
      </c>
      <c r="AS54" s="25">
        <f>IF(AND(D54&gt;0,H54=0,G54=""),1,"")</f>
        <v/>
      </c>
      <c r="AT54" s="25">
        <f>IF(G54="BLOQ",1,"")</f>
        <v/>
      </c>
      <c r="AU54" s="25">
        <f>IF(L54="BLOQ",1,"")</f>
        <v/>
      </c>
      <c r="AV54" s="25">
        <f>MONTH(F54)</f>
        <v/>
      </c>
      <c r="AW54" s="65">
        <f>IF(AP54="",100%,0%)</f>
        <v/>
      </c>
      <c r="AX54" s="23" t="n"/>
      <c r="AY54" s="24">
        <f>IF(M54=0,"",M54-$AX$2)</f>
        <v/>
      </c>
      <c r="AZ54" s="66">
        <f>IF(AND(W54="",AY54&gt;0,AY54&lt;15),1,0)</f>
        <v/>
      </c>
      <c r="BA54" s="24">
        <f>IF(AND(W54="",AY54&gt;0,AY54&lt;15),T54,"")</f>
        <v/>
      </c>
      <c r="BB54" s="87">
        <f>IF(R54&lt;Q54,"X","")</f>
        <v/>
      </c>
      <c r="BC54" s="190" t="inlineStr">
        <is>
          <t>NO</t>
        </is>
      </c>
      <c r="BD54" s="190" t="inlineStr">
        <is>
          <t>NO</t>
        </is>
      </c>
    </row>
    <row r="55" ht="15" customHeight="1" s="162">
      <c r="A55" s="7" t="n">
        <v>54</v>
      </c>
      <c r="B55" t="inlineStr">
        <is>
          <t>39121421</t>
        </is>
      </c>
      <c r="C55" t="inlineStr">
        <is>
          <t>Carcasa de conector Molex 51110-0860, Se</t>
        </is>
      </c>
      <c r="D55" t="inlineStr">
        <is>
          <t>1101756236</t>
        </is>
      </c>
      <c r="E55" t="inlineStr">
        <is>
          <t>2</t>
        </is>
      </c>
      <c r="F55" s="163" t="n">
        <v>45460</v>
      </c>
      <c r="G55" t="inlineStr"/>
      <c r="H55" t="inlineStr">
        <is>
          <t>4800002579</t>
        </is>
      </c>
      <c r="I55" t="inlineStr">
        <is>
          <t>1230</t>
        </is>
      </c>
      <c r="J55" s="163" t="n">
        <v>45457</v>
      </c>
      <c r="K55" s="163" t="inlineStr"/>
      <c r="L55" t="inlineStr"/>
      <c r="M55" s="163" t="n">
        <v>45461</v>
      </c>
      <c r="N55" s="164" t="n">
        <v>0</v>
      </c>
      <c r="O55" s="164" t="n">
        <v>0</v>
      </c>
      <c r="P55" t="inlineStr"/>
      <c r="Q55" s="165" t="n">
        <v>100</v>
      </c>
      <c r="R55" s="165" t="n">
        <v>100</v>
      </c>
      <c r="S55" s="165" t="n">
        <v>100</v>
      </c>
      <c r="T55" s="165" t="n">
        <v>0</v>
      </c>
      <c r="U55" s="166" t="n">
        <v>0</v>
      </c>
      <c r="V55" s="166" t="n">
        <v>0</v>
      </c>
      <c r="W55" t="inlineStr">
        <is>
          <t>X</t>
        </is>
      </c>
      <c r="X55" t="inlineStr">
        <is>
          <t>0.00</t>
        </is>
      </c>
      <c r="Y55" t="inlineStr"/>
      <c r="Z55" t="inlineStr">
        <is>
          <t>AMIDATA, S.A.</t>
        </is>
      </c>
      <c r="AA55" t="inlineStr"/>
      <c r="AB55" t="inlineStr">
        <is>
          <t>6703607</t>
        </is>
      </c>
      <c r="AC55" t="inlineStr"/>
      <c r="AD55" s="164" t="n">
        <v>0</v>
      </c>
      <c r="AE55" s="185" t="n">
        <v>0</v>
      </c>
      <c r="AG55" s="167" t="inlineStr">
        <is>
          <t>7218|JA2581_1001</t>
        </is>
      </c>
      <c r="AH55" s="46">
        <f>IF(M55=0,"-",M55-J55)</f>
        <v/>
      </c>
      <c r="AI55" s="46">
        <f>IF(AND(S55=0,M55&gt;0,L55=0),IF(AH55&gt;=120,"VERY HIGH",IF(AH55&gt;=90,"HIGH",IF(AH55&gt;=60,"MEDIUM",IF(AH55&lt;60,"LOW")))),"-")</f>
        <v/>
      </c>
      <c r="AJ55" s="12" t="n"/>
      <c r="AK55" s="41">
        <f>IF(AND(W55="X",M55&lt;=$AJ$2),"YES","")</f>
        <v/>
      </c>
      <c r="AL55" s="38">
        <f>IF(AND(W55="X",M55&lt;=$AJ$2),S55,"")</f>
        <v/>
      </c>
      <c r="AM55" s="26">
        <f>IF(AND(W55="X",M55&gt;$AJ$2),"YES","")</f>
        <v/>
      </c>
      <c r="AN55" s="89">
        <f>IF(AND(W55="X",M55&gt;$AJ$2),S55,"")</f>
        <v/>
      </c>
      <c r="AO55" s="35">
        <f>IF(AND(W55="",M55&gt;0,$AJ$2&gt;M55,L55=""),1,0)</f>
        <v/>
      </c>
      <c r="AP55" s="26">
        <f>IF(AND(AK55="YES",W55="X"),"X","")</f>
        <v/>
      </c>
      <c r="AQ55" s="28">
        <f>IF(AP55="X",100%,0%)</f>
        <v/>
      </c>
      <c r="AR55" s="25">
        <f>IF(AND(T55&gt;0,L55=""),H55,"")</f>
        <v/>
      </c>
      <c r="AS55" s="25">
        <f>IF(AND(D55&gt;0,H55=0,G55=""),1,"")</f>
        <v/>
      </c>
      <c r="AT55" s="25">
        <f>IF(G55="BLOQ",1,"")</f>
        <v/>
      </c>
      <c r="AU55" s="25">
        <f>IF(L55="BLOQ",1,"")</f>
        <v/>
      </c>
      <c r="AV55" s="25">
        <f>MONTH(F55)</f>
        <v/>
      </c>
      <c r="AW55" s="65">
        <f>IF(AP55="",100%,0%)</f>
        <v/>
      </c>
      <c r="AX55" s="23" t="n"/>
      <c r="AY55" s="24">
        <f>IF(M55=0,"",M55-$AX$2)</f>
        <v/>
      </c>
      <c r="AZ55" s="66">
        <f>IF(AND(W55="",AY55&gt;0,AY55&lt;15),1,0)</f>
        <v/>
      </c>
      <c r="BA55" s="24">
        <f>IF(AND(W55="",AY55&gt;0,AY55&lt;15),T55,"")</f>
        <v/>
      </c>
      <c r="BB55" s="87">
        <f>IF(R55&lt;Q55,"X","")</f>
        <v/>
      </c>
      <c r="BC55" s="190" t="inlineStr">
        <is>
          <t>NO</t>
        </is>
      </c>
      <c r="BD55" s="190" t="inlineStr">
        <is>
          <t>NO</t>
        </is>
      </c>
    </row>
    <row r="56" ht="15" customHeight="1" s="162">
      <c r="A56" s="7" t="n">
        <v>55</v>
      </c>
      <c r="B56" t="inlineStr">
        <is>
          <t>39121432</t>
        </is>
      </c>
      <c r="C56" t="inlineStr">
        <is>
          <t>Puntera hueca de crimpado Schneider Elec</t>
        </is>
      </c>
      <c r="D56" t="inlineStr">
        <is>
          <t>1101756236</t>
        </is>
      </c>
      <c r="E56" t="inlineStr">
        <is>
          <t>3</t>
        </is>
      </c>
      <c r="F56" s="163" t="n">
        <v>45460</v>
      </c>
      <c r="G56" t="inlineStr"/>
      <c r="H56" t="inlineStr">
        <is>
          <t>4800002579</t>
        </is>
      </c>
      <c r="I56" t="inlineStr">
        <is>
          <t>1240</t>
        </is>
      </c>
      <c r="J56" s="163" t="n">
        <v>45457</v>
      </c>
      <c r="K56" s="163" t="inlineStr"/>
      <c r="L56" t="inlineStr"/>
      <c r="M56" s="163" t="n">
        <v>45461</v>
      </c>
      <c r="N56" s="164" t="n">
        <v>0</v>
      </c>
      <c r="O56" s="164" t="n">
        <v>0</v>
      </c>
      <c r="P56" t="inlineStr"/>
      <c r="Q56" s="165" t="n">
        <v>3</v>
      </c>
      <c r="R56" s="165" t="n">
        <v>3</v>
      </c>
      <c r="S56" s="165" t="n">
        <v>3</v>
      </c>
      <c r="T56" s="165" t="n">
        <v>0</v>
      </c>
      <c r="U56" s="166" t="n">
        <v>0</v>
      </c>
      <c r="V56" s="166" t="n">
        <v>0</v>
      </c>
      <c r="W56" t="inlineStr">
        <is>
          <t>X</t>
        </is>
      </c>
      <c r="X56" t="inlineStr">
        <is>
          <t>0.00</t>
        </is>
      </c>
      <c r="Y56" t="inlineStr"/>
      <c r="Z56" t="inlineStr">
        <is>
          <t>AMIDATA, S.A.</t>
        </is>
      </c>
      <c r="AA56" t="inlineStr"/>
      <c r="AB56" t="inlineStr">
        <is>
          <t>2546429</t>
        </is>
      </c>
      <c r="AC56" t="inlineStr"/>
      <c r="AD56" s="164" t="n">
        <v>0</v>
      </c>
      <c r="AE56" s="185" t="n">
        <v>0</v>
      </c>
      <c r="AG56" s="167" t="inlineStr">
        <is>
          <t>7218|JA2581_1001</t>
        </is>
      </c>
      <c r="AH56" s="46">
        <f>IF(M56=0,"-",M56-J56)</f>
        <v/>
      </c>
      <c r="AI56" s="46">
        <f>IF(AND(S56=0,M56&gt;0,L56=0),IF(AH56&gt;=120,"VERY HIGH",IF(AH56&gt;=90,"HIGH",IF(AH56&gt;=60,"MEDIUM",IF(AH56&lt;60,"LOW")))),"-")</f>
        <v/>
      </c>
      <c r="AJ56" s="12" t="n"/>
      <c r="AK56" s="41">
        <f>IF(AND(W56="X",M56&lt;=$AJ$2),"YES","")</f>
        <v/>
      </c>
      <c r="AL56" s="38">
        <f>IF(AND(W56="X",M56&lt;=$AJ$2),S56,"")</f>
        <v/>
      </c>
      <c r="AM56" s="26">
        <f>IF(AND(W56="X",M56&gt;$AJ$2),"YES","")</f>
        <v/>
      </c>
      <c r="AN56" s="89">
        <f>IF(AND(W56="X",M56&gt;$AJ$2),S56,"")</f>
        <v/>
      </c>
      <c r="AO56" s="35">
        <f>IF(AND(W56="",M56&gt;0,$AJ$2&gt;M56,L56=""),1,0)</f>
        <v/>
      </c>
      <c r="AP56" s="26">
        <f>IF(AND(AK56="YES",W56="X"),"X","")</f>
        <v/>
      </c>
      <c r="AQ56" s="28">
        <f>IF(AP56="X",100%,0%)</f>
        <v/>
      </c>
      <c r="AR56" s="25">
        <f>IF(AND(T56&gt;0,L56=""),H56,"")</f>
        <v/>
      </c>
      <c r="AS56" s="25">
        <f>IF(AND(D56&gt;0,H56=0,G56=""),1,"")</f>
        <v/>
      </c>
      <c r="AT56" s="25">
        <f>IF(G56="BLOQ",1,"")</f>
        <v/>
      </c>
      <c r="AU56" s="25">
        <f>IF(L56="BLOQ",1,"")</f>
        <v/>
      </c>
      <c r="AV56" s="25">
        <f>MONTH(F56)</f>
        <v/>
      </c>
      <c r="AW56" s="65">
        <f>IF(AP56="",100%,0%)</f>
        <v/>
      </c>
      <c r="AX56" s="23" t="n"/>
      <c r="AY56" s="24">
        <f>IF(M56=0,"",M56-$AX$2)</f>
        <v/>
      </c>
      <c r="AZ56" s="66">
        <f>IF(AND(W56="",AY56&gt;0,AY56&lt;15),1,0)</f>
        <v/>
      </c>
      <c r="BA56" s="24">
        <f>IF(AND(W56="",AY56&gt;0,AY56&lt;15),T56,"")</f>
        <v/>
      </c>
      <c r="BB56" s="87">
        <f>IF(R56&lt;Q56,"X","")</f>
        <v/>
      </c>
      <c r="BC56" s="190" t="inlineStr">
        <is>
          <t>NO</t>
        </is>
      </c>
      <c r="BD56" s="190" t="inlineStr">
        <is>
          <t>NO</t>
        </is>
      </c>
    </row>
    <row r="57" ht="15" customHeight="1" s="162">
      <c r="A57" s="7" t="n">
        <v>56</v>
      </c>
      <c r="B57" t="inlineStr">
        <is>
          <t>31163100</t>
        </is>
      </c>
      <c r="C57" t="inlineStr">
        <is>
          <t>Tornillo de conector - Bloqueo roscado,</t>
        </is>
      </c>
      <c r="D57" t="inlineStr">
        <is>
          <t>1101756236</t>
        </is>
      </c>
      <c r="E57" t="inlineStr">
        <is>
          <t>4</t>
        </is>
      </c>
      <c r="F57" s="163" t="n">
        <v>45460</v>
      </c>
      <c r="G57" t="inlineStr"/>
      <c r="H57" t="inlineStr">
        <is>
          <t>4800002579</t>
        </is>
      </c>
      <c r="I57" t="inlineStr">
        <is>
          <t>1250</t>
        </is>
      </c>
      <c r="J57" s="163" t="n">
        <v>45457</v>
      </c>
      <c r="K57" s="163" t="inlineStr"/>
      <c r="L57" t="inlineStr"/>
      <c r="M57" s="163" t="n">
        <v>45461</v>
      </c>
      <c r="N57" s="164" t="n">
        <v>0</v>
      </c>
      <c r="O57" s="164" t="n">
        <v>0</v>
      </c>
      <c r="P57" t="inlineStr"/>
      <c r="Q57" s="165" t="n">
        <v>400</v>
      </c>
      <c r="R57" s="165" t="n">
        <v>400</v>
      </c>
      <c r="S57" s="165" t="n">
        <v>400</v>
      </c>
      <c r="T57" s="165" t="n">
        <v>0</v>
      </c>
      <c r="U57" s="166" t="n">
        <v>0</v>
      </c>
      <c r="V57" s="166" t="n">
        <v>0</v>
      </c>
      <c r="W57" t="inlineStr">
        <is>
          <t>X</t>
        </is>
      </c>
      <c r="X57" t="inlineStr">
        <is>
          <t>0.00</t>
        </is>
      </c>
      <c r="Y57" t="inlineStr"/>
      <c r="Z57" t="inlineStr">
        <is>
          <t>AMIDATA, S.A.</t>
        </is>
      </c>
      <c r="AA57" t="inlineStr"/>
      <c r="AB57" t="inlineStr">
        <is>
          <t>0453886</t>
        </is>
      </c>
      <c r="AC57" t="inlineStr"/>
      <c r="AD57" s="164" t="n">
        <v>0</v>
      </c>
      <c r="AE57" s="185" t="n">
        <v>0</v>
      </c>
      <c r="AG57" s="167" t="inlineStr">
        <is>
          <t>7218|JA2581_1001</t>
        </is>
      </c>
      <c r="AH57" s="46">
        <f>IF(M57=0,"-",M57-J57)</f>
        <v/>
      </c>
      <c r="AI57" s="46">
        <f>IF(AND(S57=0,M57&gt;0,L57=0),IF(AH57&gt;=120,"VERY HIGH",IF(AH57&gt;=90,"HIGH",IF(AH57&gt;=60,"MEDIUM",IF(AH57&lt;60,"LOW")))),"-")</f>
        <v/>
      </c>
      <c r="AJ57" s="12" t="n"/>
      <c r="AK57" s="41">
        <f>IF(AND(W57="X",M57&lt;=$AJ$2),"YES","")</f>
        <v/>
      </c>
      <c r="AL57" s="38">
        <f>IF(AND(W57="X",M57&lt;=$AJ$2),S57,"")</f>
        <v/>
      </c>
      <c r="AM57" s="26">
        <f>IF(AND(W57="X",M57&gt;$AJ$2),"YES","")</f>
        <v/>
      </c>
      <c r="AN57" s="89">
        <f>IF(AND(W57="X",M57&gt;$AJ$2),S57,"")</f>
        <v/>
      </c>
      <c r="AO57" s="35">
        <f>IF(AND(W57="",M57&gt;0,$AJ$2&gt;M57,L57=""),1,0)</f>
        <v/>
      </c>
      <c r="AP57" s="26">
        <f>IF(AND(AK57="YES",W57="X"),"X","")</f>
        <v/>
      </c>
      <c r="AQ57" s="28">
        <f>IF(AP57="X",100%,0%)</f>
        <v/>
      </c>
      <c r="AR57" s="25">
        <f>IF(AND(T57&gt;0,L57=""),H57,"")</f>
        <v/>
      </c>
      <c r="AS57" s="25">
        <f>IF(AND(D57&gt;0,H57=0,G57=""),1,"")</f>
        <v/>
      </c>
      <c r="AT57" s="25">
        <f>IF(G57="BLOQ",1,"")</f>
        <v/>
      </c>
      <c r="AU57" s="25">
        <f>IF(L57="BLOQ",1,"")</f>
        <v/>
      </c>
      <c r="AV57" s="25">
        <f>MONTH(F57)</f>
        <v/>
      </c>
      <c r="AW57" s="65">
        <f>IF(AP57="",100%,0%)</f>
        <v/>
      </c>
      <c r="AX57" s="23" t="n"/>
      <c r="AY57" s="24">
        <f>IF(M57=0,"",M57-$AX$2)</f>
        <v/>
      </c>
      <c r="AZ57" s="66">
        <f>IF(AND(W57="",AY57&gt;0,AY57&lt;15),1,0)</f>
        <v/>
      </c>
      <c r="BA57" s="24">
        <f>IF(AND(W57="",AY57&gt;0,AY57&lt;15),T57,"")</f>
        <v/>
      </c>
      <c r="BB57" s="87">
        <f>IF(R57&lt;Q57,"X","")</f>
        <v/>
      </c>
      <c r="BC57" s="190" t="inlineStr">
        <is>
          <t>NO</t>
        </is>
      </c>
      <c r="BD57" s="190" t="inlineStr">
        <is>
          <t>NO</t>
        </is>
      </c>
    </row>
    <row r="58" ht="15" customHeight="1" s="162">
      <c r="A58" s="7" t="n">
        <v>57</v>
      </c>
      <c r="B58" t="inlineStr">
        <is>
          <t>11162114</t>
        </is>
      </c>
      <c r="C58" t="inlineStr">
        <is>
          <t>Cinta de gancho y bucle Velcro de color</t>
        </is>
      </c>
      <c r="D58" t="inlineStr">
        <is>
          <t>1101756236</t>
        </is>
      </c>
      <c r="E58" t="inlineStr">
        <is>
          <t>5</t>
        </is>
      </c>
      <c r="F58" s="163" t="n">
        <v>45460</v>
      </c>
      <c r="G58" t="inlineStr"/>
      <c r="H58" t="inlineStr">
        <is>
          <t>4800002579</t>
        </is>
      </c>
      <c r="I58" t="inlineStr">
        <is>
          <t>1260</t>
        </is>
      </c>
      <c r="J58" s="163" t="n">
        <v>45457</v>
      </c>
      <c r="K58" s="163" t="inlineStr"/>
      <c r="L58" t="inlineStr"/>
      <c r="M58" s="163" t="n">
        <v>45461</v>
      </c>
      <c r="N58" s="164" t="n">
        <v>0</v>
      </c>
      <c r="O58" s="164" t="n">
        <v>0</v>
      </c>
      <c r="P58" t="inlineStr"/>
      <c r="Q58" s="165" t="n">
        <v>1</v>
      </c>
      <c r="R58" s="165" t="n">
        <v>1</v>
      </c>
      <c r="S58" s="165" t="n">
        <v>1</v>
      </c>
      <c r="T58" s="165" t="n">
        <v>0</v>
      </c>
      <c r="U58" s="166" t="n">
        <v>0</v>
      </c>
      <c r="V58" s="166" t="n">
        <v>0</v>
      </c>
      <c r="W58" t="inlineStr">
        <is>
          <t>X</t>
        </is>
      </c>
      <c r="X58" t="inlineStr">
        <is>
          <t>0.00</t>
        </is>
      </c>
      <c r="Y58" t="inlineStr"/>
      <c r="Z58" t="inlineStr">
        <is>
          <t>AMIDATA, S.A.</t>
        </is>
      </c>
      <c r="AA58" t="inlineStr"/>
      <c r="AB58" t="inlineStr">
        <is>
          <t>4239533</t>
        </is>
      </c>
      <c r="AC58" t="inlineStr"/>
      <c r="AD58" s="164" t="n">
        <v>0</v>
      </c>
      <c r="AE58" s="185" t="n">
        <v>0</v>
      </c>
      <c r="AG58" s="167" t="inlineStr">
        <is>
          <t>7218|JA2581_1001</t>
        </is>
      </c>
      <c r="AH58" s="46">
        <f>IF(M58=0,"-",M58-J58)</f>
        <v/>
      </c>
      <c r="AI58" s="46">
        <f>IF(AND(S58=0,M58&gt;0,L58=0),IF(AH58&gt;=120,"VERY HIGH",IF(AH58&gt;=90,"HIGH",IF(AH58&gt;=60,"MEDIUM",IF(AH58&lt;60,"LOW")))),"-")</f>
        <v/>
      </c>
      <c r="AJ58" s="12" t="n"/>
      <c r="AK58" s="41">
        <f>IF(AND(W58="X",M58&lt;=$AJ$2),"YES","")</f>
        <v/>
      </c>
      <c r="AL58" s="38">
        <f>IF(AND(W58="X",M58&lt;=$AJ$2),S58,"")</f>
        <v/>
      </c>
      <c r="AM58" s="26">
        <f>IF(AND(W58="X",M58&gt;$AJ$2),"YES","")</f>
        <v/>
      </c>
      <c r="AN58" s="89">
        <f>IF(AND(W58="X",M58&gt;$AJ$2),S58,"")</f>
        <v/>
      </c>
      <c r="AO58" s="35">
        <f>IF(AND(W58="",M58&gt;0,$AJ$2&gt;M58,L58=""),1,0)</f>
        <v/>
      </c>
      <c r="AP58" s="26">
        <f>IF(AND(AK58="YES",W58="X"),"X","")</f>
        <v/>
      </c>
      <c r="AQ58" s="28">
        <f>IF(AP58="X",100%,0%)</f>
        <v/>
      </c>
      <c r="AR58" s="25">
        <f>IF(AND(T58&gt;0,L58=""),H58,"")</f>
        <v/>
      </c>
      <c r="AS58" s="25">
        <f>IF(AND(D58&gt;0,H58=0,G58=""),1,"")</f>
        <v/>
      </c>
      <c r="AT58" s="25">
        <f>IF(G58="BLOQ",1,"")</f>
        <v/>
      </c>
      <c r="AU58" s="25">
        <f>IF(L58="BLOQ",1,"")</f>
        <v/>
      </c>
      <c r="AV58" s="25">
        <f>MONTH(F58)</f>
        <v/>
      </c>
      <c r="AW58" s="65">
        <f>IF(AP58="",100%,0%)</f>
        <v/>
      </c>
      <c r="AX58" s="23" t="n"/>
      <c r="AY58" s="24">
        <f>IF(M58=0,"",M58-$AX$2)</f>
        <v/>
      </c>
      <c r="AZ58" s="66">
        <f>IF(AND(W58="",AY58&gt;0,AY58&lt;15),1,0)</f>
        <v/>
      </c>
      <c r="BA58" s="24">
        <f>IF(AND(W58="",AY58&gt;0,AY58&lt;15),T58,"")</f>
        <v/>
      </c>
      <c r="BB58" s="87">
        <f>IF(R58&lt;Q58,"X","")</f>
        <v/>
      </c>
      <c r="BC58" s="190" t="inlineStr">
        <is>
          <t>NO</t>
        </is>
      </c>
      <c r="BD58" s="190" t="inlineStr">
        <is>
          <t>NO</t>
        </is>
      </c>
    </row>
    <row r="59" ht="15" customHeight="1" s="162">
      <c r="A59" s="7" t="n">
        <v>58</v>
      </c>
      <c r="B59" t="inlineStr">
        <is>
          <t>39121432</t>
        </is>
      </c>
      <c r="C59" t="inlineStr">
        <is>
          <t>Terminal redondo aislado de Cobre RS PRO</t>
        </is>
      </c>
      <c r="D59" t="inlineStr">
        <is>
          <t>1101756236</t>
        </is>
      </c>
      <c r="E59" t="inlineStr">
        <is>
          <t>6</t>
        </is>
      </c>
      <c r="F59" s="163" t="n">
        <v>45460</v>
      </c>
      <c r="G59" t="inlineStr"/>
      <c r="H59" t="inlineStr">
        <is>
          <t>4800002579</t>
        </is>
      </c>
      <c r="I59" t="inlineStr">
        <is>
          <t>1270</t>
        </is>
      </c>
      <c r="J59" s="163" t="n">
        <v>45457</v>
      </c>
      <c r="K59" s="163" t="inlineStr"/>
      <c r="L59" t="inlineStr"/>
      <c r="M59" s="163" t="n">
        <v>45461</v>
      </c>
      <c r="N59" s="164" t="n">
        <v>0</v>
      </c>
      <c r="O59" s="164" t="n">
        <v>0</v>
      </c>
      <c r="P59" t="inlineStr"/>
      <c r="Q59" s="165" t="n">
        <v>100</v>
      </c>
      <c r="R59" s="165" t="n">
        <v>100</v>
      </c>
      <c r="S59" s="165" t="n">
        <v>100</v>
      </c>
      <c r="T59" s="165" t="n">
        <v>0</v>
      </c>
      <c r="U59" s="166" t="n">
        <v>0</v>
      </c>
      <c r="V59" s="166" t="n">
        <v>0</v>
      </c>
      <c r="W59" t="inlineStr">
        <is>
          <t>X</t>
        </is>
      </c>
      <c r="X59" t="inlineStr">
        <is>
          <t>0.00</t>
        </is>
      </c>
      <c r="Y59" t="inlineStr"/>
      <c r="Z59" t="inlineStr">
        <is>
          <t>AMIDATA, S.A.</t>
        </is>
      </c>
      <c r="AA59" t="inlineStr"/>
      <c r="AB59" t="inlineStr">
        <is>
          <t>2673919</t>
        </is>
      </c>
      <c r="AC59" t="inlineStr"/>
      <c r="AD59" s="164" t="n">
        <v>0</v>
      </c>
      <c r="AE59" s="185" t="n">
        <v>0</v>
      </c>
      <c r="AG59" s="167" t="inlineStr">
        <is>
          <t>7218|JA2581_1001</t>
        </is>
      </c>
      <c r="AH59" s="46">
        <f>IF(M59=0,"-",M59-J59)</f>
        <v/>
      </c>
      <c r="AI59" s="46">
        <f>IF(AND(S59=0,M59&gt;0,L59=0),IF(AH59&gt;=120,"VERY HIGH",IF(AH59&gt;=90,"HIGH",IF(AH59&gt;=60,"MEDIUM",IF(AH59&lt;60,"LOW")))),"-")</f>
        <v/>
      </c>
      <c r="AJ59" s="12" t="n"/>
      <c r="AK59" s="41">
        <f>IF(AND(W59="X",M59&lt;=$AJ$2),"YES","")</f>
        <v/>
      </c>
      <c r="AL59" s="38">
        <f>IF(AND(W59="X",M59&lt;=$AJ$2),S59,"")</f>
        <v/>
      </c>
      <c r="AM59" s="26">
        <f>IF(AND(W59="X",M59&gt;$AJ$2),"YES","")</f>
        <v/>
      </c>
      <c r="AN59" s="89">
        <f>IF(AND(W59="X",M59&gt;$AJ$2),S59,"")</f>
        <v/>
      </c>
      <c r="AO59" s="35">
        <f>IF(AND(W59="",M59&gt;0,$AJ$2&gt;M59,L59=""),1,0)</f>
        <v/>
      </c>
      <c r="AP59" s="26">
        <f>IF(AND(AK59="YES",W59="X"),"X","")</f>
        <v/>
      </c>
      <c r="AQ59" s="28">
        <f>IF(AP59="X",100%,0%)</f>
        <v/>
      </c>
      <c r="AR59" s="25">
        <f>IF(AND(T59&gt;0,L59=""),H59,"")</f>
        <v/>
      </c>
      <c r="AS59" s="25">
        <f>IF(AND(D59&gt;0,H59=0,G59=""),1,"")</f>
        <v/>
      </c>
      <c r="AT59" s="25">
        <f>IF(G59="BLOQ",1,"")</f>
        <v/>
      </c>
      <c r="AU59" s="25">
        <f>IF(L59="BLOQ",1,"")</f>
        <v/>
      </c>
      <c r="AV59" s="25">
        <f>MONTH(F59)</f>
        <v/>
      </c>
      <c r="AW59" s="65">
        <f>IF(AP59="",100%,0%)</f>
        <v/>
      </c>
      <c r="AX59" s="23" t="n"/>
      <c r="AY59" s="24">
        <f>IF(M59=0,"",M59-$AX$2)</f>
        <v/>
      </c>
      <c r="AZ59" s="66">
        <f>IF(AND(W59="",AY59&gt;0,AY59&lt;15),1,0)</f>
        <v/>
      </c>
      <c r="BA59" s="24">
        <f>IF(AND(W59="",AY59&gt;0,AY59&lt;15),T59,"")</f>
        <v/>
      </c>
      <c r="BB59" s="87">
        <f>IF(R59&lt;Q59,"X","")</f>
        <v/>
      </c>
      <c r="BC59" s="190" t="inlineStr">
        <is>
          <t>NO</t>
        </is>
      </c>
      <c r="BD59" s="190" t="inlineStr">
        <is>
          <t>NO</t>
        </is>
      </c>
    </row>
    <row r="60" ht="15" customHeight="1" s="162">
      <c r="A60" s="7" t="n">
        <v>59</v>
      </c>
      <c r="B60" t="inlineStr">
        <is>
          <t>39121432</t>
        </is>
      </c>
      <c r="C60" t="inlineStr">
        <is>
          <t>Terminal redondo aislado de Cobre RS PRO</t>
        </is>
      </c>
      <c r="D60" t="inlineStr">
        <is>
          <t>1101756236</t>
        </is>
      </c>
      <c r="E60" t="inlineStr">
        <is>
          <t>7</t>
        </is>
      </c>
      <c r="F60" s="163" t="n">
        <v>45460</v>
      </c>
      <c r="G60" t="inlineStr"/>
      <c r="H60" t="inlineStr">
        <is>
          <t>4800002579</t>
        </is>
      </c>
      <c r="I60" t="inlineStr">
        <is>
          <t>1280</t>
        </is>
      </c>
      <c r="J60" s="163" t="n">
        <v>45457</v>
      </c>
      <c r="K60" s="163" t="inlineStr"/>
      <c r="L60" t="inlineStr"/>
      <c r="M60" s="163" t="n">
        <v>45461</v>
      </c>
      <c r="N60" s="164" t="n">
        <v>0</v>
      </c>
      <c r="O60" s="164" t="n">
        <v>0</v>
      </c>
      <c r="P60" t="inlineStr"/>
      <c r="Q60" s="165" t="n">
        <v>100</v>
      </c>
      <c r="R60" s="165" t="n">
        <v>100</v>
      </c>
      <c r="S60" s="165" t="n">
        <v>100</v>
      </c>
      <c r="T60" s="165" t="n">
        <v>0</v>
      </c>
      <c r="U60" s="166" t="n">
        <v>0</v>
      </c>
      <c r="V60" s="166" t="n">
        <v>0</v>
      </c>
      <c r="W60" t="inlineStr">
        <is>
          <t>X</t>
        </is>
      </c>
      <c r="X60" t="inlineStr">
        <is>
          <t>0.00</t>
        </is>
      </c>
      <c r="Y60" t="inlineStr"/>
      <c r="Z60" t="inlineStr">
        <is>
          <t>AMIDATA, S.A.</t>
        </is>
      </c>
      <c r="AA60" t="inlineStr"/>
      <c r="AB60" t="inlineStr">
        <is>
          <t>2673880</t>
        </is>
      </c>
      <c r="AC60" t="inlineStr"/>
      <c r="AD60" s="164" t="n">
        <v>0</v>
      </c>
      <c r="AE60" s="185" t="n">
        <v>0</v>
      </c>
      <c r="AG60" s="167" t="inlineStr">
        <is>
          <t>7218|JA2581_1001</t>
        </is>
      </c>
      <c r="AH60" s="46">
        <f>IF(M60=0,"-",M60-J60)</f>
        <v/>
      </c>
      <c r="AI60" s="46">
        <f>IF(AND(S60=0,M60&gt;0,L60=0),IF(AH60&gt;=120,"VERY HIGH",IF(AH60&gt;=90,"HIGH",IF(AH60&gt;=60,"MEDIUM",IF(AH60&lt;60,"LOW")))),"-")</f>
        <v/>
      </c>
      <c r="AJ60" s="12" t="n"/>
      <c r="AK60" s="41">
        <f>IF(AND(W60="X",M60&lt;=$AJ$2),"YES","")</f>
        <v/>
      </c>
      <c r="AL60" s="38">
        <f>IF(AND(W60="X",M60&lt;=$AJ$2),S60,"")</f>
        <v/>
      </c>
      <c r="AM60" s="26">
        <f>IF(AND(W60="X",M60&gt;$AJ$2),"YES","")</f>
        <v/>
      </c>
      <c r="AN60" s="89">
        <f>IF(AND(W60="X",M60&gt;$AJ$2),S60,"")</f>
        <v/>
      </c>
      <c r="AO60" s="35">
        <f>IF(AND(W60="",M60&gt;0,$AJ$2&gt;M60,L60=""),1,0)</f>
        <v/>
      </c>
      <c r="AP60" s="26">
        <f>IF(AND(AK60="YES",W60="X"),"X","")</f>
        <v/>
      </c>
      <c r="AQ60" s="28">
        <f>IF(AP60="X",100%,0%)</f>
        <v/>
      </c>
      <c r="AR60" s="25">
        <f>IF(AND(T60&gt;0,L60=""),H60,"")</f>
        <v/>
      </c>
      <c r="AS60" s="25">
        <f>IF(AND(D60&gt;0,H60=0,G60=""),1,"")</f>
        <v/>
      </c>
      <c r="AT60" s="25">
        <f>IF(G60="BLOQ",1,"")</f>
        <v/>
      </c>
      <c r="AU60" s="25">
        <f>IF(L60="BLOQ",1,"")</f>
        <v/>
      </c>
      <c r="AV60" s="25">
        <f>MONTH(F60)</f>
        <v/>
      </c>
      <c r="AW60" s="65">
        <f>IF(AP60="",100%,0%)</f>
        <v/>
      </c>
      <c r="AX60" s="23" t="n"/>
      <c r="AY60" s="24">
        <f>IF(M60=0,"",M60-$AX$2)</f>
        <v/>
      </c>
      <c r="AZ60" s="66">
        <f>IF(AND(W60="",AY60&gt;0,AY60&lt;15),1,0)</f>
        <v/>
      </c>
      <c r="BA60" s="24">
        <f>IF(AND(W60="",AY60&gt;0,AY60&lt;15),T60,"")</f>
        <v/>
      </c>
      <c r="BB60" s="87">
        <f>IF(R60&lt;Q60,"X","")</f>
        <v/>
      </c>
      <c r="BC60" s="190" t="inlineStr">
        <is>
          <t>NO</t>
        </is>
      </c>
      <c r="BD60" s="190" t="inlineStr">
        <is>
          <t>NO</t>
        </is>
      </c>
    </row>
    <row r="61" ht="15" customHeight="1" s="162">
      <c r="A61" s="7" t="n">
        <v>60</v>
      </c>
      <c r="B61" t="inlineStr">
        <is>
          <t>39121432</t>
        </is>
      </c>
      <c r="C61" t="inlineStr">
        <is>
          <t>Terminal redondo aislado de Cobre RS PRO</t>
        </is>
      </c>
      <c r="D61" t="inlineStr">
        <is>
          <t>1101756236</t>
        </is>
      </c>
      <c r="E61" t="inlineStr">
        <is>
          <t>8</t>
        </is>
      </c>
      <c r="F61" s="163" t="n">
        <v>45460</v>
      </c>
      <c r="G61" t="inlineStr"/>
      <c r="H61" t="inlineStr">
        <is>
          <t>4800002579</t>
        </is>
      </c>
      <c r="I61" t="inlineStr">
        <is>
          <t>1290</t>
        </is>
      </c>
      <c r="J61" s="163" t="n">
        <v>45457</v>
      </c>
      <c r="K61" s="163" t="inlineStr"/>
      <c r="L61" t="inlineStr"/>
      <c r="M61" s="163" t="n">
        <v>45461</v>
      </c>
      <c r="N61" s="164" t="n">
        <v>0</v>
      </c>
      <c r="O61" s="164" t="n">
        <v>0</v>
      </c>
      <c r="P61" t="inlineStr"/>
      <c r="Q61" s="165" t="n">
        <v>500</v>
      </c>
      <c r="R61" s="165" t="n">
        <v>500</v>
      </c>
      <c r="S61" s="165" t="n">
        <v>500</v>
      </c>
      <c r="T61" s="165" t="n">
        <v>0</v>
      </c>
      <c r="U61" s="166" t="n">
        <v>0</v>
      </c>
      <c r="V61" s="166" t="n">
        <v>0</v>
      </c>
      <c r="W61" t="inlineStr">
        <is>
          <t>X</t>
        </is>
      </c>
      <c r="X61" t="inlineStr">
        <is>
          <t>0.00</t>
        </is>
      </c>
      <c r="Y61" t="inlineStr"/>
      <c r="Z61" t="inlineStr">
        <is>
          <t>AMIDATA, S.A.</t>
        </is>
      </c>
      <c r="AA61" t="inlineStr"/>
      <c r="AB61" t="inlineStr">
        <is>
          <t>2673650</t>
        </is>
      </c>
      <c r="AC61" t="inlineStr"/>
      <c r="AD61" s="164" t="n">
        <v>0</v>
      </c>
      <c r="AE61" s="185" t="n">
        <v>0</v>
      </c>
      <c r="AG61" s="167" t="inlineStr">
        <is>
          <t>7218|JA2581_1001</t>
        </is>
      </c>
      <c r="AH61" s="46">
        <f>IF(M61=0,"-",M61-J61)</f>
        <v/>
      </c>
      <c r="AI61" s="46">
        <f>IF(AND(S61=0,M61&gt;0,L61=0),IF(AH61&gt;=120,"VERY HIGH",IF(AH61&gt;=90,"HIGH",IF(AH61&gt;=60,"MEDIUM",IF(AH61&lt;60,"LOW")))),"-")</f>
        <v/>
      </c>
      <c r="AJ61" s="12" t="n"/>
      <c r="AK61" s="41">
        <f>IF(AND(W61="X",M61&lt;=$AJ$2),"YES","")</f>
        <v/>
      </c>
      <c r="AL61" s="38">
        <f>IF(AND(W61="X",M61&lt;=$AJ$2),S61,"")</f>
        <v/>
      </c>
      <c r="AM61" s="26">
        <f>IF(AND(W61="X",M61&gt;$AJ$2),"YES","")</f>
        <v/>
      </c>
      <c r="AN61" s="89">
        <f>IF(AND(W61="X",M61&gt;$AJ$2),S61,"")</f>
        <v/>
      </c>
      <c r="AO61" s="35">
        <f>IF(AND(W61="",M61&gt;0,$AJ$2&gt;M61,L61=""),1,0)</f>
        <v/>
      </c>
      <c r="AP61" s="26">
        <f>IF(AND(AK61="YES",W61="X"),"X","")</f>
        <v/>
      </c>
      <c r="AQ61" s="28">
        <f>IF(AP61="X",100%,0%)</f>
        <v/>
      </c>
      <c r="AR61" s="25">
        <f>IF(AND(T61&gt;0,L61=""),H61,"")</f>
        <v/>
      </c>
      <c r="AS61" s="25">
        <f>IF(AND(D61&gt;0,H61=0,G61=""),1,"")</f>
        <v/>
      </c>
      <c r="AT61" s="25">
        <f>IF(G61="BLOQ",1,"")</f>
        <v/>
      </c>
      <c r="AU61" s="25">
        <f>IF(L61="BLOQ",1,"")</f>
        <v/>
      </c>
      <c r="AV61" s="25">
        <f>MONTH(F61)</f>
        <v/>
      </c>
      <c r="AW61" s="65">
        <f>IF(AP61="",100%,0%)</f>
        <v/>
      </c>
      <c r="AX61" s="23" t="n"/>
      <c r="AY61" s="24">
        <f>IF(M61=0,"",M61-$AX$2)</f>
        <v/>
      </c>
      <c r="AZ61" s="66">
        <f>IF(AND(W61="",AY61&gt;0,AY61&lt;15),1,0)</f>
        <v/>
      </c>
      <c r="BA61" s="24">
        <f>IF(AND(W61="",AY61&gt;0,AY61&lt;15),T61,"")</f>
        <v/>
      </c>
      <c r="BB61" s="87">
        <f>IF(R61&lt;Q61,"X","")</f>
        <v/>
      </c>
      <c r="BC61" s="190" t="inlineStr">
        <is>
          <t>NO</t>
        </is>
      </c>
      <c r="BD61" s="190" t="inlineStr">
        <is>
          <t>NO</t>
        </is>
      </c>
    </row>
    <row r="62" ht="15" customHeight="1" s="162">
      <c r="A62" s="7" t="n">
        <v>61</v>
      </c>
      <c r="B62" t="inlineStr">
        <is>
          <t>39121432</t>
        </is>
      </c>
      <c r="C62" t="inlineStr">
        <is>
          <t>Terminal redondo aislado de Cobre RS PRO</t>
        </is>
      </c>
      <c r="D62" t="inlineStr">
        <is>
          <t>1101756236</t>
        </is>
      </c>
      <c r="E62" t="inlineStr">
        <is>
          <t>9</t>
        </is>
      </c>
      <c r="F62" s="163" t="n">
        <v>45460</v>
      </c>
      <c r="G62" t="inlineStr"/>
      <c r="H62" t="inlineStr">
        <is>
          <t>4800002579</t>
        </is>
      </c>
      <c r="I62" t="inlineStr">
        <is>
          <t>1300</t>
        </is>
      </c>
      <c r="J62" s="163" t="n">
        <v>45457</v>
      </c>
      <c r="K62" s="163" t="inlineStr"/>
      <c r="L62" t="inlineStr"/>
      <c r="M62" s="163" t="n">
        <v>45461</v>
      </c>
      <c r="N62" s="164" t="n">
        <v>0</v>
      </c>
      <c r="O62" s="164" t="n">
        <v>0</v>
      </c>
      <c r="P62" t="inlineStr"/>
      <c r="Q62" s="165" t="n">
        <v>200</v>
      </c>
      <c r="R62" s="165" t="n">
        <v>200</v>
      </c>
      <c r="S62" s="165" t="n">
        <v>200</v>
      </c>
      <c r="T62" s="165" t="n">
        <v>0</v>
      </c>
      <c r="U62" s="166" t="n">
        <v>0</v>
      </c>
      <c r="V62" s="166" t="n">
        <v>0</v>
      </c>
      <c r="W62" t="inlineStr">
        <is>
          <t>X</t>
        </is>
      </c>
      <c r="X62" t="inlineStr">
        <is>
          <t>0.00</t>
        </is>
      </c>
      <c r="Y62" t="inlineStr"/>
      <c r="Z62" t="inlineStr">
        <is>
          <t>AMIDATA, S.A.</t>
        </is>
      </c>
      <c r="AA62" t="inlineStr"/>
      <c r="AB62" t="inlineStr">
        <is>
          <t>2394098</t>
        </is>
      </c>
      <c r="AC62" t="inlineStr"/>
      <c r="AD62" s="164" t="n">
        <v>0</v>
      </c>
      <c r="AE62" s="185" t="n">
        <v>0</v>
      </c>
      <c r="AG62" s="167" t="inlineStr">
        <is>
          <t>7218|JA2581_1001</t>
        </is>
      </c>
      <c r="AH62" s="46">
        <f>IF(M62=0,"-",M62-J62)</f>
        <v/>
      </c>
      <c r="AI62" s="46">
        <f>IF(AND(S62=0,M62&gt;0,L62=0),IF(AH62&gt;=120,"VERY HIGH",IF(AH62&gt;=90,"HIGH",IF(AH62&gt;=60,"MEDIUM",IF(AH62&lt;60,"LOW")))),"-")</f>
        <v/>
      </c>
      <c r="AJ62" s="12" t="n"/>
      <c r="AK62" s="41">
        <f>IF(AND(W62="X",M62&lt;=$AJ$2),"YES","")</f>
        <v/>
      </c>
      <c r="AL62" s="38">
        <f>IF(AND(W62="X",M62&lt;=$AJ$2),S62,"")</f>
        <v/>
      </c>
      <c r="AM62" s="26">
        <f>IF(AND(W62="X",M62&gt;$AJ$2),"YES","")</f>
        <v/>
      </c>
      <c r="AN62" s="89">
        <f>IF(AND(W62="X",M62&gt;$AJ$2),S62,"")</f>
        <v/>
      </c>
      <c r="AO62" s="35">
        <f>IF(AND(W62="",M62&gt;0,$AJ$2&gt;M62,L62=""),1,0)</f>
        <v/>
      </c>
      <c r="AP62" s="26">
        <f>IF(AND(AK62="YES",W62="X"),"X","")</f>
        <v/>
      </c>
      <c r="AQ62" s="28">
        <f>IF(AP62="X",100%,0%)</f>
        <v/>
      </c>
      <c r="AR62" s="25">
        <f>IF(AND(T62&gt;0,L62=""),H62,"")</f>
        <v/>
      </c>
      <c r="AS62" s="25">
        <f>IF(AND(D62&gt;0,H62=0,G62=""),1,"")</f>
        <v/>
      </c>
      <c r="AT62" s="25">
        <f>IF(G62="BLOQ",1,"")</f>
        <v/>
      </c>
      <c r="AU62" s="25">
        <f>IF(L62="BLOQ",1,"")</f>
        <v/>
      </c>
      <c r="AV62" s="25">
        <f>MONTH(F62)</f>
        <v/>
      </c>
      <c r="AW62" s="65">
        <f>IF(AP62="",100%,0%)</f>
        <v/>
      </c>
      <c r="AX62" s="23" t="n"/>
      <c r="AY62" s="24">
        <f>IF(M62=0,"",M62-$AX$2)</f>
        <v/>
      </c>
      <c r="AZ62" s="66">
        <f>IF(AND(W62="",AY62&gt;0,AY62&lt;15),1,0)</f>
        <v/>
      </c>
      <c r="BA62" s="24">
        <f>IF(AND(W62="",AY62&gt;0,AY62&lt;15),T62,"")</f>
        <v/>
      </c>
      <c r="BB62" s="87">
        <f>IF(R62&lt;Q62,"X","")</f>
        <v/>
      </c>
      <c r="BC62" s="190" t="inlineStr">
        <is>
          <t>NO</t>
        </is>
      </c>
      <c r="BD62" s="190" t="inlineStr">
        <is>
          <t>NO</t>
        </is>
      </c>
    </row>
    <row r="63" ht="15" customHeight="1" s="162">
      <c r="A63" s="7" t="n">
        <v>62</v>
      </c>
      <c r="B63" t="inlineStr">
        <is>
          <t>39121432</t>
        </is>
      </c>
      <c r="C63" t="inlineStr">
        <is>
          <t>Terminal de horquilla RS PRO, Aislado, M</t>
        </is>
      </c>
      <c r="D63" t="inlineStr">
        <is>
          <t>1101756236</t>
        </is>
      </c>
      <c r="E63" t="inlineStr">
        <is>
          <t>10</t>
        </is>
      </c>
      <c r="F63" s="163" t="n">
        <v>45460</v>
      </c>
      <c r="G63" t="inlineStr"/>
      <c r="H63" t="inlineStr">
        <is>
          <t>4800002579</t>
        </is>
      </c>
      <c r="I63" t="inlineStr">
        <is>
          <t>1310</t>
        </is>
      </c>
      <c r="J63" s="163" t="n">
        <v>45457</v>
      </c>
      <c r="K63" s="163" t="inlineStr"/>
      <c r="L63" t="inlineStr"/>
      <c r="M63" s="163" t="n">
        <v>45461</v>
      </c>
      <c r="N63" s="164" t="n">
        <v>0</v>
      </c>
      <c r="O63" s="164" t="n">
        <v>0</v>
      </c>
      <c r="P63" t="inlineStr"/>
      <c r="Q63" s="165" t="n">
        <v>200</v>
      </c>
      <c r="R63" s="165" t="n">
        <v>200</v>
      </c>
      <c r="S63" s="165" t="n">
        <v>200</v>
      </c>
      <c r="T63" s="165" t="n">
        <v>0</v>
      </c>
      <c r="U63" s="166" t="n">
        <v>0</v>
      </c>
      <c r="V63" s="166" t="n">
        <v>0</v>
      </c>
      <c r="W63" t="inlineStr">
        <is>
          <t>X</t>
        </is>
      </c>
      <c r="X63" t="inlineStr">
        <is>
          <t>0.00</t>
        </is>
      </c>
      <c r="Y63" t="inlineStr"/>
      <c r="Z63" t="inlineStr">
        <is>
          <t>AMIDATA, S.A.</t>
        </is>
      </c>
      <c r="AA63" t="inlineStr"/>
      <c r="AB63" t="inlineStr">
        <is>
          <t>0534272</t>
        </is>
      </c>
      <c r="AC63" t="inlineStr"/>
      <c r="AD63" s="164" t="n">
        <v>0</v>
      </c>
      <c r="AE63" s="185" t="n">
        <v>0</v>
      </c>
      <c r="AG63" s="167" t="inlineStr">
        <is>
          <t>7218|JA2581_1001</t>
        </is>
      </c>
      <c r="AH63" s="46">
        <f>IF(M63=0,"-",M63-J63)</f>
        <v/>
      </c>
      <c r="AI63" s="46">
        <f>IF(AND(S63=0,M63&gt;0,L63=0),IF(AH63&gt;=120,"VERY HIGH",IF(AH63&gt;=90,"HIGH",IF(AH63&gt;=60,"MEDIUM",IF(AH63&lt;60,"LOW")))),"-")</f>
        <v/>
      </c>
      <c r="AJ63" s="12" t="n"/>
      <c r="AK63" s="41">
        <f>IF(AND(W63="X",M63&lt;=$AJ$2),"YES","")</f>
        <v/>
      </c>
      <c r="AL63" s="38">
        <f>IF(AND(W63="X",M63&lt;=$AJ$2),S63,"")</f>
        <v/>
      </c>
      <c r="AM63" s="26">
        <f>IF(AND(W63="X",M63&gt;$AJ$2),"YES","")</f>
        <v/>
      </c>
      <c r="AN63" s="89">
        <f>IF(AND(W63="X",M63&gt;$AJ$2),S63,"")</f>
        <v/>
      </c>
      <c r="AO63" s="35">
        <f>IF(AND(W63="",M63&gt;0,$AJ$2&gt;M63,L63=""),1,0)</f>
        <v/>
      </c>
      <c r="AP63" s="26">
        <f>IF(AND(AK63="YES",W63="X"),"X","")</f>
        <v/>
      </c>
      <c r="AQ63" s="28">
        <f>IF(AP63="X",100%,0%)</f>
        <v/>
      </c>
      <c r="AR63" s="25">
        <f>IF(AND(T63&gt;0,L63=""),H63,"")</f>
        <v/>
      </c>
      <c r="AS63" s="25">
        <f>IF(AND(D63&gt;0,H63=0,G63=""),1,"")</f>
        <v/>
      </c>
      <c r="AT63" s="25">
        <f>IF(G63="BLOQ",1,"")</f>
        <v/>
      </c>
      <c r="AU63" s="25">
        <f>IF(L63="BLOQ",1,"")</f>
        <v/>
      </c>
      <c r="AV63" s="25">
        <f>MONTH(F63)</f>
        <v/>
      </c>
      <c r="AW63" s="65">
        <f>IF(AP63="",100%,0%)</f>
        <v/>
      </c>
      <c r="AX63" s="23" t="n"/>
      <c r="AY63" s="24">
        <f>IF(M63=0,"",M63-$AX$2)</f>
        <v/>
      </c>
      <c r="AZ63" s="66">
        <f>IF(AND(W63="",AY63&gt;0,AY63&lt;15),1,0)</f>
        <v/>
      </c>
      <c r="BA63" s="24">
        <f>IF(AND(W63="",AY63&gt;0,AY63&lt;15),T63,"")</f>
        <v/>
      </c>
      <c r="BB63" s="87">
        <f>IF(R63&lt;Q63,"X","")</f>
        <v/>
      </c>
      <c r="BC63" s="190" t="inlineStr">
        <is>
          <t>NO</t>
        </is>
      </c>
      <c r="BD63" s="190" t="inlineStr">
        <is>
          <t>NO</t>
        </is>
      </c>
    </row>
    <row r="64" ht="15" customHeight="1" s="162">
      <c r="A64" s="7" t="n">
        <v>63</v>
      </c>
      <c r="B64" t="inlineStr">
        <is>
          <t>39121432</t>
        </is>
      </c>
      <c r="C64" t="inlineStr">
        <is>
          <t>Puntera hueca de crimpado RS PRO, Pin de</t>
        </is>
      </c>
      <c r="D64" t="inlineStr">
        <is>
          <t>1101756236</t>
        </is>
      </c>
      <c r="E64" t="inlineStr">
        <is>
          <t>11</t>
        </is>
      </c>
      <c r="F64" s="163" t="n">
        <v>45460</v>
      </c>
      <c r="G64" t="inlineStr"/>
      <c r="H64" t="inlineStr">
        <is>
          <t>4800002579</t>
        </is>
      </c>
      <c r="I64" t="inlineStr">
        <is>
          <t>1320</t>
        </is>
      </c>
      <c r="J64" s="163" t="n">
        <v>45457</v>
      </c>
      <c r="K64" s="163" t="inlineStr"/>
      <c r="L64" t="inlineStr"/>
      <c r="M64" s="163" t="n">
        <v>45461</v>
      </c>
      <c r="N64" s="164" t="n">
        <v>0</v>
      </c>
      <c r="O64" s="164" t="n">
        <v>0</v>
      </c>
      <c r="P64" t="inlineStr"/>
      <c r="Q64" s="165" t="n">
        <v>200</v>
      </c>
      <c r="R64" s="165" t="n">
        <v>200</v>
      </c>
      <c r="S64" s="165" t="n">
        <v>200</v>
      </c>
      <c r="T64" s="165" t="n">
        <v>0</v>
      </c>
      <c r="U64" s="166" t="n">
        <v>0</v>
      </c>
      <c r="V64" s="166" t="n">
        <v>0</v>
      </c>
      <c r="W64" t="inlineStr">
        <is>
          <t>X</t>
        </is>
      </c>
      <c r="X64" t="inlineStr">
        <is>
          <t>0.00</t>
        </is>
      </c>
      <c r="Y64" t="inlineStr"/>
      <c r="Z64" t="inlineStr">
        <is>
          <t>AMIDATA, S.A.</t>
        </is>
      </c>
      <c r="AA64" t="inlineStr"/>
      <c r="AB64" t="inlineStr">
        <is>
          <t>2114296</t>
        </is>
      </c>
      <c r="AC64" t="inlineStr"/>
      <c r="AD64" s="164" t="n">
        <v>0</v>
      </c>
      <c r="AE64" s="185" t="n">
        <v>0</v>
      </c>
      <c r="AG64" s="167" t="inlineStr">
        <is>
          <t>7218|JA2581_1001</t>
        </is>
      </c>
      <c r="AH64" s="46">
        <f>IF(M64=0,"-",M64-J64)</f>
        <v/>
      </c>
      <c r="AI64" s="46">
        <f>IF(AND(S64=0,M64&gt;0,L64=0),IF(AH64&gt;=120,"VERY HIGH",IF(AH64&gt;=90,"HIGH",IF(AH64&gt;=60,"MEDIUM",IF(AH64&lt;60,"LOW")))),"-")</f>
        <v/>
      </c>
      <c r="AJ64" s="12" t="n"/>
      <c r="AK64" s="41">
        <f>IF(AND(W64="X",M64&lt;=$AJ$2),"YES","")</f>
        <v/>
      </c>
      <c r="AL64" s="38">
        <f>IF(AND(W64="X",M64&lt;=$AJ$2),S64,"")</f>
        <v/>
      </c>
      <c r="AM64" s="26">
        <f>IF(AND(W64="X",M64&gt;$AJ$2),"YES","")</f>
        <v/>
      </c>
      <c r="AN64" s="89">
        <f>IF(AND(W64="X",M64&gt;$AJ$2),S64,"")</f>
        <v/>
      </c>
      <c r="AO64" s="35">
        <f>IF(AND(W64="",M64&gt;0,$AJ$2&gt;M64,L64=""),1,0)</f>
        <v/>
      </c>
      <c r="AP64" s="26">
        <f>IF(AND(AK64="YES",W64="X"),"X","")</f>
        <v/>
      </c>
      <c r="AQ64" s="28">
        <f>IF(AP64="X",100%,0%)</f>
        <v/>
      </c>
      <c r="AR64" s="25">
        <f>IF(AND(T64&gt;0,L64=""),H64,"")</f>
        <v/>
      </c>
      <c r="AS64" s="25">
        <f>IF(AND(D64&gt;0,H64=0,G64=""),1,"")</f>
        <v/>
      </c>
      <c r="AT64" s="25">
        <f>IF(G64="BLOQ",1,"")</f>
        <v/>
      </c>
      <c r="AU64" s="25">
        <f>IF(L64="BLOQ",1,"")</f>
        <v/>
      </c>
      <c r="AV64" s="25">
        <f>MONTH(F64)</f>
        <v/>
      </c>
      <c r="AW64" s="65">
        <f>IF(AP64="",100%,0%)</f>
        <v/>
      </c>
      <c r="AX64" s="23" t="n"/>
      <c r="AY64" s="24">
        <f>IF(M64=0,"",M64-$AX$2)</f>
        <v/>
      </c>
      <c r="AZ64" s="66">
        <f>IF(AND(W64="",AY64&gt;0,AY64&lt;15),1,0)</f>
        <v/>
      </c>
      <c r="BA64" s="24">
        <f>IF(AND(W64="",AY64&gt;0,AY64&lt;15),T64,"")</f>
        <v/>
      </c>
      <c r="BB64" s="87">
        <f>IF(R64&lt;Q64,"X","")</f>
        <v/>
      </c>
      <c r="BC64" s="190" t="inlineStr">
        <is>
          <t>NO</t>
        </is>
      </c>
      <c r="BD64" s="190" t="inlineStr">
        <is>
          <t>NO</t>
        </is>
      </c>
    </row>
    <row r="65" ht="15" customHeight="1" s="162">
      <c r="A65" s="7" t="n">
        <v>64</v>
      </c>
      <c r="B65" t="inlineStr">
        <is>
          <t>39121432</t>
        </is>
      </c>
      <c r="C65" t="inlineStr">
        <is>
          <t>Puntera hueca de crimpado RS PRO, Pin de</t>
        </is>
      </c>
      <c r="D65" t="inlineStr">
        <is>
          <t>1101756236</t>
        </is>
      </c>
      <c r="E65" t="inlineStr">
        <is>
          <t>12</t>
        </is>
      </c>
      <c r="F65" s="163" t="n">
        <v>45460</v>
      </c>
      <c r="G65" t="inlineStr"/>
      <c r="H65" t="inlineStr">
        <is>
          <t>4800002579</t>
        </is>
      </c>
      <c r="I65" t="inlineStr">
        <is>
          <t>1330</t>
        </is>
      </c>
      <c r="J65" s="163" t="n">
        <v>45457</v>
      </c>
      <c r="K65" s="163" t="inlineStr"/>
      <c r="L65" t="inlineStr"/>
      <c r="M65" s="163" t="n">
        <v>45461</v>
      </c>
      <c r="N65" s="164" t="n">
        <v>0</v>
      </c>
      <c r="O65" s="164" t="n">
        <v>0</v>
      </c>
      <c r="P65" t="inlineStr"/>
      <c r="Q65" s="165" t="n">
        <v>100</v>
      </c>
      <c r="R65" s="165" t="n">
        <v>100</v>
      </c>
      <c r="S65" s="165" t="n">
        <v>100</v>
      </c>
      <c r="T65" s="165" t="n">
        <v>0</v>
      </c>
      <c r="U65" s="166" t="n">
        <v>0</v>
      </c>
      <c r="V65" s="166" t="n">
        <v>0</v>
      </c>
      <c r="W65" t="inlineStr">
        <is>
          <t>X</t>
        </is>
      </c>
      <c r="X65" t="inlineStr">
        <is>
          <t>0.00</t>
        </is>
      </c>
      <c r="Y65" t="inlineStr"/>
      <c r="Z65" t="inlineStr">
        <is>
          <t>AMIDATA, S.A.</t>
        </is>
      </c>
      <c r="AA65" t="inlineStr"/>
      <c r="AB65" t="inlineStr">
        <is>
          <t>2114319</t>
        </is>
      </c>
      <c r="AC65" t="inlineStr"/>
      <c r="AD65" s="164" t="n">
        <v>0</v>
      </c>
      <c r="AE65" s="185" t="n">
        <v>0</v>
      </c>
      <c r="AG65" s="167" t="inlineStr">
        <is>
          <t>7218|JA2581_1001</t>
        </is>
      </c>
      <c r="AH65" s="46">
        <f>IF(M65=0,"-",M65-J65)</f>
        <v/>
      </c>
      <c r="AI65" s="46">
        <f>IF(AND(S65=0,M65&gt;0,L65=0),IF(AH65&gt;=120,"VERY HIGH",IF(AH65&gt;=90,"HIGH",IF(AH65&gt;=60,"MEDIUM",IF(AH65&lt;60,"LOW")))),"-")</f>
        <v/>
      </c>
      <c r="AJ65" s="12" t="n"/>
      <c r="AK65" s="41">
        <f>IF(AND(W65="X",M65&lt;=$AJ$2),"YES","")</f>
        <v/>
      </c>
      <c r="AL65" s="38">
        <f>IF(AND(W65="X",M65&lt;=$AJ$2),S65,"")</f>
        <v/>
      </c>
      <c r="AM65" s="26">
        <f>IF(AND(W65="X",M65&gt;$AJ$2),"YES","")</f>
        <v/>
      </c>
      <c r="AN65" s="89">
        <f>IF(AND(W65="X",M65&gt;$AJ$2),S65,"")</f>
        <v/>
      </c>
      <c r="AO65" s="35">
        <f>IF(AND(W65="",M65&gt;0,$AJ$2&gt;M65,L65=""),1,0)</f>
        <v/>
      </c>
      <c r="AP65" s="26">
        <f>IF(AND(AK65="YES",W65="X"),"X","")</f>
        <v/>
      </c>
      <c r="AQ65" s="28">
        <f>IF(AP65="X",100%,0%)</f>
        <v/>
      </c>
      <c r="AR65" s="25">
        <f>IF(AND(T65&gt;0,L65=""),H65,"")</f>
        <v/>
      </c>
      <c r="AS65" s="25">
        <f>IF(AND(D65&gt;0,H65=0,G65=""),1,"")</f>
        <v/>
      </c>
      <c r="AT65" s="25">
        <f>IF(G65="BLOQ",1,"")</f>
        <v/>
      </c>
      <c r="AU65" s="25">
        <f>IF(L65="BLOQ",1,"")</f>
        <v/>
      </c>
      <c r="AV65" s="25">
        <f>MONTH(F65)</f>
        <v/>
      </c>
      <c r="AW65" s="65">
        <f>IF(AP65="",100%,0%)</f>
        <v/>
      </c>
      <c r="AX65" s="23" t="n"/>
      <c r="AY65" s="24">
        <f>IF(M65=0,"",M65-$AX$2)</f>
        <v/>
      </c>
      <c r="AZ65" s="66">
        <f>IF(AND(W65="",AY65&gt;0,AY65&lt;15),1,0)</f>
        <v/>
      </c>
      <c r="BA65" s="24">
        <f>IF(AND(W65="",AY65&gt;0,AY65&lt;15),T65,"")</f>
        <v/>
      </c>
      <c r="BB65" s="87">
        <f>IF(R65&lt;Q65,"X","")</f>
        <v/>
      </c>
      <c r="BC65" s="190" t="inlineStr">
        <is>
          <t>NO</t>
        </is>
      </c>
      <c r="BD65" s="190" t="inlineStr">
        <is>
          <t>NO</t>
        </is>
      </c>
    </row>
    <row r="66" ht="15" customHeight="1" s="162">
      <c r="A66" s="7" t="n">
        <v>65</v>
      </c>
      <c r="B66" t="inlineStr">
        <is>
          <t>39121432</t>
        </is>
      </c>
      <c r="C66" t="inlineStr">
        <is>
          <t>Puntera hueca de crimpado RS PRO, Pin de</t>
        </is>
      </c>
      <c r="D66" t="inlineStr">
        <is>
          <t>1101756236</t>
        </is>
      </c>
      <c r="E66" t="inlineStr">
        <is>
          <t>13</t>
        </is>
      </c>
      <c r="F66" s="163" t="n">
        <v>45460</v>
      </c>
      <c r="G66" t="inlineStr"/>
      <c r="H66" t="inlineStr">
        <is>
          <t>4800002579</t>
        </is>
      </c>
      <c r="I66" t="inlineStr">
        <is>
          <t>1340</t>
        </is>
      </c>
      <c r="J66" s="163" t="n">
        <v>45457</v>
      </c>
      <c r="K66" s="163" t="inlineStr"/>
      <c r="L66" t="inlineStr"/>
      <c r="M66" s="163" t="n">
        <v>45461</v>
      </c>
      <c r="N66" s="164" t="n">
        <v>0</v>
      </c>
      <c r="O66" s="164" t="n">
        <v>0</v>
      </c>
      <c r="P66" t="inlineStr"/>
      <c r="Q66" s="165" t="n">
        <v>100</v>
      </c>
      <c r="R66" s="165" t="n">
        <v>100</v>
      </c>
      <c r="S66" s="165" t="n">
        <v>100</v>
      </c>
      <c r="T66" s="165" t="n">
        <v>0</v>
      </c>
      <c r="U66" s="166" t="n">
        <v>0</v>
      </c>
      <c r="V66" s="166" t="n">
        <v>0</v>
      </c>
      <c r="W66" t="inlineStr">
        <is>
          <t>X</t>
        </is>
      </c>
      <c r="X66" t="inlineStr">
        <is>
          <t>0.00</t>
        </is>
      </c>
      <c r="Y66" t="inlineStr"/>
      <c r="Z66" t="inlineStr">
        <is>
          <t>AMIDATA, S.A.</t>
        </is>
      </c>
      <c r="AA66" t="inlineStr"/>
      <c r="AB66" t="inlineStr">
        <is>
          <t>2114325</t>
        </is>
      </c>
      <c r="AC66" t="inlineStr"/>
      <c r="AD66" s="164" t="n">
        <v>0</v>
      </c>
      <c r="AE66" s="185" t="n">
        <v>0</v>
      </c>
      <c r="AG66" s="167" t="inlineStr">
        <is>
          <t>7218|JA2581_1001</t>
        </is>
      </c>
      <c r="AH66" s="46">
        <f>IF(M66=0,"-",M66-J66)</f>
        <v/>
      </c>
      <c r="AI66" s="46">
        <f>IF(AND(S66=0,M66&gt;0,L66=0),IF(AH66&gt;=120,"VERY HIGH",IF(AH66&gt;=90,"HIGH",IF(AH66&gt;=60,"MEDIUM",IF(AH66&lt;60,"LOW")))),"-")</f>
        <v/>
      </c>
      <c r="AJ66" s="12" t="n"/>
      <c r="AK66" s="41">
        <f>IF(AND(W66="X",M66&lt;=$AJ$2),"YES","")</f>
        <v/>
      </c>
      <c r="AL66" s="38">
        <f>IF(AND(W66="X",M66&lt;=$AJ$2),S66,"")</f>
        <v/>
      </c>
      <c r="AM66" s="26">
        <f>IF(AND(W66="X",M66&gt;$AJ$2),"YES","")</f>
        <v/>
      </c>
      <c r="AN66" s="89">
        <f>IF(AND(W66="X",M66&gt;$AJ$2),S66,"")</f>
        <v/>
      </c>
      <c r="AO66" s="35">
        <f>IF(AND(W66="",M66&gt;0,$AJ$2&gt;M66,L66=""),1,0)</f>
        <v/>
      </c>
      <c r="AP66" s="26">
        <f>IF(AND(AK66="YES",W66="X"),"X","")</f>
        <v/>
      </c>
      <c r="AQ66" s="28">
        <f>IF(AP66="X",100%,0%)</f>
        <v/>
      </c>
      <c r="AR66" s="25">
        <f>IF(AND(T66&gt;0,L66=""),H66,"")</f>
        <v/>
      </c>
      <c r="AS66" s="25">
        <f>IF(AND(D66&gt;0,H66=0,G66=""),1,"")</f>
        <v/>
      </c>
      <c r="AT66" s="25">
        <f>IF(G66="BLOQ",1,"")</f>
        <v/>
      </c>
      <c r="AU66" s="25">
        <f>IF(L66="BLOQ",1,"")</f>
        <v/>
      </c>
      <c r="AV66" s="25">
        <f>MONTH(F66)</f>
        <v/>
      </c>
      <c r="AW66" s="65">
        <f>IF(AP66="",100%,0%)</f>
        <v/>
      </c>
      <c r="AX66" s="23" t="n"/>
      <c r="AY66" s="24">
        <f>IF(M66=0,"",M66-$AX$2)</f>
        <v/>
      </c>
      <c r="AZ66" s="66">
        <f>IF(AND(W66="",AY66&gt;0,AY66&lt;15),1,0)</f>
        <v/>
      </c>
      <c r="BA66" s="24">
        <f>IF(AND(W66="",AY66&gt;0,AY66&lt;15),T66,"")</f>
        <v/>
      </c>
      <c r="BB66" s="87">
        <f>IF(R66&lt;Q66,"X","")</f>
        <v/>
      </c>
      <c r="BC66" s="190" t="inlineStr">
        <is>
          <t>NO</t>
        </is>
      </c>
      <c r="BD66" s="190" t="inlineStr">
        <is>
          <t>NO</t>
        </is>
      </c>
    </row>
    <row r="67" ht="15" customHeight="1" s="162">
      <c r="A67" s="7" t="n">
        <v>66</v>
      </c>
      <c r="B67" t="inlineStr">
        <is>
          <t>24112003</t>
        </is>
      </c>
      <c r="C67" t="inlineStr">
        <is>
          <t>Gaveta RS PRO, Rojo de Cart&amp;#243;n, 100m</t>
        </is>
      </c>
      <c r="D67" t="inlineStr">
        <is>
          <t>1101773840</t>
        </is>
      </c>
      <c r="E67" t="inlineStr">
        <is>
          <t>1</t>
        </is>
      </c>
      <c r="F67" s="163" t="n">
        <v>45512</v>
      </c>
      <c r="G67" t="inlineStr"/>
      <c r="H67" t="inlineStr">
        <is>
          <t>4800002611</t>
        </is>
      </c>
      <c r="I67" t="inlineStr">
        <is>
          <t>3020</t>
        </is>
      </c>
      <c r="J67" s="163" t="n">
        <v>45505</v>
      </c>
      <c r="K67" s="163" t="inlineStr"/>
      <c r="L67" t="inlineStr"/>
      <c r="M67" s="163" t="n">
        <v>45513</v>
      </c>
      <c r="N67" s="164" t="n">
        <v>0</v>
      </c>
      <c r="O67" s="164" t="n">
        <v>0</v>
      </c>
      <c r="P67" t="inlineStr"/>
      <c r="Q67" s="165" t="n">
        <v>1</v>
      </c>
      <c r="R67" s="165" t="n">
        <v>1</v>
      </c>
      <c r="S67" s="165" t="n">
        <v>1</v>
      </c>
      <c r="T67" s="165" t="n">
        <v>0</v>
      </c>
      <c r="U67" s="166" t="n">
        <v>0</v>
      </c>
      <c r="V67" s="166" t="n">
        <v>0</v>
      </c>
      <c r="W67" t="inlineStr">
        <is>
          <t>X</t>
        </is>
      </c>
      <c r="X67" t="inlineStr">
        <is>
          <t>0.00</t>
        </is>
      </c>
      <c r="Y67" t="inlineStr"/>
      <c r="Z67" t="inlineStr">
        <is>
          <t>AMIDATA, S.A.</t>
        </is>
      </c>
      <c r="AA67" t="inlineStr"/>
      <c r="AB67" t="inlineStr">
        <is>
          <t>2281188</t>
        </is>
      </c>
      <c r="AC67" t="inlineStr"/>
      <c r="AD67" s="164" t="n">
        <v>0</v>
      </c>
      <c r="AE67" s="185" t="n">
        <v>0</v>
      </c>
      <c r="AG67" s="167" t="inlineStr">
        <is>
          <t>7218|S24B05_P10322</t>
        </is>
      </c>
      <c r="AH67" s="46">
        <f>IF(M67=0,"-",M67-J67)</f>
        <v/>
      </c>
      <c r="AI67" s="46">
        <f>IF(AND(S67=0,M67&gt;0,L67=0),IF(AH67&gt;=120,"VERY HIGH",IF(AH67&gt;=90,"HIGH",IF(AH67&gt;=60,"MEDIUM",IF(AH67&lt;60,"LOW")))),"-")</f>
        <v/>
      </c>
      <c r="AJ67" s="12" t="n"/>
      <c r="AK67" s="41">
        <f>IF(AND(W67="X",M67&lt;=$AJ$2),"YES","")</f>
        <v/>
      </c>
      <c r="AL67" s="38">
        <f>IF(AND(W67="X",M67&lt;=$AJ$2),S67,"")</f>
        <v/>
      </c>
      <c r="AM67" s="26">
        <f>IF(AND(W67="X",M67&gt;$AJ$2),"YES","")</f>
        <v/>
      </c>
      <c r="AN67" s="89">
        <f>IF(AND(W67="X",M67&gt;$AJ$2),S67,"")</f>
        <v/>
      </c>
      <c r="AO67" s="35">
        <f>IF(AND(W67="",M67&gt;0,$AJ$2&gt;M67,L67=""),1,0)</f>
        <v/>
      </c>
      <c r="AP67" s="26">
        <f>IF(AND(AK67="YES",W67="X"),"X","")</f>
        <v/>
      </c>
      <c r="AQ67" s="28">
        <f>IF(AP67="X",100%,0%)</f>
        <v/>
      </c>
      <c r="AR67" s="25">
        <f>IF(AND(T67&gt;0,L67=""),H67,"")</f>
        <v/>
      </c>
      <c r="AS67" s="25">
        <f>IF(AND(D67&gt;0,H67=0,G67=""),1,"")</f>
        <v/>
      </c>
      <c r="AT67" s="25">
        <f>IF(G67="BLOQ",1,"")</f>
        <v/>
      </c>
      <c r="AU67" s="25">
        <f>IF(L67="BLOQ",1,"")</f>
        <v/>
      </c>
      <c r="AV67" s="25">
        <f>MONTH(F67)</f>
        <v/>
      </c>
      <c r="AW67" s="65">
        <f>IF(AP67="",100%,0%)</f>
        <v/>
      </c>
      <c r="AX67" s="23" t="n"/>
      <c r="AY67" s="24">
        <f>IF(M67=0,"",M67-$AX$2)</f>
        <v/>
      </c>
      <c r="AZ67" s="66">
        <f>IF(AND(W67="",AY67&gt;0,AY67&lt;15),1,0)</f>
        <v/>
      </c>
      <c r="BA67" s="24">
        <f>IF(AND(W67="",AY67&gt;0,AY67&lt;15),T67,"")</f>
        <v/>
      </c>
      <c r="BB67" s="87">
        <f>IF(R67&lt;Q67,"X","")</f>
        <v/>
      </c>
      <c r="BC67" s="190" t="inlineStr">
        <is>
          <t>NO</t>
        </is>
      </c>
      <c r="BD67" s="190" t="inlineStr">
        <is>
          <t>NO</t>
        </is>
      </c>
    </row>
    <row r="68" ht="15" customHeight="1" s="162">
      <c r="A68" s="7" t="n">
        <v>67</v>
      </c>
      <c r="B68" t="inlineStr">
        <is>
          <t>24112003</t>
        </is>
      </c>
      <c r="C68" t="inlineStr">
        <is>
          <t>Gaveta RS PRO, Rojo de Cart&amp;#243;n, 100m</t>
        </is>
      </c>
      <c r="D68" t="inlineStr">
        <is>
          <t>1101773840</t>
        </is>
      </c>
      <c r="E68" t="inlineStr">
        <is>
          <t>2</t>
        </is>
      </c>
      <c r="F68" s="163" t="n">
        <v>45512</v>
      </c>
      <c r="G68" t="inlineStr"/>
      <c r="H68" t="inlineStr">
        <is>
          <t>4800002611</t>
        </is>
      </c>
      <c r="I68" t="inlineStr">
        <is>
          <t>3030</t>
        </is>
      </c>
      <c r="J68" s="163" t="n">
        <v>45505</v>
      </c>
      <c r="K68" s="163" t="inlineStr"/>
      <c r="L68" t="inlineStr"/>
      <c r="M68" s="163" t="n">
        <v>45513</v>
      </c>
      <c r="N68" s="164" t="n">
        <v>0</v>
      </c>
      <c r="O68" s="164" t="n">
        <v>0</v>
      </c>
      <c r="P68" t="inlineStr"/>
      <c r="Q68" s="165" t="n">
        <v>2</v>
      </c>
      <c r="R68" s="165" t="n">
        <v>2</v>
      </c>
      <c r="S68" s="165" t="n">
        <v>2</v>
      </c>
      <c r="T68" s="165" t="n">
        <v>0</v>
      </c>
      <c r="U68" s="166" t="n">
        <v>0</v>
      </c>
      <c r="V68" s="166" t="n">
        <v>0</v>
      </c>
      <c r="W68" t="inlineStr">
        <is>
          <t>X</t>
        </is>
      </c>
      <c r="X68" t="inlineStr">
        <is>
          <t>0.00</t>
        </is>
      </c>
      <c r="Y68" t="inlineStr"/>
      <c r="Z68" t="inlineStr">
        <is>
          <t>AMIDATA, S.A.</t>
        </is>
      </c>
      <c r="AA68" t="inlineStr"/>
      <c r="AB68" t="inlineStr">
        <is>
          <t>2281116</t>
        </is>
      </c>
      <c r="AC68" t="inlineStr"/>
      <c r="AD68" s="164" t="n">
        <v>0</v>
      </c>
      <c r="AE68" s="185" t="n">
        <v>0</v>
      </c>
      <c r="AG68" s="167" t="inlineStr">
        <is>
          <t>7218|S24B05_P10322</t>
        </is>
      </c>
      <c r="AH68" s="46">
        <f>IF(M68=0,"-",M68-J68)</f>
        <v/>
      </c>
      <c r="AI68" s="46">
        <f>IF(AND(S68=0,M68&gt;0,L68=0),IF(AH68&gt;=120,"VERY HIGH",IF(AH68&gt;=90,"HIGH",IF(AH68&gt;=60,"MEDIUM",IF(AH68&lt;60,"LOW")))),"-")</f>
        <v/>
      </c>
      <c r="AJ68" s="12" t="n"/>
      <c r="AK68" s="41">
        <f>IF(AND(W68="X",M68&lt;=$AJ$2),"YES","")</f>
        <v/>
      </c>
      <c r="AL68" s="38">
        <f>IF(AND(W68="X",M68&lt;=$AJ$2),S68,"")</f>
        <v/>
      </c>
      <c r="AM68" s="26">
        <f>IF(AND(W68="X",M68&gt;$AJ$2),"YES","")</f>
        <v/>
      </c>
      <c r="AN68" s="89">
        <f>IF(AND(W68="X",M68&gt;$AJ$2),S68,"")</f>
        <v/>
      </c>
      <c r="AO68" s="35">
        <f>IF(AND(W68="",M68&gt;0,$AJ$2&gt;M68,L68=""),1,0)</f>
        <v/>
      </c>
      <c r="AP68" s="26">
        <f>IF(AND(AK68="YES",W68="X"),"X","")</f>
        <v/>
      </c>
      <c r="AQ68" s="28">
        <f>IF(AP68="X",100%,0%)</f>
        <v/>
      </c>
      <c r="AR68" s="25">
        <f>IF(AND(T68&gt;0,L68=""),H68,"")</f>
        <v/>
      </c>
      <c r="AS68" s="25">
        <f>IF(AND(D68&gt;0,H68=0,G68=""),1,"")</f>
        <v/>
      </c>
      <c r="AT68" s="25">
        <f>IF(G68="BLOQ",1,"")</f>
        <v/>
      </c>
      <c r="AU68" s="25">
        <f>IF(L68="BLOQ",1,"")</f>
        <v/>
      </c>
      <c r="AV68" s="25">
        <f>MONTH(F68)</f>
        <v/>
      </c>
      <c r="AW68" s="65">
        <f>IF(AP68="",100%,0%)</f>
        <v/>
      </c>
      <c r="AX68" s="23" t="n"/>
      <c r="AY68" s="24">
        <f>IF(M68=0,"",M68-$AX$2)</f>
        <v/>
      </c>
      <c r="AZ68" s="66">
        <f>IF(AND(W68="",AY68&gt;0,AY68&lt;15),1,0)</f>
        <v/>
      </c>
      <c r="BA68" s="24">
        <f>IF(AND(W68="",AY68&gt;0,AY68&lt;15),T68,"")</f>
        <v/>
      </c>
      <c r="BB68" s="87">
        <f>IF(R68&lt;Q68,"X","")</f>
        <v/>
      </c>
      <c r="BC68" s="190" t="inlineStr">
        <is>
          <t>NO</t>
        </is>
      </c>
      <c r="BD68" s="190" t="inlineStr">
        <is>
          <t>NO</t>
        </is>
      </c>
    </row>
    <row r="69" ht="15" customHeight="1" s="162">
      <c r="A69" s="7" t="n">
        <v>68</v>
      </c>
      <c r="B69" t="inlineStr">
        <is>
          <t>24112003</t>
        </is>
      </c>
      <c r="C69" t="inlineStr">
        <is>
          <t>Gaveta RS PRO, Rojo de Cart&amp;#243;n, 100m</t>
        </is>
      </c>
      <c r="D69" t="inlineStr">
        <is>
          <t>1101773840</t>
        </is>
      </c>
      <c r="E69" t="inlineStr">
        <is>
          <t>3</t>
        </is>
      </c>
      <c r="F69" s="163" t="n">
        <v>45512</v>
      </c>
      <c r="G69" t="inlineStr"/>
      <c r="H69" t="inlineStr">
        <is>
          <t>4800002611</t>
        </is>
      </c>
      <c r="I69" t="inlineStr">
        <is>
          <t>3040</t>
        </is>
      </c>
      <c r="J69" s="163" t="n">
        <v>45505</v>
      </c>
      <c r="K69" s="163" t="inlineStr"/>
      <c r="L69" t="inlineStr"/>
      <c r="M69" s="163" t="n">
        <v>45513</v>
      </c>
      <c r="N69" s="164" t="n">
        <v>0</v>
      </c>
      <c r="O69" s="164" t="n">
        <v>0</v>
      </c>
      <c r="P69" t="inlineStr"/>
      <c r="Q69" s="165" t="n">
        <v>1</v>
      </c>
      <c r="R69" s="165" t="n">
        <v>1</v>
      </c>
      <c r="S69" s="165" t="n">
        <v>1</v>
      </c>
      <c r="T69" s="165" t="n">
        <v>0</v>
      </c>
      <c r="U69" s="166" t="n">
        <v>0</v>
      </c>
      <c r="V69" s="166" t="n">
        <v>0</v>
      </c>
      <c r="W69" t="inlineStr">
        <is>
          <t>X</t>
        </is>
      </c>
      <c r="X69" t="inlineStr">
        <is>
          <t>0.00</t>
        </is>
      </c>
      <c r="Y69" t="inlineStr"/>
      <c r="Z69" t="inlineStr">
        <is>
          <t>AMIDATA, S.A.</t>
        </is>
      </c>
      <c r="AA69" t="inlineStr"/>
      <c r="AB69" t="inlineStr">
        <is>
          <t>2281194</t>
        </is>
      </c>
      <c r="AC69" t="inlineStr"/>
      <c r="AD69" s="164" t="n">
        <v>0</v>
      </c>
      <c r="AE69" s="185" t="n">
        <v>0</v>
      </c>
      <c r="AG69" s="167" t="inlineStr">
        <is>
          <t>7218|S24B05_P10322</t>
        </is>
      </c>
      <c r="AH69" s="46">
        <f>IF(M69=0,"-",M69-J69)</f>
        <v/>
      </c>
      <c r="AI69" s="46">
        <f>IF(AND(S69=0,M69&gt;0,L69=0),IF(AH69&gt;=120,"VERY HIGH",IF(AH69&gt;=90,"HIGH",IF(AH69&gt;=60,"MEDIUM",IF(AH69&lt;60,"LOW")))),"-")</f>
        <v/>
      </c>
      <c r="AJ69" s="12" t="n"/>
      <c r="AK69" s="41">
        <f>IF(AND(W69="X",M69&lt;=$AJ$2),"YES","")</f>
        <v/>
      </c>
      <c r="AL69" s="38">
        <f>IF(AND(W69="X",M69&lt;=$AJ$2),S69,"")</f>
        <v/>
      </c>
      <c r="AM69" s="26">
        <f>IF(AND(W69="X",M69&gt;$AJ$2),"YES","")</f>
        <v/>
      </c>
      <c r="AN69" s="89">
        <f>IF(AND(W69="X",M69&gt;$AJ$2),S69,"")</f>
        <v/>
      </c>
      <c r="AO69" s="35">
        <f>IF(AND(W69="",M69&gt;0,$AJ$2&gt;M69,L69=""),1,0)</f>
        <v/>
      </c>
      <c r="AP69" s="26">
        <f>IF(AND(AK69="YES",W69="X"),"X","")</f>
        <v/>
      </c>
      <c r="AQ69" s="28">
        <f>IF(AP69="X",100%,0%)</f>
        <v/>
      </c>
      <c r="AR69" s="25">
        <f>IF(AND(T69&gt;0,L69=""),H69,"")</f>
        <v/>
      </c>
      <c r="AS69" s="25">
        <f>IF(AND(D69&gt;0,H69=0,G69=""),1,"")</f>
        <v/>
      </c>
      <c r="AT69" s="25">
        <f>IF(G69="BLOQ",1,"")</f>
        <v/>
      </c>
      <c r="AU69" s="25">
        <f>IF(L69="BLOQ",1,"")</f>
        <v/>
      </c>
      <c r="AV69" s="25">
        <f>MONTH(F69)</f>
        <v/>
      </c>
      <c r="AW69" s="65">
        <f>IF(AP69="",100%,0%)</f>
        <v/>
      </c>
      <c r="AX69" s="23" t="n"/>
      <c r="AY69" s="24">
        <f>IF(M69=0,"",M69-$AX$2)</f>
        <v/>
      </c>
      <c r="AZ69" s="66">
        <f>IF(AND(W69="",AY69&gt;0,AY69&lt;15),1,0)</f>
        <v/>
      </c>
      <c r="BA69" s="24">
        <f>IF(AND(W69="",AY69&gt;0,AY69&lt;15),T69,"")</f>
        <v/>
      </c>
      <c r="BB69" s="87">
        <f>IF(R69&lt;Q69,"X","")</f>
        <v/>
      </c>
      <c r="BC69" s="190" t="inlineStr">
        <is>
          <t>NO</t>
        </is>
      </c>
      <c r="BD69" s="190" t="inlineStr">
        <is>
          <t>NO</t>
        </is>
      </c>
    </row>
    <row r="70" ht="15" customHeight="1" s="162">
      <c r="A70" s="7" t="n">
        <v>69</v>
      </c>
      <c r="B70" t="inlineStr">
        <is>
          <t>24112003</t>
        </is>
      </c>
      <c r="C70" t="inlineStr">
        <is>
          <t>Gaveta RS PRO, Rojo de Cart&amp;#243;n, 100m</t>
        </is>
      </c>
      <c r="D70" t="inlineStr">
        <is>
          <t>1101773840</t>
        </is>
      </c>
      <c r="E70" t="inlineStr">
        <is>
          <t>4</t>
        </is>
      </c>
      <c r="F70" s="163" t="n">
        <v>45512</v>
      </c>
      <c r="G70" t="inlineStr"/>
      <c r="H70" t="inlineStr">
        <is>
          <t>4800002611</t>
        </is>
      </c>
      <c r="I70" t="inlineStr">
        <is>
          <t>3050</t>
        </is>
      </c>
      <c r="J70" s="163" t="n">
        <v>45505</v>
      </c>
      <c r="K70" s="163" t="inlineStr"/>
      <c r="L70" t="inlineStr"/>
      <c r="M70" s="163" t="n">
        <v>45513</v>
      </c>
      <c r="N70" s="164" t="n">
        <v>0</v>
      </c>
      <c r="O70" s="164" t="n">
        <v>0</v>
      </c>
      <c r="P70" t="inlineStr"/>
      <c r="Q70" s="165" t="n">
        <v>1</v>
      </c>
      <c r="R70" s="165" t="n">
        <v>1</v>
      </c>
      <c r="S70" s="165" t="n">
        <v>1</v>
      </c>
      <c r="T70" s="165" t="n">
        <v>0</v>
      </c>
      <c r="U70" s="166" t="n">
        <v>0</v>
      </c>
      <c r="V70" s="166" t="n">
        <v>0</v>
      </c>
      <c r="W70" t="inlineStr">
        <is>
          <t>X</t>
        </is>
      </c>
      <c r="X70" t="inlineStr">
        <is>
          <t>0.00</t>
        </is>
      </c>
      <c r="Y70" t="inlineStr"/>
      <c r="Z70" t="inlineStr">
        <is>
          <t>AMIDATA, S.A.</t>
        </is>
      </c>
      <c r="AA70" t="inlineStr"/>
      <c r="AB70" t="inlineStr">
        <is>
          <t>2281122</t>
        </is>
      </c>
      <c r="AC70" t="inlineStr"/>
      <c r="AD70" s="164" t="n">
        <v>0</v>
      </c>
      <c r="AE70" s="185" t="n">
        <v>0</v>
      </c>
      <c r="AG70" s="167" t="inlineStr">
        <is>
          <t>7218|S24B05_P10322</t>
        </is>
      </c>
      <c r="AH70" s="46">
        <f>IF(M70=0,"-",M70-J70)</f>
        <v/>
      </c>
      <c r="AI70" s="46">
        <f>IF(AND(S70=0,M70&gt;0,L70=0),IF(AH70&gt;=120,"VERY HIGH",IF(AH70&gt;=90,"HIGH",IF(AH70&gt;=60,"MEDIUM",IF(AH70&lt;60,"LOW")))),"-")</f>
        <v/>
      </c>
      <c r="AJ70" s="12" t="n"/>
      <c r="AK70" s="41">
        <f>IF(AND(W70="X",M70&lt;=$AJ$2),"YES","")</f>
        <v/>
      </c>
      <c r="AL70" s="38">
        <f>IF(AND(W70="X",M70&lt;=$AJ$2),S70,"")</f>
        <v/>
      </c>
      <c r="AM70" s="26">
        <f>IF(AND(W70="X",M70&gt;$AJ$2),"YES","")</f>
        <v/>
      </c>
      <c r="AN70" s="89">
        <f>IF(AND(W70="X",M70&gt;$AJ$2),S70,"")</f>
        <v/>
      </c>
      <c r="AO70" s="35">
        <f>IF(AND(W70="",M70&gt;0,$AJ$2&gt;M70,L70=""),1,0)</f>
        <v/>
      </c>
      <c r="AP70" s="26">
        <f>IF(AND(AK70="YES",W70="X"),"X","")</f>
        <v/>
      </c>
      <c r="AQ70" s="28">
        <f>IF(AP70="X",100%,0%)</f>
        <v/>
      </c>
      <c r="AR70" s="25">
        <f>IF(AND(T70&gt;0,L70=""),H70,"")</f>
        <v/>
      </c>
      <c r="AS70" s="25">
        <f>IF(AND(D70&gt;0,H70=0,G70=""),1,"")</f>
        <v/>
      </c>
      <c r="AT70" s="25">
        <f>IF(G70="BLOQ",1,"")</f>
        <v/>
      </c>
      <c r="AU70" s="25">
        <f>IF(L70="BLOQ",1,"")</f>
        <v/>
      </c>
      <c r="AV70" s="25">
        <f>MONTH(F70)</f>
        <v/>
      </c>
      <c r="AW70" s="65">
        <f>IF(AP70="",100%,0%)</f>
        <v/>
      </c>
      <c r="AX70" s="23" t="n"/>
      <c r="AY70" s="24">
        <f>IF(M70=0,"",M70-$AX$2)</f>
        <v/>
      </c>
      <c r="AZ70" s="66">
        <f>IF(AND(W70="",AY70&gt;0,AY70&lt;15),1,0)</f>
        <v/>
      </c>
      <c r="BA70" s="24">
        <f>IF(AND(W70="",AY70&gt;0,AY70&lt;15),T70,"")</f>
        <v/>
      </c>
      <c r="BB70" s="87">
        <f>IF(R70&lt;Q70,"X","")</f>
        <v/>
      </c>
      <c r="BC70" s="190" t="inlineStr">
        <is>
          <t>NO</t>
        </is>
      </c>
      <c r="BD70" s="190" t="inlineStr">
        <is>
          <t>NO</t>
        </is>
      </c>
    </row>
    <row r="71" ht="15" customHeight="1" s="162">
      <c r="A71" s="7" t="n">
        <v>70</v>
      </c>
      <c r="B71" t="inlineStr">
        <is>
          <t>1709800000000</t>
        </is>
      </c>
      <c r="C71" t="inlineStr">
        <is>
          <t>PEQUEÑO MATERIAL FERRETERIA E INSTALACIO</t>
        </is>
      </c>
      <c r="D71" t="inlineStr">
        <is>
          <t>1101775736</t>
        </is>
      </c>
      <c r="E71" t="inlineStr">
        <is>
          <t>1</t>
        </is>
      </c>
      <c r="F71" s="163" t="n">
        <v>45523</v>
      </c>
      <c r="G71" t="inlineStr"/>
      <c r="H71" t="inlineStr">
        <is>
          <t>4200576567</t>
        </is>
      </c>
      <c r="I71" t="inlineStr">
        <is>
          <t>90</t>
        </is>
      </c>
      <c r="J71" s="163" t="n">
        <v>45544</v>
      </c>
      <c r="K71" s="163" t="n">
        <v>45544</v>
      </c>
      <c r="L71" t="inlineStr"/>
      <c r="M71" s="163" t="n">
        <v>45602</v>
      </c>
      <c r="N71" s="164" t="n">
        <v>55</v>
      </c>
      <c r="O71" s="164" t="n">
        <v>8</v>
      </c>
      <c r="P71" t="inlineStr">
        <is>
          <t>Liberado</t>
        </is>
      </c>
      <c r="Q71" s="165" t="n">
        <v>1</v>
      </c>
      <c r="R71" s="165" t="n">
        <v>1</v>
      </c>
      <c r="S71" s="165" t="n">
        <v>1</v>
      </c>
      <c r="T71" s="165" t="n">
        <v>0</v>
      </c>
      <c r="U71" s="166" t="n">
        <v>0</v>
      </c>
      <c r="V71" s="166" t="n">
        <v>0</v>
      </c>
      <c r="W71" t="inlineStr">
        <is>
          <t>X</t>
        </is>
      </c>
      <c r="X71" t="inlineStr">
        <is>
          <t>0.00</t>
        </is>
      </c>
      <c r="Y71" t="inlineStr"/>
      <c r="Z71" t="inlineStr">
        <is>
          <t>HILTI ESPAÑOLA, S.A.</t>
        </is>
      </c>
      <c r="AA71" t="inlineStr">
        <is>
          <t>OTROS FABRICANTES</t>
        </is>
      </c>
      <c r="AB71" t="inlineStr">
        <is>
          <t>1709800000000</t>
        </is>
      </c>
      <c r="AC71" t="inlineStr"/>
      <c r="AD71" s="164" t="n">
        <v>0</v>
      </c>
      <c r="AE71" s="185" t="n">
        <v>0</v>
      </c>
      <c r="AG71" s="167" t="inlineStr">
        <is>
          <t>7218|JA2593_1001</t>
        </is>
      </c>
      <c r="AH71" s="46">
        <f>IF(M71=0,"-",M71-J71)</f>
        <v/>
      </c>
      <c r="AI71" s="46">
        <f>IF(AND(S71=0,M71&gt;0,L71=0),IF(AH71&gt;=120,"VERY HIGH",IF(AH71&gt;=90,"HIGH",IF(AH71&gt;=60,"MEDIUM",IF(AH71&lt;60,"LOW")))),"-")</f>
        <v/>
      </c>
      <c r="AJ71" s="12" t="n"/>
      <c r="AK71" s="41">
        <f>IF(AND(W71="X",M71&lt;=$AJ$2),"YES","")</f>
        <v/>
      </c>
      <c r="AL71" s="38">
        <f>IF(AND(W71="X",M71&lt;=$AJ$2),S71,"")</f>
        <v/>
      </c>
      <c r="AM71" s="26">
        <f>IF(AND(W71="X",M71&gt;$AJ$2),"YES","")</f>
        <v/>
      </c>
      <c r="AN71" s="89">
        <f>IF(AND(W71="X",M71&gt;$AJ$2),S71,"")</f>
        <v/>
      </c>
      <c r="AO71" s="35">
        <f>IF(AND(W71="",M71&gt;0,$AJ$2&gt;M71,L71=""),1,0)</f>
        <v/>
      </c>
      <c r="AP71" s="26">
        <f>IF(AND(AK71="YES",W71="X"),"X","")</f>
        <v/>
      </c>
      <c r="AQ71" s="28">
        <f>IF(AP71="X",100%,0%)</f>
        <v/>
      </c>
      <c r="AR71" s="25">
        <f>IF(AND(T71&gt;0,L71=""),H71,"")</f>
        <v/>
      </c>
      <c r="AS71" s="25">
        <f>IF(AND(D71&gt;0,H71=0,G71=""),1,"")</f>
        <v/>
      </c>
      <c r="AT71" s="25">
        <f>IF(G71="BLOQ",1,"")</f>
        <v/>
      </c>
      <c r="AU71" s="25">
        <f>IF(L71="BLOQ",1,"")</f>
        <v/>
      </c>
      <c r="AV71" s="25">
        <f>MONTH(F71)</f>
        <v/>
      </c>
      <c r="AW71" s="65">
        <f>IF(AP71="",100%,0%)</f>
        <v/>
      </c>
      <c r="AX71" s="23" t="n"/>
      <c r="AY71" s="24">
        <f>IF(M71=0,"",M71-$AX$2)</f>
        <v/>
      </c>
      <c r="AZ71" s="66">
        <f>IF(AND(W71="",AY71&gt;0,AY71&lt;15),1,0)</f>
        <v/>
      </c>
      <c r="BA71" s="24">
        <f>IF(AND(W71="",AY71&gt;0,AY71&lt;15),T71,"")</f>
        <v/>
      </c>
      <c r="BB71" s="87">
        <f>IF(R71&lt;Q71,"X","")</f>
        <v/>
      </c>
      <c r="BC71" s="190" t="inlineStr">
        <is>
          <t>NO</t>
        </is>
      </c>
      <c r="BD71" s="191" t="inlineStr">
        <is>
          <t>SI</t>
        </is>
      </c>
    </row>
    <row r="72" ht="15" customHeight="1" s="162">
      <c r="A72" s="7" t="n">
        <v>71</v>
      </c>
      <c r="B72" t="inlineStr">
        <is>
          <t>1709800000000</t>
        </is>
      </c>
      <c r="C72" t="inlineStr">
        <is>
          <t>PEQUEÑO MATERIAL FERRETERIA E INSTALACIO</t>
        </is>
      </c>
      <c r="D72" t="inlineStr">
        <is>
          <t>1101775736</t>
        </is>
      </c>
      <c r="E72" t="inlineStr">
        <is>
          <t>2</t>
        </is>
      </c>
      <c r="F72" s="163" t="n">
        <v>45523</v>
      </c>
      <c r="G72" t="inlineStr"/>
      <c r="H72" t="inlineStr">
        <is>
          <t>4200576567</t>
        </is>
      </c>
      <c r="I72" t="inlineStr">
        <is>
          <t>100</t>
        </is>
      </c>
      <c r="J72" s="163" t="n">
        <v>45544</v>
      </c>
      <c r="K72" s="163" t="n">
        <v>45544</v>
      </c>
      <c r="L72" t="inlineStr"/>
      <c r="M72" s="163" t="n">
        <v>45602</v>
      </c>
      <c r="N72" s="164" t="n">
        <v>55</v>
      </c>
      <c r="O72" s="164" t="n">
        <v>8</v>
      </c>
      <c r="P72" t="inlineStr">
        <is>
          <t>Liberado</t>
        </is>
      </c>
      <c r="Q72" s="165" t="n">
        <v>1</v>
      </c>
      <c r="R72" s="165" t="n">
        <v>6</v>
      </c>
      <c r="S72" s="165" t="n">
        <v>6</v>
      </c>
      <c r="T72" s="165" t="n">
        <v>0</v>
      </c>
      <c r="U72" s="166" t="n">
        <v>0</v>
      </c>
      <c r="V72" s="166" t="n">
        <v>0</v>
      </c>
      <c r="W72" t="inlineStr">
        <is>
          <t>X</t>
        </is>
      </c>
      <c r="X72" t="inlineStr">
        <is>
          <t>0.00</t>
        </is>
      </c>
      <c r="Y72" t="inlineStr"/>
      <c r="Z72" t="inlineStr">
        <is>
          <t>HILTI ESPAÑOLA, S.A.</t>
        </is>
      </c>
      <c r="AA72" t="inlineStr">
        <is>
          <t>OTROS FABRICANTES</t>
        </is>
      </c>
      <c r="AB72" t="inlineStr">
        <is>
          <t>1709800000000</t>
        </is>
      </c>
      <c r="AC72" t="inlineStr"/>
      <c r="AD72" s="164" t="n">
        <v>0</v>
      </c>
      <c r="AE72" s="185" t="n">
        <v>0</v>
      </c>
      <c r="AG72" s="167" t="inlineStr">
        <is>
          <t>7218|JA2593_1001</t>
        </is>
      </c>
      <c r="AH72" s="46">
        <f>IF(M72=0,"-",M72-J72)</f>
        <v/>
      </c>
      <c r="AI72" s="46">
        <f>IF(AND(S72=0,M72&gt;0,L72=0),IF(AH72&gt;=120,"VERY HIGH",IF(AH72&gt;=90,"HIGH",IF(AH72&gt;=60,"MEDIUM",IF(AH72&lt;60,"LOW")))),"-")</f>
        <v/>
      </c>
      <c r="AJ72" s="12" t="n"/>
      <c r="AK72" s="41">
        <f>IF(AND(W72="X",M72&lt;=$AJ$2),"YES","")</f>
        <v/>
      </c>
      <c r="AL72" s="38">
        <f>IF(AND(W72="X",M72&lt;=$AJ$2),S72,"")</f>
        <v/>
      </c>
      <c r="AM72" s="26">
        <f>IF(AND(W72="X",M72&gt;$AJ$2),"YES","")</f>
        <v/>
      </c>
      <c r="AN72" s="89">
        <f>IF(AND(W72="X",M72&gt;$AJ$2),S72,"")</f>
        <v/>
      </c>
      <c r="AO72" s="35">
        <f>IF(AND(W72="",M72&gt;0,$AJ$2&gt;M72,L72=""),1,0)</f>
        <v/>
      </c>
      <c r="AP72" s="26">
        <f>IF(AND(AK72="YES",W72="X"),"X","")</f>
        <v/>
      </c>
      <c r="AQ72" s="28">
        <f>IF(AP72="X",100%,0%)</f>
        <v/>
      </c>
      <c r="AR72" s="25">
        <f>IF(AND(T72&gt;0,L72=""),H72,"")</f>
        <v/>
      </c>
      <c r="AS72" s="25">
        <f>IF(AND(D72&gt;0,H72=0,G72=""),1,"")</f>
        <v/>
      </c>
      <c r="AT72" s="25">
        <f>IF(G72="BLOQ",1,"")</f>
        <v/>
      </c>
      <c r="AU72" s="25">
        <f>IF(L72="BLOQ",1,"")</f>
        <v/>
      </c>
      <c r="AV72" s="25">
        <f>MONTH(F72)</f>
        <v/>
      </c>
      <c r="AW72" s="65">
        <f>IF(AP72="",100%,0%)</f>
        <v/>
      </c>
      <c r="AX72" s="23" t="n"/>
      <c r="AY72" s="24">
        <f>IF(M72=0,"",M72-$AX$2)</f>
        <v/>
      </c>
      <c r="AZ72" s="66">
        <f>IF(AND(W72="",AY72&gt;0,AY72&lt;15),1,0)</f>
        <v/>
      </c>
      <c r="BA72" s="24">
        <f>IF(AND(W72="",AY72&gt;0,AY72&lt;15),T72,"")</f>
        <v/>
      </c>
      <c r="BB72" s="87">
        <f>IF(R72&lt;Q72,"X","")</f>
        <v/>
      </c>
      <c r="BC72" s="190" t="inlineStr">
        <is>
          <t>NO</t>
        </is>
      </c>
      <c r="BD72" s="191" t="inlineStr">
        <is>
          <t>SI</t>
        </is>
      </c>
    </row>
    <row r="73" ht="15" customHeight="1" s="162">
      <c r="A73" s="7" t="n">
        <v>72</v>
      </c>
      <c r="B73" t="inlineStr">
        <is>
          <t>1709800000000</t>
        </is>
      </c>
      <c r="C73" t="inlineStr">
        <is>
          <t>PEQUEÑO MATERIAL FERRETERIA E INSTALACIO</t>
        </is>
      </c>
      <c r="D73" t="inlineStr">
        <is>
          <t>1101775736</t>
        </is>
      </c>
      <c r="E73" t="inlineStr">
        <is>
          <t>3</t>
        </is>
      </c>
      <c r="F73" s="163" t="n">
        <v>45523</v>
      </c>
      <c r="G73" t="inlineStr"/>
      <c r="H73" t="inlineStr">
        <is>
          <t>4200576567</t>
        </is>
      </c>
      <c r="I73" t="inlineStr">
        <is>
          <t>110</t>
        </is>
      </c>
      <c r="J73" s="163" t="n">
        <v>45544</v>
      </c>
      <c r="K73" s="163" t="n">
        <v>45544</v>
      </c>
      <c r="L73" t="inlineStr"/>
      <c r="M73" s="163" t="n">
        <v>45602</v>
      </c>
      <c r="N73" s="164" t="n">
        <v>55</v>
      </c>
      <c r="O73" s="164" t="n">
        <v>8</v>
      </c>
      <c r="P73" t="inlineStr">
        <is>
          <t>Liberado</t>
        </is>
      </c>
      <c r="Q73" s="165" t="n">
        <v>1</v>
      </c>
      <c r="R73" s="165" t="n">
        <v>24</v>
      </c>
      <c r="S73" s="165" t="n">
        <v>24</v>
      </c>
      <c r="T73" s="165" t="n">
        <v>0</v>
      </c>
      <c r="U73" s="166" t="n">
        <v>0</v>
      </c>
      <c r="V73" s="166" t="n">
        <v>0</v>
      </c>
      <c r="W73" t="inlineStr">
        <is>
          <t>X</t>
        </is>
      </c>
      <c r="X73" t="inlineStr">
        <is>
          <t>0.00</t>
        </is>
      </c>
      <c r="Y73" t="inlineStr"/>
      <c r="Z73" t="inlineStr">
        <is>
          <t>HILTI ESPAÑOLA, S.A.</t>
        </is>
      </c>
      <c r="AA73" t="inlineStr">
        <is>
          <t>OTROS FABRICANTES</t>
        </is>
      </c>
      <c r="AB73" t="inlineStr">
        <is>
          <t>1709800000000</t>
        </is>
      </c>
      <c r="AC73" t="inlineStr"/>
      <c r="AD73" s="164" t="n">
        <v>0</v>
      </c>
      <c r="AE73" s="185" t="n">
        <v>0</v>
      </c>
      <c r="AG73" s="167" t="inlineStr">
        <is>
          <t>7218|JA2593_1001</t>
        </is>
      </c>
      <c r="AH73" s="46">
        <f>IF(M73=0,"-",M73-J73)</f>
        <v/>
      </c>
      <c r="AI73" s="46">
        <f>IF(AND(S73=0,M73&gt;0,L73=0),IF(AH73&gt;=120,"VERY HIGH",IF(AH73&gt;=90,"HIGH",IF(AH73&gt;=60,"MEDIUM",IF(AH73&lt;60,"LOW")))),"-")</f>
        <v/>
      </c>
      <c r="AJ73" s="12" t="n"/>
      <c r="AK73" s="41">
        <f>IF(AND(W73="X",M73&lt;=$AJ$2),"YES","")</f>
        <v/>
      </c>
      <c r="AL73" s="38">
        <f>IF(AND(W73="X",M73&lt;=$AJ$2),S73,"")</f>
        <v/>
      </c>
      <c r="AM73" s="26">
        <f>IF(AND(W73="X",M73&gt;$AJ$2),"YES","")</f>
        <v/>
      </c>
      <c r="AN73" s="89">
        <f>IF(AND(W73="X",M73&gt;$AJ$2),S73,"")</f>
        <v/>
      </c>
      <c r="AO73" s="35">
        <f>IF(AND(W73="",M73&gt;0,$AJ$2&gt;M73,L73=""),1,0)</f>
        <v/>
      </c>
      <c r="AP73" s="26">
        <f>IF(AND(AK73="YES",W73="X"),"X","")</f>
        <v/>
      </c>
      <c r="AQ73" s="28">
        <f>IF(AP73="X",100%,0%)</f>
        <v/>
      </c>
      <c r="AR73" s="25">
        <f>IF(AND(T73&gt;0,L73=""),H73,"")</f>
        <v/>
      </c>
      <c r="AS73" s="25">
        <f>IF(AND(D73&gt;0,H73=0,G73=""),1,"")</f>
        <v/>
      </c>
      <c r="AT73" s="25">
        <f>IF(G73="BLOQ",1,"")</f>
        <v/>
      </c>
      <c r="AU73" s="25">
        <f>IF(L73="BLOQ",1,"")</f>
        <v/>
      </c>
      <c r="AV73" s="25">
        <f>MONTH(F73)</f>
        <v/>
      </c>
      <c r="AW73" s="65">
        <f>IF(AP73="",100%,0%)</f>
        <v/>
      </c>
      <c r="AX73" s="23" t="n"/>
      <c r="AY73" s="24">
        <f>IF(M73=0,"",M73-$AX$2)</f>
        <v/>
      </c>
      <c r="AZ73" s="66">
        <f>IF(AND(W73="",AY73&gt;0,AY73&lt;15),1,0)</f>
        <v/>
      </c>
      <c r="BA73" s="24">
        <f>IF(AND(W73="",AY73&gt;0,AY73&lt;15),T73,"")</f>
        <v/>
      </c>
      <c r="BB73" s="87">
        <f>IF(R73&lt;Q73,"X","")</f>
        <v/>
      </c>
      <c r="BC73" s="190" t="inlineStr">
        <is>
          <t>NO</t>
        </is>
      </c>
      <c r="BD73" s="191" t="inlineStr">
        <is>
          <t>SI</t>
        </is>
      </c>
    </row>
    <row r="74" ht="15" customHeight="1" s="162">
      <c r="A74" s="7" t="n">
        <v>73</v>
      </c>
      <c r="B74" t="inlineStr">
        <is>
          <t>1709800000000</t>
        </is>
      </c>
      <c r="C74" t="inlineStr">
        <is>
          <t>PEQUEÑO MATERIAL FERRETERIA E INSTALACIO</t>
        </is>
      </c>
      <c r="D74" t="inlineStr">
        <is>
          <t>1101775736</t>
        </is>
      </c>
      <c r="E74" t="inlineStr">
        <is>
          <t>4</t>
        </is>
      </c>
      <c r="F74" s="163" t="n">
        <v>45523</v>
      </c>
      <c r="G74" t="inlineStr"/>
      <c r="H74" t="inlineStr">
        <is>
          <t>4200576567</t>
        </is>
      </c>
      <c r="I74" t="inlineStr">
        <is>
          <t>120</t>
        </is>
      </c>
      <c r="J74" s="163" t="n">
        <v>45544</v>
      </c>
      <c r="K74" s="163" t="n">
        <v>45544</v>
      </c>
      <c r="L74" t="inlineStr"/>
      <c r="M74" s="163" t="n">
        <v>45602</v>
      </c>
      <c r="N74" s="164" t="n">
        <v>55</v>
      </c>
      <c r="O74" s="164" t="n">
        <v>8</v>
      </c>
      <c r="P74" t="inlineStr">
        <is>
          <t>Liberado</t>
        </is>
      </c>
      <c r="Q74" s="165" t="n">
        <v>1</v>
      </c>
      <c r="R74" s="165" t="n">
        <v>1</v>
      </c>
      <c r="S74" s="165" t="n">
        <v>1</v>
      </c>
      <c r="T74" s="165" t="n">
        <v>0</v>
      </c>
      <c r="U74" s="166" t="n">
        <v>0</v>
      </c>
      <c r="V74" s="166" t="n">
        <v>0</v>
      </c>
      <c r="W74" t="inlineStr">
        <is>
          <t>X</t>
        </is>
      </c>
      <c r="X74" t="inlineStr">
        <is>
          <t>0.00</t>
        </is>
      </c>
      <c r="Y74" t="inlineStr"/>
      <c r="Z74" t="inlineStr">
        <is>
          <t>HILTI ESPAÑOLA, S.A.</t>
        </is>
      </c>
      <c r="AA74" t="inlineStr">
        <is>
          <t>OTROS FABRICANTES</t>
        </is>
      </c>
      <c r="AB74" t="inlineStr">
        <is>
          <t>1709800000000</t>
        </is>
      </c>
      <c r="AC74" t="inlineStr"/>
      <c r="AD74" s="164" t="n">
        <v>0</v>
      </c>
      <c r="AE74" s="185" t="n">
        <v>0</v>
      </c>
      <c r="AG74" s="167" t="inlineStr">
        <is>
          <t>7218|JA2593_1001</t>
        </is>
      </c>
      <c r="AH74" s="46">
        <f>IF(M74=0,"-",M74-J74)</f>
        <v/>
      </c>
      <c r="AI74" s="46">
        <f>IF(AND(S74=0,M74&gt;0,L74=0),IF(AH74&gt;=120,"VERY HIGH",IF(AH74&gt;=90,"HIGH",IF(AH74&gt;=60,"MEDIUM",IF(AH74&lt;60,"LOW")))),"-")</f>
        <v/>
      </c>
      <c r="AJ74" s="12" t="n"/>
      <c r="AK74" s="41">
        <f>IF(AND(W74="X",M74&lt;=$AJ$2),"YES","")</f>
        <v/>
      </c>
      <c r="AL74" s="38">
        <f>IF(AND(W74="X",M74&lt;=$AJ$2),S74,"")</f>
        <v/>
      </c>
      <c r="AM74" s="26">
        <f>IF(AND(W74="X",M74&gt;$AJ$2),"YES","")</f>
        <v/>
      </c>
      <c r="AN74" s="89">
        <f>IF(AND(W74="X",M74&gt;$AJ$2),S74,"")</f>
        <v/>
      </c>
      <c r="AO74" s="35">
        <f>IF(AND(W74="",M74&gt;0,$AJ$2&gt;M74,L74=""),1,0)</f>
        <v/>
      </c>
      <c r="AP74" s="26">
        <f>IF(AND(AK74="YES",W74="X"),"X","")</f>
        <v/>
      </c>
      <c r="AQ74" s="28">
        <f>IF(AP74="X",100%,0%)</f>
        <v/>
      </c>
      <c r="AR74" s="25">
        <f>IF(AND(T74&gt;0,L74=""),H74,"")</f>
        <v/>
      </c>
      <c r="AS74" s="25">
        <f>IF(AND(D74&gt;0,H74=0,G74=""),1,"")</f>
        <v/>
      </c>
      <c r="AT74" s="25">
        <f>IF(G74="BLOQ",1,"")</f>
        <v/>
      </c>
      <c r="AU74" s="25">
        <f>IF(L74="BLOQ",1,"")</f>
        <v/>
      </c>
      <c r="AV74" s="25">
        <f>MONTH(F74)</f>
        <v/>
      </c>
      <c r="AW74" s="65">
        <f>IF(AP74="",100%,0%)</f>
        <v/>
      </c>
      <c r="AX74" s="23" t="n"/>
      <c r="AY74" s="24">
        <f>IF(M74=0,"",M74-$AX$2)</f>
        <v/>
      </c>
      <c r="AZ74" s="66">
        <f>IF(AND(W74="",AY74&gt;0,AY74&lt;15),1,0)</f>
        <v/>
      </c>
      <c r="BA74" s="24">
        <f>IF(AND(W74="",AY74&gt;0,AY74&lt;15),T74,"")</f>
        <v/>
      </c>
      <c r="BB74" s="87">
        <f>IF(R74&lt;Q74,"X","")</f>
        <v/>
      </c>
      <c r="BC74" s="190" t="inlineStr">
        <is>
          <t>NO</t>
        </is>
      </c>
      <c r="BD74" s="191" t="inlineStr">
        <is>
          <t>SI</t>
        </is>
      </c>
    </row>
    <row r="75" ht="15" customHeight="1" s="162">
      <c r="A75" s="7" t="n">
        <v>74</v>
      </c>
      <c r="B75" t="inlineStr">
        <is>
          <t>1709800000000</t>
        </is>
      </c>
      <c r="C75" t="inlineStr">
        <is>
          <t>PEQUEÑO MATERIAL FERRETERIA E INSTALACIO</t>
        </is>
      </c>
      <c r="D75" t="inlineStr">
        <is>
          <t>1101775736</t>
        </is>
      </c>
      <c r="E75" t="inlineStr">
        <is>
          <t>5</t>
        </is>
      </c>
      <c r="F75" s="163" t="n">
        <v>45523</v>
      </c>
      <c r="G75" t="inlineStr"/>
      <c r="H75" t="inlineStr">
        <is>
          <t>4200576567</t>
        </is>
      </c>
      <c r="I75" t="inlineStr">
        <is>
          <t>130</t>
        </is>
      </c>
      <c r="J75" s="163" t="n">
        <v>45544</v>
      </c>
      <c r="K75" s="163" t="n">
        <v>45544</v>
      </c>
      <c r="L75" t="inlineStr"/>
      <c r="M75" s="163" t="n">
        <v>45602</v>
      </c>
      <c r="N75" s="164" t="n">
        <v>55</v>
      </c>
      <c r="O75" s="164" t="n">
        <v>8</v>
      </c>
      <c r="P75" t="inlineStr">
        <is>
          <t>Liberado</t>
        </is>
      </c>
      <c r="Q75" s="165" t="n">
        <v>1</v>
      </c>
      <c r="R75" s="165" t="n">
        <v>1</v>
      </c>
      <c r="S75" s="165" t="n">
        <v>1</v>
      </c>
      <c r="T75" s="165" t="n">
        <v>0</v>
      </c>
      <c r="U75" s="166" t="n">
        <v>0</v>
      </c>
      <c r="V75" s="166" t="n">
        <v>0</v>
      </c>
      <c r="W75" t="inlineStr">
        <is>
          <t>X</t>
        </is>
      </c>
      <c r="X75" t="inlineStr">
        <is>
          <t>0.00</t>
        </is>
      </c>
      <c r="Y75" t="inlineStr"/>
      <c r="Z75" t="inlineStr">
        <is>
          <t>HILTI ESPAÑOLA, S.A.</t>
        </is>
      </c>
      <c r="AA75" t="inlineStr">
        <is>
          <t>OTROS FABRICANTES</t>
        </is>
      </c>
      <c r="AB75" t="inlineStr">
        <is>
          <t>1709800000000</t>
        </is>
      </c>
      <c r="AC75" t="inlineStr"/>
      <c r="AD75" s="164" t="n">
        <v>0</v>
      </c>
      <c r="AE75" s="185" t="n">
        <v>0</v>
      </c>
      <c r="AG75" s="167" t="inlineStr">
        <is>
          <t>7218|JA2593_1001</t>
        </is>
      </c>
      <c r="AH75" s="46">
        <f>IF(M75=0,"-",M75-J75)</f>
        <v/>
      </c>
      <c r="AI75" s="46">
        <f>IF(AND(S75=0,M75&gt;0,L75=0),IF(AH75&gt;=120,"VERY HIGH",IF(AH75&gt;=90,"HIGH",IF(AH75&gt;=60,"MEDIUM",IF(AH75&lt;60,"LOW")))),"-")</f>
        <v/>
      </c>
      <c r="AJ75" s="12" t="n"/>
      <c r="AK75" s="41">
        <f>IF(AND(W75="X",M75&lt;=$AJ$2),"YES","")</f>
        <v/>
      </c>
      <c r="AL75" s="38">
        <f>IF(AND(W75="X",M75&lt;=$AJ$2),S75,"")</f>
        <v/>
      </c>
      <c r="AM75" s="26">
        <f>IF(AND(W75="X",M75&gt;$AJ$2),"YES","")</f>
        <v/>
      </c>
      <c r="AN75" s="89">
        <f>IF(AND(W75="X",M75&gt;$AJ$2),S75,"")</f>
        <v/>
      </c>
      <c r="AO75" s="35">
        <f>IF(AND(W75="",M75&gt;0,$AJ$2&gt;M75,L75=""),1,0)</f>
        <v/>
      </c>
      <c r="AP75" s="26">
        <f>IF(AND(AK75="YES",W75="X"),"X","")</f>
        <v/>
      </c>
      <c r="AQ75" s="28">
        <f>IF(AP75="X",100%,0%)</f>
        <v/>
      </c>
      <c r="AR75" s="25">
        <f>IF(AND(T75&gt;0,L75=""),H75,"")</f>
        <v/>
      </c>
      <c r="AS75" s="25">
        <f>IF(AND(D75&gt;0,H75=0,G75=""),1,"")</f>
        <v/>
      </c>
      <c r="AT75" s="25">
        <f>IF(G75="BLOQ",1,"")</f>
        <v/>
      </c>
      <c r="AU75" s="25">
        <f>IF(L75="BLOQ",1,"")</f>
        <v/>
      </c>
      <c r="AV75" s="25">
        <f>MONTH(F75)</f>
        <v/>
      </c>
      <c r="AW75" s="65">
        <f>IF(AP75="",100%,0%)</f>
        <v/>
      </c>
      <c r="AX75" s="23" t="n"/>
      <c r="AY75" s="24">
        <f>IF(M75=0,"",M75-$AX$2)</f>
        <v/>
      </c>
      <c r="AZ75" s="66">
        <f>IF(AND(W75="",AY75&gt;0,AY75&lt;15),1,0)</f>
        <v/>
      </c>
      <c r="BA75" s="24">
        <f>IF(AND(W75="",AY75&gt;0,AY75&lt;15),T75,"")</f>
        <v/>
      </c>
      <c r="BB75" s="87">
        <f>IF(R75&lt;Q75,"X","")</f>
        <v/>
      </c>
      <c r="BC75" s="190" t="inlineStr">
        <is>
          <t>NO</t>
        </is>
      </c>
      <c r="BD75" s="191" t="inlineStr">
        <is>
          <t>SI</t>
        </is>
      </c>
    </row>
    <row r="76" ht="15" customHeight="1" s="162">
      <c r="A76" s="7" t="n">
        <v>75</v>
      </c>
      <c r="B76" t="inlineStr">
        <is>
          <t>9999000322010</t>
        </is>
      </c>
      <c r="C76" t="inlineStr">
        <is>
          <t>N.R. PANELES SIMULADORES</t>
        </is>
      </c>
      <c r="D76" t="inlineStr">
        <is>
          <t>1101780013</t>
        </is>
      </c>
      <c r="E76" t="inlineStr">
        <is>
          <t>1</t>
        </is>
      </c>
      <c r="F76" s="163" t="n">
        <v>45540</v>
      </c>
      <c r="G76" t="inlineStr"/>
      <c r="H76" t="inlineStr">
        <is>
          <t>4200578537</t>
        </is>
      </c>
      <c r="I76" t="inlineStr">
        <is>
          <t>10</t>
        </is>
      </c>
      <c r="J76" s="163" t="n">
        <v>45559</v>
      </c>
      <c r="K76" s="163" t="n">
        <v>45559</v>
      </c>
      <c r="L76" t="inlineStr"/>
      <c r="M76" s="163" t="n">
        <v>45688</v>
      </c>
      <c r="N76" s="164" t="n">
        <v>95</v>
      </c>
      <c r="O76" s="164" t="n">
        <v>8</v>
      </c>
      <c r="P76" t="inlineStr">
        <is>
          <t>Liberado</t>
        </is>
      </c>
      <c r="Q76" s="165" t="n">
        <v>1</v>
      </c>
      <c r="R76" s="165" t="n">
        <v>1</v>
      </c>
      <c r="S76" s="165" t="n">
        <v>1</v>
      </c>
      <c r="T76" s="165" t="n">
        <v>0</v>
      </c>
      <c r="U76" s="166" t="n">
        <v>0</v>
      </c>
      <c r="V76" s="166" t="n">
        <v>0</v>
      </c>
      <c r="W76" t="inlineStr">
        <is>
          <t>X</t>
        </is>
      </c>
      <c r="X76" t="inlineStr">
        <is>
          <t>0.00</t>
        </is>
      </c>
      <c r="Y76" t="inlineStr"/>
      <c r="Z76" t="inlineStr">
        <is>
          <t>SUMINISTROS, FRESADOS Y GRABADOS</t>
        </is>
      </c>
      <c r="AA76" t="inlineStr"/>
      <c r="AB76" t="inlineStr"/>
      <c r="AC76" t="inlineStr"/>
      <c r="AD76" s="164" t="n">
        <v>1</v>
      </c>
      <c r="AE76" s="185" t="n">
        <v>1</v>
      </c>
      <c r="AG76" s="167" t="inlineStr">
        <is>
          <t>7218|JA2583_1001</t>
        </is>
      </c>
      <c r="AH76" s="46">
        <f>IF(M76=0,"-",M76-J76)</f>
        <v/>
      </c>
      <c r="AI76" s="46">
        <f>IF(AND(S76=0,M76&gt;0,L76=0),IF(AH76&gt;=120,"VERY HIGH",IF(AH76&gt;=90,"HIGH",IF(AH76&gt;=60,"MEDIUM",IF(AH76&lt;60,"LOW")))),"-")</f>
        <v/>
      </c>
      <c r="AJ76" s="12" t="n"/>
      <c r="AK76" s="41">
        <f>IF(AND(W76="X",M76&lt;=$AJ$2),"YES","")</f>
        <v/>
      </c>
      <c r="AL76" s="38">
        <f>IF(AND(W76="X",M76&lt;=$AJ$2),S76,"")</f>
        <v/>
      </c>
      <c r="AM76" s="26">
        <f>IF(AND(W76="X",M76&gt;$AJ$2),"YES","")</f>
        <v/>
      </c>
      <c r="AN76" s="89">
        <f>IF(AND(W76="X",M76&gt;$AJ$2),S76,"")</f>
        <v/>
      </c>
      <c r="AO76" s="35">
        <f>IF(AND(W76="",M76&gt;0,$AJ$2&gt;M76,L76=""),1,0)</f>
        <v/>
      </c>
      <c r="AP76" s="26">
        <f>IF(AND(AK76="YES",W76="X"),"X","")</f>
        <v/>
      </c>
      <c r="AQ76" s="28">
        <f>IF(AP76="X",100%,0%)</f>
        <v/>
      </c>
      <c r="AR76" s="25">
        <f>IF(AND(T76&gt;0,L76=""),H76,"")</f>
        <v/>
      </c>
      <c r="AS76" s="25">
        <f>IF(AND(D76&gt;0,H76=0,G76=""),1,"")</f>
        <v/>
      </c>
      <c r="AT76" s="25">
        <f>IF(G76="BLOQ",1,"")</f>
        <v/>
      </c>
      <c r="AU76" s="25">
        <f>IF(L76="BLOQ",1,"")</f>
        <v/>
      </c>
      <c r="AV76" s="25">
        <f>MONTH(F76)</f>
        <v/>
      </c>
      <c r="AW76" s="65">
        <f>IF(AP76="",100%,0%)</f>
        <v/>
      </c>
      <c r="AX76" s="23" t="n"/>
      <c r="AY76" s="24">
        <f>IF(M76=0,"",M76-$AX$2)</f>
        <v/>
      </c>
      <c r="AZ76" s="66">
        <f>IF(AND(W76="",AY76&gt;0,AY76&lt;15),1,0)</f>
        <v/>
      </c>
      <c r="BA76" s="24">
        <f>IF(AND(W76="",AY76&gt;0,AY76&lt;15),T76,"")</f>
        <v/>
      </c>
      <c r="BB76" s="87">
        <f>IF(R76&lt;Q76,"X","")</f>
        <v/>
      </c>
      <c r="BC76" s="190" t="inlineStr">
        <is>
          <t>NO</t>
        </is>
      </c>
      <c r="BD76" s="191" t="inlineStr">
        <is>
          <t>SI</t>
        </is>
      </c>
    </row>
    <row r="77" ht="15" customHeight="1" s="162">
      <c r="A77" s="7" t="n">
        <v>76</v>
      </c>
      <c r="B77" t="inlineStr">
        <is>
          <t>32121615</t>
        </is>
      </c>
      <c r="C77" t="inlineStr">
        <is>
          <t>Resistencia RS PRO, de 100? &amp;#177;5%, 0.</t>
        </is>
      </c>
      <c r="D77" t="inlineStr">
        <is>
          <t>1101786463</t>
        </is>
      </c>
      <c r="E77" t="inlineStr">
        <is>
          <t>1</t>
        </is>
      </c>
      <c r="F77" s="163" t="n">
        <v>45561</v>
      </c>
      <c r="G77" t="inlineStr"/>
      <c r="H77" t="inlineStr">
        <is>
          <t>4800002666</t>
        </is>
      </c>
      <c r="I77" t="inlineStr">
        <is>
          <t>1210</t>
        </is>
      </c>
      <c r="J77" s="163" t="n">
        <v>45559</v>
      </c>
      <c r="K77" s="163" t="inlineStr"/>
      <c r="L77" t="inlineStr"/>
      <c r="M77" s="163" t="n">
        <v>45562</v>
      </c>
      <c r="N77" s="164" t="n">
        <v>0</v>
      </c>
      <c r="O77" s="164" t="n">
        <v>0</v>
      </c>
      <c r="P77" t="inlineStr"/>
      <c r="Q77" s="165" t="n">
        <v>10</v>
      </c>
      <c r="R77" s="165" t="n">
        <v>10</v>
      </c>
      <c r="S77" s="165" t="n">
        <v>10</v>
      </c>
      <c r="T77" s="165" t="n">
        <v>0</v>
      </c>
      <c r="U77" s="166" t="n">
        <v>0</v>
      </c>
      <c r="V77" s="166" t="n">
        <v>0</v>
      </c>
      <c r="W77" t="inlineStr">
        <is>
          <t>X</t>
        </is>
      </c>
      <c r="X77" t="inlineStr">
        <is>
          <t>0.00</t>
        </is>
      </c>
      <c r="Y77" t="inlineStr"/>
      <c r="Z77" t="inlineStr">
        <is>
          <t>AMIDATA, S.A.</t>
        </is>
      </c>
      <c r="AA77" t="inlineStr"/>
      <c r="AB77" t="inlineStr">
        <is>
          <t>7077587</t>
        </is>
      </c>
      <c r="AC77" t="inlineStr"/>
      <c r="AD77" s="164" t="n">
        <v>0</v>
      </c>
      <c r="AE77" s="185" t="n">
        <v>0</v>
      </c>
      <c r="AG77" s="167" t="inlineStr">
        <is>
          <t>7218|JA2593_1001</t>
        </is>
      </c>
      <c r="AH77" s="46">
        <f>IF(M77=0,"-",M77-J77)</f>
        <v/>
      </c>
      <c r="AI77" s="46">
        <f>IF(AND(S77=0,M77&gt;0,L77=0),IF(AH77&gt;=120,"VERY HIGH",IF(AH77&gt;=90,"HIGH",IF(AH77&gt;=60,"MEDIUM",IF(AH77&lt;60,"LOW")))),"-")</f>
        <v/>
      </c>
      <c r="AJ77" s="12" t="n"/>
      <c r="AK77" s="41">
        <f>IF(AND(W77="X",M77&lt;=$AJ$2),"YES","")</f>
        <v/>
      </c>
      <c r="AL77" s="38">
        <f>IF(AND(W77="X",M77&lt;=$AJ$2),S77,"")</f>
        <v/>
      </c>
      <c r="AM77" s="26">
        <f>IF(AND(W77="X",M77&gt;$AJ$2),"YES","")</f>
        <v/>
      </c>
      <c r="AN77" s="89">
        <f>IF(AND(W77="X",M77&gt;$AJ$2),S77,"")</f>
        <v/>
      </c>
      <c r="AO77" s="35">
        <f>IF(AND(W77="",M77&gt;0,$AJ$2&gt;M77,L77=""),1,0)</f>
        <v/>
      </c>
      <c r="AP77" s="26">
        <f>IF(AND(AK77="YES",W77="X"),"X","")</f>
        <v/>
      </c>
      <c r="AQ77" s="28">
        <f>IF(AP77="X",100%,0%)</f>
        <v/>
      </c>
      <c r="AR77" s="25">
        <f>IF(AND(T77&gt;0,L77=""),H77,"")</f>
        <v/>
      </c>
      <c r="AS77" s="25">
        <f>IF(AND(D77&gt;0,H77=0,G77=""),1,"")</f>
        <v/>
      </c>
      <c r="AT77" s="25">
        <f>IF(G77="BLOQ",1,"")</f>
        <v/>
      </c>
      <c r="AU77" s="25">
        <f>IF(L77="BLOQ",1,"")</f>
        <v/>
      </c>
      <c r="AV77" s="25">
        <f>MONTH(F77)</f>
        <v/>
      </c>
      <c r="AW77" s="65">
        <f>IF(AP77="",100%,0%)</f>
        <v/>
      </c>
      <c r="AX77" s="23" t="n"/>
      <c r="AY77" s="24">
        <f>IF(M77=0,"",M77-$AX$2)</f>
        <v/>
      </c>
      <c r="AZ77" s="66">
        <f>IF(AND(W77="",AY77&gt;0,AY77&lt;15),1,0)</f>
        <v/>
      </c>
      <c r="BA77" s="24">
        <f>IF(AND(W77="",AY77&gt;0,AY77&lt;15),T77,"")</f>
        <v/>
      </c>
      <c r="BB77" s="87">
        <f>IF(R77&lt;Q77,"X","")</f>
        <v/>
      </c>
      <c r="BC77" s="190" t="inlineStr">
        <is>
          <t>NO</t>
        </is>
      </c>
      <c r="BD77" s="190" t="inlineStr">
        <is>
          <t>NO</t>
        </is>
      </c>
    </row>
    <row r="78" ht="15" customHeight="1" s="162">
      <c r="A78" s="7" t="n">
        <v>77</v>
      </c>
      <c r="B78" t="inlineStr">
        <is>
          <t>32121615</t>
        </is>
      </c>
      <c r="C78" t="inlineStr">
        <is>
          <t>Resistencia RS PRO, de 100? &amp;#177;5%, 0.</t>
        </is>
      </c>
      <c r="D78" t="inlineStr">
        <is>
          <t>1101786467</t>
        </is>
      </c>
      <c r="E78" t="inlineStr">
        <is>
          <t>1</t>
        </is>
      </c>
      <c r="F78" s="163" t="n">
        <v>45561</v>
      </c>
      <c r="G78" t="inlineStr"/>
      <c r="H78" t="inlineStr">
        <is>
          <t>4800002666</t>
        </is>
      </c>
      <c r="I78" t="inlineStr">
        <is>
          <t>1220</t>
        </is>
      </c>
      <c r="J78" s="163" t="n">
        <v>45559</v>
      </c>
      <c r="K78" s="163" t="inlineStr"/>
      <c r="L78" t="inlineStr"/>
      <c r="M78" s="163" t="n">
        <v>45562</v>
      </c>
      <c r="N78" s="164" t="n">
        <v>0</v>
      </c>
      <c r="O78" s="164" t="n">
        <v>0</v>
      </c>
      <c r="P78" t="inlineStr"/>
      <c r="Q78" s="165" t="n">
        <v>10</v>
      </c>
      <c r="R78" s="165" t="n">
        <v>10</v>
      </c>
      <c r="S78" s="165" t="n">
        <v>10</v>
      </c>
      <c r="T78" s="165" t="n">
        <v>0</v>
      </c>
      <c r="U78" s="166" t="n">
        <v>0</v>
      </c>
      <c r="V78" s="166" t="n">
        <v>0</v>
      </c>
      <c r="W78" t="inlineStr">
        <is>
          <t>X</t>
        </is>
      </c>
      <c r="X78" t="inlineStr">
        <is>
          <t>0.00</t>
        </is>
      </c>
      <c r="Y78" t="inlineStr"/>
      <c r="Z78" t="inlineStr">
        <is>
          <t>AMIDATA, S.A.</t>
        </is>
      </c>
      <c r="AA78" t="inlineStr"/>
      <c r="AB78" t="inlineStr">
        <is>
          <t>7077587</t>
        </is>
      </c>
      <c r="AC78" t="inlineStr"/>
      <c r="AD78" s="164" t="n">
        <v>0</v>
      </c>
      <c r="AE78" s="185" t="n">
        <v>0</v>
      </c>
      <c r="AG78" s="167" t="inlineStr">
        <is>
          <t>7218|JA2593_1001</t>
        </is>
      </c>
      <c r="AH78" s="46">
        <f>IF(M78=0,"-",M78-J78)</f>
        <v/>
      </c>
      <c r="AI78" s="46">
        <f>IF(AND(S78=0,M78&gt;0,L78=0),IF(AH78&gt;=120,"VERY HIGH",IF(AH78&gt;=90,"HIGH",IF(AH78&gt;=60,"MEDIUM",IF(AH78&lt;60,"LOW")))),"-")</f>
        <v/>
      </c>
      <c r="AJ78" s="12" t="n"/>
      <c r="AK78" s="41">
        <f>IF(AND(W78="X",M78&lt;=$AJ$2),"YES","")</f>
        <v/>
      </c>
      <c r="AL78" s="38">
        <f>IF(AND(W78="X",M78&lt;=$AJ$2),S78,"")</f>
        <v/>
      </c>
      <c r="AM78" s="26">
        <f>IF(AND(W78="X",M78&gt;$AJ$2),"YES","")</f>
        <v/>
      </c>
      <c r="AN78" s="89">
        <f>IF(AND(W78="X",M78&gt;$AJ$2),S78,"")</f>
        <v/>
      </c>
      <c r="AO78" s="35">
        <f>IF(AND(W78="",M78&gt;0,$AJ$2&gt;M78,L78=""),1,0)</f>
        <v/>
      </c>
      <c r="AP78" s="26">
        <f>IF(AND(AK78="YES",W78="X"),"X","")</f>
        <v/>
      </c>
      <c r="AQ78" s="28">
        <f>IF(AP78="X",100%,0%)</f>
        <v/>
      </c>
      <c r="AR78" s="25">
        <f>IF(AND(T78&gt;0,L78=""),H78,"")</f>
        <v/>
      </c>
      <c r="AS78" s="25">
        <f>IF(AND(D78&gt;0,H78=0,G78=""),1,"")</f>
        <v/>
      </c>
      <c r="AT78" s="25">
        <f>IF(G78="BLOQ",1,"")</f>
        <v/>
      </c>
      <c r="AU78" s="25">
        <f>IF(L78="BLOQ",1,"")</f>
        <v/>
      </c>
      <c r="AV78" s="25">
        <f>MONTH(F78)</f>
        <v/>
      </c>
      <c r="AW78" s="65">
        <f>IF(AP78="",100%,0%)</f>
        <v/>
      </c>
      <c r="AX78" s="23" t="n"/>
      <c r="AY78" s="24">
        <f>IF(M78=0,"",M78-$AX$2)</f>
        <v/>
      </c>
      <c r="AZ78" s="66">
        <f>IF(AND(W78="",AY78&gt;0,AY78&lt;15),1,0)</f>
        <v/>
      </c>
      <c r="BA78" s="24">
        <f>IF(AND(W78="",AY78&gt;0,AY78&lt;15),T78,"")</f>
        <v/>
      </c>
      <c r="BB78" s="87">
        <f>IF(R78&lt;Q78,"X","")</f>
        <v/>
      </c>
      <c r="BC78" s="190" t="inlineStr">
        <is>
          <t>NO</t>
        </is>
      </c>
      <c r="BD78" s="190" t="inlineStr">
        <is>
          <t>NO</t>
        </is>
      </c>
    </row>
    <row r="79" ht="15" customHeight="1" s="162">
      <c r="A79" s="7" t="n">
        <v>78</v>
      </c>
      <c r="B79" t="inlineStr">
        <is>
          <t>39111803</t>
        </is>
      </c>
      <c r="C79" t="inlineStr">
        <is>
          <t>Soporte para LED Arcolectric (Bulgin) Lt</t>
        </is>
      </c>
      <c r="D79" t="inlineStr">
        <is>
          <t>1101790024</t>
        </is>
      </c>
      <c r="E79" t="inlineStr">
        <is>
          <t>1</t>
        </is>
      </c>
      <c r="F79" s="163" t="n">
        <v>45569</v>
      </c>
      <c r="G79" t="inlineStr"/>
      <c r="H79" t="inlineStr">
        <is>
          <t>4800002669</t>
        </is>
      </c>
      <c r="I79" t="inlineStr">
        <is>
          <t>4120</t>
        </is>
      </c>
      <c r="J79" s="163" t="n">
        <v>45566</v>
      </c>
      <c r="K79" s="163" t="inlineStr"/>
      <c r="L79" t="inlineStr"/>
      <c r="M79" s="163" t="n">
        <v>45570</v>
      </c>
      <c r="N79" s="164" t="n">
        <v>0</v>
      </c>
      <c r="O79" s="164" t="n">
        <v>0</v>
      </c>
      <c r="P79" t="inlineStr"/>
      <c r="Q79" s="165" t="n">
        <v>1</v>
      </c>
      <c r="R79" s="165" t="n">
        <v>1</v>
      </c>
      <c r="S79" s="165" t="n">
        <v>1</v>
      </c>
      <c r="T79" s="165" t="n">
        <v>0</v>
      </c>
      <c r="U79" s="166" t="n">
        <v>0</v>
      </c>
      <c r="V79" s="166" t="n">
        <v>0</v>
      </c>
      <c r="W79" t="inlineStr">
        <is>
          <t>X</t>
        </is>
      </c>
      <c r="X79" t="inlineStr">
        <is>
          <t>0.00</t>
        </is>
      </c>
      <c r="Y79" t="inlineStr"/>
      <c r="Z79" t="inlineStr">
        <is>
          <t>AMIDATA, S.A.</t>
        </is>
      </c>
      <c r="AA79" t="inlineStr"/>
      <c r="AB79" t="inlineStr">
        <is>
          <t>2370519</t>
        </is>
      </c>
      <c r="AC79" t="inlineStr"/>
      <c r="AD79" s="164" t="n">
        <v>0</v>
      </c>
      <c r="AE79" s="185" t="n">
        <v>0</v>
      </c>
      <c r="AG79" s="167" t="inlineStr">
        <is>
          <t>7218|JA2593_1001</t>
        </is>
      </c>
      <c r="AH79" s="46">
        <f>IF(M79=0,"-",M79-J79)</f>
        <v/>
      </c>
      <c r="AI79" s="46">
        <f>IF(AND(S79=0,M79&gt;0,L79=0),IF(AH79&gt;=120,"VERY HIGH",IF(AH79&gt;=90,"HIGH",IF(AH79&gt;=60,"MEDIUM",IF(AH79&lt;60,"LOW")))),"-")</f>
        <v/>
      </c>
      <c r="AJ79" s="12" t="n"/>
      <c r="AK79" s="41">
        <f>IF(AND(W79="X",M79&lt;=$AJ$2),"YES","")</f>
        <v/>
      </c>
      <c r="AL79" s="38">
        <f>IF(AND(W79="X",M79&lt;=$AJ$2),S79,"")</f>
        <v/>
      </c>
      <c r="AM79" s="26">
        <f>IF(AND(W79="X",M79&gt;$AJ$2),"YES","")</f>
        <v/>
      </c>
      <c r="AN79" s="89">
        <f>IF(AND(W79="X",M79&gt;$AJ$2),S79,"")</f>
        <v/>
      </c>
      <c r="AO79" s="35">
        <f>IF(AND(W79="",M79&gt;0,$AJ$2&gt;M79,L79=""),1,0)</f>
        <v/>
      </c>
      <c r="AP79" s="26">
        <f>IF(AND(AK79="YES",W79="X"),"X","")</f>
        <v/>
      </c>
      <c r="AQ79" s="28">
        <f>IF(AP79="X",100%,0%)</f>
        <v/>
      </c>
      <c r="AR79" s="25">
        <f>IF(AND(T79&gt;0,L79=""),H79,"")</f>
        <v/>
      </c>
      <c r="AS79" s="25">
        <f>IF(AND(D79&gt;0,H79=0,G79=""),1,"")</f>
        <v/>
      </c>
      <c r="AT79" s="25">
        <f>IF(G79="BLOQ",1,"")</f>
        <v/>
      </c>
      <c r="AU79" s="25">
        <f>IF(L79="BLOQ",1,"")</f>
        <v/>
      </c>
      <c r="AV79" s="25">
        <f>MONTH(F79)</f>
        <v/>
      </c>
      <c r="AW79" s="65">
        <f>IF(AP79="",100%,0%)</f>
        <v/>
      </c>
      <c r="AX79" s="23" t="n"/>
      <c r="AY79" s="24">
        <f>IF(M79=0,"",M79-$AX$2)</f>
        <v/>
      </c>
      <c r="AZ79" s="66">
        <f>IF(AND(W79="",AY79&gt;0,AY79&lt;15),1,0)</f>
        <v/>
      </c>
      <c r="BA79" s="24">
        <f>IF(AND(W79="",AY79&gt;0,AY79&lt;15),T79,"")</f>
        <v/>
      </c>
      <c r="BB79" s="87">
        <f>IF(R79&lt;Q79,"X","")</f>
        <v/>
      </c>
      <c r="BC79" s="190" t="inlineStr">
        <is>
          <t>NO</t>
        </is>
      </c>
      <c r="BD79" s="190" t="inlineStr">
        <is>
          <t>NO</t>
        </is>
      </c>
    </row>
    <row r="80" ht="15" customHeight="1" s="162">
      <c r="A80" s="7" t="n">
        <v>79</v>
      </c>
      <c r="B80" t="inlineStr">
        <is>
          <t>32111601</t>
        </is>
      </c>
      <c r="C80" t="inlineStr">
        <is>
          <t>Fototransistor NPN ams OSRAM de amplio e</t>
        </is>
      </c>
      <c r="D80" t="inlineStr">
        <is>
          <t>1101790024</t>
        </is>
      </c>
      <c r="E80" t="inlineStr">
        <is>
          <t>2</t>
        </is>
      </c>
      <c r="F80" s="163" t="n">
        <v>45569</v>
      </c>
      <c r="G80" t="inlineStr"/>
      <c r="H80" t="inlineStr">
        <is>
          <t>4800002669</t>
        </is>
      </c>
      <c r="I80" t="inlineStr">
        <is>
          <t>4130</t>
        </is>
      </c>
      <c r="J80" s="163" t="n">
        <v>45566</v>
      </c>
      <c r="K80" s="163" t="inlineStr"/>
      <c r="L80" t="inlineStr"/>
      <c r="M80" s="163" t="n">
        <v>45570</v>
      </c>
      <c r="N80" s="164" t="n">
        <v>0</v>
      </c>
      <c r="O80" s="164" t="n">
        <v>0</v>
      </c>
      <c r="P80" t="inlineStr"/>
      <c r="Q80" s="165" t="n">
        <v>20</v>
      </c>
      <c r="R80" s="165" t="n">
        <v>20</v>
      </c>
      <c r="S80" s="165" t="n">
        <v>20</v>
      </c>
      <c r="T80" s="165" t="n">
        <v>0</v>
      </c>
      <c r="U80" s="166" t="n">
        <v>0</v>
      </c>
      <c r="V80" s="166" t="n">
        <v>0</v>
      </c>
      <c r="W80" t="inlineStr">
        <is>
          <t>X</t>
        </is>
      </c>
      <c r="X80" t="inlineStr">
        <is>
          <t>0.00</t>
        </is>
      </c>
      <c r="Y80" t="inlineStr"/>
      <c r="Z80" t="inlineStr">
        <is>
          <t>AMIDATA, S.A.</t>
        </is>
      </c>
      <c r="AA80" t="inlineStr"/>
      <c r="AB80" t="inlineStr">
        <is>
          <t>6547808P</t>
        </is>
      </c>
      <c r="AC80" t="inlineStr"/>
      <c r="AD80" s="164" t="n">
        <v>0</v>
      </c>
      <c r="AE80" s="185" t="n">
        <v>0</v>
      </c>
      <c r="AG80" s="167" t="inlineStr">
        <is>
          <t>7218|JA2593_1001</t>
        </is>
      </c>
      <c r="AH80" s="46">
        <f>IF(M80=0,"-",M80-J80)</f>
        <v/>
      </c>
      <c r="AI80" s="46">
        <f>IF(AND(S80=0,M80&gt;0,L80=0),IF(AH80&gt;=120,"VERY HIGH",IF(AH80&gt;=90,"HIGH",IF(AH80&gt;=60,"MEDIUM",IF(AH80&lt;60,"LOW")))),"-")</f>
        <v/>
      </c>
      <c r="AJ80" s="12" t="n"/>
      <c r="AK80" s="41">
        <f>IF(AND(W80="X",M80&lt;=$AJ$2),"YES","")</f>
        <v/>
      </c>
      <c r="AL80" s="38">
        <f>IF(AND(W80="X",M80&lt;=$AJ$2),S80,"")</f>
        <v/>
      </c>
      <c r="AM80" s="26">
        <f>IF(AND(W80="X",M80&gt;$AJ$2),"YES","")</f>
        <v/>
      </c>
      <c r="AN80" s="89">
        <f>IF(AND(W80="X",M80&gt;$AJ$2),S80,"")</f>
        <v/>
      </c>
      <c r="AO80" s="35">
        <f>IF(AND(W80="",M80&gt;0,$AJ$2&gt;M80,L80=""),1,0)</f>
        <v/>
      </c>
      <c r="AP80" s="26">
        <f>IF(AND(AK80="YES",W80="X"),"X","")</f>
        <v/>
      </c>
      <c r="AQ80" s="28">
        <f>IF(AP80="X",100%,0%)</f>
        <v/>
      </c>
      <c r="AR80" s="25">
        <f>IF(AND(T80&gt;0,L80=""),H80,"")</f>
        <v/>
      </c>
      <c r="AS80" s="25">
        <f>IF(AND(D80&gt;0,H80=0,G80=""),1,"")</f>
        <v/>
      </c>
      <c r="AT80" s="25">
        <f>IF(G80="BLOQ",1,"")</f>
        <v/>
      </c>
      <c r="AU80" s="25">
        <f>IF(L80="BLOQ",1,"")</f>
        <v/>
      </c>
      <c r="AV80" s="25">
        <f>MONTH(F80)</f>
        <v/>
      </c>
      <c r="AW80" s="65">
        <f>IF(AP80="",100%,0%)</f>
        <v/>
      </c>
      <c r="AX80" s="23" t="n"/>
      <c r="AY80" s="24">
        <f>IF(M80=0,"",M80-$AX$2)</f>
        <v/>
      </c>
      <c r="AZ80" s="66">
        <f>IF(AND(W80="",AY80&gt;0,AY80&lt;15),1,0)</f>
        <v/>
      </c>
      <c r="BA80" s="24">
        <f>IF(AND(W80="",AY80&gt;0,AY80&lt;15),T80,"")</f>
        <v/>
      </c>
      <c r="BB80" s="87">
        <f>IF(R80&lt;Q80,"X","")</f>
        <v/>
      </c>
      <c r="BC80" s="190" t="inlineStr">
        <is>
          <t>NO</t>
        </is>
      </c>
      <c r="BD80" s="190" t="inlineStr">
        <is>
          <t>NO</t>
        </is>
      </c>
    </row>
    <row r="81" ht="15" customHeight="1" s="162">
      <c r="A81" s="7" t="n">
        <v>80</v>
      </c>
      <c r="B81" t="inlineStr">
        <is>
          <t>40183009</t>
        </is>
      </c>
      <c r="C81" t="inlineStr">
        <is>
          <t>Tubo termorretr&amp;#225;ctil RS PRO de Poli</t>
        </is>
      </c>
      <c r="D81" t="inlineStr">
        <is>
          <t>1101790024</t>
        </is>
      </c>
      <c r="E81" t="inlineStr">
        <is>
          <t>3</t>
        </is>
      </c>
      <c r="F81" s="163" t="n">
        <v>45569</v>
      </c>
      <c r="G81" t="inlineStr"/>
      <c r="H81" t="inlineStr">
        <is>
          <t>4800002669</t>
        </is>
      </c>
      <c r="I81" t="inlineStr">
        <is>
          <t>4140</t>
        </is>
      </c>
      <c r="J81" s="163" t="n">
        <v>45566</v>
      </c>
      <c r="K81" s="163" t="inlineStr"/>
      <c r="L81" t="inlineStr"/>
      <c r="M81" s="163" t="n">
        <v>45570</v>
      </c>
      <c r="N81" s="164" t="n">
        <v>0</v>
      </c>
      <c r="O81" s="164" t="n">
        <v>0</v>
      </c>
      <c r="P81" t="inlineStr"/>
      <c r="Q81" s="165" t="n">
        <v>1</v>
      </c>
      <c r="R81" s="165" t="n">
        <v>1</v>
      </c>
      <c r="S81" s="165" t="n">
        <v>1</v>
      </c>
      <c r="T81" s="165" t="n">
        <v>0</v>
      </c>
      <c r="U81" s="166" t="n">
        <v>0</v>
      </c>
      <c r="V81" s="166" t="n">
        <v>0</v>
      </c>
      <c r="W81" t="inlineStr">
        <is>
          <t>X</t>
        </is>
      </c>
      <c r="X81" t="inlineStr">
        <is>
          <t>0.00</t>
        </is>
      </c>
      <c r="Y81" t="inlineStr"/>
      <c r="Z81" t="inlineStr">
        <is>
          <t>AMIDATA, S.A.</t>
        </is>
      </c>
      <c r="AA81" t="inlineStr"/>
      <c r="AB81" t="inlineStr">
        <is>
          <t>7004646</t>
        </is>
      </c>
      <c r="AC81" t="inlineStr"/>
      <c r="AD81" s="164" t="n">
        <v>0</v>
      </c>
      <c r="AE81" s="185" t="n">
        <v>0</v>
      </c>
      <c r="AG81" s="167" t="inlineStr">
        <is>
          <t>7218|JA2593_1001</t>
        </is>
      </c>
      <c r="AH81" s="46">
        <f>IF(M81=0,"-",M81-J81)</f>
        <v/>
      </c>
      <c r="AI81" s="46">
        <f>IF(AND(S81=0,M81&gt;0,L81=0),IF(AH81&gt;=120,"VERY HIGH",IF(AH81&gt;=90,"HIGH",IF(AH81&gt;=60,"MEDIUM",IF(AH81&lt;60,"LOW")))),"-")</f>
        <v/>
      </c>
      <c r="AJ81" s="12" t="n"/>
      <c r="AK81" s="41">
        <f>IF(AND(W81="X",M81&lt;=$AJ$2),"YES","")</f>
        <v/>
      </c>
      <c r="AL81" s="38">
        <f>IF(AND(W81="X",M81&lt;=$AJ$2),S81,"")</f>
        <v/>
      </c>
      <c r="AM81" s="26">
        <f>IF(AND(W81="X",M81&gt;$AJ$2),"YES","")</f>
        <v/>
      </c>
      <c r="AN81" s="89">
        <f>IF(AND(W81="X",M81&gt;$AJ$2),S81,"")</f>
        <v/>
      </c>
      <c r="AO81" s="35">
        <f>IF(AND(W81="",M81&gt;0,$AJ$2&gt;M81,L81=""),1,0)</f>
        <v/>
      </c>
      <c r="AP81" s="26">
        <f>IF(AND(AK81="YES",W81="X"),"X","")</f>
        <v/>
      </c>
      <c r="AQ81" s="28">
        <f>IF(AP81="X",100%,0%)</f>
        <v/>
      </c>
      <c r="AR81" s="25">
        <f>IF(AND(T81&gt;0,L81=""),H81,"")</f>
        <v/>
      </c>
      <c r="AS81" s="25">
        <f>IF(AND(D81&gt;0,H81=0,G81=""),1,"")</f>
        <v/>
      </c>
      <c r="AT81" s="25">
        <f>IF(G81="BLOQ",1,"")</f>
        <v/>
      </c>
      <c r="AU81" s="25">
        <f>IF(L81="BLOQ",1,"")</f>
        <v/>
      </c>
      <c r="AV81" s="25">
        <f>MONTH(F81)</f>
        <v/>
      </c>
      <c r="AW81" s="65">
        <f>IF(AP81="",100%,0%)</f>
        <v/>
      </c>
      <c r="AX81" s="23" t="n"/>
      <c r="AY81" s="24">
        <f>IF(M81=0,"",M81-$AX$2)</f>
        <v/>
      </c>
      <c r="AZ81" s="66">
        <f>IF(AND(W81="",AY81&gt;0,AY81&lt;15),1,0)</f>
        <v/>
      </c>
      <c r="BA81" s="24">
        <f>IF(AND(W81="",AY81&gt;0,AY81&lt;15),T81,"")</f>
        <v/>
      </c>
      <c r="BB81" s="87">
        <f>IF(R81&lt;Q81,"X","")</f>
        <v/>
      </c>
      <c r="BC81" s="190" t="inlineStr">
        <is>
          <t>NO</t>
        </is>
      </c>
      <c r="BD81" s="190" t="inlineStr">
        <is>
          <t>NO</t>
        </is>
      </c>
    </row>
    <row r="82" ht="15" customHeight="1" s="162">
      <c r="A82" s="7" t="n">
        <v>81</v>
      </c>
      <c r="B82" t="inlineStr">
        <is>
          <t>31163100</t>
        </is>
      </c>
      <c r="C82" t="inlineStr">
        <is>
          <t>Tornillo de conector - Bloqueo roscado,</t>
        </is>
      </c>
      <c r="D82" t="inlineStr">
        <is>
          <t>1101791120</t>
        </is>
      </c>
      <c r="E82" t="inlineStr">
        <is>
          <t>1</t>
        </is>
      </c>
      <c r="F82" s="163" t="n">
        <v>45573</v>
      </c>
      <c r="G82" t="inlineStr"/>
      <c r="H82" t="inlineStr">
        <is>
          <t>4800002684</t>
        </is>
      </c>
      <c r="I82" t="inlineStr">
        <is>
          <t>630</t>
        </is>
      </c>
      <c r="J82" s="163" t="n">
        <v>45572</v>
      </c>
      <c r="K82" s="163" t="inlineStr"/>
      <c r="L82" t="inlineStr"/>
      <c r="M82" s="163" t="n">
        <v>45574</v>
      </c>
      <c r="N82" s="164" t="n">
        <v>0</v>
      </c>
      <c r="O82" s="164" t="n">
        <v>0</v>
      </c>
      <c r="P82" t="inlineStr"/>
      <c r="Q82" s="165" t="n">
        <v>10</v>
      </c>
      <c r="R82" s="165" t="n">
        <v>10</v>
      </c>
      <c r="S82" s="165" t="n">
        <v>10</v>
      </c>
      <c r="T82" s="165" t="n">
        <v>0</v>
      </c>
      <c r="U82" s="166" t="n">
        <v>0</v>
      </c>
      <c r="V82" s="166" t="n">
        <v>0</v>
      </c>
      <c r="W82" t="inlineStr">
        <is>
          <t>X</t>
        </is>
      </c>
      <c r="X82" t="inlineStr">
        <is>
          <t>0.00</t>
        </is>
      </c>
      <c r="Y82" t="inlineStr"/>
      <c r="Z82" t="inlineStr">
        <is>
          <t>AMIDATA, S.A.</t>
        </is>
      </c>
      <c r="AA82" t="inlineStr"/>
      <c r="AB82" t="inlineStr">
        <is>
          <t>0453886</t>
        </is>
      </c>
      <c r="AC82" t="inlineStr"/>
      <c r="AD82" s="164" t="n">
        <v>0</v>
      </c>
      <c r="AE82" s="185" t="n">
        <v>0</v>
      </c>
      <c r="AG82" s="167" t="inlineStr">
        <is>
          <t>7218|JA2593_1001</t>
        </is>
      </c>
      <c r="AH82" s="46">
        <f>IF(M82=0,"-",M82-J82)</f>
        <v/>
      </c>
      <c r="AI82" s="46">
        <f>IF(AND(S82=0,M82&gt;0,L82=0),IF(AH82&gt;=120,"VERY HIGH",IF(AH82&gt;=90,"HIGH",IF(AH82&gt;=60,"MEDIUM",IF(AH82&lt;60,"LOW")))),"-")</f>
        <v/>
      </c>
      <c r="AJ82" s="12" t="n"/>
      <c r="AK82" s="41">
        <f>IF(AND(W82="X",M82&lt;=$AJ$2),"YES","")</f>
        <v/>
      </c>
      <c r="AL82" s="38">
        <f>IF(AND(W82="X",M82&lt;=$AJ$2),S82,"")</f>
        <v/>
      </c>
      <c r="AM82" s="26">
        <f>IF(AND(W82="X",M82&gt;$AJ$2),"YES","")</f>
        <v/>
      </c>
      <c r="AN82" s="89">
        <f>IF(AND(W82="X",M82&gt;$AJ$2),S82,"")</f>
        <v/>
      </c>
      <c r="AO82" s="35">
        <f>IF(AND(W82="",M82&gt;0,$AJ$2&gt;M82,L82=""),1,0)</f>
        <v/>
      </c>
      <c r="AP82" s="26">
        <f>IF(AND(AK82="YES",W82="X"),"X","")</f>
        <v/>
      </c>
      <c r="AQ82" s="28">
        <f>IF(AP82="X",100%,0%)</f>
        <v/>
      </c>
      <c r="AR82" s="25">
        <f>IF(AND(T82&gt;0,L82=""),H82,"")</f>
        <v/>
      </c>
      <c r="AS82" s="25">
        <f>IF(AND(D82&gt;0,H82=0,G82=""),1,"")</f>
        <v/>
      </c>
      <c r="AT82" s="25">
        <f>IF(G82="BLOQ",1,"")</f>
        <v/>
      </c>
      <c r="AU82" s="25">
        <f>IF(L82="BLOQ",1,"")</f>
        <v/>
      </c>
      <c r="AV82" s="25">
        <f>MONTH(F82)</f>
        <v/>
      </c>
      <c r="AW82" s="65">
        <f>IF(AP82="",100%,0%)</f>
        <v/>
      </c>
      <c r="AX82" s="23" t="n"/>
      <c r="AY82" s="24">
        <f>IF(M82=0,"",M82-$AX$2)</f>
        <v/>
      </c>
      <c r="AZ82" s="66">
        <f>IF(AND(W82="",AY82&gt;0,AY82&lt;15),1,0)</f>
        <v/>
      </c>
      <c r="BA82" s="24">
        <f>IF(AND(W82="",AY82&gt;0,AY82&lt;15),T82,"")</f>
        <v/>
      </c>
      <c r="BB82" s="87">
        <f>IF(R82&lt;Q82,"X","")</f>
        <v/>
      </c>
      <c r="BC82" s="190" t="inlineStr">
        <is>
          <t>NO</t>
        </is>
      </c>
      <c r="BD82" s="190" t="inlineStr">
        <is>
          <t>NO</t>
        </is>
      </c>
    </row>
    <row r="83" ht="15" customHeight="1" s="162">
      <c r="A83" s="7" t="n">
        <v>82</v>
      </c>
      <c r="B83" t="inlineStr">
        <is>
          <t>39121432</t>
        </is>
      </c>
      <c r="C83" t="inlineStr">
        <is>
          <t>Conector circular Amphenol Limited Macho</t>
        </is>
      </c>
      <c r="D83" t="inlineStr">
        <is>
          <t>1101791120</t>
        </is>
      </c>
      <c r="E83" t="inlineStr">
        <is>
          <t>2</t>
        </is>
      </c>
      <c r="F83" s="163" t="n">
        <v>45573</v>
      </c>
      <c r="G83" t="inlineStr"/>
      <c r="H83" t="inlineStr">
        <is>
          <t>4800002684</t>
        </is>
      </c>
      <c r="I83" t="inlineStr">
        <is>
          <t>640</t>
        </is>
      </c>
      <c r="J83" s="163" t="n">
        <v>45572</v>
      </c>
      <c r="K83" s="163" t="inlineStr"/>
      <c r="L83" t="inlineStr"/>
      <c r="M83" s="163" t="n">
        <v>45574</v>
      </c>
      <c r="N83" s="164" t="n">
        <v>0</v>
      </c>
      <c r="O83" s="164" t="n">
        <v>0</v>
      </c>
      <c r="P83" t="inlineStr"/>
      <c r="Q83" s="165" t="n">
        <v>50</v>
      </c>
      <c r="R83" s="165" t="n">
        <v>50</v>
      </c>
      <c r="S83" s="165" t="n">
        <v>50</v>
      </c>
      <c r="T83" s="165" t="n">
        <v>0</v>
      </c>
      <c r="U83" s="166" t="n">
        <v>0</v>
      </c>
      <c r="V83" s="166" t="n">
        <v>0</v>
      </c>
      <c r="W83" t="inlineStr">
        <is>
          <t>X</t>
        </is>
      </c>
      <c r="X83" t="inlineStr">
        <is>
          <t>0.00</t>
        </is>
      </c>
      <c r="Y83" t="inlineStr"/>
      <c r="Z83" t="inlineStr">
        <is>
          <t>AMIDATA, S.A.</t>
        </is>
      </c>
      <c r="AA83" t="inlineStr"/>
      <c r="AB83" t="inlineStr">
        <is>
          <t>8751462</t>
        </is>
      </c>
      <c r="AC83" t="inlineStr"/>
      <c r="AD83" s="164" t="n">
        <v>0</v>
      </c>
      <c r="AE83" s="185" t="n">
        <v>0</v>
      </c>
      <c r="AG83" s="167" t="inlineStr">
        <is>
          <t>7218|JA2593_1001</t>
        </is>
      </c>
      <c r="AH83" s="46">
        <f>IF(M83=0,"-",M83-J83)</f>
        <v/>
      </c>
      <c r="AI83" s="46">
        <f>IF(AND(S83=0,M83&gt;0,L83=0),IF(AH83&gt;=120,"VERY HIGH",IF(AH83&gt;=90,"HIGH",IF(AH83&gt;=60,"MEDIUM",IF(AH83&lt;60,"LOW")))),"-")</f>
        <v/>
      </c>
      <c r="AJ83" s="12" t="n"/>
      <c r="AK83" s="41">
        <f>IF(AND(W83="X",M83&lt;=$AJ$2),"YES","")</f>
        <v/>
      </c>
      <c r="AL83" s="38">
        <f>IF(AND(W83="X",M83&lt;=$AJ$2),S83,"")</f>
        <v/>
      </c>
      <c r="AM83" s="26">
        <f>IF(AND(W83="X",M83&gt;$AJ$2),"YES","")</f>
        <v/>
      </c>
      <c r="AN83" s="89">
        <f>IF(AND(W83="X",M83&gt;$AJ$2),S83,"")</f>
        <v/>
      </c>
      <c r="AO83" s="35">
        <f>IF(AND(W83="",M83&gt;0,$AJ$2&gt;M83,L83=""),1,0)</f>
        <v/>
      </c>
      <c r="AP83" s="26">
        <f>IF(AND(AK83="YES",W83="X"),"X","")</f>
        <v/>
      </c>
      <c r="AQ83" s="28">
        <f>IF(AP83="X",100%,0%)</f>
        <v/>
      </c>
      <c r="AR83" s="25">
        <f>IF(AND(T83&gt;0,L83=""),H83,"")</f>
        <v/>
      </c>
      <c r="AS83" s="25">
        <f>IF(AND(D83&gt;0,H83=0,G83=""),1,"")</f>
        <v/>
      </c>
      <c r="AT83" s="25">
        <f>IF(G83="BLOQ",1,"")</f>
        <v/>
      </c>
      <c r="AU83" s="25">
        <f>IF(L83="BLOQ",1,"")</f>
        <v/>
      </c>
      <c r="AV83" s="25">
        <f>MONTH(F83)</f>
        <v/>
      </c>
      <c r="AW83" s="65">
        <f>IF(AP83="",100%,0%)</f>
        <v/>
      </c>
      <c r="AX83" s="23" t="n"/>
      <c r="AY83" s="24">
        <f>IF(M83=0,"",M83-$AX$2)</f>
        <v/>
      </c>
      <c r="AZ83" s="66">
        <f>IF(AND(W83="",AY83&gt;0,AY83&lt;15),1,0)</f>
        <v/>
      </c>
      <c r="BA83" s="24">
        <f>IF(AND(W83="",AY83&gt;0,AY83&lt;15),T83,"")</f>
        <v/>
      </c>
      <c r="BB83" s="87">
        <f>IF(R83&lt;Q83,"X","")</f>
        <v/>
      </c>
      <c r="BC83" s="190" t="inlineStr">
        <is>
          <t>NO</t>
        </is>
      </c>
      <c r="BD83" s="190" t="inlineStr">
        <is>
          <t>NO</t>
        </is>
      </c>
    </row>
    <row r="84" ht="15" customHeight="1" s="162">
      <c r="A84" s="7" t="n">
        <v>83</v>
      </c>
      <c r="B84" t="inlineStr">
        <is>
          <t>39121432</t>
        </is>
      </c>
      <c r="C84" t="inlineStr">
        <is>
          <t>Puntera hueca de crimpado RS PRO, Pin de</t>
        </is>
      </c>
      <c r="D84" t="inlineStr">
        <is>
          <t>1101791120</t>
        </is>
      </c>
      <c r="E84" t="inlineStr">
        <is>
          <t>3</t>
        </is>
      </c>
      <c r="F84" s="163" t="n">
        <v>45573</v>
      </c>
      <c r="G84" t="inlineStr"/>
      <c r="H84" t="inlineStr">
        <is>
          <t>4800002684</t>
        </is>
      </c>
      <c r="I84" t="inlineStr">
        <is>
          <t>650</t>
        </is>
      </c>
      <c r="J84" s="163" t="n">
        <v>45572</v>
      </c>
      <c r="K84" s="163" t="inlineStr"/>
      <c r="L84" t="inlineStr"/>
      <c r="M84" s="163" t="n">
        <v>45574</v>
      </c>
      <c r="N84" s="164" t="n">
        <v>0</v>
      </c>
      <c r="O84" s="164" t="n">
        <v>0</v>
      </c>
      <c r="P84" t="inlineStr"/>
      <c r="Q84" s="165" t="n">
        <v>100</v>
      </c>
      <c r="R84" s="165" t="n">
        <v>100</v>
      </c>
      <c r="S84" s="165" t="n">
        <v>100</v>
      </c>
      <c r="T84" s="165" t="n">
        <v>0</v>
      </c>
      <c r="U84" s="166" t="n">
        <v>0</v>
      </c>
      <c r="V84" s="166" t="n">
        <v>0</v>
      </c>
      <c r="W84" t="inlineStr">
        <is>
          <t>X</t>
        </is>
      </c>
      <c r="X84" t="inlineStr">
        <is>
          <t>0.00</t>
        </is>
      </c>
      <c r="Y84" t="inlineStr"/>
      <c r="Z84" t="inlineStr">
        <is>
          <t>AMIDATA, S.A.</t>
        </is>
      </c>
      <c r="AA84" t="inlineStr"/>
      <c r="AB84" t="inlineStr">
        <is>
          <t>2114280</t>
        </is>
      </c>
      <c r="AC84" t="inlineStr"/>
      <c r="AD84" s="164" t="n">
        <v>0</v>
      </c>
      <c r="AE84" s="185" t="n">
        <v>0</v>
      </c>
      <c r="AG84" s="167" t="inlineStr">
        <is>
          <t>7218|JA2593_1001</t>
        </is>
      </c>
      <c r="AH84" s="46">
        <f>IF(M84=0,"-",M84-J84)</f>
        <v/>
      </c>
      <c r="AI84" s="46">
        <f>IF(AND(S84=0,M84&gt;0,L84=0),IF(AH84&gt;=120,"VERY HIGH",IF(AH84&gt;=90,"HIGH",IF(AH84&gt;=60,"MEDIUM",IF(AH84&lt;60,"LOW")))),"-")</f>
        <v/>
      </c>
      <c r="AJ84" s="12" t="n"/>
      <c r="AK84" s="41">
        <f>IF(AND(W84="X",M84&lt;=$AJ$2),"YES","")</f>
        <v/>
      </c>
      <c r="AL84" s="38">
        <f>IF(AND(W84="X",M84&lt;=$AJ$2),S84,"")</f>
        <v/>
      </c>
      <c r="AM84" s="26">
        <f>IF(AND(W84="X",M84&gt;$AJ$2),"YES","")</f>
        <v/>
      </c>
      <c r="AN84" s="89">
        <f>IF(AND(W84="X",M84&gt;$AJ$2),S84,"")</f>
        <v/>
      </c>
      <c r="AO84" s="35">
        <f>IF(AND(W84="",M84&gt;0,$AJ$2&gt;M84,L84=""),1,0)</f>
        <v/>
      </c>
      <c r="AP84" s="26">
        <f>IF(AND(AK84="YES",W84="X"),"X","")</f>
        <v/>
      </c>
      <c r="AQ84" s="28">
        <f>IF(AP84="X",100%,0%)</f>
        <v/>
      </c>
      <c r="AR84" s="25">
        <f>IF(AND(T84&gt;0,L84=""),H84,"")</f>
        <v/>
      </c>
      <c r="AS84" s="25">
        <f>IF(AND(D84&gt;0,H84=0,G84=""),1,"")</f>
        <v/>
      </c>
      <c r="AT84" s="25">
        <f>IF(G84="BLOQ",1,"")</f>
        <v/>
      </c>
      <c r="AU84" s="25">
        <f>IF(L84="BLOQ",1,"")</f>
        <v/>
      </c>
      <c r="AV84" s="25">
        <f>MONTH(F84)</f>
        <v/>
      </c>
      <c r="AW84" s="65">
        <f>IF(AP84="",100%,0%)</f>
        <v/>
      </c>
      <c r="AX84" s="23" t="n"/>
      <c r="AY84" s="24">
        <f>IF(M84=0,"",M84-$AX$2)</f>
        <v/>
      </c>
      <c r="AZ84" s="66">
        <f>IF(AND(W84="",AY84&gt;0,AY84&lt;15),1,0)</f>
        <v/>
      </c>
      <c r="BA84" s="24">
        <f>IF(AND(W84="",AY84&gt;0,AY84&lt;15),T84,"")</f>
        <v/>
      </c>
      <c r="BB84" s="87">
        <f>IF(R84&lt;Q84,"X","")</f>
        <v/>
      </c>
      <c r="BC84" s="190" t="inlineStr">
        <is>
          <t>NO</t>
        </is>
      </c>
      <c r="BD84" s="190" t="inlineStr">
        <is>
          <t>NO</t>
        </is>
      </c>
    </row>
    <row r="85" ht="15" customHeight="1" s="162">
      <c r="A85" s="7" t="n">
        <v>84</v>
      </c>
      <c r="B85" t="inlineStr">
        <is>
          <t>26121522</t>
        </is>
      </c>
      <c r="C85" t="inlineStr">
        <is>
          <t>Cable para Entornos Hostiles TE Connecti</t>
        </is>
      </c>
      <c r="D85" t="inlineStr">
        <is>
          <t>1101791858</t>
        </is>
      </c>
      <c r="E85" t="inlineStr">
        <is>
          <t>1</t>
        </is>
      </c>
      <c r="F85" s="163" t="n">
        <v>45575</v>
      </c>
      <c r="G85" t="inlineStr"/>
      <c r="H85" t="inlineStr">
        <is>
          <t>4800002684</t>
        </is>
      </c>
      <c r="I85" t="inlineStr">
        <is>
          <t>2430</t>
        </is>
      </c>
      <c r="J85" s="163" t="n">
        <v>45572</v>
      </c>
      <c r="K85" s="163" t="inlineStr"/>
      <c r="L85" t="inlineStr"/>
      <c r="M85" s="163" t="n">
        <v>45576</v>
      </c>
      <c r="N85" s="164" t="n">
        <v>0</v>
      </c>
      <c r="O85" s="164" t="n">
        <v>0</v>
      </c>
      <c r="P85" t="inlineStr"/>
      <c r="Q85" s="165" t="n">
        <v>2</v>
      </c>
      <c r="R85" s="165" t="n">
        <v>2</v>
      </c>
      <c r="S85" s="165" t="n">
        <v>2</v>
      </c>
      <c r="T85" s="165" t="n">
        <v>0</v>
      </c>
      <c r="U85" s="166" t="n">
        <v>0</v>
      </c>
      <c r="V85" s="166" t="n">
        <v>0</v>
      </c>
      <c r="W85" t="inlineStr">
        <is>
          <t>X</t>
        </is>
      </c>
      <c r="X85" t="inlineStr">
        <is>
          <t>0.00</t>
        </is>
      </c>
      <c r="Y85" t="inlineStr"/>
      <c r="Z85" t="inlineStr">
        <is>
          <t>AMIDATA, S.A.</t>
        </is>
      </c>
      <c r="AA85" t="inlineStr"/>
      <c r="AB85" t="inlineStr">
        <is>
          <t>2291472</t>
        </is>
      </c>
      <c r="AC85" t="inlineStr"/>
      <c r="AD85" s="164" t="n">
        <v>0</v>
      </c>
      <c r="AE85" s="185" t="n">
        <v>0</v>
      </c>
      <c r="AG85" s="167" t="inlineStr">
        <is>
          <t>7218|JA2593_1001</t>
        </is>
      </c>
      <c r="AH85" s="46">
        <f>IF(M85=0,"-",M85-J85)</f>
        <v/>
      </c>
      <c r="AI85" s="46">
        <f>IF(AND(S85=0,M85&gt;0,L85=0),IF(AH85&gt;=120,"VERY HIGH",IF(AH85&gt;=90,"HIGH",IF(AH85&gt;=60,"MEDIUM",IF(AH85&lt;60,"LOW")))),"-")</f>
        <v/>
      </c>
      <c r="AJ85" s="12" t="n"/>
      <c r="AK85" s="41">
        <f>IF(AND(W85="X",M85&lt;=$AJ$2),"YES","")</f>
        <v/>
      </c>
      <c r="AL85" s="38">
        <f>IF(AND(W85="X",M85&lt;=$AJ$2),S85,"")</f>
        <v/>
      </c>
      <c r="AM85" s="26">
        <f>IF(AND(W85="X",M85&gt;$AJ$2),"YES","")</f>
        <v/>
      </c>
      <c r="AN85" s="89">
        <f>IF(AND(W85="X",M85&gt;$AJ$2),S85,"")</f>
        <v/>
      </c>
      <c r="AO85" s="35">
        <f>IF(AND(W85="",M85&gt;0,$AJ$2&gt;M85,L85=""),1,0)</f>
        <v/>
      </c>
      <c r="AP85" s="26">
        <f>IF(AND(AK85="YES",W85="X"),"X","")</f>
        <v/>
      </c>
      <c r="AQ85" s="28">
        <f>IF(AP85="X",100%,0%)</f>
        <v/>
      </c>
      <c r="AR85" s="25">
        <f>IF(AND(T85&gt;0,L85=""),H85,"")</f>
        <v/>
      </c>
      <c r="AS85" s="25">
        <f>IF(AND(D85&gt;0,H85=0,G85=""),1,"")</f>
        <v/>
      </c>
      <c r="AT85" s="25">
        <f>IF(G85="BLOQ",1,"")</f>
        <v/>
      </c>
      <c r="AU85" s="25">
        <f>IF(L85="BLOQ",1,"")</f>
        <v/>
      </c>
      <c r="AV85" s="25">
        <f>MONTH(F85)</f>
        <v/>
      </c>
      <c r="AW85" s="65">
        <f>IF(AP85="",100%,0%)</f>
        <v/>
      </c>
      <c r="AX85" s="23" t="n"/>
      <c r="AY85" s="24">
        <f>IF(M85=0,"",M85-$AX$2)</f>
        <v/>
      </c>
      <c r="AZ85" s="66">
        <f>IF(AND(W85="",AY85&gt;0,AY85&lt;15),1,0)</f>
        <v/>
      </c>
      <c r="BA85" s="24">
        <f>IF(AND(W85="",AY85&gt;0,AY85&lt;15),T85,"")</f>
        <v/>
      </c>
      <c r="BB85" s="87">
        <f>IF(R85&lt;Q85,"X","")</f>
        <v/>
      </c>
      <c r="BC85" s="190" t="inlineStr">
        <is>
          <t>NO</t>
        </is>
      </c>
      <c r="BD85" s="190" t="inlineStr">
        <is>
          <t>NO</t>
        </is>
      </c>
    </row>
    <row r="86" ht="15" customHeight="1" s="162">
      <c r="A86" s="7" t="n">
        <v>85</v>
      </c>
      <c r="B86" t="inlineStr">
        <is>
          <t>32000000</t>
        </is>
      </c>
      <c r="C86" t="inlineStr">
        <is>
          <t>Cabezal de pulsador Schneider Electric s</t>
        </is>
      </c>
      <c r="D86" t="inlineStr">
        <is>
          <t>1101792080</t>
        </is>
      </c>
      <c r="E86" t="inlineStr">
        <is>
          <t>1</t>
        </is>
      </c>
      <c r="F86" s="163" t="n">
        <v>45575</v>
      </c>
      <c r="G86" t="inlineStr"/>
      <c r="H86" t="inlineStr">
        <is>
          <t>4800002684</t>
        </is>
      </c>
      <c r="I86" t="inlineStr">
        <is>
          <t>3030</t>
        </is>
      </c>
      <c r="J86" s="163" t="n">
        <v>45572</v>
      </c>
      <c r="K86" s="163" t="inlineStr"/>
      <c r="L86" t="inlineStr"/>
      <c r="M86" s="163" t="n">
        <v>45576</v>
      </c>
      <c r="N86" s="164" t="n">
        <v>0</v>
      </c>
      <c r="O86" s="164" t="n">
        <v>0</v>
      </c>
      <c r="P86" t="inlineStr"/>
      <c r="Q86" s="165" t="n">
        <v>1</v>
      </c>
      <c r="R86" s="165" t="n">
        <v>1</v>
      </c>
      <c r="S86" s="165" t="n">
        <v>1</v>
      </c>
      <c r="T86" s="165" t="n">
        <v>0</v>
      </c>
      <c r="U86" s="166" t="n">
        <v>0</v>
      </c>
      <c r="V86" s="166" t="n">
        <v>0</v>
      </c>
      <c r="W86" t="inlineStr">
        <is>
          <t>X</t>
        </is>
      </c>
      <c r="X86" t="inlineStr">
        <is>
          <t>0.00</t>
        </is>
      </c>
      <c r="Y86" t="inlineStr"/>
      <c r="Z86" t="inlineStr">
        <is>
          <t>AMIDATA, S.A.</t>
        </is>
      </c>
      <c r="AA86" t="inlineStr"/>
      <c r="AB86" t="inlineStr">
        <is>
          <t>2762926</t>
        </is>
      </c>
      <c r="AC86" t="inlineStr"/>
      <c r="AD86" s="164" t="n">
        <v>0</v>
      </c>
      <c r="AE86" s="185" t="n">
        <v>0</v>
      </c>
      <c r="AG86" s="167" t="inlineStr">
        <is>
          <t>7218|JA2594_1001</t>
        </is>
      </c>
      <c r="AH86" s="46">
        <f>IF(M86=0,"-",M86-J86)</f>
        <v/>
      </c>
      <c r="AI86" s="46">
        <f>IF(AND(S86=0,M86&gt;0,L86=0),IF(AH86&gt;=120,"VERY HIGH",IF(AH86&gt;=90,"HIGH",IF(AH86&gt;=60,"MEDIUM",IF(AH86&lt;60,"LOW")))),"-")</f>
        <v/>
      </c>
      <c r="AJ86" s="12" t="n"/>
      <c r="AK86" s="41">
        <f>IF(AND(W86="X",M86&lt;=$AJ$2),"YES","")</f>
        <v/>
      </c>
      <c r="AL86" s="38">
        <f>IF(AND(W86="X",M86&lt;=$AJ$2),S86,"")</f>
        <v/>
      </c>
      <c r="AM86" s="26">
        <f>IF(AND(W86="X",M86&gt;$AJ$2),"YES","")</f>
        <v/>
      </c>
      <c r="AN86" s="89">
        <f>IF(AND(W86="X",M86&gt;$AJ$2),S86,"")</f>
        <v/>
      </c>
      <c r="AO86" s="35">
        <f>IF(AND(W86="",M86&gt;0,$AJ$2&gt;M86,L86=""),1,0)</f>
        <v/>
      </c>
      <c r="AP86" s="26">
        <f>IF(AND(AK86="YES",W86="X"),"X","")</f>
        <v/>
      </c>
      <c r="AQ86" s="28">
        <f>IF(AP86="X",100%,0%)</f>
        <v/>
      </c>
      <c r="AR86" s="25">
        <f>IF(AND(T86&gt;0,L86=""),H86,"")</f>
        <v/>
      </c>
      <c r="AS86" s="25">
        <f>IF(AND(D86&gt;0,H86=0,G86=""),1,"")</f>
        <v/>
      </c>
      <c r="AT86" s="25">
        <f>IF(G86="BLOQ",1,"")</f>
        <v/>
      </c>
      <c r="AU86" s="25">
        <f>IF(L86="BLOQ",1,"")</f>
        <v/>
      </c>
      <c r="AV86" s="25">
        <f>MONTH(F86)</f>
        <v/>
      </c>
      <c r="AW86" s="65">
        <f>IF(AP86="",100%,0%)</f>
        <v/>
      </c>
      <c r="AX86" s="23" t="n"/>
      <c r="AY86" s="24">
        <f>IF(M86=0,"",M86-$AX$2)</f>
        <v/>
      </c>
      <c r="AZ86" s="66">
        <f>IF(AND(W86="",AY86&gt;0,AY86&lt;15),1,0)</f>
        <v/>
      </c>
      <c r="BA86" s="24">
        <f>IF(AND(W86="",AY86&gt;0,AY86&lt;15),T86,"")</f>
        <v/>
      </c>
      <c r="BB86" s="87">
        <f>IF(R86&lt;Q86,"X","")</f>
        <v/>
      </c>
      <c r="BC86" s="190" t="inlineStr">
        <is>
          <t>NO</t>
        </is>
      </c>
      <c r="BD86" s="190" t="inlineStr">
        <is>
          <t>NO</t>
        </is>
      </c>
    </row>
    <row r="87" ht="15" customHeight="1" s="162">
      <c r="A87" s="7" t="n">
        <v>86</v>
      </c>
      <c r="B87" t="inlineStr">
        <is>
          <t>39121432</t>
        </is>
      </c>
      <c r="C87" t="inlineStr">
        <is>
          <t>Contacto para conector circular Amphenol</t>
        </is>
      </c>
      <c r="D87" t="inlineStr">
        <is>
          <t>1101792134</t>
        </is>
      </c>
      <c r="E87" t="inlineStr">
        <is>
          <t>1</t>
        </is>
      </c>
      <c r="F87" s="163" t="n">
        <v>45575</v>
      </c>
      <c r="G87" t="inlineStr"/>
      <c r="H87" t="inlineStr">
        <is>
          <t>4800002684</t>
        </is>
      </c>
      <c r="I87" t="inlineStr">
        <is>
          <t>3240</t>
        </is>
      </c>
      <c r="J87" s="163" t="n">
        <v>45572</v>
      </c>
      <c r="K87" s="163" t="inlineStr"/>
      <c r="L87" t="inlineStr"/>
      <c r="M87" s="163" t="n">
        <v>45576</v>
      </c>
      <c r="N87" s="164" t="n">
        <v>0</v>
      </c>
      <c r="O87" s="164" t="n">
        <v>0</v>
      </c>
      <c r="P87" t="inlineStr"/>
      <c r="Q87" s="165" t="n">
        <v>200</v>
      </c>
      <c r="R87" s="165" t="n">
        <v>200</v>
      </c>
      <c r="S87" s="165" t="n">
        <v>200</v>
      </c>
      <c r="T87" s="165" t="n">
        <v>0</v>
      </c>
      <c r="U87" s="166" t="n">
        <v>0</v>
      </c>
      <c r="V87" s="166" t="n">
        <v>0</v>
      </c>
      <c r="W87" t="inlineStr">
        <is>
          <t>X</t>
        </is>
      </c>
      <c r="X87" t="inlineStr">
        <is>
          <t>0.00</t>
        </is>
      </c>
      <c r="Y87" t="inlineStr"/>
      <c r="Z87" t="inlineStr">
        <is>
          <t>AMIDATA, S.A.</t>
        </is>
      </c>
      <c r="AA87" t="inlineStr"/>
      <c r="AB87" t="inlineStr">
        <is>
          <t>7620670</t>
        </is>
      </c>
      <c r="AC87" t="inlineStr"/>
      <c r="AD87" s="164" t="n">
        <v>0</v>
      </c>
      <c r="AE87" s="185" t="n">
        <v>0</v>
      </c>
      <c r="AG87" s="167" t="inlineStr">
        <is>
          <t>7218|JA2593_1001</t>
        </is>
      </c>
      <c r="AH87" s="46">
        <f>IF(M87=0,"-",M87-J87)</f>
        <v/>
      </c>
      <c r="AI87" s="46">
        <f>IF(AND(S87=0,M87&gt;0,L87=0),IF(AH87&gt;=120,"VERY HIGH",IF(AH87&gt;=90,"HIGH",IF(AH87&gt;=60,"MEDIUM",IF(AH87&lt;60,"LOW")))),"-")</f>
        <v/>
      </c>
      <c r="AJ87" s="12" t="n"/>
      <c r="AK87" s="41">
        <f>IF(AND(W87="X",M87&lt;=$AJ$2),"YES","")</f>
        <v/>
      </c>
      <c r="AL87" s="38">
        <f>IF(AND(W87="X",M87&lt;=$AJ$2),S87,"")</f>
        <v/>
      </c>
      <c r="AM87" s="26">
        <f>IF(AND(W87="X",M87&gt;$AJ$2),"YES","")</f>
        <v/>
      </c>
      <c r="AN87" s="89">
        <f>IF(AND(W87="X",M87&gt;$AJ$2),S87,"")</f>
        <v/>
      </c>
      <c r="AO87" s="35">
        <f>IF(AND(W87="",M87&gt;0,$AJ$2&gt;M87,L87=""),1,0)</f>
        <v/>
      </c>
      <c r="AP87" s="26">
        <f>IF(AND(AK87="YES",W87="X"),"X","")</f>
        <v/>
      </c>
      <c r="AQ87" s="28">
        <f>IF(AP87="X",100%,0%)</f>
        <v/>
      </c>
      <c r="AR87" s="25">
        <f>IF(AND(T87&gt;0,L87=""),H87,"")</f>
        <v/>
      </c>
      <c r="AS87" s="25">
        <f>IF(AND(D87&gt;0,H87=0,G87=""),1,"")</f>
        <v/>
      </c>
      <c r="AT87" s="25">
        <f>IF(G87="BLOQ",1,"")</f>
        <v/>
      </c>
      <c r="AU87" s="25">
        <f>IF(L87="BLOQ",1,"")</f>
        <v/>
      </c>
      <c r="AV87" s="25">
        <f>MONTH(F87)</f>
        <v/>
      </c>
      <c r="AW87" s="65">
        <f>IF(AP87="",100%,0%)</f>
        <v/>
      </c>
      <c r="AX87" s="23" t="n"/>
      <c r="AY87" s="24">
        <f>IF(M87=0,"",M87-$AX$2)</f>
        <v/>
      </c>
      <c r="AZ87" s="66">
        <f>IF(AND(W87="",AY87&gt;0,AY87&lt;15),1,0)</f>
        <v/>
      </c>
      <c r="BA87" s="24">
        <f>IF(AND(W87="",AY87&gt;0,AY87&lt;15),T87,"")</f>
        <v/>
      </c>
      <c r="BB87" s="87">
        <f>IF(R87&lt;Q87,"X","")</f>
        <v/>
      </c>
      <c r="BC87" s="190" t="inlineStr">
        <is>
          <t>NO</t>
        </is>
      </c>
      <c r="BD87" s="190" t="inlineStr">
        <is>
          <t>NO</t>
        </is>
      </c>
    </row>
    <row r="88" ht="15" customHeight="1" s="162">
      <c r="A88" s="7" t="n">
        <v>87</v>
      </c>
      <c r="B88" t="inlineStr">
        <is>
          <t>39112102</t>
        </is>
      </c>
      <c r="C88" t="inlineStr">
        <is>
          <t>LED Kingbright, Azul, 465 nm, Vf= 3.3 V,</t>
        </is>
      </c>
      <c r="D88" t="inlineStr">
        <is>
          <t>1101792163</t>
        </is>
      </c>
      <c r="E88" t="inlineStr">
        <is>
          <t>1</t>
        </is>
      </c>
      <c r="F88" s="163" t="n">
        <v>45575</v>
      </c>
      <c r="G88" t="inlineStr"/>
      <c r="H88" t="inlineStr">
        <is>
          <t>4800002684</t>
        </is>
      </c>
      <c r="I88" t="inlineStr">
        <is>
          <t>3270</t>
        </is>
      </c>
      <c r="J88" s="163" t="n">
        <v>45572</v>
      </c>
      <c r="K88" s="163" t="inlineStr"/>
      <c r="L88" t="inlineStr"/>
      <c r="M88" s="163" t="n">
        <v>45576</v>
      </c>
      <c r="N88" s="164" t="n">
        <v>0</v>
      </c>
      <c r="O88" s="164" t="n">
        <v>0</v>
      </c>
      <c r="P88" t="inlineStr"/>
      <c r="Q88" s="165" t="n">
        <v>5</v>
      </c>
      <c r="R88" s="165" t="n">
        <v>5</v>
      </c>
      <c r="S88" s="165" t="n">
        <v>5</v>
      </c>
      <c r="T88" s="165" t="n">
        <v>0</v>
      </c>
      <c r="U88" s="166" t="n">
        <v>0</v>
      </c>
      <c r="V88" s="166" t="n">
        <v>0</v>
      </c>
      <c r="W88" t="inlineStr">
        <is>
          <t>X</t>
        </is>
      </c>
      <c r="X88" t="inlineStr">
        <is>
          <t>0.00</t>
        </is>
      </c>
      <c r="Y88" t="inlineStr"/>
      <c r="Z88" t="inlineStr">
        <is>
          <t>AMIDATA, S.A.</t>
        </is>
      </c>
      <c r="AA88" t="inlineStr"/>
      <c r="AB88" t="inlineStr">
        <is>
          <t>4663548</t>
        </is>
      </c>
      <c r="AC88" t="inlineStr"/>
      <c r="AD88" s="164" t="n">
        <v>0</v>
      </c>
      <c r="AE88" s="185" t="n">
        <v>0</v>
      </c>
      <c r="AG88" s="167" t="inlineStr">
        <is>
          <t>7218|JA2593_1001</t>
        </is>
      </c>
      <c r="AH88" s="46">
        <f>IF(M88=0,"-",M88-J88)</f>
        <v/>
      </c>
      <c r="AI88" s="46">
        <f>IF(AND(S88=0,M88&gt;0,L88=0),IF(AH88&gt;=120,"VERY HIGH",IF(AH88&gt;=90,"HIGH",IF(AH88&gt;=60,"MEDIUM",IF(AH88&lt;60,"LOW")))),"-")</f>
        <v/>
      </c>
      <c r="AJ88" s="12" t="n"/>
      <c r="AK88" s="41">
        <f>IF(AND(W88="X",M88&lt;=$AJ$2),"YES","")</f>
        <v/>
      </c>
      <c r="AL88" s="38">
        <f>IF(AND(W88="X",M88&lt;=$AJ$2),S88,"")</f>
        <v/>
      </c>
      <c r="AM88" s="26">
        <f>IF(AND(W88="X",M88&gt;$AJ$2),"YES","")</f>
        <v/>
      </c>
      <c r="AN88" s="89">
        <f>IF(AND(W88="X",M88&gt;$AJ$2),S88,"")</f>
        <v/>
      </c>
      <c r="AO88" s="35">
        <f>IF(AND(W88="",M88&gt;0,$AJ$2&gt;M88,L88=""),1,0)</f>
        <v/>
      </c>
      <c r="AP88" s="26">
        <f>IF(AND(AK88="YES",W88="X"),"X","")</f>
        <v/>
      </c>
      <c r="AQ88" s="28">
        <f>IF(AP88="X",100%,0%)</f>
        <v/>
      </c>
      <c r="AR88" s="25">
        <f>IF(AND(T88&gt;0,L88=""),H88,"")</f>
        <v/>
      </c>
      <c r="AS88" s="25">
        <f>IF(AND(D88&gt;0,H88=0,G88=""),1,"")</f>
        <v/>
      </c>
      <c r="AT88" s="25">
        <f>IF(G88="BLOQ",1,"")</f>
        <v/>
      </c>
      <c r="AU88" s="25">
        <f>IF(L88="BLOQ",1,"")</f>
        <v/>
      </c>
      <c r="AV88" s="25">
        <f>MONTH(F88)</f>
        <v/>
      </c>
      <c r="AW88" s="65">
        <f>IF(AP88="",100%,0%)</f>
        <v/>
      </c>
      <c r="AX88" s="23" t="n"/>
      <c r="AY88" s="24">
        <f>IF(M88=0,"",M88-$AX$2)</f>
        <v/>
      </c>
      <c r="AZ88" s="66">
        <f>IF(AND(W88="",AY88&gt;0,AY88&lt;15),1,0)</f>
        <v/>
      </c>
      <c r="BA88" s="24">
        <f>IF(AND(W88="",AY88&gt;0,AY88&lt;15),T88,"")</f>
        <v/>
      </c>
      <c r="BB88" s="87">
        <f>IF(R88&lt;Q88,"X","")</f>
        <v/>
      </c>
      <c r="BC88" s="190" t="inlineStr">
        <is>
          <t>NO</t>
        </is>
      </c>
      <c r="BD88" s="190" t="inlineStr">
        <is>
          <t>NO</t>
        </is>
      </c>
    </row>
    <row r="89" ht="15" customHeight="1" s="162">
      <c r="A89" s="7" t="n">
        <v>88</v>
      </c>
      <c r="B89" t="inlineStr">
        <is>
          <t>32111503</t>
        </is>
      </c>
      <c r="C89" t="inlineStr">
        <is>
          <t>LED Nichia, Blanco, Vf= 3,2 V, 65 &amp;#176;</t>
        </is>
      </c>
      <c r="D89" t="inlineStr">
        <is>
          <t>1101792163</t>
        </is>
      </c>
      <c r="E89" t="inlineStr">
        <is>
          <t>2</t>
        </is>
      </c>
      <c r="F89" s="163" t="n">
        <v>45575</v>
      </c>
      <c r="G89" t="inlineStr"/>
      <c r="H89" t="inlineStr">
        <is>
          <t>4800002684</t>
        </is>
      </c>
      <c r="I89" t="inlineStr">
        <is>
          <t>3280</t>
        </is>
      </c>
      <c r="J89" s="163" t="n">
        <v>45572</v>
      </c>
      <c r="K89" s="163" t="inlineStr"/>
      <c r="L89" t="inlineStr"/>
      <c r="M89" s="163" t="n">
        <v>45576</v>
      </c>
      <c r="N89" s="164" t="n">
        <v>0</v>
      </c>
      <c r="O89" s="164" t="n">
        <v>0</v>
      </c>
      <c r="P89" t="inlineStr"/>
      <c r="Q89" s="165" t="n">
        <v>5</v>
      </c>
      <c r="R89" s="165" t="n">
        <v>5</v>
      </c>
      <c r="S89" s="165" t="n">
        <v>5</v>
      </c>
      <c r="T89" s="165" t="n">
        <v>0</v>
      </c>
      <c r="U89" s="166" t="n">
        <v>0</v>
      </c>
      <c r="V89" s="166" t="n">
        <v>0</v>
      </c>
      <c r="W89" t="inlineStr">
        <is>
          <t>X</t>
        </is>
      </c>
      <c r="X89" t="inlineStr">
        <is>
          <t>0.00</t>
        </is>
      </c>
      <c r="Y89" t="inlineStr"/>
      <c r="Z89" t="inlineStr">
        <is>
          <t>AMIDATA, S.A.</t>
        </is>
      </c>
      <c r="AA89" t="inlineStr"/>
      <c r="AB89" t="inlineStr">
        <is>
          <t>7133974</t>
        </is>
      </c>
      <c r="AC89" t="inlineStr"/>
      <c r="AD89" s="164" t="n">
        <v>0</v>
      </c>
      <c r="AE89" s="185" t="n">
        <v>0</v>
      </c>
      <c r="AG89" s="167" t="inlineStr">
        <is>
          <t>7218|JA2593_1001</t>
        </is>
      </c>
      <c r="AH89" s="46">
        <f>IF(M89=0,"-",M89-J89)</f>
        <v/>
      </c>
      <c r="AI89" s="46">
        <f>IF(AND(S89=0,M89&gt;0,L89=0),IF(AH89&gt;=120,"VERY HIGH",IF(AH89&gt;=90,"HIGH",IF(AH89&gt;=60,"MEDIUM",IF(AH89&lt;60,"LOW")))),"-")</f>
        <v/>
      </c>
      <c r="AJ89" s="12" t="n"/>
      <c r="AK89" s="41">
        <f>IF(AND(W89="X",M89&lt;=$AJ$2),"YES","")</f>
        <v/>
      </c>
      <c r="AL89" s="38">
        <f>IF(AND(W89="X",M89&lt;=$AJ$2),S89,"")</f>
        <v/>
      </c>
      <c r="AM89" s="26">
        <f>IF(AND(W89="X",M89&gt;$AJ$2),"YES","")</f>
        <v/>
      </c>
      <c r="AN89" s="89">
        <f>IF(AND(W89="X",M89&gt;$AJ$2),S89,"")</f>
        <v/>
      </c>
      <c r="AO89" s="35">
        <f>IF(AND(W89="",M89&gt;0,$AJ$2&gt;M89,L89=""),1,0)</f>
        <v/>
      </c>
      <c r="AP89" s="26">
        <f>IF(AND(AK89="YES",W89="X"),"X","")</f>
        <v/>
      </c>
      <c r="AQ89" s="28">
        <f>IF(AP89="X",100%,0%)</f>
        <v/>
      </c>
      <c r="AR89" s="25">
        <f>IF(AND(T89&gt;0,L89=""),H89,"")</f>
        <v/>
      </c>
      <c r="AS89" s="25">
        <f>IF(AND(D89&gt;0,H89=0,G89=""),1,"")</f>
        <v/>
      </c>
      <c r="AT89" s="25">
        <f>IF(G89="BLOQ",1,"")</f>
        <v/>
      </c>
      <c r="AU89" s="25">
        <f>IF(L89="BLOQ",1,"")</f>
        <v/>
      </c>
      <c r="AV89" s="25">
        <f>MONTH(F89)</f>
        <v/>
      </c>
      <c r="AW89" s="65">
        <f>IF(AP89="",100%,0%)</f>
        <v/>
      </c>
      <c r="AX89" s="23" t="n"/>
      <c r="AY89" s="24">
        <f>IF(M89=0,"",M89-$AX$2)</f>
        <v/>
      </c>
      <c r="AZ89" s="66">
        <f>IF(AND(W89="",AY89&gt;0,AY89&lt;15),1,0)</f>
        <v/>
      </c>
      <c r="BA89" s="24">
        <f>IF(AND(W89="",AY89&gt;0,AY89&lt;15),T89,"")</f>
        <v/>
      </c>
      <c r="BB89" s="87">
        <f>IF(R89&lt;Q89,"X","")</f>
        <v/>
      </c>
      <c r="BC89" s="190" t="inlineStr">
        <is>
          <t>NO</t>
        </is>
      </c>
      <c r="BD89" s="190" t="inlineStr">
        <is>
          <t>NO</t>
        </is>
      </c>
    </row>
    <row r="90" ht="15" customHeight="1" s="162">
      <c r="A90" s="7" t="n">
        <v>89</v>
      </c>
      <c r="B90" t="inlineStr"/>
      <c r="C90" t="inlineStr">
        <is>
          <t>MONTAJE SIMULADOR A320</t>
        </is>
      </c>
      <c r="D90" t="inlineStr">
        <is>
          <t>1101792892</t>
        </is>
      </c>
      <c r="E90" t="inlineStr">
        <is>
          <t>1</t>
        </is>
      </c>
      <c r="F90" s="163" t="n">
        <v>45579</v>
      </c>
      <c r="G90" t="inlineStr"/>
      <c r="H90" t="inlineStr">
        <is>
          <t>4300334654</t>
        </is>
      </c>
      <c r="I90" t="inlineStr">
        <is>
          <t>10</t>
        </is>
      </c>
      <c r="J90" s="163" t="n">
        <v>45600</v>
      </c>
      <c r="K90" s="163" t="n">
        <v>45600</v>
      </c>
      <c r="L90" t="inlineStr"/>
      <c r="M90" s="163" t="n">
        <v>45602</v>
      </c>
      <c r="N90" s="164" t="n">
        <v>0</v>
      </c>
      <c r="O90" s="164" t="n">
        <v>0</v>
      </c>
      <c r="P90" t="inlineStr">
        <is>
          <t>Liberado</t>
        </is>
      </c>
      <c r="Q90" s="166" t="n">
        <v>1</v>
      </c>
      <c r="R90" s="164" t="n">
        <v>1</v>
      </c>
      <c r="S90" s="164" t="n">
        <v>0</v>
      </c>
      <c r="T90" s="164" t="n">
        <v>0</v>
      </c>
      <c r="U90" s="166" t="n">
        <v>0</v>
      </c>
      <c r="V90" s="166" t="n">
        <v>0</v>
      </c>
      <c r="W90" t="inlineStr">
        <is>
          <t>X</t>
        </is>
      </c>
      <c r="X90" t="inlineStr">
        <is>
          <t>0.00</t>
        </is>
      </c>
      <c r="Y90" t="inlineStr"/>
      <c r="Z90" t="inlineStr">
        <is>
          <t>AUXITEL, S.L.</t>
        </is>
      </c>
      <c r="AA90" t="inlineStr"/>
      <c r="AB90" t="inlineStr"/>
      <c r="AC90" t="inlineStr"/>
      <c r="AD90" s="164" t="n">
        <v>0</v>
      </c>
      <c r="AE90" s="185" t="n">
        <v>0</v>
      </c>
      <c r="AG90" s="167" t="inlineStr">
        <is>
          <t>7218|JA2593_1001</t>
        </is>
      </c>
      <c r="AH90" s="46">
        <f>IF(M90=0,"-",M90-J90)</f>
        <v/>
      </c>
      <c r="AI90" s="46">
        <f>IF(AND(S90=0,M90&gt;0,L90=0),IF(AH90&gt;=120,"VERY HIGH",IF(AH90&gt;=90,"HIGH",IF(AH90&gt;=60,"MEDIUM",IF(AH90&lt;60,"LOW")))),"-")</f>
        <v/>
      </c>
      <c r="AJ90" s="12" t="n"/>
      <c r="AK90" s="41">
        <f>IF(AND(W90="X",M90&lt;=$AJ$2),"YES","")</f>
        <v/>
      </c>
      <c r="AL90" s="38">
        <f>IF(AND(W90="X",M90&lt;=$AJ$2),S90,"")</f>
        <v/>
      </c>
      <c r="AM90" s="26">
        <f>IF(AND(W90="X",M90&gt;$AJ$2),"YES","")</f>
        <v/>
      </c>
      <c r="AN90" s="89">
        <f>IF(AND(W90="X",M90&gt;$AJ$2),S90,"")</f>
        <v/>
      </c>
      <c r="AO90" s="35">
        <f>IF(AND(W90="",M90&gt;0,$AJ$2&gt;M90,L90=""),1,0)</f>
        <v/>
      </c>
      <c r="AP90" s="26">
        <f>IF(AND(AK90="YES",W90="X"),"X","")</f>
        <v/>
      </c>
      <c r="AQ90" s="28">
        <f>IF(AP90="X",100%,0%)</f>
        <v/>
      </c>
      <c r="AR90" s="25">
        <f>IF(AND(T90&gt;0,L90=""),H90,"")</f>
        <v/>
      </c>
      <c r="AS90" s="25">
        <f>IF(AND(D90&gt;0,H90=0,G90=""),1,"")</f>
        <v/>
      </c>
      <c r="AT90" s="25">
        <f>IF(G90="BLOQ",1,"")</f>
        <v/>
      </c>
      <c r="AU90" s="25">
        <f>IF(L90="BLOQ",1,"")</f>
        <v/>
      </c>
      <c r="AV90" s="25">
        <f>MONTH(F90)</f>
        <v/>
      </c>
      <c r="AW90" s="65">
        <f>IF(AP90="",100%,0%)</f>
        <v/>
      </c>
      <c r="AX90" s="23" t="n"/>
      <c r="AY90" s="24">
        <f>IF(M90=0,"",M90-$AX$2)</f>
        <v/>
      </c>
      <c r="AZ90" s="66">
        <f>IF(AND(W90="",AY90&gt;0,AY90&lt;15),1,0)</f>
        <v/>
      </c>
      <c r="BA90" s="24">
        <f>IF(AND(W90="",AY90&gt;0,AY90&lt;15),T90,"")</f>
        <v/>
      </c>
      <c r="BB90" s="87">
        <f>IF(R90&lt;Q90,"X","")</f>
        <v/>
      </c>
      <c r="BC90" s="190" t="inlineStr">
        <is>
          <t>NO</t>
        </is>
      </c>
      <c r="BD90" s="190" t="inlineStr">
        <is>
          <t>NO</t>
        </is>
      </c>
    </row>
    <row r="91" ht="15" customHeight="1" s="162">
      <c r="A91" s="7" t="n">
        <v>90</v>
      </c>
      <c r="B91" t="inlineStr">
        <is>
          <t>32121609</t>
        </is>
      </c>
      <c r="C91" t="inlineStr">
        <is>
          <t>Resistencia TE Connectivity, de 2k? &amp;#17</t>
        </is>
      </c>
      <c r="D91" t="inlineStr">
        <is>
          <t>1101794250</t>
        </is>
      </c>
      <c r="E91" t="inlineStr">
        <is>
          <t>1</t>
        </is>
      </c>
      <c r="F91" s="163" t="n">
        <v>45581</v>
      </c>
      <c r="G91" t="inlineStr"/>
      <c r="H91" t="inlineStr">
        <is>
          <t>4800002692</t>
        </is>
      </c>
      <c r="I91" t="inlineStr">
        <is>
          <t>3500</t>
        </is>
      </c>
      <c r="J91" s="163" t="n">
        <v>45576</v>
      </c>
      <c r="K91" s="163" t="inlineStr"/>
      <c r="L91" t="inlineStr"/>
      <c r="M91" s="163" t="n">
        <v>45582</v>
      </c>
      <c r="N91" s="164" t="n">
        <v>0</v>
      </c>
      <c r="O91" s="164" t="n">
        <v>0</v>
      </c>
      <c r="P91" t="inlineStr"/>
      <c r="Q91" s="165" t="n">
        <v>10</v>
      </c>
      <c r="R91" s="165" t="n">
        <v>10</v>
      </c>
      <c r="S91" s="165" t="n">
        <v>10</v>
      </c>
      <c r="T91" s="165" t="n">
        <v>0</v>
      </c>
      <c r="U91" s="166" t="n">
        <v>0</v>
      </c>
      <c r="V91" s="166" t="n">
        <v>0</v>
      </c>
      <c r="W91" t="inlineStr">
        <is>
          <t>X</t>
        </is>
      </c>
      <c r="X91" t="inlineStr">
        <is>
          <t>0.00</t>
        </is>
      </c>
      <c r="Y91" t="inlineStr"/>
      <c r="Z91" t="inlineStr">
        <is>
          <t>AMIDATA, S.A.</t>
        </is>
      </c>
      <c r="AA91" t="inlineStr"/>
      <c r="AB91" t="inlineStr">
        <is>
          <t>1251200</t>
        </is>
      </c>
      <c r="AC91" t="inlineStr"/>
      <c r="AD91" s="164" t="n">
        <v>0</v>
      </c>
      <c r="AE91" s="185" t="n">
        <v>0</v>
      </c>
      <c r="AG91" s="167" t="inlineStr">
        <is>
          <t>7218|JA2593_1001</t>
        </is>
      </c>
      <c r="AH91" s="46">
        <f>IF(M91=0,"-",M91-J91)</f>
        <v/>
      </c>
      <c r="AI91" s="46">
        <f>IF(AND(S91=0,M91&gt;0,L91=0),IF(AH91&gt;=120,"VERY HIGH",IF(AH91&gt;=90,"HIGH",IF(AH91&gt;=60,"MEDIUM",IF(AH91&lt;60,"LOW")))),"-")</f>
        <v/>
      </c>
      <c r="AJ91" s="12" t="n"/>
      <c r="AK91" s="41">
        <f>IF(AND(W91="X",M91&lt;=$AJ$2),"YES","")</f>
        <v/>
      </c>
      <c r="AL91" s="38">
        <f>IF(AND(W91="X",M91&lt;=$AJ$2),S91,"")</f>
        <v/>
      </c>
      <c r="AM91" s="26">
        <f>IF(AND(W91="X",M91&gt;$AJ$2),"YES","")</f>
        <v/>
      </c>
      <c r="AN91" s="89">
        <f>IF(AND(W91="X",M91&gt;$AJ$2),S91,"")</f>
        <v/>
      </c>
      <c r="AO91" s="35">
        <f>IF(AND(W91="",M91&gt;0,$AJ$2&gt;M91,L91=""),1,0)</f>
        <v/>
      </c>
      <c r="AP91" s="26">
        <f>IF(AND(AK91="YES",W91="X"),"X","")</f>
        <v/>
      </c>
      <c r="AQ91" s="28">
        <f>IF(AP91="X",100%,0%)</f>
        <v/>
      </c>
      <c r="AR91" s="25">
        <f>IF(AND(T91&gt;0,L91=""),H91,"")</f>
        <v/>
      </c>
      <c r="AS91" s="25">
        <f>IF(AND(D91&gt;0,H91=0,G91=""),1,"")</f>
        <v/>
      </c>
      <c r="AT91" s="25">
        <f>IF(G91="BLOQ",1,"")</f>
        <v/>
      </c>
      <c r="AU91" s="25">
        <f>IF(L91="BLOQ",1,"")</f>
        <v/>
      </c>
      <c r="AV91" s="25">
        <f>MONTH(F91)</f>
        <v/>
      </c>
      <c r="AW91" s="65">
        <f>IF(AP91="",100%,0%)</f>
        <v/>
      </c>
      <c r="AX91" s="23" t="n"/>
      <c r="AY91" s="24">
        <f>IF(M91=0,"",M91-$AX$2)</f>
        <v/>
      </c>
      <c r="AZ91" s="66">
        <f>IF(AND(W91="",AY91&gt;0,AY91&lt;15),1,0)</f>
        <v/>
      </c>
      <c r="BA91" s="24">
        <f>IF(AND(W91="",AY91&gt;0,AY91&lt;15),T91,"")</f>
        <v/>
      </c>
      <c r="BB91" s="87">
        <f>IF(R91&lt;Q91,"X","")</f>
        <v/>
      </c>
      <c r="BC91" s="190" t="inlineStr">
        <is>
          <t>NO</t>
        </is>
      </c>
      <c r="BD91" s="190" t="inlineStr">
        <is>
          <t>NO</t>
        </is>
      </c>
    </row>
    <row r="92" ht="15" customHeight="1" s="162">
      <c r="A92" s="7" t="n">
        <v>91</v>
      </c>
      <c r="B92" t="inlineStr">
        <is>
          <t>39121534</t>
        </is>
      </c>
      <c r="C92" t="inlineStr">
        <is>
          <t>Luz piloto, Universal LED, di&amp;#225;metro</t>
        </is>
      </c>
      <c r="D92" t="inlineStr">
        <is>
          <t>1101794252</t>
        </is>
      </c>
      <c r="E92" t="inlineStr">
        <is>
          <t>1</t>
        </is>
      </c>
      <c r="F92" s="163" t="n">
        <v>45581</v>
      </c>
      <c r="G92" t="inlineStr"/>
      <c r="H92" t="inlineStr">
        <is>
          <t>4800002692</t>
        </is>
      </c>
      <c r="I92" t="inlineStr">
        <is>
          <t>3510</t>
        </is>
      </c>
      <c r="J92" s="163" t="n">
        <v>45576</v>
      </c>
      <c r="K92" s="163" t="inlineStr"/>
      <c r="L92" t="inlineStr"/>
      <c r="M92" s="163" t="n">
        <v>45582</v>
      </c>
      <c r="N92" s="164" t="n">
        <v>0</v>
      </c>
      <c r="O92" s="164" t="n">
        <v>0</v>
      </c>
      <c r="P92" t="inlineStr"/>
      <c r="Q92" s="165" t="n">
        <v>2</v>
      </c>
      <c r="R92" s="165" t="n">
        <v>2</v>
      </c>
      <c r="S92" s="165" t="n">
        <v>2</v>
      </c>
      <c r="T92" s="165" t="n">
        <v>0</v>
      </c>
      <c r="U92" s="166" t="n">
        <v>0</v>
      </c>
      <c r="V92" s="166" t="n">
        <v>0</v>
      </c>
      <c r="W92" t="inlineStr">
        <is>
          <t>X</t>
        </is>
      </c>
      <c r="X92" t="inlineStr">
        <is>
          <t>0.00</t>
        </is>
      </c>
      <c r="Y92" t="inlineStr"/>
      <c r="Z92" t="inlineStr">
        <is>
          <t>AMIDATA, S.A.</t>
        </is>
      </c>
      <c r="AA92" t="inlineStr"/>
      <c r="AB92" t="inlineStr">
        <is>
          <t>6095846</t>
        </is>
      </c>
      <c r="AC92" t="inlineStr"/>
      <c r="AD92" s="164" t="n">
        <v>0</v>
      </c>
      <c r="AE92" s="185" t="n">
        <v>0</v>
      </c>
      <c r="AG92" s="167" t="inlineStr">
        <is>
          <t>7218|JA2593_1001</t>
        </is>
      </c>
      <c r="AH92" s="46">
        <f>IF(M92=0,"-",M92-J92)</f>
        <v/>
      </c>
      <c r="AI92" s="46">
        <f>IF(AND(S92=0,M92&gt;0,L92=0),IF(AH92&gt;=120,"VERY HIGH",IF(AH92&gt;=90,"HIGH",IF(AH92&gt;=60,"MEDIUM",IF(AH92&lt;60,"LOW")))),"-")</f>
        <v/>
      </c>
      <c r="AJ92" s="12" t="n"/>
      <c r="AK92" s="41">
        <f>IF(AND(W92="X",M92&lt;=$AJ$2),"YES","")</f>
        <v/>
      </c>
      <c r="AL92" s="38">
        <f>IF(AND(W92="X",M92&lt;=$AJ$2),S92,"")</f>
        <v/>
      </c>
      <c r="AM92" s="26">
        <f>IF(AND(W92="X",M92&gt;$AJ$2),"YES","")</f>
        <v/>
      </c>
      <c r="AN92" s="89">
        <f>IF(AND(W92="X",M92&gt;$AJ$2),S92,"")</f>
        <v/>
      </c>
      <c r="AO92" s="35">
        <f>IF(AND(W92="",M92&gt;0,$AJ$2&gt;M92,L92=""),1,0)</f>
        <v/>
      </c>
      <c r="AP92" s="26">
        <f>IF(AND(AK92="YES",W92="X"),"X","")</f>
        <v/>
      </c>
      <c r="AQ92" s="28">
        <f>IF(AP92="X",100%,0%)</f>
        <v/>
      </c>
      <c r="AR92" s="25">
        <f>IF(AND(T92&gt;0,L92=""),H92,"")</f>
        <v/>
      </c>
      <c r="AS92" s="25">
        <f>IF(AND(D92&gt;0,H92=0,G92=""),1,"")</f>
        <v/>
      </c>
      <c r="AT92" s="25">
        <f>IF(G92="BLOQ",1,"")</f>
        <v/>
      </c>
      <c r="AU92" s="25">
        <f>IF(L92="BLOQ",1,"")</f>
        <v/>
      </c>
      <c r="AV92" s="25">
        <f>MONTH(F92)</f>
        <v/>
      </c>
      <c r="AW92" s="65">
        <f>IF(AP92="",100%,0%)</f>
        <v/>
      </c>
      <c r="AX92" s="23" t="n"/>
      <c r="AY92" s="24">
        <f>IF(M92=0,"",M92-$AX$2)</f>
        <v/>
      </c>
      <c r="AZ92" s="66">
        <f>IF(AND(W92="",AY92&gt;0,AY92&lt;15),1,0)</f>
        <v/>
      </c>
      <c r="BA92" s="24">
        <f>IF(AND(W92="",AY92&gt;0,AY92&lt;15),T92,"")</f>
        <v/>
      </c>
      <c r="BB92" s="87">
        <f>IF(R92&lt;Q92,"X","")</f>
        <v/>
      </c>
      <c r="BC92" s="190" t="inlineStr">
        <is>
          <t>NO</t>
        </is>
      </c>
      <c r="BD92" s="190" t="inlineStr">
        <is>
          <t>NO</t>
        </is>
      </c>
    </row>
    <row r="93" ht="15" customHeight="1" s="162">
      <c r="A93" s="7" t="n">
        <v>92</v>
      </c>
      <c r="B93" t="inlineStr">
        <is>
          <t>39122221</t>
        </is>
      </c>
      <c r="C93" t="inlineStr">
        <is>
          <t>Bloque de luces Eaton 216557 M22-LED-W,</t>
        </is>
      </c>
      <c r="D93" t="inlineStr">
        <is>
          <t>1101794252</t>
        </is>
      </c>
      <c r="E93" t="inlineStr">
        <is>
          <t>2</t>
        </is>
      </c>
      <c r="F93" s="163" t="n">
        <v>45581</v>
      </c>
      <c r="G93" t="inlineStr"/>
      <c r="H93" t="inlineStr">
        <is>
          <t>4800002692</t>
        </is>
      </c>
      <c r="I93" t="inlineStr">
        <is>
          <t>3520</t>
        </is>
      </c>
      <c r="J93" s="163" t="n">
        <v>45576</v>
      </c>
      <c r="K93" s="163" t="inlineStr"/>
      <c r="L93" t="inlineStr"/>
      <c r="M93" s="163" t="n">
        <v>45582</v>
      </c>
      <c r="N93" s="164" t="n">
        <v>0</v>
      </c>
      <c r="O93" s="164" t="n">
        <v>0</v>
      </c>
      <c r="P93" t="inlineStr"/>
      <c r="Q93" s="165" t="n">
        <v>2</v>
      </c>
      <c r="R93" s="165" t="n">
        <v>2</v>
      </c>
      <c r="S93" s="165" t="n">
        <v>2</v>
      </c>
      <c r="T93" s="165" t="n">
        <v>0</v>
      </c>
      <c r="U93" s="166" t="n">
        <v>0</v>
      </c>
      <c r="V93" s="166" t="n">
        <v>0</v>
      </c>
      <c r="W93" t="inlineStr">
        <is>
          <t>X</t>
        </is>
      </c>
      <c r="X93" t="inlineStr">
        <is>
          <t>0.00</t>
        </is>
      </c>
      <c r="Y93" t="inlineStr"/>
      <c r="Z93" t="inlineStr">
        <is>
          <t>AMIDATA, S.A.</t>
        </is>
      </c>
      <c r="AA93" t="inlineStr"/>
      <c r="AB93" t="inlineStr">
        <is>
          <t>3993630</t>
        </is>
      </c>
      <c r="AC93" t="inlineStr"/>
      <c r="AD93" s="164" t="n">
        <v>0</v>
      </c>
      <c r="AE93" s="185" t="n">
        <v>0</v>
      </c>
      <c r="AG93" s="167" t="inlineStr">
        <is>
          <t>7218|JA2593_1001</t>
        </is>
      </c>
      <c r="AH93" s="46">
        <f>IF(M93=0,"-",M93-J93)</f>
        <v/>
      </c>
      <c r="AI93" s="46">
        <f>IF(AND(S93=0,M93&gt;0,L93=0),IF(AH93&gt;=120,"VERY HIGH",IF(AH93&gt;=90,"HIGH",IF(AH93&gt;=60,"MEDIUM",IF(AH93&lt;60,"LOW")))),"-")</f>
        <v/>
      </c>
      <c r="AJ93" s="12" t="n"/>
      <c r="AK93" s="41">
        <f>IF(AND(W93="X",M93&lt;=$AJ$2),"YES","")</f>
        <v/>
      </c>
      <c r="AL93" s="38">
        <f>IF(AND(W93="X",M93&lt;=$AJ$2),S93,"")</f>
        <v/>
      </c>
      <c r="AM93" s="26">
        <f>IF(AND(W93="X",M93&gt;$AJ$2),"YES","")</f>
        <v/>
      </c>
      <c r="AN93" s="89">
        <f>IF(AND(W93="X",M93&gt;$AJ$2),S93,"")</f>
        <v/>
      </c>
      <c r="AO93" s="35">
        <f>IF(AND(W93="",M93&gt;0,$AJ$2&gt;M93,L93=""),1,0)</f>
        <v/>
      </c>
      <c r="AP93" s="26">
        <f>IF(AND(AK93="YES",W93="X"),"X","")</f>
        <v/>
      </c>
      <c r="AQ93" s="28">
        <f>IF(AP93="X",100%,0%)</f>
        <v/>
      </c>
      <c r="AR93" s="25">
        <f>IF(AND(T93&gt;0,L93=""),H93,"")</f>
        <v/>
      </c>
      <c r="AS93" s="25">
        <f>IF(AND(D93&gt;0,H93=0,G93=""),1,"")</f>
        <v/>
      </c>
      <c r="AT93" s="25">
        <f>IF(G93="BLOQ",1,"")</f>
        <v/>
      </c>
      <c r="AU93" s="25">
        <f>IF(L93="BLOQ",1,"")</f>
        <v/>
      </c>
      <c r="AV93" s="25">
        <f>MONTH(F93)</f>
        <v/>
      </c>
      <c r="AW93" s="65">
        <f>IF(AP93="",100%,0%)</f>
        <v/>
      </c>
      <c r="AX93" s="23" t="n"/>
      <c r="AY93" s="24">
        <f>IF(M93=0,"",M93-$AX$2)</f>
        <v/>
      </c>
      <c r="AZ93" s="66">
        <f>IF(AND(W93="",AY93&gt;0,AY93&lt;15),1,0)</f>
        <v/>
      </c>
      <c r="BA93" s="24">
        <f>IF(AND(W93="",AY93&gt;0,AY93&lt;15),T93,"")</f>
        <v/>
      </c>
      <c r="BB93" s="87">
        <f>IF(R93&lt;Q93,"X","")</f>
        <v/>
      </c>
      <c r="BC93" s="190" t="inlineStr">
        <is>
          <t>NO</t>
        </is>
      </c>
      <c r="BD93" s="190" t="inlineStr">
        <is>
          <t>NO</t>
        </is>
      </c>
    </row>
    <row r="94" ht="15" customHeight="1" s="162">
      <c r="A94" s="7" t="n">
        <v>93</v>
      </c>
      <c r="B94" t="inlineStr">
        <is>
          <t>32111601</t>
        </is>
      </c>
      <c r="C94" t="inlineStr">
        <is>
          <t>Fototransistor NPN Vishay sensible a IR,</t>
        </is>
      </c>
      <c r="D94" t="inlineStr">
        <is>
          <t>1101794570</t>
        </is>
      </c>
      <c r="E94" t="inlineStr">
        <is>
          <t>1</t>
        </is>
      </c>
      <c r="F94" s="163" t="n">
        <v>45582</v>
      </c>
      <c r="G94" t="inlineStr"/>
      <c r="H94" t="inlineStr">
        <is>
          <t>4800002695</t>
        </is>
      </c>
      <c r="I94" t="inlineStr">
        <is>
          <t>200</t>
        </is>
      </c>
      <c r="J94" s="163" t="n">
        <v>45583</v>
      </c>
      <c r="K94" s="163" t="inlineStr"/>
      <c r="L94" t="inlineStr"/>
      <c r="M94" s="163" t="n">
        <v>45583</v>
      </c>
      <c r="N94" s="164" t="n">
        <v>0</v>
      </c>
      <c r="O94" s="164" t="n">
        <v>0</v>
      </c>
      <c r="P94" t="inlineStr"/>
      <c r="Q94" s="165" t="n">
        <v>100</v>
      </c>
      <c r="R94" s="165" t="n">
        <v>100</v>
      </c>
      <c r="S94" s="165" t="n">
        <v>100</v>
      </c>
      <c r="T94" s="165" t="n">
        <v>0</v>
      </c>
      <c r="U94" s="166" t="n">
        <v>0</v>
      </c>
      <c r="V94" s="166" t="n">
        <v>0</v>
      </c>
      <c r="W94" t="inlineStr">
        <is>
          <t>X</t>
        </is>
      </c>
      <c r="X94" t="inlineStr">
        <is>
          <t>0.00</t>
        </is>
      </c>
      <c r="Y94" t="inlineStr"/>
      <c r="Z94" t="inlineStr">
        <is>
          <t>AMIDATA, S.A.</t>
        </is>
      </c>
      <c r="AA94" t="inlineStr"/>
      <c r="AB94" t="inlineStr">
        <is>
          <t>7000760P</t>
        </is>
      </c>
      <c r="AC94" t="inlineStr"/>
      <c r="AD94" s="164" t="n">
        <v>0</v>
      </c>
      <c r="AE94" s="185" t="n">
        <v>0</v>
      </c>
      <c r="AG94" s="167" t="inlineStr">
        <is>
          <t>7218|JA2593_1001</t>
        </is>
      </c>
      <c r="AH94" s="46">
        <f>IF(M94=0,"-",M94-J94)</f>
        <v/>
      </c>
      <c r="AI94" s="46">
        <f>IF(AND(S94=0,M94&gt;0,L94=0),IF(AH94&gt;=120,"VERY HIGH",IF(AH94&gt;=90,"HIGH",IF(AH94&gt;=60,"MEDIUM",IF(AH94&lt;60,"LOW")))),"-")</f>
        <v/>
      </c>
      <c r="AJ94" s="12" t="n"/>
      <c r="AK94" s="41">
        <f>IF(AND(W94="X",M94&lt;=$AJ$2),"YES","")</f>
        <v/>
      </c>
      <c r="AL94" s="38">
        <f>IF(AND(W94="X",M94&lt;=$AJ$2),S94,"")</f>
        <v/>
      </c>
      <c r="AM94" s="26">
        <f>IF(AND(W94="X",M94&gt;$AJ$2),"YES","")</f>
        <v/>
      </c>
      <c r="AN94" s="89">
        <f>IF(AND(W94="X",M94&gt;$AJ$2),S94,"")</f>
        <v/>
      </c>
      <c r="AO94" s="35">
        <f>IF(AND(W94="",M94&gt;0,$AJ$2&gt;M94,L94=""),1,0)</f>
        <v/>
      </c>
      <c r="AP94" s="26">
        <f>IF(AND(AK94="YES",W94="X"),"X","")</f>
        <v/>
      </c>
      <c r="AQ94" s="28">
        <f>IF(AP94="X",100%,0%)</f>
        <v/>
      </c>
      <c r="AR94" s="25">
        <f>IF(AND(T94&gt;0,L94=""),H94,"")</f>
        <v/>
      </c>
      <c r="AS94" s="25">
        <f>IF(AND(D94&gt;0,H94=0,G94=""),1,"")</f>
        <v/>
      </c>
      <c r="AT94" s="25">
        <f>IF(G94="BLOQ",1,"")</f>
        <v/>
      </c>
      <c r="AU94" s="25">
        <f>IF(L94="BLOQ",1,"")</f>
        <v/>
      </c>
      <c r="AV94" s="25">
        <f>MONTH(F94)</f>
        <v/>
      </c>
      <c r="AW94" s="65">
        <f>IF(AP94="",100%,0%)</f>
        <v/>
      </c>
      <c r="AX94" s="23" t="n"/>
      <c r="AY94" s="24">
        <f>IF(M94=0,"",M94-$AX$2)</f>
        <v/>
      </c>
      <c r="AZ94" s="66">
        <f>IF(AND(W94="",AY94&gt;0,AY94&lt;15),1,0)</f>
        <v/>
      </c>
      <c r="BA94" s="24">
        <f>IF(AND(W94="",AY94&gt;0,AY94&lt;15),T94,"")</f>
        <v/>
      </c>
      <c r="BB94" s="87">
        <f>IF(R94&lt;Q94,"X","")</f>
        <v/>
      </c>
      <c r="BC94" s="190" t="inlineStr">
        <is>
          <t>NO</t>
        </is>
      </c>
      <c r="BD94" s="190" t="inlineStr">
        <is>
          <t>NO</t>
        </is>
      </c>
    </row>
    <row r="95" ht="15" customHeight="1" s="162">
      <c r="A95" s="7" t="n">
        <v>94</v>
      </c>
      <c r="B95" t="inlineStr">
        <is>
          <t>27112147</t>
        </is>
      </c>
      <c r="C95" t="inlineStr">
        <is>
          <t>Herramienta de crimpado Molex, serie 207</t>
        </is>
      </c>
      <c r="D95" t="inlineStr">
        <is>
          <t>1101795754</t>
        </is>
      </c>
      <c r="E95" t="inlineStr">
        <is>
          <t>1</t>
        </is>
      </c>
      <c r="F95" s="163" t="n">
        <v>45586</v>
      </c>
      <c r="G95" t="inlineStr"/>
      <c r="H95" t="inlineStr">
        <is>
          <t>4800002700</t>
        </is>
      </c>
      <c r="I95" t="inlineStr">
        <is>
          <t>470</t>
        </is>
      </c>
      <c r="J95" s="163" t="n">
        <v>45589</v>
      </c>
      <c r="K95" s="163" t="inlineStr"/>
      <c r="L95" t="inlineStr">
        <is>
          <t>BORR</t>
        </is>
      </c>
      <c r="M95" s="163" t="n">
        <v>45587</v>
      </c>
      <c r="N95" s="164" t="n">
        <v>0</v>
      </c>
      <c r="O95" s="164" t="n">
        <v>0</v>
      </c>
      <c r="P95" t="inlineStr"/>
      <c r="Q95" s="165" t="n">
        <v>1</v>
      </c>
      <c r="R95" s="165" t="n">
        <v>1</v>
      </c>
      <c r="S95" s="165" t="n">
        <v>0</v>
      </c>
      <c r="T95" s="165" t="n">
        <v>1</v>
      </c>
      <c r="U95" s="166" t="n">
        <v>0</v>
      </c>
      <c r="V95" s="166" t="n">
        <v>0</v>
      </c>
      <c r="W95" t="inlineStr"/>
      <c r="X95" t="inlineStr">
        <is>
          <t>272.54</t>
        </is>
      </c>
      <c r="Y95" t="inlineStr"/>
      <c r="Z95" t="inlineStr">
        <is>
          <t>AMIDATA, S.A.</t>
        </is>
      </c>
      <c r="AA95" t="inlineStr"/>
      <c r="AB95" t="inlineStr">
        <is>
          <t>1754238</t>
        </is>
      </c>
      <c r="AC95" t="inlineStr"/>
      <c r="AD95" s="164" t="n">
        <v>0</v>
      </c>
      <c r="AE95" s="185" t="n">
        <v>0</v>
      </c>
      <c r="AG95" s="167" t="inlineStr">
        <is>
          <t>7218|JA2593_1001</t>
        </is>
      </c>
      <c r="AH95" s="46">
        <f>IF(M95=0,"-",M95-J95)</f>
        <v/>
      </c>
      <c r="AI95" s="46">
        <f>IF(AND(S95=0,M95&gt;0,L95=0),IF(AH95&gt;=120,"VERY HIGH",IF(AH95&gt;=90,"HIGH",IF(AH95&gt;=60,"MEDIUM",IF(AH95&lt;60,"LOW")))),"-")</f>
        <v/>
      </c>
      <c r="AJ95" s="12" t="n"/>
      <c r="AK95" s="41">
        <f>IF(AND(W95="X",M95&lt;=$AJ$2),"YES","")</f>
        <v/>
      </c>
      <c r="AL95" s="38">
        <f>IF(AND(W95="X",M95&lt;=$AJ$2),S95,"")</f>
        <v/>
      </c>
      <c r="AM95" s="26">
        <f>IF(AND(W95="X",M95&gt;$AJ$2),"YES","")</f>
        <v/>
      </c>
      <c r="AN95" s="89">
        <f>IF(AND(W95="X",M95&gt;$AJ$2),S95,"")</f>
        <v/>
      </c>
      <c r="AO95" s="35">
        <f>IF(AND(W95="",M95&gt;0,$AJ$2&gt;M95,L95=""),1,0)</f>
        <v/>
      </c>
      <c r="AP95" s="26">
        <f>IF(AND(AK95="YES",W95="X"),"X","")</f>
        <v/>
      </c>
      <c r="AQ95" s="28">
        <f>IF(AP95="X",100%,0%)</f>
        <v/>
      </c>
      <c r="AR95" s="25">
        <f>IF(AND(T95&gt;0,L95=""),H95,"")</f>
        <v/>
      </c>
      <c r="AS95" s="25">
        <f>IF(AND(D95&gt;0,H95=0,G95=""),1,"")</f>
        <v/>
      </c>
      <c r="AT95" s="25">
        <f>IF(G95="BLOQ",1,"")</f>
        <v/>
      </c>
      <c r="AU95" s="25">
        <f>IF(L95="BLOQ",1,"")</f>
        <v/>
      </c>
      <c r="AV95" s="25">
        <f>MONTH(F95)</f>
        <v/>
      </c>
      <c r="AW95" s="65">
        <f>IF(AP95="",100%,0%)</f>
        <v/>
      </c>
      <c r="AX95" s="23" t="n"/>
      <c r="AY95" s="24">
        <f>IF(M95=0,"",M95-$AX$2)</f>
        <v/>
      </c>
      <c r="AZ95" s="66">
        <f>IF(AND(W95="",AY95&gt;0,AY95&lt;15),1,0)</f>
        <v/>
      </c>
      <c r="BA95" s="24">
        <f>IF(AND(W95="",AY95&gt;0,AY95&lt;15),T95,"")</f>
        <v/>
      </c>
      <c r="BB95" s="87">
        <f>IF(R95&lt;Q95,"X","")</f>
        <v/>
      </c>
      <c r="BC95" s="190" t="inlineStr">
        <is>
          <t>NO</t>
        </is>
      </c>
      <c r="BD95" s="190" t="inlineStr">
        <is>
          <t>NO</t>
        </is>
      </c>
    </row>
    <row r="96" ht="15" customHeight="1" s="162">
      <c r="A96" s="7" t="n">
        <v>95</v>
      </c>
      <c r="B96" t="inlineStr">
        <is>
          <t>27112147</t>
        </is>
      </c>
      <c r="C96" t="inlineStr">
        <is>
          <t>Herramienta de crimpado Molex, serie 207</t>
        </is>
      </c>
      <c r="D96" t="inlineStr">
        <is>
          <t>1101795754</t>
        </is>
      </c>
      <c r="E96" t="inlineStr">
        <is>
          <t>1</t>
        </is>
      </c>
      <c r="F96" s="163" t="n">
        <v>45586</v>
      </c>
      <c r="G96" t="inlineStr"/>
      <c r="H96" t="inlineStr">
        <is>
          <t>4800002701</t>
        </is>
      </c>
      <c r="I96" t="inlineStr">
        <is>
          <t>470</t>
        </is>
      </c>
      <c r="J96" s="163" t="n">
        <v>45589</v>
      </c>
      <c r="K96" s="163" t="inlineStr"/>
      <c r="L96" t="inlineStr"/>
      <c r="M96" s="163" t="n">
        <v>45587</v>
      </c>
      <c r="N96" s="164" t="n">
        <v>0</v>
      </c>
      <c r="O96" s="164" t="n">
        <v>0</v>
      </c>
      <c r="P96" t="inlineStr"/>
      <c r="Q96" s="165" t="n">
        <v>1</v>
      </c>
      <c r="R96" s="165" t="n">
        <v>1</v>
      </c>
      <c r="S96" s="165" t="n">
        <v>1</v>
      </c>
      <c r="T96" s="165" t="n">
        <v>0</v>
      </c>
      <c r="U96" s="166" t="n">
        <v>0</v>
      </c>
      <c r="V96" s="166" t="n">
        <v>0</v>
      </c>
      <c r="W96" t="inlineStr">
        <is>
          <t>X</t>
        </is>
      </c>
      <c r="X96" t="inlineStr">
        <is>
          <t>0.00</t>
        </is>
      </c>
      <c r="Y96" t="inlineStr"/>
      <c r="Z96" t="inlineStr">
        <is>
          <t>AMIDATA, S.A.</t>
        </is>
      </c>
      <c r="AA96" t="inlineStr"/>
      <c r="AB96" t="inlineStr">
        <is>
          <t>1754238</t>
        </is>
      </c>
      <c r="AC96" t="inlineStr"/>
      <c r="AD96" s="164" t="n">
        <v>0</v>
      </c>
      <c r="AE96" s="185" t="n">
        <v>0</v>
      </c>
      <c r="AG96" s="167" t="inlineStr">
        <is>
          <t>7218|JA2593_1001</t>
        </is>
      </c>
      <c r="AH96" s="46">
        <f>IF(M96=0,"-",M96-J96)</f>
        <v/>
      </c>
      <c r="AI96" s="46">
        <f>IF(AND(S96=0,M96&gt;0,L96=0),IF(AH96&gt;=120,"VERY HIGH",IF(AH96&gt;=90,"HIGH",IF(AH96&gt;=60,"MEDIUM",IF(AH96&lt;60,"LOW")))),"-")</f>
        <v/>
      </c>
      <c r="AJ96" s="12" t="n"/>
      <c r="AK96" s="41">
        <f>IF(AND(W96="X",M96&lt;=$AJ$2),"YES","")</f>
        <v/>
      </c>
      <c r="AL96" s="38">
        <f>IF(AND(W96="X",M96&lt;=$AJ$2),S96,"")</f>
        <v/>
      </c>
      <c r="AM96" s="26">
        <f>IF(AND(W96="X",M96&gt;$AJ$2),"YES","")</f>
        <v/>
      </c>
      <c r="AN96" s="89">
        <f>IF(AND(W96="X",M96&gt;$AJ$2),S96,"")</f>
        <v/>
      </c>
      <c r="AO96" s="35">
        <f>IF(AND(W96="",M96&gt;0,$AJ$2&gt;M96,L96=""),1,0)</f>
        <v/>
      </c>
      <c r="AP96" s="26">
        <f>IF(AND(AK96="YES",W96="X"),"X","")</f>
        <v/>
      </c>
      <c r="AQ96" s="28">
        <f>IF(AP96="X",100%,0%)</f>
        <v/>
      </c>
      <c r="AR96" s="25">
        <f>IF(AND(T96&gt;0,L96=""),H96,"")</f>
        <v/>
      </c>
      <c r="AS96" s="25">
        <f>IF(AND(D96&gt;0,H96=0,G96=""),1,"")</f>
        <v/>
      </c>
      <c r="AT96" s="25">
        <f>IF(G96="BLOQ",1,"")</f>
        <v/>
      </c>
      <c r="AU96" s="25">
        <f>IF(L96="BLOQ",1,"")</f>
        <v/>
      </c>
      <c r="AV96" s="25">
        <f>MONTH(F96)</f>
        <v/>
      </c>
      <c r="AW96" s="65">
        <f>IF(AP96="",100%,0%)</f>
        <v/>
      </c>
      <c r="AX96" s="23" t="n"/>
      <c r="AY96" s="24">
        <f>IF(M96=0,"",M96-$AX$2)</f>
        <v/>
      </c>
      <c r="AZ96" s="66">
        <f>IF(AND(W96="",AY96&gt;0,AY96&lt;15),1,0)</f>
        <v/>
      </c>
      <c r="BA96" s="24">
        <f>IF(AND(W96="",AY96&gt;0,AY96&lt;15),T96,"")</f>
        <v/>
      </c>
      <c r="BB96" s="87">
        <f>IF(R96&lt;Q96,"X","")</f>
        <v/>
      </c>
      <c r="BC96" s="190" t="inlineStr">
        <is>
          <t>NO</t>
        </is>
      </c>
      <c r="BD96" s="190" t="inlineStr">
        <is>
          <t>NO</t>
        </is>
      </c>
    </row>
    <row r="97" ht="15" customHeight="1" s="162">
      <c r="A97" s="7" t="n">
        <v>96</v>
      </c>
      <c r="B97" t="inlineStr">
        <is>
          <t>1359900000500</t>
        </is>
      </c>
      <c r="C97" t="inlineStr">
        <is>
          <t>COMPRA DIRECTA ELECTRICOS/ELECTRONICOS</t>
        </is>
      </c>
      <c r="D97" t="inlineStr">
        <is>
          <t>1101796017</t>
        </is>
      </c>
      <c r="E97" t="inlineStr">
        <is>
          <t>1</t>
        </is>
      </c>
      <c r="F97" s="163" t="n">
        <v>45587</v>
      </c>
      <c r="G97" t="inlineStr"/>
      <c r="H97" t="inlineStr">
        <is>
          <t>4200582780</t>
        </is>
      </c>
      <c r="I97" t="inlineStr">
        <is>
          <t>10</t>
        </is>
      </c>
      <c r="J97" s="163" t="n">
        <v>45589</v>
      </c>
      <c r="K97" s="163" t="n">
        <v>45590</v>
      </c>
      <c r="L97" t="inlineStr"/>
      <c r="M97" s="163" t="n">
        <v>45642</v>
      </c>
      <c r="N97" s="164" t="n">
        <v>30</v>
      </c>
      <c r="O97" s="164" t="n">
        <v>8</v>
      </c>
      <c r="P97" t="inlineStr">
        <is>
          <t>Liberado</t>
        </is>
      </c>
      <c r="Q97" s="165" t="n">
        <v>1</v>
      </c>
      <c r="R97" s="165" t="n">
        <v>1</v>
      </c>
      <c r="S97" s="165" t="n">
        <v>1</v>
      </c>
      <c r="T97" s="165" t="n">
        <v>0</v>
      </c>
      <c r="U97" s="166" t="n">
        <v>0</v>
      </c>
      <c r="V97" s="166" t="n">
        <v>0</v>
      </c>
      <c r="W97" t="inlineStr">
        <is>
          <t>X</t>
        </is>
      </c>
      <c r="X97" t="inlineStr">
        <is>
          <t>0.00</t>
        </is>
      </c>
      <c r="Y97" t="inlineStr"/>
      <c r="Z97" t="inlineStr">
        <is>
          <t>(AEMSA)ALMACENES ELECTRICOS MADRILE</t>
        </is>
      </c>
      <c r="AA97" t="inlineStr">
        <is>
          <t>OTROS FABRICANTES</t>
        </is>
      </c>
      <c r="AB97" t="inlineStr">
        <is>
          <t>1359900000500</t>
        </is>
      </c>
      <c r="AC97" t="inlineStr"/>
      <c r="AD97" s="164" t="n">
        <v>0</v>
      </c>
      <c r="AE97" s="185" t="n">
        <v>0</v>
      </c>
      <c r="AG97" s="167" t="inlineStr">
        <is>
          <t>7218|JA2593_1001</t>
        </is>
      </c>
      <c r="AH97" s="46">
        <f>IF(M97=0,"-",M97-J97)</f>
        <v/>
      </c>
      <c r="AI97" s="46">
        <f>IF(AND(S97=0,M97&gt;0,L97=0),IF(AH97&gt;=120,"VERY HIGH",IF(AH97&gt;=90,"HIGH",IF(AH97&gt;=60,"MEDIUM",IF(AH97&lt;60,"LOW")))),"-")</f>
        <v/>
      </c>
      <c r="AJ97" s="12" t="n"/>
      <c r="AK97" s="41">
        <f>IF(AND(W97="X",M97&lt;=$AJ$2),"YES","")</f>
        <v/>
      </c>
      <c r="AL97" s="38">
        <f>IF(AND(W97="X",M97&lt;=$AJ$2),S97,"")</f>
        <v/>
      </c>
      <c r="AM97" s="26">
        <f>IF(AND(W97="X",M97&gt;$AJ$2),"YES","")</f>
        <v/>
      </c>
      <c r="AN97" s="89">
        <f>IF(AND(W97="X",M97&gt;$AJ$2),S97,"")</f>
        <v/>
      </c>
      <c r="AO97" s="35">
        <f>IF(AND(W97="",M97&gt;0,$AJ$2&gt;M97,L97=""),1,0)</f>
        <v/>
      </c>
      <c r="AP97" s="26">
        <f>IF(AND(AK97="YES",W97="X"),"X","")</f>
        <v/>
      </c>
      <c r="AQ97" s="28">
        <f>IF(AP97="X",100%,0%)</f>
        <v/>
      </c>
      <c r="AR97" s="25">
        <f>IF(AND(T97&gt;0,L97=""),H97,"")</f>
        <v/>
      </c>
      <c r="AS97" s="25">
        <f>IF(AND(D97&gt;0,H97=0,G97=""),1,"")</f>
        <v/>
      </c>
      <c r="AT97" s="25">
        <f>IF(G97="BLOQ",1,"")</f>
        <v/>
      </c>
      <c r="AU97" s="25">
        <f>IF(L97="BLOQ",1,"")</f>
        <v/>
      </c>
      <c r="AV97" s="25">
        <f>MONTH(F97)</f>
        <v/>
      </c>
      <c r="AW97" s="65">
        <f>IF(AP97="",100%,0%)</f>
        <v/>
      </c>
      <c r="AX97" s="23" t="n"/>
      <c r="AY97" s="24">
        <f>IF(M97=0,"",M97-$AX$2)</f>
        <v/>
      </c>
      <c r="AZ97" s="66">
        <f>IF(AND(W97="",AY97&gt;0,AY97&lt;15),1,0)</f>
        <v/>
      </c>
      <c r="BA97" s="24">
        <f>IF(AND(W97="",AY97&gt;0,AY97&lt;15),T97,"")</f>
        <v/>
      </c>
      <c r="BB97" s="87">
        <f>IF(R97&lt;Q97,"X","")</f>
        <v/>
      </c>
      <c r="BC97" s="190" t="inlineStr">
        <is>
          <t>NO</t>
        </is>
      </c>
      <c r="BD97" s="190" t="inlineStr">
        <is>
          <t>NO</t>
        </is>
      </c>
    </row>
    <row r="98" ht="15" customHeight="1" s="162">
      <c r="A98" s="7" t="n">
        <v>97</v>
      </c>
      <c r="B98" t="inlineStr">
        <is>
          <t>1359900000500</t>
        </is>
      </c>
      <c r="C98" t="inlineStr">
        <is>
          <t>COMPRA DIRECTA ELECTRICOS/ELECTRONICOS</t>
        </is>
      </c>
      <c r="D98" t="inlineStr">
        <is>
          <t>1101797682</t>
        </is>
      </c>
      <c r="E98" t="inlineStr">
        <is>
          <t>1</t>
        </is>
      </c>
      <c r="F98" s="163" t="n">
        <v>45590</v>
      </c>
      <c r="G98" t="inlineStr"/>
      <c r="H98" t="inlineStr">
        <is>
          <t>4200583598</t>
        </is>
      </c>
      <c r="I98" t="inlineStr">
        <is>
          <t>10</t>
        </is>
      </c>
      <c r="J98" s="163" t="n">
        <v>45595</v>
      </c>
      <c r="K98" s="163" t="n">
        <v>45596</v>
      </c>
      <c r="L98" t="inlineStr"/>
      <c r="M98" s="163" t="n">
        <v>45643</v>
      </c>
      <c r="N98" s="164" t="n">
        <v>30</v>
      </c>
      <c r="O98" s="164" t="n">
        <v>8</v>
      </c>
      <c r="P98" t="inlineStr">
        <is>
          <t>Liberado</t>
        </is>
      </c>
      <c r="Q98" s="165" t="n">
        <v>1</v>
      </c>
      <c r="R98" s="165" t="n">
        <v>1</v>
      </c>
      <c r="S98" s="165" t="n">
        <v>1</v>
      </c>
      <c r="T98" s="165" t="n">
        <v>0</v>
      </c>
      <c r="U98" s="166" t="n">
        <v>0</v>
      </c>
      <c r="V98" s="166" t="n">
        <v>0</v>
      </c>
      <c r="W98" t="inlineStr">
        <is>
          <t>X</t>
        </is>
      </c>
      <c r="X98" t="inlineStr">
        <is>
          <t>0.00</t>
        </is>
      </c>
      <c r="Y98" t="inlineStr"/>
      <c r="Z98" t="inlineStr">
        <is>
          <t>(AEMSA)ALMACENES ELECTRICOS MADRILE</t>
        </is>
      </c>
      <c r="AA98" t="inlineStr">
        <is>
          <t>OTROS FABRICANTES</t>
        </is>
      </c>
      <c r="AB98" t="inlineStr">
        <is>
          <t>1359900000500</t>
        </is>
      </c>
      <c r="AC98" t="inlineStr"/>
      <c r="AD98" s="164" t="n">
        <v>0</v>
      </c>
      <c r="AE98" s="185" t="n">
        <v>0</v>
      </c>
      <c r="AG98" s="167" t="inlineStr">
        <is>
          <t>7218|JA2593_1001</t>
        </is>
      </c>
      <c r="AH98" s="46">
        <f>IF(M98=0,"-",M98-J98)</f>
        <v/>
      </c>
      <c r="AI98" s="46">
        <f>IF(AND(S98=0,M98&gt;0,L98=0),IF(AH98&gt;=120,"VERY HIGH",IF(AH98&gt;=90,"HIGH",IF(AH98&gt;=60,"MEDIUM",IF(AH98&lt;60,"LOW")))),"-")</f>
        <v/>
      </c>
      <c r="AJ98" s="12" t="n"/>
      <c r="AK98" s="41">
        <f>IF(AND(W98="X",M98&lt;=$AJ$2),"YES","")</f>
        <v/>
      </c>
      <c r="AL98" s="38">
        <f>IF(AND(W98="X",M98&lt;=$AJ$2),S98,"")</f>
        <v/>
      </c>
      <c r="AM98" s="26">
        <f>IF(AND(W98="X",M98&gt;$AJ$2),"YES","")</f>
        <v/>
      </c>
      <c r="AN98" s="89">
        <f>IF(AND(W98="X",M98&gt;$AJ$2),S98,"")</f>
        <v/>
      </c>
      <c r="AO98" s="35">
        <f>IF(AND(W98="",M98&gt;0,$AJ$2&gt;M98,L98=""),1,0)</f>
        <v/>
      </c>
      <c r="AP98" s="26">
        <f>IF(AND(AK98="YES",W98="X"),"X","")</f>
        <v/>
      </c>
      <c r="AQ98" s="28">
        <f>IF(AP98="X",100%,0%)</f>
        <v/>
      </c>
      <c r="AR98" s="25">
        <f>IF(AND(T98&gt;0,L98=""),H98,"")</f>
        <v/>
      </c>
      <c r="AS98" s="25">
        <f>IF(AND(D98&gt;0,H98=0,G98=""),1,"")</f>
        <v/>
      </c>
      <c r="AT98" s="25">
        <f>IF(G98="BLOQ",1,"")</f>
        <v/>
      </c>
      <c r="AU98" s="25">
        <f>IF(L98="BLOQ",1,"")</f>
        <v/>
      </c>
      <c r="AV98" s="25">
        <f>MONTH(F98)</f>
        <v/>
      </c>
      <c r="AW98" s="65">
        <f>IF(AP98="",100%,0%)</f>
        <v/>
      </c>
      <c r="AX98" s="23" t="n"/>
      <c r="AY98" s="24">
        <f>IF(M98=0,"",M98-$AX$2)</f>
        <v/>
      </c>
      <c r="AZ98" s="66">
        <f>IF(AND(W98="",AY98&gt;0,AY98&lt;15),1,0)</f>
        <v/>
      </c>
      <c r="BA98" s="24">
        <f>IF(AND(W98="",AY98&gt;0,AY98&lt;15),T98,"")</f>
        <v/>
      </c>
      <c r="BB98" s="87">
        <f>IF(R98&lt;Q98,"X","")</f>
        <v/>
      </c>
      <c r="BC98" s="190" t="inlineStr">
        <is>
          <t>NO</t>
        </is>
      </c>
      <c r="BD98" s="190" t="inlineStr">
        <is>
          <t>NO</t>
        </is>
      </c>
    </row>
    <row r="99" ht="15" customHeight="1" s="162">
      <c r="A99" s="7" t="n">
        <v>98</v>
      </c>
      <c r="B99" t="inlineStr">
        <is>
          <t>1359900000500</t>
        </is>
      </c>
      <c r="C99" t="inlineStr">
        <is>
          <t>COMPRA DIRECTA ELECTRICOS/ELECTRONICOS</t>
        </is>
      </c>
      <c r="D99" t="inlineStr">
        <is>
          <t>1101797682</t>
        </is>
      </c>
      <c r="E99" t="inlineStr">
        <is>
          <t>2</t>
        </is>
      </c>
      <c r="F99" s="163" t="n">
        <v>45590</v>
      </c>
      <c r="G99" t="inlineStr"/>
      <c r="H99" t="inlineStr">
        <is>
          <t>4200583598</t>
        </is>
      </c>
      <c r="I99" t="inlineStr">
        <is>
          <t>20</t>
        </is>
      </c>
      <c r="J99" s="163" t="n">
        <v>45595</v>
      </c>
      <c r="K99" s="163" t="n">
        <v>45596</v>
      </c>
      <c r="L99" t="inlineStr"/>
      <c r="M99" s="163" t="n">
        <v>45643</v>
      </c>
      <c r="N99" s="164" t="n">
        <v>30</v>
      </c>
      <c r="O99" s="164" t="n">
        <v>8</v>
      </c>
      <c r="P99" t="inlineStr">
        <is>
          <t>Liberado</t>
        </is>
      </c>
      <c r="Q99" s="165" t="n">
        <v>1</v>
      </c>
      <c r="R99" s="165" t="n">
        <v>1</v>
      </c>
      <c r="S99" s="165" t="n">
        <v>1</v>
      </c>
      <c r="T99" s="165" t="n">
        <v>0</v>
      </c>
      <c r="U99" s="166" t="n">
        <v>0</v>
      </c>
      <c r="V99" s="166" t="n">
        <v>0</v>
      </c>
      <c r="W99" t="inlineStr">
        <is>
          <t>X</t>
        </is>
      </c>
      <c r="X99" t="inlineStr">
        <is>
          <t>0.00</t>
        </is>
      </c>
      <c r="Y99" t="inlineStr"/>
      <c r="Z99" t="inlineStr">
        <is>
          <t>(AEMSA)ALMACENES ELECTRICOS MADRILE</t>
        </is>
      </c>
      <c r="AA99" t="inlineStr">
        <is>
          <t>OTROS FABRICANTES</t>
        </is>
      </c>
      <c r="AB99" t="inlineStr">
        <is>
          <t>1359900000500</t>
        </is>
      </c>
      <c r="AC99" t="inlineStr"/>
      <c r="AD99" s="164" t="n">
        <v>0</v>
      </c>
      <c r="AE99" s="185" t="n">
        <v>0</v>
      </c>
      <c r="AG99" s="167" t="inlineStr">
        <is>
          <t>7218|JA2593_1001</t>
        </is>
      </c>
      <c r="AH99" s="46">
        <f>IF(M99=0,"-",M99-J99)</f>
        <v/>
      </c>
      <c r="AI99" s="46">
        <f>IF(AND(S99=0,M99&gt;0,L99=0),IF(AH99&gt;=120,"VERY HIGH",IF(AH99&gt;=90,"HIGH",IF(AH99&gt;=60,"MEDIUM",IF(AH99&lt;60,"LOW")))),"-")</f>
        <v/>
      </c>
      <c r="AJ99" s="12" t="n"/>
      <c r="AK99" s="41">
        <f>IF(AND(W99="X",M99&lt;=$AJ$2),"YES","")</f>
        <v/>
      </c>
      <c r="AL99" s="38">
        <f>IF(AND(W99="X",M99&lt;=$AJ$2),S99,"")</f>
        <v/>
      </c>
      <c r="AM99" s="26">
        <f>IF(AND(W99="X",M99&gt;$AJ$2),"YES","")</f>
        <v/>
      </c>
      <c r="AN99" s="89">
        <f>IF(AND(W99="X",M99&gt;$AJ$2),S99,"")</f>
        <v/>
      </c>
      <c r="AO99" s="35">
        <f>IF(AND(W99="",M99&gt;0,$AJ$2&gt;M99,L99=""),1,0)</f>
        <v/>
      </c>
      <c r="AP99" s="26">
        <f>IF(AND(AK99="YES",W99="X"),"X","")</f>
        <v/>
      </c>
      <c r="AQ99" s="28">
        <f>IF(AP99="X",100%,0%)</f>
        <v/>
      </c>
      <c r="AR99" s="25">
        <f>IF(AND(T99&gt;0,L99=""),H99,"")</f>
        <v/>
      </c>
      <c r="AS99" s="25">
        <f>IF(AND(D99&gt;0,H99=0,G99=""),1,"")</f>
        <v/>
      </c>
      <c r="AT99" s="25">
        <f>IF(G99="BLOQ",1,"")</f>
        <v/>
      </c>
      <c r="AU99" s="25">
        <f>IF(L99="BLOQ",1,"")</f>
        <v/>
      </c>
      <c r="AV99" s="25">
        <f>MONTH(F99)</f>
        <v/>
      </c>
      <c r="AW99" s="65">
        <f>IF(AP99="",100%,0%)</f>
        <v/>
      </c>
      <c r="AX99" s="23" t="n"/>
      <c r="AY99" s="24">
        <f>IF(M99=0,"",M99-$AX$2)</f>
        <v/>
      </c>
      <c r="AZ99" s="66">
        <f>IF(AND(W99="",AY99&gt;0,AY99&lt;15),1,0)</f>
        <v/>
      </c>
      <c r="BA99" s="24">
        <f>IF(AND(W99="",AY99&gt;0,AY99&lt;15),T99,"")</f>
        <v/>
      </c>
      <c r="BB99" s="87">
        <f>IF(R99&lt;Q99,"X","")</f>
        <v/>
      </c>
      <c r="BC99" s="190" t="inlineStr">
        <is>
          <t>NO</t>
        </is>
      </c>
      <c r="BD99" s="190" t="inlineStr">
        <is>
          <t>NO</t>
        </is>
      </c>
    </row>
    <row r="100" ht="15" customHeight="1" s="162">
      <c r="A100" s="7" t="n">
        <v>99</v>
      </c>
      <c r="B100" t="inlineStr">
        <is>
          <t>1359900000500</t>
        </is>
      </c>
      <c r="C100" t="inlineStr">
        <is>
          <t>COMPRA DIRECTA ELECTRICOS/ELECTRONICOS</t>
        </is>
      </c>
      <c r="D100" t="inlineStr">
        <is>
          <t>1101797682</t>
        </is>
      </c>
      <c r="E100" t="inlineStr">
        <is>
          <t>3</t>
        </is>
      </c>
      <c r="F100" s="163" t="n">
        <v>45590</v>
      </c>
      <c r="G100" t="inlineStr"/>
      <c r="H100" t="inlineStr">
        <is>
          <t>4200583598</t>
        </is>
      </c>
      <c r="I100" t="inlineStr">
        <is>
          <t>30</t>
        </is>
      </c>
      <c r="J100" s="163" t="n">
        <v>45595</v>
      </c>
      <c r="K100" s="163" t="n">
        <v>45596</v>
      </c>
      <c r="L100" t="inlineStr"/>
      <c r="M100" s="163" t="n">
        <v>45643</v>
      </c>
      <c r="N100" s="164" t="n">
        <v>30</v>
      </c>
      <c r="O100" s="164" t="n">
        <v>8</v>
      </c>
      <c r="P100" t="inlineStr">
        <is>
          <t>Liberado</t>
        </is>
      </c>
      <c r="Q100" s="165" t="n">
        <v>1</v>
      </c>
      <c r="R100" s="165" t="n">
        <v>1</v>
      </c>
      <c r="S100" s="165" t="n">
        <v>1</v>
      </c>
      <c r="T100" s="165" t="n">
        <v>0</v>
      </c>
      <c r="U100" s="166" t="n">
        <v>0</v>
      </c>
      <c r="V100" s="166" t="n">
        <v>0</v>
      </c>
      <c r="W100" t="inlineStr">
        <is>
          <t>X</t>
        </is>
      </c>
      <c r="X100" t="inlineStr">
        <is>
          <t>0.00</t>
        </is>
      </c>
      <c r="Y100" t="inlineStr"/>
      <c r="Z100" t="inlineStr">
        <is>
          <t>(AEMSA)ALMACENES ELECTRICOS MADRILE</t>
        </is>
      </c>
      <c r="AA100" t="inlineStr">
        <is>
          <t>OTROS FABRICANTES</t>
        </is>
      </c>
      <c r="AB100" t="inlineStr">
        <is>
          <t>1359900000500</t>
        </is>
      </c>
      <c r="AC100" t="inlineStr"/>
      <c r="AD100" s="164" t="n">
        <v>0</v>
      </c>
      <c r="AE100" s="185" t="n">
        <v>0</v>
      </c>
      <c r="AG100" s="167" t="inlineStr">
        <is>
          <t>7218|JA2593_1001</t>
        </is>
      </c>
      <c r="AH100" s="46">
        <f>IF(M100=0,"-",M100-J100)</f>
        <v/>
      </c>
      <c r="AI100" s="46">
        <f>IF(AND(S100=0,M100&gt;0,L100=0),IF(AH100&gt;=120,"VERY HIGH",IF(AH100&gt;=90,"HIGH",IF(AH100&gt;=60,"MEDIUM",IF(AH100&lt;60,"LOW")))),"-")</f>
        <v/>
      </c>
      <c r="AJ100" s="12" t="n"/>
      <c r="AK100" s="41">
        <f>IF(AND(W100="X",M100&lt;=$AJ$2),"YES","")</f>
        <v/>
      </c>
      <c r="AL100" s="38">
        <f>IF(AND(W100="X",M100&lt;=$AJ$2),S100,"")</f>
        <v/>
      </c>
      <c r="AM100" s="26">
        <f>IF(AND(W100="X",M100&gt;$AJ$2),"YES","")</f>
        <v/>
      </c>
      <c r="AN100" s="89">
        <f>IF(AND(W100="X",M100&gt;$AJ$2),S100,"")</f>
        <v/>
      </c>
      <c r="AO100" s="35">
        <f>IF(AND(W100="",M100&gt;0,$AJ$2&gt;M100,L100=""),1,0)</f>
        <v/>
      </c>
      <c r="AP100" s="26">
        <f>IF(AND(AK100="YES",W100="X"),"X","")</f>
        <v/>
      </c>
      <c r="AQ100" s="28">
        <f>IF(AP100="X",100%,0%)</f>
        <v/>
      </c>
      <c r="AR100" s="25">
        <f>IF(AND(T100&gt;0,L100=""),H100,"")</f>
        <v/>
      </c>
      <c r="AS100" s="25">
        <f>IF(AND(D100&gt;0,H100=0,G100=""),1,"")</f>
        <v/>
      </c>
      <c r="AT100" s="25">
        <f>IF(G100="BLOQ",1,"")</f>
        <v/>
      </c>
      <c r="AU100" s="25">
        <f>IF(L100="BLOQ",1,"")</f>
        <v/>
      </c>
      <c r="AV100" s="25">
        <f>MONTH(F100)</f>
        <v/>
      </c>
      <c r="AW100" s="65">
        <f>IF(AP100="",100%,0%)</f>
        <v/>
      </c>
      <c r="AX100" s="23" t="n"/>
      <c r="AY100" s="24">
        <f>IF(M100=0,"",M100-$AX$2)</f>
        <v/>
      </c>
      <c r="AZ100" s="66">
        <f>IF(AND(W100="",AY100&gt;0,AY100&lt;15),1,0)</f>
        <v/>
      </c>
      <c r="BA100" s="24">
        <f>IF(AND(W100="",AY100&gt;0,AY100&lt;15),T100,"")</f>
        <v/>
      </c>
      <c r="BB100" s="87">
        <f>IF(R100&lt;Q100,"X","")</f>
        <v/>
      </c>
      <c r="BC100" s="190" t="inlineStr">
        <is>
          <t>NO</t>
        </is>
      </c>
      <c r="BD100" s="190" t="inlineStr">
        <is>
          <t>NO</t>
        </is>
      </c>
    </row>
    <row r="101" ht="15" customHeight="1" s="162">
      <c r="A101" s="7" t="n">
        <v>100</v>
      </c>
      <c r="B101" t="inlineStr">
        <is>
          <t>32111601</t>
        </is>
      </c>
      <c r="C101" t="inlineStr">
        <is>
          <t>Fototransistor NPN Vishay sensible a IR,</t>
        </is>
      </c>
      <c r="D101" t="inlineStr">
        <is>
          <t>1101797739</t>
        </is>
      </c>
      <c r="E101" t="inlineStr">
        <is>
          <t>1</t>
        </is>
      </c>
      <c r="F101" s="163" t="n">
        <v>45590</v>
      </c>
      <c r="G101" t="inlineStr"/>
      <c r="H101" t="inlineStr">
        <is>
          <t>4800002701</t>
        </is>
      </c>
      <c r="I101" t="inlineStr">
        <is>
          <t>4040</t>
        </is>
      </c>
      <c r="J101" s="163" t="n">
        <v>45589</v>
      </c>
      <c r="K101" s="163" t="inlineStr"/>
      <c r="L101" t="inlineStr"/>
      <c r="M101" s="163" t="n">
        <v>45591</v>
      </c>
      <c r="N101" s="164" t="n">
        <v>0</v>
      </c>
      <c r="O101" s="164" t="n">
        <v>0</v>
      </c>
      <c r="P101" t="inlineStr"/>
      <c r="Q101" s="165" t="n">
        <v>100</v>
      </c>
      <c r="R101" s="165" t="n">
        <v>100</v>
      </c>
      <c r="S101" s="165" t="n">
        <v>100</v>
      </c>
      <c r="T101" s="165" t="n">
        <v>0</v>
      </c>
      <c r="U101" s="166" t="n">
        <v>0</v>
      </c>
      <c r="V101" s="166" t="n">
        <v>0</v>
      </c>
      <c r="W101" t="inlineStr">
        <is>
          <t>X</t>
        </is>
      </c>
      <c r="X101" t="inlineStr">
        <is>
          <t>0.00</t>
        </is>
      </c>
      <c r="Y101" t="inlineStr"/>
      <c r="Z101" t="inlineStr">
        <is>
          <t>AMIDATA, S.A.</t>
        </is>
      </c>
      <c r="AA101" t="inlineStr"/>
      <c r="AB101" t="inlineStr">
        <is>
          <t>7000760P</t>
        </is>
      </c>
      <c r="AC101" t="inlineStr"/>
      <c r="AD101" s="164" t="n">
        <v>0</v>
      </c>
      <c r="AE101" s="185" t="n">
        <v>0</v>
      </c>
      <c r="AG101" s="167" t="inlineStr">
        <is>
          <t>7218|JA2593_1001</t>
        </is>
      </c>
      <c r="AH101" s="46">
        <f>IF(M101=0,"-",M101-J101)</f>
        <v/>
      </c>
      <c r="AI101" s="46">
        <f>IF(AND(S101=0,M101&gt;0,L101=0),IF(AH101&gt;=120,"VERY HIGH",IF(AH101&gt;=90,"HIGH",IF(AH101&gt;=60,"MEDIUM",IF(AH101&lt;60,"LOW")))),"-")</f>
        <v/>
      </c>
      <c r="AJ101" s="12" t="n"/>
      <c r="AK101" s="41">
        <f>IF(AND(W101="X",M101&lt;=$AJ$2),"YES","")</f>
        <v/>
      </c>
      <c r="AL101" s="38">
        <f>IF(AND(W101="X",M101&lt;=$AJ$2),S101,"")</f>
        <v/>
      </c>
      <c r="AM101" s="26">
        <f>IF(AND(W101="X",M101&gt;$AJ$2),"YES","")</f>
        <v/>
      </c>
      <c r="AN101" s="89">
        <f>IF(AND(W101="X",M101&gt;$AJ$2),S101,"")</f>
        <v/>
      </c>
      <c r="AO101" s="35">
        <f>IF(AND(W101="",M101&gt;0,$AJ$2&gt;M101,L101=""),1,0)</f>
        <v/>
      </c>
      <c r="AP101" s="26">
        <f>IF(AND(AK101="YES",W101="X"),"X","")</f>
        <v/>
      </c>
      <c r="AQ101" s="28">
        <f>IF(AP101="X",100%,0%)</f>
        <v/>
      </c>
      <c r="AR101" s="25">
        <f>IF(AND(T101&gt;0,L101=""),H101,"")</f>
        <v/>
      </c>
      <c r="AS101" s="25">
        <f>IF(AND(D101&gt;0,H101=0,G101=""),1,"")</f>
        <v/>
      </c>
      <c r="AT101" s="25">
        <f>IF(G101="BLOQ",1,"")</f>
        <v/>
      </c>
      <c r="AU101" s="25">
        <f>IF(L101="BLOQ",1,"")</f>
        <v/>
      </c>
      <c r="AV101" s="25">
        <f>MONTH(F101)</f>
        <v/>
      </c>
      <c r="AW101" s="65">
        <f>IF(AP101="",100%,0%)</f>
        <v/>
      </c>
      <c r="AX101" s="23" t="n"/>
      <c r="AY101" s="24">
        <f>IF(M101=0,"",M101-$AX$2)</f>
        <v/>
      </c>
      <c r="AZ101" s="66">
        <f>IF(AND(W101="",AY101&gt;0,AY101&lt;15),1,0)</f>
        <v/>
      </c>
      <c r="BA101" s="24">
        <f>IF(AND(W101="",AY101&gt;0,AY101&lt;15),T101,"")</f>
        <v/>
      </c>
      <c r="BB101" s="87">
        <f>IF(R101&lt;Q101,"X","")</f>
        <v/>
      </c>
      <c r="BC101" s="190" t="inlineStr">
        <is>
          <t>NO</t>
        </is>
      </c>
      <c r="BD101" s="190" t="inlineStr">
        <is>
          <t>NO</t>
        </is>
      </c>
    </row>
    <row r="102" ht="15" customHeight="1" s="162">
      <c r="A102" s="7" t="n">
        <v>101</v>
      </c>
      <c r="B102" t="inlineStr">
        <is>
          <t>9999000322010</t>
        </is>
      </c>
      <c r="C102" t="inlineStr">
        <is>
          <t>N.R. PANELES SIMULADORES</t>
        </is>
      </c>
      <c r="D102" t="inlineStr">
        <is>
          <t>1101797741</t>
        </is>
      </c>
      <c r="E102" t="inlineStr">
        <is>
          <t>1</t>
        </is>
      </c>
      <c r="F102" s="163" t="n">
        <v>45590</v>
      </c>
      <c r="G102" t="inlineStr"/>
      <c r="H102" t="inlineStr">
        <is>
          <t>4200583162</t>
        </is>
      </c>
      <c r="I102" t="inlineStr">
        <is>
          <t>10</t>
        </is>
      </c>
      <c r="J102" s="163" t="n">
        <v>45593</v>
      </c>
      <c r="K102" s="163" t="n">
        <v>45594</v>
      </c>
      <c r="L102" t="inlineStr"/>
      <c r="M102" s="163" t="n">
        <v>45657</v>
      </c>
      <c r="N102" s="164" t="n">
        <v>40</v>
      </c>
      <c r="O102" s="164" t="n">
        <v>8</v>
      </c>
      <c r="P102" t="inlineStr">
        <is>
          <t>Liberado</t>
        </is>
      </c>
      <c r="Q102" s="165" t="n">
        <v>1</v>
      </c>
      <c r="R102" s="165" t="n">
        <v>1</v>
      </c>
      <c r="S102" s="165" t="n">
        <v>1</v>
      </c>
      <c r="T102" s="165" t="n">
        <v>0</v>
      </c>
      <c r="U102" s="166" t="n">
        <v>0</v>
      </c>
      <c r="V102" s="166" t="n">
        <v>0</v>
      </c>
      <c r="W102" t="inlineStr">
        <is>
          <t>X</t>
        </is>
      </c>
      <c r="X102" t="inlineStr">
        <is>
          <t>0.00</t>
        </is>
      </c>
      <c r="Y102" t="inlineStr"/>
      <c r="Z102" t="inlineStr">
        <is>
          <t>SUMINISTROS, FRESADOS Y GRABADOS</t>
        </is>
      </c>
      <c r="AA102" t="inlineStr"/>
      <c r="AB102" t="inlineStr"/>
      <c r="AC102" t="inlineStr"/>
      <c r="AD102" s="164" t="n">
        <v>0</v>
      </c>
      <c r="AE102" s="185" t="n">
        <v>0</v>
      </c>
      <c r="AG102" s="167" t="inlineStr">
        <is>
          <t>7218|JA2588_1001</t>
        </is>
      </c>
      <c r="AH102" s="46">
        <f>IF(M102=0,"-",M102-J102)</f>
        <v/>
      </c>
      <c r="AI102" s="46">
        <f>IF(AND(S102=0,M102&gt;0,L102=0),IF(AH102&gt;=120,"VERY HIGH",IF(AH102&gt;=90,"HIGH",IF(AH102&gt;=60,"MEDIUM",IF(AH102&lt;60,"LOW")))),"-")</f>
        <v/>
      </c>
      <c r="AJ102" s="12" t="n"/>
      <c r="AK102" s="41">
        <f>IF(AND(W102="X",M102&lt;=$AJ$2),"YES","")</f>
        <v/>
      </c>
      <c r="AL102" s="38">
        <f>IF(AND(W102="X",M102&lt;=$AJ$2),S102,"")</f>
        <v/>
      </c>
      <c r="AM102" s="26">
        <f>IF(AND(W102="X",M102&gt;$AJ$2),"YES","")</f>
        <v/>
      </c>
      <c r="AN102" s="89">
        <f>IF(AND(W102="X",M102&gt;$AJ$2),S102,"")</f>
        <v/>
      </c>
      <c r="AO102" s="35">
        <f>IF(AND(W102="",M102&gt;0,$AJ$2&gt;M102,L102=""),1,0)</f>
        <v/>
      </c>
      <c r="AP102" s="26">
        <f>IF(AND(AK102="YES",W102="X"),"X","")</f>
        <v/>
      </c>
      <c r="AQ102" s="28">
        <f>IF(AP102="X",100%,0%)</f>
        <v/>
      </c>
      <c r="AR102" s="25">
        <f>IF(AND(T102&gt;0,L102=""),H102,"")</f>
        <v/>
      </c>
      <c r="AS102" s="25">
        <f>IF(AND(D102&gt;0,H102=0,G102=""),1,"")</f>
        <v/>
      </c>
      <c r="AT102" s="25">
        <f>IF(G102="BLOQ",1,"")</f>
        <v/>
      </c>
      <c r="AU102" s="25">
        <f>IF(L102="BLOQ",1,"")</f>
        <v/>
      </c>
      <c r="AV102" s="25">
        <f>MONTH(F102)</f>
        <v/>
      </c>
      <c r="AW102" s="65">
        <f>IF(AP102="",100%,0%)</f>
        <v/>
      </c>
      <c r="AX102" s="23" t="n"/>
      <c r="AY102" s="24">
        <f>IF(M102=0,"",M102-$AX$2)</f>
        <v/>
      </c>
      <c r="AZ102" s="66">
        <f>IF(AND(W102="",AY102&gt;0,AY102&lt;15),1,0)</f>
        <v/>
      </c>
      <c r="BA102" s="24">
        <f>IF(AND(W102="",AY102&gt;0,AY102&lt;15),T102,"")</f>
        <v/>
      </c>
      <c r="BB102" s="87">
        <f>IF(R102&lt;Q102,"X","")</f>
        <v/>
      </c>
      <c r="BC102" s="190" t="inlineStr">
        <is>
          <t>NO</t>
        </is>
      </c>
      <c r="BD102" s="191" t="inlineStr">
        <is>
          <t>SI</t>
        </is>
      </c>
    </row>
    <row r="103" ht="15" customHeight="1" s="162">
      <c r="A103" s="7" t="n">
        <v>102</v>
      </c>
      <c r="B103" t="inlineStr">
        <is>
          <t>9999000322010</t>
        </is>
      </c>
      <c r="C103" t="inlineStr">
        <is>
          <t>N.R. PANELES SIMULADORES</t>
        </is>
      </c>
      <c r="D103" t="inlineStr">
        <is>
          <t>1101797741</t>
        </is>
      </c>
      <c r="E103" t="inlineStr">
        <is>
          <t>2</t>
        </is>
      </c>
      <c r="F103" s="163" t="n">
        <v>45590</v>
      </c>
      <c r="G103" t="inlineStr"/>
      <c r="H103" t="inlineStr">
        <is>
          <t>4200583162</t>
        </is>
      </c>
      <c r="I103" t="inlineStr">
        <is>
          <t>20</t>
        </is>
      </c>
      <c r="J103" s="163" t="n">
        <v>45593</v>
      </c>
      <c r="K103" s="163" t="n">
        <v>45594</v>
      </c>
      <c r="L103" t="inlineStr"/>
      <c r="M103" s="163" t="n">
        <v>45657</v>
      </c>
      <c r="N103" s="164" t="n">
        <v>40</v>
      </c>
      <c r="O103" s="164" t="n">
        <v>8</v>
      </c>
      <c r="P103" t="inlineStr">
        <is>
          <t>Liberado</t>
        </is>
      </c>
      <c r="Q103" s="165" t="n">
        <v>1</v>
      </c>
      <c r="R103" s="165" t="n">
        <v>1</v>
      </c>
      <c r="S103" s="165" t="n">
        <v>1</v>
      </c>
      <c r="T103" s="165" t="n">
        <v>0</v>
      </c>
      <c r="U103" s="166" t="n">
        <v>0</v>
      </c>
      <c r="V103" s="166" t="n">
        <v>0</v>
      </c>
      <c r="W103" t="inlineStr">
        <is>
          <t>X</t>
        </is>
      </c>
      <c r="X103" t="inlineStr">
        <is>
          <t>0.00</t>
        </is>
      </c>
      <c r="Y103" t="inlineStr"/>
      <c r="Z103" t="inlineStr">
        <is>
          <t>SUMINISTROS, FRESADOS Y GRABADOS</t>
        </is>
      </c>
      <c r="AA103" t="inlineStr"/>
      <c r="AB103" t="inlineStr"/>
      <c r="AC103" t="inlineStr"/>
      <c r="AD103" s="164" t="n">
        <v>0</v>
      </c>
      <c r="AE103" s="185" t="n">
        <v>0</v>
      </c>
      <c r="AG103" s="167" t="inlineStr">
        <is>
          <t>7218|JA2588_1001</t>
        </is>
      </c>
      <c r="AH103" s="46">
        <f>IF(M103=0,"-",M103-J103)</f>
        <v/>
      </c>
      <c r="AI103" s="46">
        <f>IF(AND(S103=0,M103&gt;0,L103=0),IF(AH103&gt;=120,"VERY HIGH",IF(AH103&gt;=90,"HIGH",IF(AH103&gt;=60,"MEDIUM",IF(AH103&lt;60,"LOW")))),"-")</f>
        <v/>
      </c>
      <c r="AJ103" s="12" t="n"/>
      <c r="AK103" s="41">
        <f>IF(AND(W103="X",M103&lt;=$AJ$2),"YES","")</f>
        <v/>
      </c>
      <c r="AL103" s="38">
        <f>IF(AND(W103="X",M103&lt;=$AJ$2),S103,"")</f>
        <v/>
      </c>
      <c r="AM103" s="26">
        <f>IF(AND(W103="X",M103&gt;$AJ$2),"YES","")</f>
        <v/>
      </c>
      <c r="AN103" s="89">
        <f>IF(AND(W103="X",M103&gt;$AJ$2),S103,"")</f>
        <v/>
      </c>
      <c r="AO103" s="35">
        <f>IF(AND(W103="",M103&gt;0,$AJ$2&gt;M103,L103=""),1,0)</f>
        <v/>
      </c>
      <c r="AP103" s="26">
        <f>IF(AND(AK103="YES",W103="X"),"X","")</f>
        <v/>
      </c>
      <c r="AQ103" s="28">
        <f>IF(AP103="X",100%,0%)</f>
        <v/>
      </c>
      <c r="AR103" s="25">
        <f>IF(AND(T103&gt;0,L103=""),H103,"")</f>
        <v/>
      </c>
      <c r="AS103" s="25">
        <f>IF(AND(D103&gt;0,H103=0,G103=""),1,"")</f>
        <v/>
      </c>
      <c r="AT103" s="25">
        <f>IF(G103="BLOQ",1,"")</f>
        <v/>
      </c>
      <c r="AU103" s="25">
        <f>IF(L103="BLOQ",1,"")</f>
        <v/>
      </c>
      <c r="AV103" s="25">
        <f>MONTH(F103)</f>
        <v/>
      </c>
      <c r="AW103" s="65">
        <f>IF(AP103="",100%,0%)</f>
        <v/>
      </c>
      <c r="AX103" s="23" t="n"/>
      <c r="AY103" s="24">
        <f>IF(M103=0,"",M103-$AX$2)</f>
        <v/>
      </c>
      <c r="AZ103" s="66">
        <f>IF(AND(W103="",AY103&gt;0,AY103&lt;15),1,0)</f>
        <v/>
      </c>
      <c r="BA103" s="24">
        <f>IF(AND(W103="",AY103&gt;0,AY103&lt;15),T103,"")</f>
        <v/>
      </c>
      <c r="BB103" s="87">
        <f>IF(R103&lt;Q103,"X","")</f>
        <v/>
      </c>
      <c r="BC103" s="190" t="inlineStr">
        <is>
          <t>NO</t>
        </is>
      </c>
      <c r="BD103" s="191" t="inlineStr">
        <is>
          <t>SI</t>
        </is>
      </c>
    </row>
    <row r="104" ht="15" customHeight="1" s="162">
      <c r="A104" s="7" t="n">
        <v>103</v>
      </c>
      <c r="B104" t="inlineStr">
        <is>
          <t>9999000322010</t>
        </is>
      </c>
      <c r="C104" t="inlineStr">
        <is>
          <t>N.R. PANELES SIMULADORES</t>
        </is>
      </c>
      <c r="D104" t="inlineStr">
        <is>
          <t>1101797741</t>
        </is>
      </c>
      <c r="E104" t="inlineStr">
        <is>
          <t>3</t>
        </is>
      </c>
      <c r="F104" s="163" t="n">
        <v>45590</v>
      </c>
      <c r="G104" t="inlineStr"/>
      <c r="H104" t="inlineStr">
        <is>
          <t>4200583162</t>
        </is>
      </c>
      <c r="I104" t="inlineStr">
        <is>
          <t>30</t>
        </is>
      </c>
      <c r="J104" s="163" t="n">
        <v>45593</v>
      </c>
      <c r="K104" s="163" t="n">
        <v>45594</v>
      </c>
      <c r="L104" t="inlineStr"/>
      <c r="M104" s="163" t="n">
        <v>45657</v>
      </c>
      <c r="N104" s="164" t="n">
        <v>40</v>
      </c>
      <c r="O104" s="164" t="n">
        <v>8</v>
      </c>
      <c r="P104" t="inlineStr">
        <is>
          <t>Liberado</t>
        </is>
      </c>
      <c r="Q104" s="165" t="n">
        <v>1</v>
      </c>
      <c r="R104" s="165" t="n">
        <v>1</v>
      </c>
      <c r="S104" s="165" t="n">
        <v>1</v>
      </c>
      <c r="T104" s="165" t="n">
        <v>0</v>
      </c>
      <c r="U104" s="166" t="n">
        <v>0</v>
      </c>
      <c r="V104" s="166" t="n">
        <v>0</v>
      </c>
      <c r="W104" t="inlineStr">
        <is>
          <t>X</t>
        </is>
      </c>
      <c r="X104" t="inlineStr">
        <is>
          <t>0.00</t>
        </is>
      </c>
      <c r="Y104" t="inlineStr"/>
      <c r="Z104" t="inlineStr">
        <is>
          <t>SUMINISTROS, FRESADOS Y GRABADOS</t>
        </is>
      </c>
      <c r="AA104" t="inlineStr"/>
      <c r="AB104" t="inlineStr"/>
      <c r="AC104" t="inlineStr"/>
      <c r="AD104" s="164" t="n">
        <v>0</v>
      </c>
      <c r="AE104" s="185" t="n">
        <v>0</v>
      </c>
      <c r="AG104" s="167" t="inlineStr">
        <is>
          <t>7218|JA2588_1001</t>
        </is>
      </c>
      <c r="AH104" s="46">
        <f>IF(M104=0,"-",M104-J104)</f>
        <v/>
      </c>
      <c r="AI104" s="46">
        <f>IF(AND(S104=0,M104&gt;0,L104=0),IF(AH104&gt;=120,"VERY HIGH",IF(AH104&gt;=90,"HIGH",IF(AH104&gt;=60,"MEDIUM",IF(AH104&lt;60,"LOW")))),"-")</f>
        <v/>
      </c>
      <c r="AJ104" s="12" t="n"/>
      <c r="AK104" s="41">
        <f>IF(AND(W104="X",M104&lt;=$AJ$2),"YES","")</f>
        <v/>
      </c>
      <c r="AL104" s="38">
        <f>IF(AND(W104="X",M104&lt;=$AJ$2),S104,"")</f>
        <v/>
      </c>
      <c r="AM104" s="26">
        <f>IF(AND(W104="X",M104&gt;$AJ$2),"YES","")</f>
        <v/>
      </c>
      <c r="AN104" s="89">
        <f>IF(AND(W104="X",M104&gt;$AJ$2),S104,"")</f>
        <v/>
      </c>
      <c r="AO104" s="35">
        <f>IF(AND(W104="",M104&gt;0,$AJ$2&gt;M104,L104=""),1,0)</f>
        <v/>
      </c>
      <c r="AP104" s="26">
        <f>IF(AND(AK104="YES",W104="X"),"X","")</f>
        <v/>
      </c>
      <c r="AQ104" s="28">
        <f>IF(AP104="X",100%,0%)</f>
        <v/>
      </c>
      <c r="AR104" s="25">
        <f>IF(AND(T104&gt;0,L104=""),H104,"")</f>
        <v/>
      </c>
      <c r="AS104" s="25">
        <f>IF(AND(D104&gt;0,H104=0,G104=""),1,"")</f>
        <v/>
      </c>
      <c r="AT104" s="25">
        <f>IF(G104="BLOQ",1,"")</f>
        <v/>
      </c>
      <c r="AU104" s="25">
        <f>IF(L104="BLOQ",1,"")</f>
        <v/>
      </c>
      <c r="AV104" s="25">
        <f>MONTH(F104)</f>
        <v/>
      </c>
      <c r="AW104" s="65">
        <f>IF(AP104="",100%,0%)</f>
        <v/>
      </c>
      <c r="AX104" s="23" t="n"/>
      <c r="AY104" s="24">
        <f>IF(M104=0,"",M104-$AX$2)</f>
        <v/>
      </c>
      <c r="AZ104" s="66">
        <f>IF(AND(W104="",AY104&gt;0,AY104&lt;15),1,0)</f>
        <v/>
      </c>
      <c r="BA104" s="24">
        <f>IF(AND(W104="",AY104&gt;0,AY104&lt;15),T104,"")</f>
        <v/>
      </c>
      <c r="BB104" s="87">
        <f>IF(R104&lt;Q104,"X","")</f>
        <v/>
      </c>
      <c r="BC104" s="190" t="inlineStr">
        <is>
          <t>NO</t>
        </is>
      </c>
      <c r="BD104" s="191" t="inlineStr">
        <is>
          <t>SI</t>
        </is>
      </c>
    </row>
    <row r="105" ht="15" customHeight="1" s="162">
      <c r="A105" s="7" t="n">
        <v>104</v>
      </c>
      <c r="B105" t="inlineStr">
        <is>
          <t>9999000322010</t>
        </is>
      </c>
      <c r="C105" t="inlineStr">
        <is>
          <t>N.R. PANELES SIMULADORES</t>
        </is>
      </c>
      <c r="D105" t="inlineStr">
        <is>
          <t>1101797741</t>
        </is>
      </c>
      <c r="E105" t="inlineStr">
        <is>
          <t>4</t>
        </is>
      </c>
      <c r="F105" s="163" t="n">
        <v>45590</v>
      </c>
      <c r="G105" t="inlineStr"/>
      <c r="H105" t="inlineStr">
        <is>
          <t>4200583162</t>
        </is>
      </c>
      <c r="I105" t="inlineStr">
        <is>
          <t>40</t>
        </is>
      </c>
      <c r="J105" s="163" t="n">
        <v>45593</v>
      </c>
      <c r="K105" s="163" t="n">
        <v>45594</v>
      </c>
      <c r="L105" t="inlineStr"/>
      <c r="M105" s="163" t="n">
        <v>45657</v>
      </c>
      <c r="N105" s="164" t="n">
        <v>40</v>
      </c>
      <c r="O105" s="164" t="n">
        <v>8</v>
      </c>
      <c r="P105" t="inlineStr">
        <is>
          <t>Liberado</t>
        </is>
      </c>
      <c r="Q105" s="165" t="n">
        <v>1</v>
      </c>
      <c r="R105" s="165" t="n">
        <v>1</v>
      </c>
      <c r="S105" s="165" t="n">
        <v>1</v>
      </c>
      <c r="T105" s="165" t="n">
        <v>0</v>
      </c>
      <c r="U105" s="166" t="n">
        <v>0</v>
      </c>
      <c r="V105" s="166" t="n">
        <v>0</v>
      </c>
      <c r="W105" t="inlineStr">
        <is>
          <t>X</t>
        </is>
      </c>
      <c r="X105" t="inlineStr">
        <is>
          <t>0.00</t>
        </is>
      </c>
      <c r="Y105" t="inlineStr"/>
      <c r="Z105" t="inlineStr">
        <is>
          <t>SUMINISTROS, FRESADOS Y GRABADOS</t>
        </is>
      </c>
      <c r="AA105" t="inlineStr"/>
      <c r="AB105" t="inlineStr"/>
      <c r="AC105" t="inlineStr"/>
      <c r="AD105" s="164" t="n">
        <v>0</v>
      </c>
      <c r="AE105" s="185" t="n">
        <v>0</v>
      </c>
      <c r="AG105" s="167" t="inlineStr">
        <is>
          <t>7218|JA2588_1001</t>
        </is>
      </c>
      <c r="AH105" s="46">
        <f>IF(M105=0,"-",M105-J105)</f>
        <v/>
      </c>
      <c r="AI105" s="46">
        <f>IF(AND(S105=0,M105&gt;0,L105=0),IF(AH105&gt;=120,"VERY HIGH",IF(AH105&gt;=90,"HIGH",IF(AH105&gt;=60,"MEDIUM",IF(AH105&lt;60,"LOW")))),"-")</f>
        <v/>
      </c>
      <c r="AJ105" s="12" t="n"/>
      <c r="AK105" s="41">
        <f>IF(AND(W105="X",M105&lt;=$AJ$2),"YES","")</f>
        <v/>
      </c>
      <c r="AL105" s="38">
        <f>IF(AND(W105="X",M105&lt;=$AJ$2),S105,"")</f>
        <v/>
      </c>
      <c r="AM105" s="26">
        <f>IF(AND(W105="X",M105&gt;$AJ$2),"YES","")</f>
        <v/>
      </c>
      <c r="AN105" s="89">
        <f>IF(AND(W105="X",M105&gt;$AJ$2),S105,"")</f>
        <v/>
      </c>
      <c r="AO105" s="35">
        <f>IF(AND(W105="",M105&gt;0,$AJ$2&gt;M105,L105=""),1,0)</f>
        <v/>
      </c>
      <c r="AP105" s="26">
        <f>IF(AND(AK105="YES",W105="X"),"X","")</f>
        <v/>
      </c>
      <c r="AQ105" s="28">
        <f>IF(AP105="X",100%,0%)</f>
        <v/>
      </c>
      <c r="AR105" s="25">
        <f>IF(AND(T105&gt;0,L105=""),H105,"")</f>
        <v/>
      </c>
      <c r="AS105" s="25">
        <f>IF(AND(D105&gt;0,H105=0,G105=""),1,"")</f>
        <v/>
      </c>
      <c r="AT105" s="25">
        <f>IF(G105="BLOQ",1,"")</f>
        <v/>
      </c>
      <c r="AU105" s="25">
        <f>IF(L105="BLOQ",1,"")</f>
        <v/>
      </c>
      <c r="AV105" s="25">
        <f>MONTH(F105)</f>
        <v/>
      </c>
      <c r="AW105" s="65">
        <f>IF(AP105="",100%,0%)</f>
        <v/>
      </c>
      <c r="AX105" s="23" t="n"/>
      <c r="AY105" s="24">
        <f>IF(M105=0,"",M105-$AX$2)</f>
        <v/>
      </c>
      <c r="AZ105" s="66">
        <f>IF(AND(W105="",AY105&gt;0,AY105&lt;15),1,0)</f>
        <v/>
      </c>
      <c r="BA105" s="24">
        <f>IF(AND(W105="",AY105&gt;0,AY105&lt;15),T105,"")</f>
        <v/>
      </c>
      <c r="BB105" s="87">
        <f>IF(R105&lt;Q105,"X","")</f>
        <v/>
      </c>
      <c r="BC105" s="190" t="inlineStr">
        <is>
          <t>NO</t>
        </is>
      </c>
      <c r="BD105" s="191" t="inlineStr">
        <is>
          <t>SI</t>
        </is>
      </c>
    </row>
    <row r="106" ht="15" customHeight="1" s="162">
      <c r="A106" s="7" t="n">
        <v>105</v>
      </c>
      <c r="B106" t="inlineStr">
        <is>
          <t>9999000322010</t>
        </is>
      </c>
      <c r="C106" t="inlineStr">
        <is>
          <t>N.R. PANELES SIMULADORES</t>
        </is>
      </c>
      <c r="D106" t="inlineStr">
        <is>
          <t>1101797741</t>
        </is>
      </c>
      <c r="E106" t="inlineStr">
        <is>
          <t>5</t>
        </is>
      </c>
      <c r="F106" s="163" t="n">
        <v>45590</v>
      </c>
      <c r="G106" t="inlineStr"/>
      <c r="H106" t="inlineStr">
        <is>
          <t>4200583162</t>
        </is>
      </c>
      <c r="I106" t="inlineStr">
        <is>
          <t>50</t>
        </is>
      </c>
      <c r="J106" s="163" t="n">
        <v>45593</v>
      </c>
      <c r="K106" s="163" t="n">
        <v>45594</v>
      </c>
      <c r="L106" t="inlineStr"/>
      <c r="M106" s="163" t="n">
        <v>45657</v>
      </c>
      <c r="N106" s="164" t="n">
        <v>40</v>
      </c>
      <c r="O106" s="164" t="n">
        <v>8</v>
      </c>
      <c r="P106" t="inlineStr">
        <is>
          <t>Liberado</t>
        </is>
      </c>
      <c r="Q106" s="165" t="n">
        <v>1</v>
      </c>
      <c r="R106" s="165" t="n">
        <v>1</v>
      </c>
      <c r="S106" s="165" t="n">
        <v>1</v>
      </c>
      <c r="T106" s="165" t="n">
        <v>0</v>
      </c>
      <c r="U106" s="166" t="n">
        <v>0</v>
      </c>
      <c r="V106" s="166" t="n">
        <v>0</v>
      </c>
      <c r="W106" t="inlineStr">
        <is>
          <t>X</t>
        </is>
      </c>
      <c r="X106" t="inlineStr">
        <is>
          <t>0.00</t>
        </is>
      </c>
      <c r="Y106" t="inlineStr"/>
      <c r="Z106" t="inlineStr">
        <is>
          <t>SUMINISTROS, FRESADOS Y GRABADOS</t>
        </is>
      </c>
      <c r="AA106" t="inlineStr"/>
      <c r="AB106" t="inlineStr"/>
      <c r="AC106" t="inlineStr"/>
      <c r="AD106" s="164" t="n">
        <v>0</v>
      </c>
      <c r="AE106" s="185" t="n">
        <v>0</v>
      </c>
      <c r="AG106" s="167" t="inlineStr">
        <is>
          <t>7218|JA2588_1001</t>
        </is>
      </c>
      <c r="AH106" s="46">
        <f>IF(M106=0,"-",M106-J106)</f>
        <v/>
      </c>
      <c r="AI106" s="46">
        <f>IF(AND(S106=0,M106&gt;0,L106=0),IF(AH106&gt;=120,"VERY HIGH",IF(AH106&gt;=90,"HIGH",IF(AH106&gt;=60,"MEDIUM",IF(AH106&lt;60,"LOW")))),"-")</f>
        <v/>
      </c>
      <c r="AJ106" s="12" t="n"/>
      <c r="AK106" s="41">
        <f>IF(AND(W106="X",M106&lt;=$AJ$2),"YES","")</f>
        <v/>
      </c>
      <c r="AL106" s="38">
        <f>IF(AND(W106="X",M106&lt;=$AJ$2),S106,"")</f>
        <v/>
      </c>
      <c r="AM106" s="26">
        <f>IF(AND(W106="X",M106&gt;$AJ$2),"YES","")</f>
        <v/>
      </c>
      <c r="AN106" s="89">
        <f>IF(AND(W106="X",M106&gt;$AJ$2),S106,"")</f>
        <v/>
      </c>
      <c r="AO106" s="35">
        <f>IF(AND(W106="",M106&gt;0,$AJ$2&gt;M106,L106=""),1,0)</f>
        <v/>
      </c>
      <c r="AP106" s="26">
        <f>IF(AND(AK106="YES",W106="X"),"X","")</f>
        <v/>
      </c>
      <c r="AQ106" s="28">
        <f>IF(AP106="X",100%,0%)</f>
        <v/>
      </c>
      <c r="AR106" s="25">
        <f>IF(AND(T106&gt;0,L106=""),H106,"")</f>
        <v/>
      </c>
      <c r="AS106" s="25">
        <f>IF(AND(D106&gt;0,H106=0,G106=""),1,"")</f>
        <v/>
      </c>
      <c r="AT106" s="25">
        <f>IF(G106="BLOQ",1,"")</f>
        <v/>
      </c>
      <c r="AU106" s="25">
        <f>IF(L106="BLOQ",1,"")</f>
        <v/>
      </c>
      <c r="AV106" s="25">
        <f>MONTH(F106)</f>
        <v/>
      </c>
      <c r="AW106" s="65">
        <f>IF(AP106="",100%,0%)</f>
        <v/>
      </c>
      <c r="AX106" s="23" t="n"/>
      <c r="AY106" s="24">
        <f>IF(M106=0,"",M106-$AX$2)</f>
        <v/>
      </c>
      <c r="AZ106" s="66">
        <f>IF(AND(W106="",AY106&gt;0,AY106&lt;15),1,0)</f>
        <v/>
      </c>
      <c r="BA106" s="24">
        <f>IF(AND(W106="",AY106&gt;0,AY106&lt;15),T106,"")</f>
        <v/>
      </c>
      <c r="BB106" s="87">
        <f>IF(R106&lt;Q106,"X","")</f>
        <v/>
      </c>
      <c r="BC106" s="190" t="inlineStr">
        <is>
          <t>NO</t>
        </is>
      </c>
      <c r="BD106" s="191" t="inlineStr">
        <is>
          <t>SI</t>
        </is>
      </c>
    </row>
    <row r="107" ht="15" customHeight="1" s="162">
      <c r="A107" s="7" t="n">
        <v>106</v>
      </c>
      <c r="B107" t="inlineStr">
        <is>
          <t>39121432</t>
        </is>
      </c>
      <c r="C107" t="inlineStr">
        <is>
          <t>Terminal de leng&amp;#252;eta hembra TE Conn</t>
        </is>
      </c>
      <c r="D107" t="inlineStr">
        <is>
          <t>1101798256</t>
        </is>
      </c>
      <c r="E107" t="inlineStr">
        <is>
          <t>1</t>
        </is>
      </c>
      <c r="F107" s="163" t="n">
        <v>45593</v>
      </c>
      <c r="G107" t="inlineStr"/>
      <c r="H107" t="inlineStr">
        <is>
          <t>4800002706</t>
        </is>
      </c>
      <c r="I107" t="inlineStr">
        <is>
          <t>580</t>
        </is>
      </c>
      <c r="J107" s="163" t="n">
        <v>45594</v>
      </c>
      <c r="K107" s="163" t="inlineStr"/>
      <c r="L107" t="inlineStr"/>
      <c r="M107" s="163" t="n">
        <v>45594</v>
      </c>
      <c r="N107" s="164" t="n">
        <v>0</v>
      </c>
      <c r="O107" s="164" t="n">
        <v>0</v>
      </c>
      <c r="P107" t="inlineStr"/>
      <c r="Q107" s="165" t="n">
        <v>200</v>
      </c>
      <c r="R107" s="165" t="n">
        <v>200</v>
      </c>
      <c r="S107" s="165" t="n">
        <v>200</v>
      </c>
      <c r="T107" s="165" t="n">
        <v>0</v>
      </c>
      <c r="U107" s="166" t="n">
        <v>0</v>
      </c>
      <c r="V107" s="166" t="n">
        <v>0</v>
      </c>
      <c r="W107" t="inlineStr">
        <is>
          <t>X</t>
        </is>
      </c>
      <c r="X107" t="inlineStr">
        <is>
          <t>0.00</t>
        </is>
      </c>
      <c r="Y107" t="inlineStr"/>
      <c r="Z107" t="inlineStr">
        <is>
          <t>AMIDATA, S.A.</t>
        </is>
      </c>
      <c r="AA107" t="inlineStr"/>
      <c r="AB107" t="inlineStr">
        <is>
          <t>7197145</t>
        </is>
      </c>
      <c r="AC107" t="inlineStr"/>
      <c r="AD107" s="164" t="n">
        <v>0</v>
      </c>
      <c r="AE107" s="185" t="n">
        <v>0</v>
      </c>
      <c r="AG107" s="167" t="inlineStr">
        <is>
          <t>7218|JA2581_1001</t>
        </is>
      </c>
      <c r="AH107" s="46">
        <f>IF(M107=0,"-",M107-J107)</f>
        <v/>
      </c>
      <c r="AI107" s="46">
        <f>IF(AND(S107=0,M107&gt;0,L107=0),IF(AH107&gt;=120,"VERY HIGH",IF(AH107&gt;=90,"HIGH",IF(AH107&gt;=60,"MEDIUM",IF(AH107&lt;60,"LOW")))),"-")</f>
        <v/>
      </c>
      <c r="AJ107" s="12" t="n"/>
      <c r="AK107" s="41">
        <f>IF(AND(W107="X",M107&lt;=$AJ$2),"YES","")</f>
        <v/>
      </c>
      <c r="AL107" s="38">
        <f>IF(AND(W107="X",M107&lt;=$AJ$2),S107,"")</f>
        <v/>
      </c>
      <c r="AM107" s="26">
        <f>IF(AND(W107="X",M107&gt;$AJ$2),"YES","")</f>
        <v/>
      </c>
      <c r="AN107" s="89">
        <f>IF(AND(W107="X",M107&gt;$AJ$2),S107,"")</f>
        <v/>
      </c>
      <c r="AO107" s="35">
        <f>IF(AND(W107="",M107&gt;0,$AJ$2&gt;M107,L107=""),1,0)</f>
        <v/>
      </c>
      <c r="AP107" s="26">
        <f>IF(AND(AK107="YES",W107="X"),"X","")</f>
        <v/>
      </c>
      <c r="AQ107" s="28">
        <f>IF(AP107="X",100%,0%)</f>
        <v/>
      </c>
      <c r="AR107" s="25">
        <f>IF(AND(T107&gt;0,L107=""),H107,"")</f>
        <v/>
      </c>
      <c r="AS107" s="25">
        <f>IF(AND(D107&gt;0,H107=0,G107=""),1,"")</f>
        <v/>
      </c>
      <c r="AT107" s="25">
        <f>IF(G107="BLOQ",1,"")</f>
        <v/>
      </c>
      <c r="AU107" s="25">
        <f>IF(L107="BLOQ",1,"")</f>
        <v/>
      </c>
      <c r="AV107" s="25">
        <f>MONTH(F107)</f>
        <v/>
      </c>
      <c r="AW107" s="65">
        <f>IF(AP107="",100%,0%)</f>
        <v/>
      </c>
      <c r="AX107" s="23" t="n"/>
      <c r="AY107" s="24">
        <f>IF(M107=0,"",M107-$AX$2)</f>
        <v/>
      </c>
      <c r="AZ107" s="66">
        <f>IF(AND(W107="",AY107&gt;0,AY107&lt;15),1,0)</f>
        <v/>
      </c>
      <c r="BA107" s="24">
        <f>IF(AND(W107="",AY107&gt;0,AY107&lt;15),T107,"")</f>
        <v/>
      </c>
      <c r="BB107" s="87">
        <f>IF(R107&lt;Q107,"X","")</f>
        <v/>
      </c>
      <c r="BC107" s="190" t="inlineStr">
        <is>
          <t>NO</t>
        </is>
      </c>
      <c r="BD107" s="190" t="inlineStr">
        <is>
          <t>NO</t>
        </is>
      </c>
    </row>
    <row r="108" ht="15" customHeight="1" s="162">
      <c r="A108" s="7" t="n">
        <v>107</v>
      </c>
      <c r="B108" t="inlineStr">
        <is>
          <t>27112147</t>
        </is>
      </c>
      <c r="C108" t="inlineStr">
        <is>
          <t>Herramienta de crimpado Molex, serie 207</t>
        </is>
      </c>
      <c r="D108" t="inlineStr">
        <is>
          <t>1101798585</t>
        </is>
      </c>
      <c r="E108" t="inlineStr">
        <is>
          <t>1</t>
        </is>
      </c>
      <c r="F108" s="163" t="n">
        <v>45594</v>
      </c>
      <c r="G108" t="inlineStr"/>
      <c r="H108" t="inlineStr">
        <is>
          <t>4800002706</t>
        </is>
      </c>
      <c r="I108" t="inlineStr">
        <is>
          <t>750</t>
        </is>
      </c>
      <c r="J108" s="163" t="n">
        <v>45594</v>
      </c>
      <c r="K108" s="163" t="inlineStr"/>
      <c r="L108" t="inlineStr"/>
      <c r="M108" s="163" t="n">
        <v>45595</v>
      </c>
      <c r="N108" s="164" t="n">
        <v>0</v>
      </c>
      <c r="O108" s="164" t="n">
        <v>0</v>
      </c>
      <c r="P108" t="inlineStr"/>
      <c r="Q108" s="165" t="n">
        <v>1</v>
      </c>
      <c r="R108" s="165" t="n">
        <v>1</v>
      </c>
      <c r="S108" s="165" t="n">
        <v>1</v>
      </c>
      <c r="T108" s="165" t="n">
        <v>0</v>
      </c>
      <c r="U108" s="166" t="n">
        <v>0</v>
      </c>
      <c r="V108" s="166" t="n">
        <v>0</v>
      </c>
      <c r="W108" t="inlineStr">
        <is>
          <t>X</t>
        </is>
      </c>
      <c r="X108" t="inlineStr">
        <is>
          <t>0.00</t>
        </is>
      </c>
      <c r="Y108" t="inlineStr"/>
      <c r="Z108" t="inlineStr">
        <is>
          <t>AMIDATA, S.A.</t>
        </is>
      </c>
      <c r="AA108" t="inlineStr"/>
      <c r="AB108" t="inlineStr">
        <is>
          <t>1754238</t>
        </is>
      </c>
      <c r="AC108" t="inlineStr"/>
      <c r="AD108" s="164" t="n">
        <v>0</v>
      </c>
      <c r="AE108" s="185" t="n">
        <v>0</v>
      </c>
      <c r="AG108" s="167" t="inlineStr">
        <is>
          <t>7218|JA2593_1001</t>
        </is>
      </c>
      <c r="AH108" s="46">
        <f>IF(M108=0,"-",M108-J108)</f>
        <v/>
      </c>
      <c r="AI108" s="46">
        <f>IF(AND(S108=0,M108&gt;0,L108=0),IF(AH108&gt;=120,"VERY HIGH",IF(AH108&gt;=90,"HIGH",IF(AH108&gt;=60,"MEDIUM",IF(AH108&lt;60,"LOW")))),"-")</f>
        <v/>
      </c>
      <c r="AJ108" s="12" t="n"/>
      <c r="AK108" s="41">
        <f>IF(AND(W108="X",M108&lt;=$AJ$2),"YES","")</f>
        <v/>
      </c>
      <c r="AL108" s="38">
        <f>IF(AND(W108="X",M108&lt;=$AJ$2),S108,"")</f>
        <v/>
      </c>
      <c r="AM108" s="26">
        <f>IF(AND(W108="X",M108&gt;$AJ$2),"YES","")</f>
        <v/>
      </c>
      <c r="AN108" s="89">
        <f>IF(AND(W108="X",M108&gt;$AJ$2),S108,"")</f>
        <v/>
      </c>
      <c r="AO108" s="35">
        <f>IF(AND(W108="",M108&gt;0,$AJ$2&gt;M108,L108=""),1,0)</f>
        <v/>
      </c>
      <c r="AP108" s="26">
        <f>IF(AND(AK108="YES",W108="X"),"X","")</f>
        <v/>
      </c>
      <c r="AQ108" s="28">
        <f>IF(AP108="X",100%,0%)</f>
        <v/>
      </c>
      <c r="AR108" s="25">
        <f>IF(AND(T108&gt;0,L108=""),H108,"")</f>
        <v/>
      </c>
      <c r="AS108" s="25">
        <f>IF(AND(D108&gt;0,H108=0,G108=""),1,"")</f>
        <v/>
      </c>
      <c r="AT108" s="25">
        <f>IF(G108="BLOQ",1,"")</f>
        <v/>
      </c>
      <c r="AU108" s="25">
        <f>IF(L108="BLOQ",1,"")</f>
        <v/>
      </c>
      <c r="AV108" s="25">
        <f>MONTH(F108)</f>
        <v/>
      </c>
      <c r="AW108" s="65">
        <f>IF(AP108="",100%,0%)</f>
        <v/>
      </c>
      <c r="AX108" s="23" t="n"/>
      <c r="AY108" s="24">
        <f>IF(M108=0,"",M108-$AX$2)</f>
        <v/>
      </c>
      <c r="AZ108" s="66">
        <f>IF(AND(W108="",AY108&gt;0,AY108&lt;15),1,0)</f>
        <v/>
      </c>
      <c r="BA108" s="24">
        <f>IF(AND(W108="",AY108&gt;0,AY108&lt;15),T108,"")</f>
        <v/>
      </c>
      <c r="BB108" s="87">
        <f>IF(R108&lt;Q108,"X","")</f>
        <v/>
      </c>
      <c r="BC108" s="190" t="inlineStr">
        <is>
          <t>NO</t>
        </is>
      </c>
      <c r="BD108" s="190" t="inlineStr">
        <is>
          <t>NO</t>
        </is>
      </c>
    </row>
    <row r="109" ht="15" customHeight="1" s="162">
      <c r="A109" s="7" t="n">
        <v>108</v>
      </c>
      <c r="B109" t="inlineStr">
        <is>
          <t>27112836</t>
        </is>
      </c>
      <c r="C109" t="inlineStr">
        <is>
          <t>Juego de puntas de atornillar MTI de 32</t>
        </is>
      </c>
      <c r="D109" t="inlineStr">
        <is>
          <t>1101798585</t>
        </is>
      </c>
      <c r="E109" t="inlineStr">
        <is>
          <t>2</t>
        </is>
      </c>
      <c r="F109" s="163" t="n">
        <v>45594</v>
      </c>
      <c r="G109" t="inlineStr"/>
      <c r="H109" t="inlineStr">
        <is>
          <t>4800002706</t>
        </is>
      </c>
      <c r="I109" t="inlineStr">
        <is>
          <t>760</t>
        </is>
      </c>
      <c r="J109" s="163" t="n">
        <v>45594</v>
      </c>
      <c r="K109" s="163" t="inlineStr"/>
      <c r="L109" t="inlineStr"/>
      <c r="M109" s="163" t="n">
        <v>45595</v>
      </c>
      <c r="N109" s="164" t="n">
        <v>0</v>
      </c>
      <c r="O109" s="164" t="n">
        <v>0</v>
      </c>
      <c r="P109" t="inlineStr"/>
      <c r="Q109" s="165" t="n">
        <v>1</v>
      </c>
      <c r="R109" s="165" t="n">
        <v>1</v>
      </c>
      <c r="S109" s="165" t="n">
        <v>1</v>
      </c>
      <c r="T109" s="165" t="n">
        <v>0</v>
      </c>
      <c r="U109" s="166" t="n">
        <v>0</v>
      </c>
      <c r="V109" s="166" t="n">
        <v>0</v>
      </c>
      <c r="W109" t="inlineStr">
        <is>
          <t>X</t>
        </is>
      </c>
      <c r="X109" t="inlineStr">
        <is>
          <t>0.00</t>
        </is>
      </c>
      <c r="Y109" t="inlineStr"/>
      <c r="Z109" t="inlineStr">
        <is>
          <t>AMIDATA, S.A.</t>
        </is>
      </c>
      <c r="AA109" t="inlineStr"/>
      <c r="AB109" t="inlineStr">
        <is>
          <t>3966111</t>
        </is>
      </c>
      <c r="AC109" t="inlineStr"/>
      <c r="AD109" s="164" t="n">
        <v>0</v>
      </c>
      <c r="AE109" s="185" t="n">
        <v>0</v>
      </c>
      <c r="AG109" s="167" t="inlineStr">
        <is>
          <t>7218|JA2593_1001</t>
        </is>
      </c>
      <c r="AH109" s="46">
        <f>IF(M109=0,"-",M109-J109)</f>
        <v/>
      </c>
      <c r="AI109" s="46">
        <f>IF(AND(S109=0,M109&gt;0,L109=0),IF(AH109&gt;=120,"VERY HIGH",IF(AH109&gt;=90,"HIGH",IF(AH109&gt;=60,"MEDIUM",IF(AH109&lt;60,"LOW")))),"-")</f>
        <v/>
      </c>
      <c r="AJ109" s="12" t="n"/>
      <c r="AK109" s="41">
        <f>IF(AND(W109="X",M109&lt;=$AJ$2),"YES","")</f>
        <v/>
      </c>
      <c r="AL109" s="38">
        <f>IF(AND(W109="X",M109&lt;=$AJ$2),S109,"")</f>
        <v/>
      </c>
      <c r="AM109" s="26">
        <f>IF(AND(W109="X",M109&gt;$AJ$2),"YES","")</f>
        <v/>
      </c>
      <c r="AN109" s="89">
        <f>IF(AND(W109="X",M109&gt;$AJ$2),S109,"")</f>
        <v/>
      </c>
      <c r="AO109" s="35">
        <f>IF(AND(W109="",M109&gt;0,$AJ$2&gt;M109,L109=""),1,0)</f>
        <v/>
      </c>
      <c r="AP109" s="26">
        <f>IF(AND(AK109="YES",W109="X"),"X","")</f>
        <v/>
      </c>
      <c r="AQ109" s="28">
        <f>IF(AP109="X",100%,0%)</f>
        <v/>
      </c>
      <c r="AR109" s="25">
        <f>IF(AND(T109&gt;0,L109=""),H109,"")</f>
        <v/>
      </c>
      <c r="AS109" s="25">
        <f>IF(AND(D109&gt;0,H109=0,G109=""),1,"")</f>
        <v/>
      </c>
      <c r="AT109" s="25">
        <f>IF(G109="BLOQ",1,"")</f>
        <v/>
      </c>
      <c r="AU109" s="25">
        <f>IF(L109="BLOQ",1,"")</f>
        <v/>
      </c>
      <c r="AV109" s="25">
        <f>MONTH(F109)</f>
        <v/>
      </c>
      <c r="AW109" s="65">
        <f>IF(AP109="",100%,0%)</f>
        <v/>
      </c>
      <c r="AX109" s="23" t="n"/>
      <c r="AY109" s="24">
        <f>IF(M109=0,"",M109-$AX$2)</f>
        <v/>
      </c>
      <c r="AZ109" s="66">
        <f>IF(AND(W109="",AY109&gt;0,AY109&lt;15),1,0)</f>
        <v/>
      </c>
      <c r="BA109" s="24">
        <f>IF(AND(W109="",AY109&gt;0,AY109&lt;15),T109,"")</f>
        <v/>
      </c>
      <c r="BB109" s="87">
        <f>IF(R109&lt;Q109,"X","")</f>
        <v/>
      </c>
      <c r="BC109" s="190" t="inlineStr">
        <is>
          <t>NO</t>
        </is>
      </c>
      <c r="BD109" s="190" t="inlineStr">
        <is>
          <t>NO</t>
        </is>
      </c>
    </row>
    <row r="110" ht="15" customHeight="1" s="162">
      <c r="A110" s="7" t="n">
        <v>109</v>
      </c>
      <c r="B110" t="inlineStr">
        <is>
          <t>32121609</t>
        </is>
      </c>
      <c r="C110" t="inlineStr">
        <is>
          <t>Resistencia TE Connectivity, de 2k? &amp;#17</t>
        </is>
      </c>
      <c r="D110" t="inlineStr">
        <is>
          <t>1101799195</t>
        </is>
      </c>
      <c r="E110" t="inlineStr">
        <is>
          <t>1</t>
        </is>
      </c>
      <c r="F110" s="163" t="n">
        <v>45595</v>
      </c>
      <c r="G110" t="inlineStr"/>
      <c r="H110" t="inlineStr">
        <is>
          <t>4800002706</t>
        </is>
      </c>
      <c r="I110" t="inlineStr">
        <is>
          <t>1470</t>
        </is>
      </c>
      <c r="J110" s="163" t="n">
        <v>45594</v>
      </c>
      <c r="K110" s="163" t="inlineStr"/>
      <c r="L110" t="inlineStr"/>
      <c r="M110" s="163" t="n">
        <v>45596</v>
      </c>
      <c r="N110" s="164" t="n">
        <v>0</v>
      </c>
      <c r="O110" s="164" t="n">
        <v>0</v>
      </c>
      <c r="P110" t="inlineStr"/>
      <c r="Q110" s="165" t="n">
        <v>10</v>
      </c>
      <c r="R110" s="165" t="n">
        <v>10</v>
      </c>
      <c r="S110" s="165" t="n">
        <v>10</v>
      </c>
      <c r="T110" s="165" t="n">
        <v>0</v>
      </c>
      <c r="U110" s="166" t="n">
        <v>0</v>
      </c>
      <c r="V110" s="166" t="n">
        <v>0</v>
      </c>
      <c r="W110" t="inlineStr">
        <is>
          <t>X</t>
        </is>
      </c>
      <c r="X110" t="inlineStr">
        <is>
          <t>0.00</t>
        </is>
      </c>
      <c r="Y110" t="inlineStr"/>
      <c r="Z110" t="inlineStr">
        <is>
          <t>AMIDATA, S.A.</t>
        </is>
      </c>
      <c r="AA110" t="inlineStr"/>
      <c r="AB110" t="inlineStr">
        <is>
          <t>1251200</t>
        </is>
      </c>
      <c r="AC110" t="inlineStr"/>
      <c r="AD110" s="164" t="n">
        <v>0</v>
      </c>
      <c r="AE110" s="185" t="n">
        <v>0</v>
      </c>
      <c r="AG110" s="167" t="inlineStr">
        <is>
          <t>7218|JA2593_1001</t>
        </is>
      </c>
      <c r="AH110" s="46">
        <f>IF(M110=0,"-",M110-J110)</f>
        <v/>
      </c>
      <c r="AI110" s="46">
        <f>IF(AND(S110=0,M110&gt;0,L110=0),IF(AH110&gt;=120,"VERY HIGH",IF(AH110&gt;=90,"HIGH",IF(AH110&gt;=60,"MEDIUM",IF(AH110&lt;60,"LOW")))),"-")</f>
        <v/>
      </c>
      <c r="AJ110" s="12" t="n"/>
      <c r="AK110" s="41">
        <f>IF(AND(W110="X",M110&lt;=$AJ$2),"YES","")</f>
        <v/>
      </c>
      <c r="AL110" s="38">
        <f>IF(AND(W110="X",M110&lt;=$AJ$2),S110,"")</f>
        <v/>
      </c>
      <c r="AM110" s="26">
        <f>IF(AND(W110="X",M110&gt;$AJ$2),"YES","")</f>
        <v/>
      </c>
      <c r="AN110" s="89">
        <f>IF(AND(W110="X",M110&gt;$AJ$2),S110,"")</f>
        <v/>
      </c>
      <c r="AO110" s="35">
        <f>IF(AND(W110="",M110&gt;0,$AJ$2&gt;M110,L110=""),1,0)</f>
        <v/>
      </c>
      <c r="AP110" s="26">
        <f>IF(AND(AK110="YES",W110="X"),"X","")</f>
        <v/>
      </c>
      <c r="AQ110" s="28">
        <f>IF(AP110="X",100%,0%)</f>
        <v/>
      </c>
      <c r="AR110" s="25">
        <f>IF(AND(T110&gt;0,L110=""),H110,"")</f>
        <v/>
      </c>
      <c r="AS110" s="25">
        <f>IF(AND(D110&gt;0,H110=0,G110=""),1,"")</f>
        <v/>
      </c>
      <c r="AT110" s="25">
        <f>IF(G110="BLOQ",1,"")</f>
        <v/>
      </c>
      <c r="AU110" s="25">
        <f>IF(L110="BLOQ",1,"")</f>
        <v/>
      </c>
      <c r="AV110" s="25">
        <f>MONTH(F110)</f>
        <v/>
      </c>
      <c r="AW110" s="65">
        <f>IF(AP110="",100%,0%)</f>
        <v/>
      </c>
      <c r="AX110" s="23" t="n"/>
      <c r="AY110" s="24">
        <f>IF(M110=0,"",M110-$AX$2)</f>
        <v/>
      </c>
      <c r="AZ110" s="66">
        <f>IF(AND(W110="",AY110&gt;0,AY110&lt;15),1,0)</f>
        <v/>
      </c>
      <c r="BA110" s="24">
        <f>IF(AND(W110="",AY110&gt;0,AY110&lt;15),T110,"")</f>
        <v/>
      </c>
      <c r="BB110" s="87">
        <f>IF(R110&lt;Q110,"X","")</f>
        <v/>
      </c>
      <c r="BC110" s="190" t="inlineStr">
        <is>
          <t>NO</t>
        </is>
      </c>
      <c r="BD110" s="190" t="inlineStr">
        <is>
          <t>NO</t>
        </is>
      </c>
    </row>
    <row r="111" ht="15" customHeight="1" s="162">
      <c r="A111" s="7" t="n">
        <v>110</v>
      </c>
      <c r="B111" t="inlineStr">
        <is>
          <t>26121639</t>
        </is>
      </c>
      <c r="C111" t="inlineStr">
        <is>
          <t>Cable de datos apantallado TE Connectivi</t>
        </is>
      </c>
      <c r="D111" t="inlineStr">
        <is>
          <t>1101799202</t>
        </is>
      </c>
      <c r="E111" t="inlineStr">
        <is>
          <t>1</t>
        </is>
      </c>
      <c r="F111" s="163" t="n">
        <v>45595</v>
      </c>
      <c r="G111" t="inlineStr"/>
      <c r="H111" t="inlineStr">
        <is>
          <t>4800002706</t>
        </is>
      </c>
      <c r="I111" t="inlineStr">
        <is>
          <t>1480</t>
        </is>
      </c>
      <c r="J111" s="163" t="n">
        <v>45594</v>
      </c>
      <c r="K111" s="163" t="inlineStr"/>
      <c r="L111" t="inlineStr"/>
      <c r="M111" s="163" t="n">
        <v>45596</v>
      </c>
      <c r="N111" s="164" t="n">
        <v>0</v>
      </c>
      <c r="O111" s="164" t="n">
        <v>0</v>
      </c>
      <c r="P111" t="inlineStr"/>
      <c r="Q111" s="165" t="n">
        <v>1</v>
      </c>
      <c r="R111" s="165" t="n">
        <v>1</v>
      </c>
      <c r="S111" s="165" t="n">
        <v>1</v>
      </c>
      <c r="T111" s="165" t="n">
        <v>0</v>
      </c>
      <c r="U111" s="166" t="n">
        <v>0</v>
      </c>
      <c r="V111" s="166" t="n">
        <v>0</v>
      </c>
      <c r="W111" t="inlineStr">
        <is>
          <t>X</t>
        </is>
      </c>
      <c r="X111" t="inlineStr">
        <is>
          <t>0.00</t>
        </is>
      </c>
      <c r="Y111" t="inlineStr"/>
      <c r="Z111" t="inlineStr">
        <is>
          <t>AMIDATA, S.A.</t>
        </is>
      </c>
      <c r="AA111" t="inlineStr"/>
      <c r="AB111" t="inlineStr">
        <is>
          <t>0362572</t>
        </is>
      </c>
      <c r="AC111" t="inlineStr"/>
      <c r="AD111" s="164" t="n">
        <v>0</v>
      </c>
      <c r="AE111" s="185" t="n">
        <v>0</v>
      </c>
      <c r="AG111" s="167" t="inlineStr">
        <is>
          <t>7218|JA2593_1001</t>
        </is>
      </c>
      <c r="AH111" s="46">
        <f>IF(M111=0,"-",M111-J111)</f>
        <v/>
      </c>
      <c r="AI111" s="46">
        <f>IF(AND(S111=0,M111&gt;0,L111=0),IF(AH111&gt;=120,"VERY HIGH",IF(AH111&gt;=90,"HIGH",IF(AH111&gt;=60,"MEDIUM",IF(AH111&lt;60,"LOW")))),"-")</f>
        <v/>
      </c>
      <c r="AJ111" s="12" t="n"/>
      <c r="AK111" s="41">
        <f>IF(AND(W111="X",M111&lt;=$AJ$2),"YES","")</f>
        <v/>
      </c>
      <c r="AL111" s="38">
        <f>IF(AND(W111="X",M111&lt;=$AJ$2),S111,"")</f>
        <v/>
      </c>
      <c r="AM111" s="26">
        <f>IF(AND(W111="X",M111&gt;$AJ$2),"YES","")</f>
        <v/>
      </c>
      <c r="AN111" s="89">
        <f>IF(AND(W111="X",M111&gt;$AJ$2),S111,"")</f>
        <v/>
      </c>
      <c r="AO111" s="35">
        <f>IF(AND(W111="",M111&gt;0,$AJ$2&gt;M111,L111=""),1,0)</f>
        <v/>
      </c>
      <c r="AP111" s="26">
        <f>IF(AND(AK111="YES",W111="X"),"X","")</f>
        <v/>
      </c>
      <c r="AQ111" s="28">
        <f>IF(AP111="X",100%,0%)</f>
        <v/>
      </c>
      <c r="AR111" s="25">
        <f>IF(AND(T111&gt;0,L111=""),H111,"")</f>
        <v/>
      </c>
      <c r="AS111" s="25">
        <f>IF(AND(D111&gt;0,H111=0,G111=""),1,"")</f>
        <v/>
      </c>
      <c r="AT111" s="25">
        <f>IF(G111="BLOQ",1,"")</f>
        <v/>
      </c>
      <c r="AU111" s="25">
        <f>IF(L111="BLOQ",1,"")</f>
        <v/>
      </c>
      <c r="AV111" s="25">
        <f>MONTH(F111)</f>
        <v/>
      </c>
      <c r="AW111" s="65">
        <f>IF(AP111="",100%,0%)</f>
        <v/>
      </c>
      <c r="AX111" s="23" t="n"/>
      <c r="AY111" s="24">
        <f>IF(M111=0,"",M111-$AX$2)</f>
        <v/>
      </c>
      <c r="AZ111" s="66">
        <f>IF(AND(W111="",AY111&gt;0,AY111&lt;15),1,0)</f>
        <v/>
      </c>
      <c r="BA111" s="24">
        <f>IF(AND(W111="",AY111&gt;0,AY111&lt;15),T111,"")</f>
        <v/>
      </c>
      <c r="BB111" s="87">
        <f>IF(R111&lt;Q111,"X","")</f>
        <v/>
      </c>
      <c r="BC111" s="190" t="inlineStr">
        <is>
          <t>NO</t>
        </is>
      </c>
      <c r="BD111" s="190" t="inlineStr">
        <is>
          <t>NO</t>
        </is>
      </c>
    </row>
    <row r="112" ht="15" customHeight="1" s="162">
      <c r="A112" s="7" t="n">
        <v>111</v>
      </c>
      <c r="B112" t="inlineStr"/>
      <c r="C112" t="inlineStr">
        <is>
          <t>MONTAJE EQUIPO CABINA SIMULADOR A320</t>
        </is>
      </c>
      <c r="D112" t="inlineStr">
        <is>
          <t>1101800301</t>
        </is>
      </c>
      <c r="E112" t="inlineStr">
        <is>
          <t>1</t>
        </is>
      </c>
      <c r="F112" s="163" t="n">
        <v>45600</v>
      </c>
      <c r="G112" t="inlineStr"/>
      <c r="H112" t="inlineStr">
        <is>
          <t>4300335153</t>
        </is>
      </c>
      <c r="I112" t="inlineStr">
        <is>
          <t>10</t>
        </is>
      </c>
      <c r="J112" s="163" t="n">
        <v>45608</v>
      </c>
      <c r="K112" s="163" t="n">
        <v>45609</v>
      </c>
      <c r="L112" t="inlineStr"/>
      <c r="M112" s="163" t="n">
        <v>45623</v>
      </c>
      <c r="N112" s="164" t="n">
        <v>0</v>
      </c>
      <c r="O112" s="164" t="n">
        <v>0</v>
      </c>
      <c r="P112" t="inlineStr">
        <is>
          <t>Liberado</t>
        </is>
      </c>
      <c r="Q112" s="166" t="n">
        <v>1</v>
      </c>
      <c r="R112" s="164" t="n">
        <v>1</v>
      </c>
      <c r="S112" s="164" t="n">
        <v>0</v>
      </c>
      <c r="T112" s="164" t="n">
        <v>0</v>
      </c>
      <c r="U112" s="166" t="n">
        <v>0</v>
      </c>
      <c r="V112" s="166" t="n">
        <v>0</v>
      </c>
      <c r="W112" t="inlineStr">
        <is>
          <t>X</t>
        </is>
      </c>
      <c r="X112" t="inlineStr">
        <is>
          <t>0.00</t>
        </is>
      </c>
      <c r="Y112" t="inlineStr"/>
      <c r="Z112" t="inlineStr">
        <is>
          <t>AUXITEL, S.L.</t>
        </is>
      </c>
      <c r="AA112" t="inlineStr"/>
      <c r="AB112" t="inlineStr"/>
      <c r="AC112" t="inlineStr"/>
      <c r="AD112" s="164" t="n">
        <v>0</v>
      </c>
      <c r="AE112" s="185" t="n">
        <v>0</v>
      </c>
      <c r="AG112" s="167" t="inlineStr">
        <is>
          <t>7218|JA2593_1001</t>
        </is>
      </c>
      <c r="AH112" s="46">
        <f>IF(M112=0,"-",M112-J112)</f>
        <v/>
      </c>
      <c r="AI112" s="46">
        <f>IF(AND(S112=0,M112&gt;0,L112=0),IF(AH112&gt;=120,"VERY HIGH",IF(AH112&gt;=90,"HIGH",IF(AH112&gt;=60,"MEDIUM",IF(AH112&lt;60,"LOW")))),"-")</f>
        <v/>
      </c>
      <c r="AJ112" s="12" t="n"/>
      <c r="AK112" s="41">
        <f>IF(AND(W112="X",M112&lt;=$AJ$2),"YES","")</f>
        <v/>
      </c>
      <c r="AL112" s="38">
        <f>IF(AND(W112="X",M112&lt;=$AJ$2),S112,"")</f>
        <v/>
      </c>
      <c r="AM112" s="26">
        <f>IF(AND(W112="X",M112&gt;$AJ$2),"YES","")</f>
        <v/>
      </c>
      <c r="AN112" s="89">
        <f>IF(AND(W112="X",M112&gt;$AJ$2),S112,"")</f>
        <v/>
      </c>
      <c r="AO112" s="35">
        <f>IF(AND(W112="",M112&gt;0,$AJ$2&gt;M112,L112=""),1,0)</f>
        <v/>
      </c>
      <c r="AP112" s="26">
        <f>IF(AND(AK112="YES",W112="X"),"X","")</f>
        <v/>
      </c>
      <c r="AQ112" s="28">
        <f>IF(AP112="X",100%,0%)</f>
        <v/>
      </c>
      <c r="AR112" s="25">
        <f>IF(AND(T112&gt;0,L112=""),H112,"")</f>
        <v/>
      </c>
      <c r="AS112" s="25">
        <f>IF(AND(D112&gt;0,H112=0,G112=""),1,"")</f>
        <v/>
      </c>
      <c r="AT112" s="25">
        <f>IF(G112="BLOQ",1,"")</f>
        <v/>
      </c>
      <c r="AU112" s="25">
        <f>IF(L112="BLOQ",1,"")</f>
        <v/>
      </c>
      <c r="AV112" s="25">
        <f>MONTH(F112)</f>
        <v/>
      </c>
      <c r="AW112" s="65">
        <f>IF(AP112="",100%,0%)</f>
        <v/>
      </c>
      <c r="AX112" s="23" t="n"/>
      <c r="AY112" s="24">
        <f>IF(M112=0,"",M112-$AX$2)</f>
        <v/>
      </c>
      <c r="AZ112" s="66">
        <f>IF(AND(W112="",AY112&gt;0,AY112&lt;15),1,0)</f>
        <v/>
      </c>
      <c r="BA112" s="24">
        <f>IF(AND(W112="",AY112&gt;0,AY112&lt;15),T112,"")</f>
        <v/>
      </c>
      <c r="BB112" s="87">
        <f>IF(R112&lt;Q112,"X","")</f>
        <v/>
      </c>
      <c r="BC112" s="190" t="inlineStr">
        <is>
          <t>NO</t>
        </is>
      </c>
      <c r="BD112" s="190" t="inlineStr">
        <is>
          <t>NO</t>
        </is>
      </c>
    </row>
    <row r="113" ht="15" customHeight="1" s="162">
      <c r="A113" s="7" t="n">
        <v>112</v>
      </c>
      <c r="B113" t="inlineStr">
        <is>
          <t>32111502</t>
        </is>
      </c>
      <c r="C113" t="inlineStr">
        <is>
          <t>Vishay 1.7 (Dia.) x 3.9mm Simple BZX55C6</t>
        </is>
      </c>
      <c r="D113" t="inlineStr">
        <is>
          <t>1101802159</t>
        </is>
      </c>
      <c r="E113" t="inlineStr">
        <is>
          <t>1</t>
        </is>
      </c>
      <c r="F113" s="163" t="n">
        <v>45603</v>
      </c>
      <c r="G113" t="inlineStr"/>
      <c r="H113" t="inlineStr">
        <is>
          <t>4800002712</t>
        </is>
      </c>
      <c r="I113" t="inlineStr">
        <is>
          <t>4420</t>
        </is>
      </c>
      <c r="J113" s="163" t="n">
        <v>45600</v>
      </c>
      <c r="K113" s="163" t="inlineStr"/>
      <c r="L113" t="inlineStr"/>
      <c r="M113" s="163" t="n">
        <v>45604</v>
      </c>
      <c r="N113" s="164" t="n">
        <v>0</v>
      </c>
      <c r="O113" s="164" t="n">
        <v>0</v>
      </c>
      <c r="P113" t="inlineStr"/>
      <c r="Q113" s="165" t="n">
        <v>250</v>
      </c>
      <c r="R113" s="165" t="n">
        <v>250</v>
      </c>
      <c r="S113" s="165" t="n">
        <v>250</v>
      </c>
      <c r="T113" s="165" t="n">
        <v>0</v>
      </c>
      <c r="U113" s="166" t="n">
        <v>0</v>
      </c>
      <c r="V113" s="166" t="n">
        <v>0</v>
      </c>
      <c r="W113" t="inlineStr">
        <is>
          <t>X</t>
        </is>
      </c>
      <c r="X113" t="inlineStr">
        <is>
          <t>0.00</t>
        </is>
      </c>
      <c r="Y113" t="inlineStr"/>
      <c r="Z113" t="inlineStr">
        <is>
          <t>AMIDATA, S.A.</t>
        </is>
      </c>
      <c r="AA113" t="inlineStr"/>
      <c r="AB113" t="inlineStr">
        <is>
          <t>6997806</t>
        </is>
      </c>
      <c r="AC113" t="inlineStr"/>
      <c r="AD113" s="164" t="n">
        <v>0</v>
      </c>
      <c r="AE113" s="185" t="n">
        <v>0</v>
      </c>
      <c r="AG113" s="167" t="inlineStr">
        <is>
          <t>7218|JA2593_1001</t>
        </is>
      </c>
      <c r="AH113" s="46">
        <f>IF(M113=0,"-",M113-J113)</f>
        <v/>
      </c>
      <c r="AI113" s="46">
        <f>IF(AND(S113=0,M113&gt;0,L113=0),IF(AH113&gt;=120,"VERY HIGH",IF(AH113&gt;=90,"HIGH",IF(AH113&gt;=60,"MEDIUM",IF(AH113&lt;60,"LOW")))),"-")</f>
        <v/>
      </c>
      <c r="AJ113" s="12" t="n"/>
      <c r="AK113" s="41">
        <f>IF(AND(W113="X",M113&lt;=$AJ$2),"YES","")</f>
        <v/>
      </c>
      <c r="AL113" s="38">
        <f>IF(AND(W113="X",M113&lt;=$AJ$2),S113,"")</f>
        <v/>
      </c>
      <c r="AM113" s="26">
        <f>IF(AND(W113="X",M113&gt;$AJ$2),"YES","")</f>
        <v/>
      </c>
      <c r="AN113" s="89">
        <f>IF(AND(W113="X",M113&gt;$AJ$2),S113,"")</f>
        <v/>
      </c>
      <c r="AO113" s="35">
        <f>IF(AND(W113="",M113&gt;0,$AJ$2&gt;M113,L113=""),1,0)</f>
        <v/>
      </c>
      <c r="AP113" s="26">
        <f>IF(AND(AK113="YES",W113="X"),"X","")</f>
        <v/>
      </c>
      <c r="AQ113" s="28">
        <f>IF(AP113="X",100%,0%)</f>
        <v/>
      </c>
      <c r="AR113" s="25">
        <f>IF(AND(T113&gt;0,L113=""),H113,"")</f>
        <v/>
      </c>
      <c r="AS113" s="25">
        <f>IF(AND(D113&gt;0,H113=0,G113=""),1,"")</f>
        <v/>
      </c>
      <c r="AT113" s="25">
        <f>IF(G113="BLOQ",1,"")</f>
        <v/>
      </c>
      <c r="AU113" s="25">
        <f>IF(L113="BLOQ",1,"")</f>
        <v/>
      </c>
      <c r="AV113" s="25">
        <f>MONTH(F113)</f>
        <v/>
      </c>
      <c r="AW113" s="65">
        <f>IF(AP113="",100%,0%)</f>
        <v/>
      </c>
      <c r="AX113" s="23" t="n"/>
      <c r="AY113" s="24">
        <f>IF(M113=0,"",M113-$AX$2)</f>
        <v/>
      </c>
      <c r="AZ113" s="66">
        <f>IF(AND(W113="",AY113&gt;0,AY113&lt;15),1,0)</f>
        <v/>
      </c>
      <c r="BA113" s="24">
        <f>IF(AND(W113="",AY113&gt;0,AY113&lt;15),T113,"")</f>
        <v/>
      </c>
      <c r="BB113" s="87">
        <f>IF(R113&lt;Q113,"X","")</f>
        <v/>
      </c>
      <c r="BC113" s="190" t="inlineStr">
        <is>
          <t>NO</t>
        </is>
      </c>
      <c r="BD113" s="190" t="inlineStr">
        <is>
          <t>NO</t>
        </is>
      </c>
    </row>
    <row r="114" ht="15" customHeight="1" s="162">
      <c r="A114" s="7" t="n">
        <v>113</v>
      </c>
      <c r="B114" t="inlineStr">
        <is>
          <t>32101629</t>
        </is>
      </c>
      <c r="C114" t="inlineStr">
        <is>
          <t>Amplificador operacional LF347N 3MHZ PDI</t>
        </is>
      </c>
      <c r="D114" t="inlineStr">
        <is>
          <t>1101802159</t>
        </is>
      </c>
      <c r="E114" t="inlineStr">
        <is>
          <t>2</t>
        </is>
      </c>
      <c r="F114" s="163" t="n">
        <v>45603</v>
      </c>
      <c r="G114" t="inlineStr"/>
      <c r="H114" t="inlineStr">
        <is>
          <t>4800002712</t>
        </is>
      </c>
      <c r="I114" t="inlineStr">
        <is>
          <t>4430</t>
        </is>
      </c>
      <c r="J114" s="163" t="n">
        <v>45600</v>
      </c>
      <c r="K114" s="163" t="inlineStr"/>
      <c r="L114" t="inlineStr"/>
      <c r="M114" s="163" t="n">
        <v>45604</v>
      </c>
      <c r="N114" s="164" t="n">
        <v>0</v>
      </c>
      <c r="O114" s="164" t="n">
        <v>0</v>
      </c>
      <c r="P114" t="inlineStr"/>
      <c r="Q114" s="165" t="n">
        <v>50</v>
      </c>
      <c r="R114" s="165" t="n">
        <v>50</v>
      </c>
      <c r="S114" s="165" t="n">
        <v>50</v>
      </c>
      <c r="T114" s="165" t="n">
        <v>0</v>
      </c>
      <c r="U114" s="166" t="n">
        <v>0</v>
      </c>
      <c r="V114" s="166" t="n">
        <v>0</v>
      </c>
      <c r="W114" t="inlineStr">
        <is>
          <t>X</t>
        </is>
      </c>
      <c r="X114" t="inlineStr">
        <is>
          <t>0.00</t>
        </is>
      </c>
      <c r="Y114" t="inlineStr"/>
      <c r="Z114" t="inlineStr">
        <is>
          <t>AMIDATA, S.A.</t>
        </is>
      </c>
      <c r="AA114" t="inlineStr"/>
      <c r="AB114" t="inlineStr">
        <is>
          <t>6610473P</t>
        </is>
      </c>
      <c r="AC114" t="inlineStr"/>
      <c r="AD114" s="164" t="n">
        <v>0</v>
      </c>
      <c r="AE114" s="185" t="n">
        <v>0</v>
      </c>
      <c r="AG114" s="167" t="inlineStr">
        <is>
          <t>7218|JA2593_1001</t>
        </is>
      </c>
      <c r="AH114" s="46">
        <f>IF(M114=0,"-",M114-J114)</f>
        <v/>
      </c>
      <c r="AI114" s="46">
        <f>IF(AND(S114=0,M114&gt;0,L114=0),IF(AH114&gt;=120,"VERY HIGH",IF(AH114&gt;=90,"HIGH",IF(AH114&gt;=60,"MEDIUM",IF(AH114&lt;60,"LOW")))),"-")</f>
        <v/>
      </c>
      <c r="AJ114" s="12" t="n"/>
      <c r="AK114" s="41">
        <f>IF(AND(W114="X",M114&lt;=$AJ$2),"YES","")</f>
        <v/>
      </c>
      <c r="AL114" s="38">
        <f>IF(AND(W114="X",M114&lt;=$AJ$2),S114,"")</f>
        <v/>
      </c>
      <c r="AM114" s="26">
        <f>IF(AND(W114="X",M114&gt;$AJ$2),"YES","")</f>
        <v/>
      </c>
      <c r="AN114" s="89">
        <f>IF(AND(W114="X",M114&gt;$AJ$2),S114,"")</f>
        <v/>
      </c>
      <c r="AO114" s="35">
        <f>IF(AND(W114="",M114&gt;0,$AJ$2&gt;M114,L114=""),1,0)</f>
        <v/>
      </c>
      <c r="AP114" s="26">
        <f>IF(AND(AK114="YES",W114="X"),"X","")</f>
        <v/>
      </c>
      <c r="AQ114" s="28">
        <f>IF(AP114="X",100%,0%)</f>
        <v/>
      </c>
      <c r="AR114" s="25">
        <f>IF(AND(T114&gt;0,L114=""),H114,"")</f>
        <v/>
      </c>
      <c r="AS114" s="25">
        <f>IF(AND(D114&gt;0,H114=0,G114=""),1,"")</f>
        <v/>
      </c>
      <c r="AT114" s="25">
        <f>IF(G114="BLOQ",1,"")</f>
        <v/>
      </c>
      <c r="AU114" s="25">
        <f>IF(L114="BLOQ",1,"")</f>
        <v/>
      </c>
      <c r="AV114" s="25">
        <f>MONTH(F114)</f>
        <v/>
      </c>
      <c r="AW114" s="65">
        <f>IF(AP114="",100%,0%)</f>
        <v/>
      </c>
      <c r="AX114" s="23" t="n"/>
      <c r="AY114" s="24">
        <f>IF(M114=0,"",M114-$AX$2)</f>
        <v/>
      </c>
      <c r="AZ114" s="66">
        <f>IF(AND(W114="",AY114&gt;0,AY114&lt;15),1,0)</f>
        <v/>
      </c>
      <c r="BA114" s="24">
        <f>IF(AND(W114="",AY114&gt;0,AY114&lt;15),T114,"")</f>
        <v/>
      </c>
      <c r="BB114" s="87">
        <f>IF(R114&lt;Q114,"X","")</f>
        <v/>
      </c>
      <c r="BC114" s="190" t="inlineStr">
        <is>
          <t>NO</t>
        </is>
      </c>
      <c r="BD114" s="190" t="inlineStr">
        <is>
          <t>NO</t>
        </is>
      </c>
    </row>
    <row r="115" ht="15" customHeight="1" s="162">
      <c r="A115" s="7" t="n">
        <v>114</v>
      </c>
      <c r="B115" t="inlineStr">
        <is>
          <t>32121615</t>
        </is>
      </c>
      <c r="C115" t="inlineStr">
        <is>
          <t>Resistencia TE Connectivity, de 1k? &amp;#17</t>
        </is>
      </c>
      <c r="D115" t="inlineStr">
        <is>
          <t>1101802159</t>
        </is>
      </c>
      <c r="E115" t="inlineStr">
        <is>
          <t>3</t>
        </is>
      </c>
      <c r="F115" s="163" t="n">
        <v>45603</v>
      </c>
      <c r="G115" t="inlineStr"/>
      <c r="H115" t="inlineStr">
        <is>
          <t>4800002712</t>
        </is>
      </c>
      <c r="I115" t="inlineStr">
        <is>
          <t>4440</t>
        </is>
      </c>
      <c r="J115" s="163" t="n">
        <v>45600</v>
      </c>
      <c r="K115" s="163" t="inlineStr"/>
      <c r="L115" t="inlineStr"/>
      <c r="M115" s="163" t="n">
        <v>45604</v>
      </c>
      <c r="N115" s="164" t="n">
        <v>0</v>
      </c>
      <c r="O115" s="164" t="n">
        <v>0</v>
      </c>
      <c r="P115" t="inlineStr"/>
      <c r="Q115" s="165" t="n">
        <v>200</v>
      </c>
      <c r="R115" s="165" t="n">
        <v>200</v>
      </c>
      <c r="S115" s="165" t="n">
        <v>200</v>
      </c>
      <c r="T115" s="165" t="n">
        <v>0</v>
      </c>
      <c r="U115" s="166" t="n">
        <v>0</v>
      </c>
      <c r="V115" s="166" t="n">
        <v>0</v>
      </c>
      <c r="W115" t="inlineStr">
        <is>
          <t>X</t>
        </is>
      </c>
      <c r="X115" t="inlineStr">
        <is>
          <t>0.00</t>
        </is>
      </c>
      <c r="Y115" t="inlineStr"/>
      <c r="Z115" t="inlineStr">
        <is>
          <t>AMIDATA, S.A.</t>
        </is>
      </c>
      <c r="AA115" t="inlineStr"/>
      <c r="AB115" t="inlineStr">
        <is>
          <t>1251150P</t>
        </is>
      </c>
      <c r="AC115" t="inlineStr"/>
      <c r="AD115" s="164" t="n">
        <v>0</v>
      </c>
      <c r="AE115" s="185" t="n">
        <v>0</v>
      </c>
      <c r="AG115" s="167" t="inlineStr">
        <is>
          <t>7218|JA2593_1001</t>
        </is>
      </c>
      <c r="AH115" s="46">
        <f>IF(M115=0,"-",M115-J115)</f>
        <v/>
      </c>
      <c r="AI115" s="46">
        <f>IF(AND(S115=0,M115&gt;0,L115=0),IF(AH115&gt;=120,"VERY HIGH",IF(AH115&gt;=90,"HIGH",IF(AH115&gt;=60,"MEDIUM",IF(AH115&lt;60,"LOW")))),"-")</f>
        <v/>
      </c>
      <c r="AJ115" s="12" t="n"/>
      <c r="AK115" s="41">
        <f>IF(AND(W115="X",M115&lt;=$AJ$2),"YES","")</f>
        <v/>
      </c>
      <c r="AL115" s="38">
        <f>IF(AND(W115="X",M115&lt;=$AJ$2),S115,"")</f>
        <v/>
      </c>
      <c r="AM115" s="26">
        <f>IF(AND(W115="X",M115&gt;$AJ$2),"YES","")</f>
        <v/>
      </c>
      <c r="AN115" s="89">
        <f>IF(AND(W115="X",M115&gt;$AJ$2),S115,"")</f>
        <v/>
      </c>
      <c r="AO115" s="35">
        <f>IF(AND(W115="",M115&gt;0,$AJ$2&gt;M115,L115=""),1,0)</f>
        <v/>
      </c>
      <c r="AP115" s="26">
        <f>IF(AND(AK115="YES",W115="X"),"X","")</f>
        <v/>
      </c>
      <c r="AQ115" s="28">
        <f>IF(AP115="X",100%,0%)</f>
        <v/>
      </c>
      <c r="AR115" s="25">
        <f>IF(AND(T115&gt;0,L115=""),H115,"")</f>
        <v/>
      </c>
      <c r="AS115" s="25">
        <f>IF(AND(D115&gt;0,H115=0,G115=""),1,"")</f>
        <v/>
      </c>
      <c r="AT115" s="25">
        <f>IF(G115="BLOQ",1,"")</f>
        <v/>
      </c>
      <c r="AU115" s="25">
        <f>IF(L115="BLOQ",1,"")</f>
        <v/>
      </c>
      <c r="AV115" s="25">
        <f>MONTH(F115)</f>
        <v/>
      </c>
      <c r="AW115" s="65">
        <f>IF(AP115="",100%,0%)</f>
        <v/>
      </c>
      <c r="AX115" s="23" t="n"/>
      <c r="AY115" s="24">
        <f>IF(M115=0,"",M115-$AX$2)</f>
        <v/>
      </c>
      <c r="AZ115" s="66">
        <f>IF(AND(W115="",AY115&gt;0,AY115&lt;15),1,0)</f>
        <v/>
      </c>
      <c r="BA115" s="24">
        <f>IF(AND(W115="",AY115&gt;0,AY115&lt;15),T115,"")</f>
        <v/>
      </c>
      <c r="BB115" s="87">
        <f>IF(R115&lt;Q115,"X","")</f>
        <v/>
      </c>
      <c r="BC115" s="190" t="inlineStr">
        <is>
          <t>NO</t>
        </is>
      </c>
      <c r="BD115" s="190" t="inlineStr">
        <is>
          <t>NO</t>
        </is>
      </c>
    </row>
    <row r="116" ht="15" customHeight="1" s="162">
      <c r="A116" s="7" t="n">
        <v>115</v>
      </c>
      <c r="B116" t="inlineStr">
        <is>
          <t>32111511</t>
        </is>
      </c>
      <c r="C116" t="inlineStr">
        <is>
          <t>Diodo de conmutaci&amp;#243;n, 1N4148, 300mA</t>
        </is>
      </c>
      <c r="D116" t="inlineStr">
        <is>
          <t>1101802159</t>
        </is>
      </c>
      <c r="E116" t="inlineStr">
        <is>
          <t>4</t>
        </is>
      </c>
      <c r="F116" s="163" t="n">
        <v>45603</v>
      </c>
      <c r="G116" t="inlineStr"/>
      <c r="H116" t="inlineStr">
        <is>
          <t>4800002712</t>
        </is>
      </c>
      <c r="I116" t="inlineStr">
        <is>
          <t>4450</t>
        </is>
      </c>
      <c r="J116" s="163" t="n">
        <v>45600</v>
      </c>
      <c r="K116" s="163" t="inlineStr"/>
      <c r="L116" t="inlineStr"/>
      <c r="M116" s="163" t="n">
        <v>45604</v>
      </c>
      <c r="N116" s="164" t="n">
        <v>0</v>
      </c>
      <c r="O116" s="164" t="n">
        <v>0</v>
      </c>
      <c r="P116" t="inlineStr"/>
      <c r="Q116" s="165" t="n">
        <v>2000</v>
      </c>
      <c r="R116" s="165" t="n">
        <v>2000</v>
      </c>
      <c r="S116" s="165" t="n">
        <v>2000</v>
      </c>
      <c r="T116" s="165" t="n">
        <v>0</v>
      </c>
      <c r="U116" s="166" t="n">
        <v>0</v>
      </c>
      <c r="V116" s="166" t="n">
        <v>0</v>
      </c>
      <c r="W116" t="inlineStr">
        <is>
          <t>X</t>
        </is>
      </c>
      <c r="X116" t="inlineStr">
        <is>
          <t>0.00</t>
        </is>
      </c>
      <c r="Y116" t="inlineStr"/>
      <c r="Z116" t="inlineStr">
        <is>
          <t>AMIDATA, S.A.</t>
        </is>
      </c>
      <c r="AA116" t="inlineStr"/>
      <c r="AB116" t="inlineStr">
        <is>
          <t>8428002</t>
        </is>
      </c>
      <c r="AC116" t="inlineStr"/>
      <c r="AD116" s="164" t="n">
        <v>0</v>
      </c>
      <c r="AE116" s="185" t="n">
        <v>0</v>
      </c>
      <c r="AG116" s="167" t="inlineStr">
        <is>
          <t>7218|JA2593_1001</t>
        </is>
      </c>
      <c r="AH116" s="46">
        <f>IF(M116=0,"-",M116-J116)</f>
        <v/>
      </c>
      <c r="AI116" s="46">
        <f>IF(AND(S116=0,M116&gt;0,L116=0),IF(AH116&gt;=120,"VERY HIGH",IF(AH116&gt;=90,"HIGH",IF(AH116&gt;=60,"MEDIUM",IF(AH116&lt;60,"LOW")))),"-")</f>
        <v/>
      </c>
      <c r="AJ116" s="12" t="n"/>
      <c r="AK116" s="41">
        <f>IF(AND(W116="X",M116&lt;=$AJ$2),"YES","")</f>
        <v/>
      </c>
      <c r="AL116" s="38">
        <f>IF(AND(W116="X",M116&lt;=$AJ$2),S116,"")</f>
        <v/>
      </c>
      <c r="AM116" s="26">
        <f>IF(AND(W116="X",M116&gt;$AJ$2),"YES","")</f>
        <v/>
      </c>
      <c r="AN116" s="89">
        <f>IF(AND(W116="X",M116&gt;$AJ$2),S116,"")</f>
        <v/>
      </c>
      <c r="AO116" s="35">
        <f>IF(AND(W116="",M116&gt;0,$AJ$2&gt;M116,L116=""),1,0)</f>
        <v/>
      </c>
      <c r="AP116" s="26">
        <f>IF(AND(AK116="YES",W116="X"),"X","")</f>
        <v/>
      </c>
      <c r="AQ116" s="28">
        <f>IF(AP116="X",100%,0%)</f>
        <v/>
      </c>
      <c r="AR116" s="25">
        <f>IF(AND(T116&gt;0,L116=""),H116,"")</f>
        <v/>
      </c>
      <c r="AS116" s="25">
        <f>IF(AND(D116&gt;0,H116=0,G116=""),1,"")</f>
        <v/>
      </c>
      <c r="AT116" s="25">
        <f>IF(G116="BLOQ",1,"")</f>
        <v/>
      </c>
      <c r="AU116" s="25">
        <f>IF(L116="BLOQ",1,"")</f>
        <v/>
      </c>
      <c r="AV116" s="25">
        <f>MONTH(F116)</f>
        <v/>
      </c>
      <c r="AW116" s="65">
        <f>IF(AP116="",100%,0%)</f>
        <v/>
      </c>
      <c r="AX116" s="23" t="n"/>
      <c r="AY116" s="24">
        <f>IF(M116=0,"",M116-$AX$2)</f>
        <v/>
      </c>
      <c r="AZ116" s="66">
        <f>IF(AND(W116="",AY116&gt;0,AY116&lt;15),1,0)</f>
        <v/>
      </c>
      <c r="BA116" s="24">
        <f>IF(AND(W116="",AY116&gt;0,AY116&lt;15),T116,"")</f>
        <v/>
      </c>
      <c r="BB116" s="87">
        <f>IF(R116&lt;Q116,"X","")</f>
        <v/>
      </c>
      <c r="BC116" s="190" t="inlineStr">
        <is>
          <t>NO</t>
        </is>
      </c>
      <c r="BD116" s="190" t="inlineStr">
        <is>
          <t>NO</t>
        </is>
      </c>
    </row>
    <row r="117" ht="15" customHeight="1" s="162">
      <c r="A117" s="7" t="n">
        <v>116</v>
      </c>
      <c r="B117" t="inlineStr">
        <is>
          <t>32111504</t>
        </is>
      </c>
      <c r="C117" t="inlineStr">
        <is>
          <t>Diodo, GI754-E3/54, 6A, 400V Conexi&amp;#243</t>
        </is>
      </c>
      <c r="D117" t="inlineStr">
        <is>
          <t>1101802159</t>
        </is>
      </c>
      <c r="E117" t="inlineStr">
        <is>
          <t>5</t>
        </is>
      </c>
      <c r="F117" s="163" t="n">
        <v>45603</v>
      </c>
      <c r="G117" t="inlineStr"/>
      <c r="H117" t="inlineStr">
        <is>
          <t>4800002712</t>
        </is>
      </c>
      <c r="I117" t="inlineStr">
        <is>
          <t>4460</t>
        </is>
      </c>
      <c r="J117" s="163" t="n">
        <v>45600</v>
      </c>
      <c r="K117" s="163" t="inlineStr"/>
      <c r="L117" t="inlineStr"/>
      <c r="M117" s="163" t="n">
        <v>45604</v>
      </c>
      <c r="N117" s="164" t="n">
        <v>0</v>
      </c>
      <c r="O117" s="164" t="n">
        <v>0</v>
      </c>
      <c r="P117" t="inlineStr"/>
      <c r="Q117" s="165" t="n">
        <v>40</v>
      </c>
      <c r="R117" s="165" t="n">
        <v>40</v>
      </c>
      <c r="S117" s="165" t="n">
        <v>40</v>
      </c>
      <c r="T117" s="165" t="n">
        <v>0</v>
      </c>
      <c r="U117" s="166" t="n">
        <v>0</v>
      </c>
      <c r="V117" s="166" t="n">
        <v>0</v>
      </c>
      <c r="W117" t="inlineStr">
        <is>
          <t>X</t>
        </is>
      </c>
      <c r="X117" t="inlineStr">
        <is>
          <t>0.00</t>
        </is>
      </c>
      <c r="Y117" t="inlineStr"/>
      <c r="Z117" t="inlineStr">
        <is>
          <t>AMIDATA, S.A.</t>
        </is>
      </c>
      <c r="AA117" t="inlineStr"/>
      <c r="AB117" t="inlineStr">
        <is>
          <t>7088016P</t>
        </is>
      </c>
      <c r="AC117" t="inlineStr"/>
      <c r="AD117" s="164" t="n">
        <v>0</v>
      </c>
      <c r="AE117" s="185" t="n">
        <v>0</v>
      </c>
      <c r="AG117" s="167" t="inlineStr">
        <is>
          <t>7218|JA2593_1001</t>
        </is>
      </c>
      <c r="AH117" s="46">
        <f>IF(M117=0,"-",M117-J117)</f>
        <v/>
      </c>
      <c r="AI117" s="46">
        <f>IF(AND(S117=0,M117&gt;0,L117=0),IF(AH117&gt;=120,"VERY HIGH",IF(AH117&gt;=90,"HIGH",IF(AH117&gt;=60,"MEDIUM",IF(AH117&lt;60,"LOW")))),"-")</f>
        <v/>
      </c>
      <c r="AJ117" s="12" t="n"/>
      <c r="AK117" s="41">
        <f>IF(AND(W117="X",M117&lt;=$AJ$2),"YES","")</f>
        <v/>
      </c>
      <c r="AL117" s="38">
        <f>IF(AND(W117="X",M117&lt;=$AJ$2),S117,"")</f>
        <v/>
      </c>
      <c r="AM117" s="26">
        <f>IF(AND(W117="X",M117&gt;$AJ$2),"YES","")</f>
        <v/>
      </c>
      <c r="AN117" s="89">
        <f>IF(AND(W117="X",M117&gt;$AJ$2),S117,"")</f>
        <v/>
      </c>
      <c r="AO117" s="35">
        <f>IF(AND(W117="",M117&gt;0,$AJ$2&gt;M117,L117=""),1,0)</f>
        <v/>
      </c>
      <c r="AP117" s="26">
        <f>IF(AND(AK117="YES",W117="X"),"X","")</f>
        <v/>
      </c>
      <c r="AQ117" s="28">
        <f>IF(AP117="X",100%,0%)</f>
        <v/>
      </c>
      <c r="AR117" s="25">
        <f>IF(AND(T117&gt;0,L117=""),H117,"")</f>
        <v/>
      </c>
      <c r="AS117" s="25">
        <f>IF(AND(D117&gt;0,H117=0,G117=""),1,"")</f>
        <v/>
      </c>
      <c r="AT117" s="25">
        <f>IF(G117="BLOQ",1,"")</f>
        <v/>
      </c>
      <c r="AU117" s="25">
        <f>IF(L117="BLOQ",1,"")</f>
        <v/>
      </c>
      <c r="AV117" s="25">
        <f>MONTH(F117)</f>
        <v/>
      </c>
      <c r="AW117" s="65">
        <f>IF(AP117="",100%,0%)</f>
        <v/>
      </c>
      <c r="AX117" s="23" t="n"/>
      <c r="AY117" s="24">
        <f>IF(M117=0,"",M117-$AX$2)</f>
        <v/>
      </c>
      <c r="AZ117" s="66">
        <f>IF(AND(W117="",AY117&gt;0,AY117&lt;15),1,0)</f>
        <v/>
      </c>
      <c r="BA117" s="24">
        <f>IF(AND(W117="",AY117&gt;0,AY117&lt;15),T117,"")</f>
        <v/>
      </c>
      <c r="BB117" s="87">
        <f>IF(R117&lt;Q117,"X","")</f>
        <v/>
      </c>
      <c r="BC117" s="190" t="inlineStr">
        <is>
          <t>NO</t>
        </is>
      </c>
      <c r="BD117" s="190" t="inlineStr">
        <is>
          <t>NO</t>
        </is>
      </c>
    </row>
    <row r="118" ht="15" customHeight="1" s="162">
      <c r="A118" s="7" t="n">
        <v>117</v>
      </c>
      <c r="B118" t="inlineStr">
        <is>
          <t>32121505</t>
        </is>
      </c>
      <c r="C118" t="inlineStr">
        <is>
          <t>Condensador electrol&amp;#237;tico Panasonic</t>
        </is>
      </c>
      <c r="D118" t="inlineStr">
        <is>
          <t>1101802159</t>
        </is>
      </c>
      <c r="E118" t="inlineStr">
        <is>
          <t>6</t>
        </is>
      </c>
      <c r="F118" s="163" t="n">
        <v>45603</v>
      </c>
      <c r="G118" t="inlineStr"/>
      <c r="H118" t="inlineStr">
        <is>
          <t>4800002712</t>
        </is>
      </c>
      <c r="I118" t="inlineStr">
        <is>
          <t>4470</t>
        </is>
      </c>
      <c r="J118" s="163" t="n">
        <v>45600</v>
      </c>
      <c r="K118" s="163" t="inlineStr"/>
      <c r="L118" t="inlineStr"/>
      <c r="M118" s="163" t="n">
        <v>45604</v>
      </c>
      <c r="N118" s="164" t="n">
        <v>0</v>
      </c>
      <c r="O118" s="164" t="n">
        <v>0</v>
      </c>
      <c r="P118" t="inlineStr"/>
      <c r="Q118" s="165" t="n">
        <v>40</v>
      </c>
      <c r="R118" s="165" t="n">
        <v>40</v>
      </c>
      <c r="S118" s="165" t="n">
        <v>40</v>
      </c>
      <c r="T118" s="165" t="n">
        <v>0</v>
      </c>
      <c r="U118" s="166" t="n">
        <v>0</v>
      </c>
      <c r="V118" s="166" t="n">
        <v>0</v>
      </c>
      <c r="W118" t="inlineStr">
        <is>
          <t>X</t>
        </is>
      </c>
      <c r="X118" t="inlineStr">
        <is>
          <t>0.00</t>
        </is>
      </c>
      <c r="Y118" t="inlineStr"/>
      <c r="Z118" t="inlineStr">
        <is>
          <t>AMIDATA, S.A.</t>
        </is>
      </c>
      <c r="AA118" t="inlineStr"/>
      <c r="AB118" t="inlineStr">
        <is>
          <t>3150619P</t>
        </is>
      </c>
      <c r="AC118" t="inlineStr"/>
      <c r="AD118" s="164" t="n">
        <v>0</v>
      </c>
      <c r="AE118" s="185" t="n">
        <v>0</v>
      </c>
      <c r="AG118" s="167" t="inlineStr">
        <is>
          <t>7218|JA2593_1001</t>
        </is>
      </c>
      <c r="AH118" s="46">
        <f>IF(M118=0,"-",M118-J118)</f>
        <v/>
      </c>
      <c r="AI118" s="46">
        <f>IF(AND(S118=0,M118&gt;0,L118=0),IF(AH118&gt;=120,"VERY HIGH",IF(AH118&gt;=90,"HIGH",IF(AH118&gt;=60,"MEDIUM",IF(AH118&lt;60,"LOW")))),"-")</f>
        <v/>
      </c>
      <c r="AJ118" s="12" t="n"/>
      <c r="AK118" s="41">
        <f>IF(AND(W118="X",M118&lt;=$AJ$2),"YES","")</f>
        <v/>
      </c>
      <c r="AL118" s="38">
        <f>IF(AND(W118="X",M118&lt;=$AJ$2),S118,"")</f>
        <v/>
      </c>
      <c r="AM118" s="26">
        <f>IF(AND(W118="X",M118&gt;$AJ$2),"YES","")</f>
        <v/>
      </c>
      <c r="AN118" s="89">
        <f>IF(AND(W118="X",M118&gt;$AJ$2),S118,"")</f>
        <v/>
      </c>
      <c r="AO118" s="35">
        <f>IF(AND(W118="",M118&gt;0,$AJ$2&gt;M118,L118=""),1,0)</f>
        <v/>
      </c>
      <c r="AP118" s="26">
        <f>IF(AND(AK118="YES",W118="X"),"X","")</f>
        <v/>
      </c>
      <c r="AQ118" s="28">
        <f>IF(AP118="X",100%,0%)</f>
        <v/>
      </c>
      <c r="AR118" s="25">
        <f>IF(AND(T118&gt;0,L118=""),H118,"")</f>
        <v/>
      </c>
      <c r="AS118" s="25">
        <f>IF(AND(D118&gt;0,H118=0,G118=""),1,"")</f>
        <v/>
      </c>
      <c r="AT118" s="25">
        <f>IF(G118="BLOQ",1,"")</f>
        <v/>
      </c>
      <c r="AU118" s="25">
        <f>IF(L118="BLOQ",1,"")</f>
        <v/>
      </c>
      <c r="AV118" s="25">
        <f>MONTH(F118)</f>
        <v/>
      </c>
      <c r="AW118" s="65">
        <f>IF(AP118="",100%,0%)</f>
        <v/>
      </c>
      <c r="AX118" s="23" t="n"/>
      <c r="AY118" s="24">
        <f>IF(M118=0,"",M118-$AX$2)</f>
        <v/>
      </c>
      <c r="AZ118" s="66">
        <f>IF(AND(W118="",AY118&gt;0,AY118&lt;15),1,0)</f>
        <v/>
      </c>
      <c r="BA118" s="24">
        <f>IF(AND(W118="",AY118&gt;0,AY118&lt;15),T118,"")</f>
        <v/>
      </c>
      <c r="BB118" s="87">
        <f>IF(R118&lt;Q118,"X","")</f>
        <v/>
      </c>
      <c r="BC118" s="190" t="inlineStr">
        <is>
          <t>NO</t>
        </is>
      </c>
      <c r="BD118" s="190" t="inlineStr">
        <is>
          <t>NO</t>
        </is>
      </c>
    </row>
    <row r="119" ht="15" customHeight="1" s="162">
      <c r="A119" s="7" t="n">
        <v>118</v>
      </c>
      <c r="B119" t="inlineStr">
        <is>
          <t>15121905</t>
        </is>
      </c>
      <c r="C119" t="inlineStr">
        <is>
          <t>Pasta t&amp;#233;rmica con &amp;#243;xido met&amp;#2</t>
        </is>
      </c>
      <c r="D119" t="inlineStr">
        <is>
          <t>1101802185</t>
        </is>
      </c>
      <c r="E119" t="inlineStr">
        <is>
          <t>1</t>
        </is>
      </c>
      <c r="F119" s="163" t="n">
        <v>45603</v>
      </c>
      <c r="G119" t="inlineStr"/>
      <c r="H119" t="inlineStr">
        <is>
          <t>4800002712</t>
        </is>
      </c>
      <c r="I119" t="inlineStr">
        <is>
          <t>4490</t>
        </is>
      </c>
      <c r="J119" s="163" t="n">
        <v>45600</v>
      </c>
      <c r="K119" s="163" t="inlineStr"/>
      <c r="L119" t="inlineStr"/>
      <c r="M119" s="163" t="n">
        <v>45604</v>
      </c>
      <c r="N119" s="164" t="n">
        <v>0</v>
      </c>
      <c r="O119" s="164" t="n">
        <v>0</v>
      </c>
      <c r="P119" t="inlineStr"/>
      <c r="Q119" s="165" t="n">
        <v>4</v>
      </c>
      <c r="R119" s="165" t="n">
        <v>4</v>
      </c>
      <c r="S119" s="165" t="n">
        <v>4</v>
      </c>
      <c r="T119" s="165" t="n">
        <v>0</v>
      </c>
      <c r="U119" s="166" t="n">
        <v>0</v>
      </c>
      <c r="V119" s="166" t="n">
        <v>0</v>
      </c>
      <c r="W119" t="inlineStr">
        <is>
          <t>X</t>
        </is>
      </c>
      <c r="X119" t="inlineStr">
        <is>
          <t>0.00</t>
        </is>
      </c>
      <c r="Y119" t="inlineStr"/>
      <c r="Z119" t="inlineStr">
        <is>
          <t>AMIDATA, S.A.</t>
        </is>
      </c>
      <c r="AA119" t="inlineStr"/>
      <c r="AB119" t="inlineStr">
        <is>
          <t>0554311</t>
        </is>
      </c>
      <c r="AC119" t="inlineStr"/>
      <c r="AD119" s="164" t="n">
        <v>0</v>
      </c>
      <c r="AE119" s="185" t="n">
        <v>0</v>
      </c>
      <c r="AG119" s="167" t="inlineStr">
        <is>
          <t>7218|JA2593_1001</t>
        </is>
      </c>
      <c r="AH119" s="46">
        <f>IF(M119=0,"-",M119-J119)</f>
        <v/>
      </c>
      <c r="AI119" s="46">
        <f>IF(AND(S119=0,M119&gt;0,L119=0),IF(AH119&gt;=120,"VERY HIGH",IF(AH119&gt;=90,"HIGH",IF(AH119&gt;=60,"MEDIUM",IF(AH119&lt;60,"LOW")))),"-")</f>
        <v/>
      </c>
      <c r="AJ119" s="12" t="n"/>
      <c r="AK119" s="41">
        <f>IF(AND(W119="X",M119&lt;=$AJ$2),"YES","")</f>
        <v/>
      </c>
      <c r="AL119" s="38">
        <f>IF(AND(W119="X",M119&lt;=$AJ$2),S119,"")</f>
        <v/>
      </c>
      <c r="AM119" s="26">
        <f>IF(AND(W119="X",M119&gt;$AJ$2),"YES","")</f>
        <v/>
      </c>
      <c r="AN119" s="89">
        <f>IF(AND(W119="X",M119&gt;$AJ$2),S119,"")</f>
        <v/>
      </c>
      <c r="AO119" s="35">
        <f>IF(AND(W119="",M119&gt;0,$AJ$2&gt;M119,L119=""),1,0)</f>
        <v/>
      </c>
      <c r="AP119" s="26">
        <f>IF(AND(AK119="YES",W119="X"),"X","")</f>
        <v/>
      </c>
      <c r="AQ119" s="28">
        <f>IF(AP119="X",100%,0%)</f>
        <v/>
      </c>
      <c r="AR119" s="25">
        <f>IF(AND(T119&gt;0,L119=""),H119,"")</f>
        <v/>
      </c>
      <c r="AS119" s="25">
        <f>IF(AND(D119&gt;0,H119=0,G119=""),1,"")</f>
        <v/>
      </c>
      <c r="AT119" s="25">
        <f>IF(G119="BLOQ",1,"")</f>
        <v/>
      </c>
      <c r="AU119" s="25">
        <f>IF(L119="BLOQ",1,"")</f>
        <v/>
      </c>
      <c r="AV119" s="25">
        <f>MONTH(F119)</f>
        <v/>
      </c>
      <c r="AW119" s="65">
        <f>IF(AP119="",100%,0%)</f>
        <v/>
      </c>
      <c r="AX119" s="23" t="n"/>
      <c r="AY119" s="24">
        <f>IF(M119=0,"",M119-$AX$2)</f>
        <v/>
      </c>
      <c r="AZ119" s="66">
        <f>IF(AND(W119="",AY119&gt;0,AY119&lt;15),1,0)</f>
        <v/>
      </c>
      <c r="BA119" s="24">
        <f>IF(AND(W119="",AY119&gt;0,AY119&lt;15),T119,"")</f>
        <v/>
      </c>
      <c r="BB119" s="87">
        <f>IF(R119&lt;Q119,"X","")</f>
        <v/>
      </c>
      <c r="BC119" s="190" t="inlineStr">
        <is>
          <t>NO</t>
        </is>
      </c>
      <c r="BD119" s="190" t="inlineStr">
        <is>
          <t>NO</t>
        </is>
      </c>
    </row>
    <row r="120" ht="15" customHeight="1" s="162">
      <c r="A120" s="7" t="n">
        <v>119</v>
      </c>
      <c r="B120" t="inlineStr">
        <is>
          <t>55121612</t>
        </is>
      </c>
      <c r="C120" t="inlineStr">
        <is>
          <t>PK20 ETQ LSR 210X297 METAL APLI 10071</t>
        </is>
      </c>
      <c r="D120" t="inlineStr">
        <is>
          <t>1101802192</t>
        </is>
      </c>
      <c r="E120" t="inlineStr">
        <is>
          <t>1</t>
        </is>
      </c>
      <c r="F120" s="163" t="n">
        <v>45603</v>
      </c>
      <c r="G120" t="inlineStr"/>
      <c r="H120" t="inlineStr">
        <is>
          <t>4800002711</t>
        </is>
      </c>
      <c r="I120" t="inlineStr">
        <is>
          <t>860</t>
        </is>
      </c>
      <c r="J120" s="163" t="n">
        <v>45600</v>
      </c>
      <c r="K120" s="163" t="inlineStr"/>
      <c r="L120" t="inlineStr"/>
      <c r="M120" s="163" t="n">
        <v>45604</v>
      </c>
      <c r="N120" s="164" t="n">
        <v>0</v>
      </c>
      <c r="O120" s="164" t="n">
        <v>0</v>
      </c>
      <c r="P120" t="inlineStr"/>
      <c r="Q120" s="165" t="n">
        <v>3</v>
      </c>
      <c r="R120" s="165" t="n">
        <v>3</v>
      </c>
      <c r="S120" s="165" t="n">
        <v>3</v>
      </c>
      <c r="T120" s="165" t="n">
        <v>0</v>
      </c>
      <c r="U120" s="166" t="n">
        <v>0</v>
      </c>
      <c r="V120" s="166" t="n">
        <v>0</v>
      </c>
      <c r="W120" t="inlineStr">
        <is>
          <t>X</t>
        </is>
      </c>
      <c r="X120" t="inlineStr">
        <is>
          <t>0.00</t>
        </is>
      </c>
      <c r="Y120" t="inlineStr"/>
      <c r="Z120" t="inlineStr">
        <is>
          <t>FUNDACION JUAN XXIII-RONCALLI DISC.</t>
        </is>
      </c>
      <c r="AA120" t="inlineStr"/>
      <c r="AB120" t="inlineStr">
        <is>
          <t>3048879</t>
        </is>
      </c>
      <c r="AC120" t="inlineStr"/>
      <c r="AD120" s="164" t="n">
        <v>0</v>
      </c>
      <c r="AE120" s="185" t="n">
        <v>0</v>
      </c>
      <c r="AG120" s="167" t="inlineStr">
        <is>
          <t>7218|S24B05_S1076</t>
        </is>
      </c>
      <c r="AH120" s="46">
        <f>IF(M120=0,"-",M120-J120)</f>
        <v/>
      </c>
      <c r="AI120" s="46">
        <f>IF(AND(S120=0,M120&gt;0,L120=0),IF(AH120&gt;=120,"VERY HIGH",IF(AH120&gt;=90,"HIGH",IF(AH120&gt;=60,"MEDIUM",IF(AH120&lt;60,"LOW")))),"-")</f>
        <v/>
      </c>
      <c r="AJ120" s="12" t="n"/>
      <c r="AK120" s="41">
        <f>IF(AND(W120="X",M120&lt;=$AJ$2),"YES","")</f>
        <v/>
      </c>
      <c r="AL120" s="38">
        <f>IF(AND(W120="X",M120&lt;=$AJ$2),S120,"")</f>
        <v/>
      </c>
      <c r="AM120" s="26">
        <f>IF(AND(W120="X",M120&gt;$AJ$2),"YES","")</f>
        <v/>
      </c>
      <c r="AN120" s="89">
        <f>IF(AND(W120="X",M120&gt;$AJ$2),S120,"")</f>
        <v/>
      </c>
      <c r="AO120" s="35">
        <f>IF(AND(W120="",M120&gt;0,$AJ$2&gt;M120,L120=""),1,0)</f>
        <v/>
      </c>
      <c r="AP120" s="26">
        <f>IF(AND(AK120="YES",W120="X"),"X","")</f>
        <v/>
      </c>
      <c r="AQ120" s="28">
        <f>IF(AP120="X",100%,0%)</f>
        <v/>
      </c>
      <c r="AR120" s="25">
        <f>IF(AND(T120&gt;0,L120=""),H120,"")</f>
        <v/>
      </c>
      <c r="AS120" s="25">
        <f>IF(AND(D120&gt;0,H120=0,G120=""),1,"")</f>
        <v/>
      </c>
      <c r="AT120" s="25">
        <f>IF(G120="BLOQ",1,"")</f>
        <v/>
      </c>
      <c r="AU120" s="25">
        <f>IF(L120="BLOQ",1,"")</f>
        <v/>
      </c>
      <c r="AV120" s="25">
        <f>MONTH(F120)</f>
        <v/>
      </c>
      <c r="AW120" s="65">
        <f>IF(AP120="",100%,0%)</f>
        <v/>
      </c>
      <c r="AX120" s="23" t="n"/>
      <c r="AY120" s="24">
        <f>IF(M120=0,"",M120-$AX$2)</f>
        <v/>
      </c>
      <c r="AZ120" s="66">
        <f>IF(AND(W120="",AY120&gt;0,AY120&lt;15),1,0)</f>
        <v/>
      </c>
      <c r="BA120" s="24">
        <f>IF(AND(W120="",AY120&gt;0,AY120&lt;15),T120,"")</f>
        <v/>
      </c>
      <c r="BB120" s="87">
        <f>IF(R120&lt;Q120,"X","")</f>
        <v/>
      </c>
      <c r="BC120" s="190" t="inlineStr">
        <is>
          <t>NO</t>
        </is>
      </c>
      <c r="BD120" s="190" t="inlineStr">
        <is>
          <t>NO</t>
        </is>
      </c>
    </row>
    <row r="121" ht="15" customHeight="1" s="162">
      <c r="A121" s="7" t="n">
        <v>120</v>
      </c>
      <c r="B121" t="inlineStr">
        <is>
          <t>43223306</t>
        </is>
      </c>
      <c r="C121" t="inlineStr">
        <is>
          <t>Bandeja en rack con ventilaci&amp;#243;n 1U</t>
        </is>
      </c>
      <c r="D121" t="inlineStr">
        <is>
          <t>1101802534</t>
        </is>
      </c>
      <c r="E121" t="inlineStr">
        <is>
          <t>1</t>
        </is>
      </c>
      <c r="F121" s="163" t="n">
        <v>45604</v>
      </c>
      <c r="G121" t="inlineStr"/>
      <c r="H121" t="inlineStr">
        <is>
          <t>4800002712</t>
        </is>
      </c>
      <c r="I121" t="inlineStr">
        <is>
          <t>4770</t>
        </is>
      </c>
      <c r="J121" s="163" t="n">
        <v>45600</v>
      </c>
      <c r="K121" s="163" t="inlineStr"/>
      <c r="L121" t="inlineStr"/>
      <c r="M121" s="163" t="n">
        <v>45605</v>
      </c>
      <c r="N121" s="164" t="n">
        <v>0</v>
      </c>
      <c r="O121" s="164" t="n">
        <v>0</v>
      </c>
      <c r="P121" t="inlineStr"/>
      <c r="Q121" s="165" t="n">
        <v>8</v>
      </c>
      <c r="R121" s="165" t="n">
        <v>8</v>
      </c>
      <c r="S121" s="165" t="n">
        <v>8</v>
      </c>
      <c r="T121" s="165" t="n">
        <v>0</v>
      </c>
      <c r="U121" s="166" t="n">
        <v>0</v>
      </c>
      <c r="V121" s="166" t="n">
        <v>0</v>
      </c>
      <c r="W121" t="inlineStr">
        <is>
          <t>X</t>
        </is>
      </c>
      <c r="X121" t="inlineStr">
        <is>
          <t>0.00</t>
        </is>
      </c>
      <c r="Y121" t="inlineStr"/>
      <c r="Z121" t="inlineStr">
        <is>
          <t>AMIDATA, S.A.</t>
        </is>
      </c>
      <c r="AA121" t="inlineStr"/>
      <c r="AB121" t="inlineStr">
        <is>
          <t>1863002</t>
        </is>
      </c>
      <c r="AC121" t="inlineStr"/>
      <c r="AD121" s="164" t="n">
        <v>0</v>
      </c>
      <c r="AE121" s="185" t="n">
        <v>0</v>
      </c>
      <c r="AG121" s="167" t="inlineStr">
        <is>
          <t>7218|JA2583_1001</t>
        </is>
      </c>
      <c r="AH121" s="46">
        <f>IF(M121=0,"-",M121-J121)</f>
        <v/>
      </c>
      <c r="AI121" s="46">
        <f>IF(AND(S121=0,M121&gt;0,L121=0),IF(AH121&gt;=120,"VERY HIGH",IF(AH121&gt;=90,"HIGH",IF(AH121&gt;=60,"MEDIUM",IF(AH121&lt;60,"LOW")))),"-")</f>
        <v/>
      </c>
      <c r="AJ121" s="12" t="n"/>
      <c r="AK121" s="41">
        <f>IF(AND(W121="X",M121&lt;=$AJ$2),"YES","")</f>
        <v/>
      </c>
      <c r="AL121" s="38">
        <f>IF(AND(W121="X",M121&lt;=$AJ$2),S121,"")</f>
        <v/>
      </c>
      <c r="AM121" s="26">
        <f>IF(AND(W121="X",M121&gt;$AJ$2),"YES","")</f>
        <v/>
      </c>
      <c r="AN121" s="89">
        <f>IF(AND(W121="X",M121&gt;$AJ$2),S121,"")</f>
        <v/>
      </c>
      <c r="AO121" s="35">
        <f>IF(AND(W121="",M121&gt;0,$AJ$2&gt;M121,L121=""),1,0)</f>
        <v/>
      </c>
      <c r="AP121" s="26">
        <f>IF(AND(AK121="YES",W121="X"),"X","")</f>
        <v/>
      </c>
      <c r="AQ121" s="28">
        <f>IF(AP121="X",100%,0%)</f>
        <v/>
      </c>
      <c r="AR121" s="25">
        <f>IF(AND(T121&gt;0,L121=""),H121,"")</f>
        <v/>
      </c>
      <c r="AS121" s="25">
        <f>IF(AND(D121&gt;0,H121=0,G121=""),1,"")</f>
        <v/>
      </c>
      <c r="AT121" s="25">
        <f>IF(G121="BLOQ",1,"")</f>
        <v/>
      </c>
      <c r="AU121" s="25">
        <f>IF(L121="BLOQ",1,"")</f>
        <v/>
      </c>
      <c r="AV121" s="25">
        <f>MONTH(F121)</f>
        <v/>
      </c>
      <c r="AW121" s="65">
        <f>IF(AP121="",100%,0%)</f>
        <v/>
      </c>
      <c r="AX121" s="23" t="n"/>
      <c r="AY121" s="24">
        <f>IF(M121=0,"",M121-$AX$2)</f>
        <v/>
      </c>
      <c r="AZ121" s="66">
        <f>IF(AND(W121="",AY121&gt;0,AY121&lt;15),1,0)</f>
        <v/>
      </c>
      <c r="BA121" s="24">
        <f>IF(AND(W121="",AY121&gt;0,AY121&lt;15),T121,"")</f>
        <v/>
      </c>
      <c r="BB121" s="87">
        <f>IF(R121&lt;Q121,"X","")</f>
        <v/>
      </c>
      <c r="BC121" s="190" t="inlineStr">
        <is>
          <t>NO</t>
        </is>
      </c>
      <c r="BD121" s="190" t="inlineStr">
        <is>
          <t>NO</t>
        </is>
      </c>
    </row>
    <row r="122" ht="15" customHeight="1" s="162">
      <c r="A122" s="7" t="n">
        <v>121</v>
      </c>
      <c r="B122" t="inlineStr">
        <is>
          <t>32121609</t>
        </is>
      </c>
      <c r="C122" t="inlineStr">
        <is>
          <t>Resistencia TE Connectivity, de 2k? &amp;#17</t>
        </is>
      </c>
      <c r="D122" t="inlineStr">
        <is>
          <t>1101802542</t>
        </is>
      </c>
      <c r="E122" t="inlineStr">
        <is>
          <t>1</t>
        </is>
      </c>
      <c r="F122" s="163" t="n">
        <v>45604</v>
      </c>
      <c r="G122" t="inlineStr"/>
      <c r="H122" t="inlineStr">
        <is>
          <t>4800002712</t>
        </is>
      </c>
      <c r="I122" t="inlineStr">
        <is>
          <t>4780</t>
        </is>
      </c>
      <c r="J122" s="163" t="n">
        <v>45600</v>
      </c>
      <c r="K122" s="163" t="inlineStr"/>
      <c r="L122" t="inlineStr"/>
      <c r="M122" s="163" t="n">
        <v>45605</v>
      </c>
      <c r="N122" s="164" t="n">
        <v>0</v>
      </c>
      <c r="O122" s="164" t="n">
        <v>0</v>
      </c>
      <c r="P122" t="inlineStr"/>
      <c r="Q122" s="165" t="n">
        <v>10</v>
      </c>
      <c r="R122" s="165" t="n">
        <v>10</v>
      </c>
      <c r="S122" s="165" t="n">
        <v>10</v>
      </c>
      <c r="T122" s="165" t="n">
        <v>0</v>
      </c>
      <c r="U122" s="166" t="n">
        <v>0</v>
      </c>
      <c r="V122" s="166" t="n">
        <v>0</v>
      </c>
      <c r="W122" t="inlineStr">
        <is>
          <t>X</t>
        </is>
      </c>
      <c r="X122" t="inlineStr">
        <is>
          <t>0.00</t>
        </is>
      </c>
      <c r="Y122" t="inlineStr"/>
      <c r="Z122" t="inlineStr">
        <is>
          <t>AMIDATA, S.A.</t>
        </is>
      </c>
      <c r="AA122" t="inlineStr"/>
      <c r="AB122" t="inlineStr">
        <is>
          <t>1251200</t>
        </is>
      </c>
      <c r="AC122" t="inlineStr"/>
      <c r="AD122" s="164" t="n">
        <v>0</v>
      </c>
      <c r="AE122" s="185" t="n">
        <v>0</v>
      </c>
      <c r="AG122" s="167" t="inlineStr">
        <is>
          <t>7218|JA2593_1001</t>
        </is>
      </c>
      <c r="AH122" s="46">
        <f>IF(M122=0,"-",M122-J122)</f>
        <v/>
      </c>
      <c r="AI122" s="46">
        <f>IF(AND(S122=0,M122&gt;0,L122=0),IF(AH122&gt;=120,"VERY HIGH",IF(AH122&gt;=90,"HIGH",IF(AH122&gt;=60,"MEDIUM",IF(AH122&lt;60,"LOW")))),"-")</f>
        <v/>
      </c>
      <c r="AJ122" s="12" t="n"/>
      <c r="AK122" s="41">
        <f>IF(AND(W122="X",M122&lt;=$AJ$2),"YES","")</f>
        <v/>
      </c>
      <c r="AL122" s="38">
        <f>IF(AND(W122="X",M122&lt;=$AJ$2),S122,"")</f>
        <v/>
      </c>
      <c r="AM122" s="26">
        <f>IF(AND(W122="X",M122&gt;$AJ$2),"YES","")</f>
        <v/>
      </c>
      <c r="AN122" s="89">
        <f>IF(AND(W122="X",M122&gt;$AJ$2),S122,"")</f>
        <v/>
      </c>
      <c r="AO122" s="35">
        <f>IF(AND(W122="",M122&gt;0,$AJ$2&gt;M122,L122=""),1,0)</f>
        <v/>
      </c>
      <c r="AP122" s="26">
        <f>IF(AND(AK122="YES",W122="X"),"X","")</f>
        <v/>
      </c>
      <c r="AQ122" s="28">
        <f>IF(AP122="X",100%,0%)</f>
        <v/>
      </c>
      <c r="AR122" s="25">
        <f>IF(AND(T122&gt;0,L122=""),H122,"")</f>
        <v/>
      </c>
      <c r="AS122" s="25">
        <f>IF(AND(D122&gt;0,H122=0,G122=""),1,"")</f>
        <v/>
      </c>
      <c r="AT122" s="25">
        <f>IF(G122="BLOQ",1,"")</f>
        <v/>
      </c>
      <c r="AU122" s="25">
        <f>IF(L122="BLOQ",1,"")</f>
        <v/>
      </c>
      <c r="AV122" s="25">
        <f>MONTH(F122)</f>
        <v/>
      </c>
      <c r="AW122" s="65">
        <f>IF(AP122="",100%,0%)</f>
        <v/>
      </c>
      <c r="AX122" s="23" t="n"/>
      <c r="AY122" s="24">
        <f>IF(M122=0,"",M122-$AX$2)</f>
        <v/>
      </c>
      <c r="AZ122" s="66">
        <f>IF(AND(W122="",AY122&gt;0,AY122&lt;15),1,0)</f>
        <v/>
      </c>
      <c r="BA122" s="24">
        <f>IF(AND(W122="",AY122&gt;0,AY122&lt;15),T122,"")</f>
        <v/>
      </c>
      <c r="BB122" s="87">
        <f>IF(R122&lt;Q122,"X","")</f>
        <v/>
      </c>
      <c r="BC122" s="190" t="inlineStr">
        <is>
          <t>NO</t>
        </is>
      </c>
      <c r="BD122" s="190" t="inlineStr">
        <is>
          <t>NO</t>
        </is>
      </c>
    </row>
    <row r="123" ht="15" customHeight="1" s="162">
      <c r="A123" s="7" t="n">
        <v>122</v>
      </c>
      <c r="B123" t="inlineStr">
        <is>
          <t>24141501</t>
        </is>
      </c>
      <c r="C123" t="inlineStr">
        <is>
          <t>Pel&amp;#237;cula para protecci&amp;#243;n contr</t>
        </is>
      </c>
      <c r="D123" t="inlineStr">
        <is>
          <t>1101802755</t>
        </is>
      </c>
      <c r="E123" t="inlineStr">
        <is>
          <t>1</t>
        </is>
      </c>
      <c r="F123" s="163" t="n">
        <v>45604</v>
      </c>
      <c r="G123" t="inlineStr"/>
      <c r="H123" t="inlineStr">
        <is>
          <t>4800002712</t>
        </is>
      </c>
      <c r="I123" t="inlineStr">
        <is>
          <t>5040</t>
        </is>
      </c>
      <c r="J123" s="163" t="n">
        <v>45600</v>
      </c>
      <c r="K123" s="163" t="inlineStr"/>
      <c r="L123" t="inlineStr"/>
      <c r="M123" s="163" t="n">
        <v>45605</v>
      </c>
      <c r="N123" s="164" t="n">
        <v>0</v>
      </c>
      <c r="O123" s="164" t="n">
        <v>0</v>
      </c>
      <c r="P123" t="inlineStr"/>
      <c r="Q123" s="165" t="n">
        <v>2</v>
      </c>
      <c r="R123" s="165" t="n">
        <v>2</v>
      </c>
      <c r="S123" s="165" t="n">
        <v>2</v>
      </c>
      <c r="T123" s="165" t="n">
        <v>0</v>
      </c>
      <c r="U123" s="166" t="n">
        <v>0</v>
      </c>
      <c r="V123" s="166" t="n">
        <v>0</v>
      </c>
      <c r="W123" t="inlineStr">
        <is>
          <t>X</t>
        </is>
      </c>
      <c r="X123" t="inlineStr">
        <is>
          <t>0.00</t>
        </is>
      </c>
      <c r="Y123" t="inlineStr"/>
      <c r="Z123" t="inlineStr">
        <is>
          <t>AMIDATA, S.A.</t>
        </is>
      </c>
      <c r="AA123" t="inlineStr"/>
      <c r="AB123" t="inlineStr">
        <is>
          <t>8157012</t>
        </is>
      </c>
      <c r="AC123" t="inlineStr"/>
      <c r="AD123" s="164" t="n">
        <v>0</v>
      </c>
      <c r="AE123" s="185" t="n">
        <v>0</v>
      </c>
      <c r="AG123" s="167" t="inlineStr">
        <is>
          <t>7218|JA2593_1001</t>
        </is>
      </c>
      <c r="AH123" s="46">
        <f>IF(M123=0,"-",M123-J123)</f>
        <v/>
      </c>
      <c r="AI123" s="46">
        <f>IF(AND(S123=0,M123&gt;0,L123=0),IF(AH123&gt;=120,"VERY HIGH",IF(AH123&gt;=90,"HIGH",IF(AH123&gt;=60,"MEDIUM",IF(AH123&lt;60,"LOW")))),"-")</f>
        <v/>
      </c>
      <c r="AJ123" s="12" t="n"/>
      <c r="AK123" s="41">
        <f>IF(AND(W123="X",M123&lt;=$AJ$2),"YES","")</f>
        <v/>
      </c>
      <c r="AL123" s="38">
        <f>IF(AND(W123="X",M123&lt;=$AJ$2),S123,"")</f>
        <v/>
      </c>
      <c r="AM123" s="26">
        <f>IF(AND(W123="X",M123&gt;$AJ$2),"YES","")</f>
        <v/>
      </c>
      <c r="AN123" s="89">
        <f>IF(AND(W123="X",M123&gt;$AJ$2),S123,"")</f>
        <v/>
      </c>
      <c r="AO123" s="35">
        <f>IF(AND(W123="",M123&gt;0,$AJ$2&gt;M123,L123=""),1,0)</f>
        <v/>
      </c>
      <c r="AP123" s="26">
        <f>IF(AND(AK123="YES",W123="X"),"X","")</f>
        <v/>
      </c>
      <c r="AQ123" s="28">
        <f>IF(AP123="X",100%,0%)</f>
        <v/>
      </c>
      <c r="AR123" s="25">
        <f>IF(AND(T123&gt;0,L123=""),H123,"")</f>
        <v/>
      </c>
      <c r="AS123" s="25">
        <f>IF(AND(D123&gt;0,H123=0,G123=""),1,"")</f>
        <v/>
      </c>
      <c r="AT123" s="25">
        <f>IF(G123="BLOQ",1,"")</f>
        <v/>
      </c>
      <c r="AU123" s="25">
        <f>IF(L123="BLOQ",1,"")</f>
        <v/>
      </c>
      <c r="AV123" s="25">
        <f>MONTH(F123)</f>
        <v/>
      </c>
      <c r="AW123" s="65">
        <f>IF(AP123="",100%,0%)</f>
        <v/>
      </c>
      <c r="AX123" s="23" t="n"/>
      <c r="AY123" s="24">
        <f>IF(M123=0,"",M123-$AX$2)</f>
        <v/>
      </c>
      <c r="AZ123" s="66">
        <f>IF(AND(W123="",AY123&gt;0,AY123&lt;15),1,0)</f>
        <v/>
      </c>
      <c r="BA123" s="24">
        <f>IF(AND(W123="",AY123&gt;0,AY123&lt;15),T123,"")</f>
        <v/>
      </c>
      <c r="BB123" s="87">
        <f>IF(R123&lt;Q123,"X","")</f>
        <v/>
      </c>
      <c r="BC123" s="190" t="inlineStr">
        <is>
          <t>NO</t>
        </is>
      </c>
      <c r="BD123" s="190" t="inlineStr">
        <is>
          <t>NO</t>
        </is>
      </c>
    </row>
    <row r="124" ht="15" customHeight="1" s="162">
      <c r="A124" s="7" t="n">
        <v>123</v>
      </c>
      <c r="B124" t="inlineStr">
        <is>
          <t>39121723</t>
        </is>
      </c>
      <c r="C124" t="inlineStr">
        <is>
          <t>Tubo termorretr&amp;#225;ctil TE Connectivit</t>
        </is>
      </c>
      <c r="D124" t="inlineStr">
        <is>
          <t>1101803073</t>
        </is>
      </c>
      <c r="E124" t="inlineStr">
        <is>
          <t>1</t>
        </is>
      </c>
      <c r="F124" s="163" t="n">
        <v>45607</v>
      </c>
      <c r="G124" t="inlineStr"/>
      <c r="H124" t="inlineStr">
        <is>
          <t>4800002726</t>
        </is>
      </c>
      <c r="I124" t="inlineStr">
        <is>
          <t>60</t>
        </is>
      </c>
      <c r="J124" s="163" t="n">
        <v>45606</v>
      </c>
      <c r="K124" s="163" t="inlineStr"/>
      <c r="L124" t="inlineStr"/>
      <c r="M124" s="163" t="n">
        <v>45608</v>
      </c>
      <c r="N124" s="164" t="n">
        <v>0</v>
      </c>
      <c r="O124" s="164" t="n">
        <v>0</v>
      </c>
      <c r="P124" t="inlineStr"/>
      <c r="Q124" s="165" t="n">
        <v>1</v>
      </c>
      <c r="R124" s="165" t="n">
        <v>1</v>
      </c>
      <c r="S124" s="165" t="n">
        <v>1</v>
      </c>
      <c r="T124" s="165" t="n">
        <v>0</v>
      </c>
      <c r="U124" s="166" t="n">
        <v>0</v>
      </c>
      <c r="V124" s="166" t="n">
        <v>0</v>
      </c>
      <c r="W124" t="inlineStr">
        <is>
          <t>X</t>
        </is>
      </c>
      <c r="X124" t="inlineStr">
        <is>
          <t>0.00</t>
        </is>
      </c>
      <c r="Y124" t="inlineStr"/>
      <c r="Z124" t="inlineStr">
        <is>
          <t>AMIDATA, S.A.</t>
        </is>
      </c>
      <c r="AA124" t="inlineStr"/>
      <c r="AB124" t="inlineStr">
        <is>
          <t>2777960</t>
        </is>
      </c>
      <c r="AC124" t="inlineStr"/>
      <c r="AD124" s="164" t="n">
        <v>0</v>
      </c>
      <c r="AE124" s="185" t="n">
        <v>0</v>
      </c>
      <c r="AG124" s="167" t="inlineStr">
        <is>
          <t>7218|JA2593_1001</t>
        </is>
      </c>
      <c r="AH124" s="46">
        <f>IF(M124=0,"-",M124-J124)</f>
        <v/>
      </c>
      <c r="AI124" s="46">
        <f>IF(AND(S124=0,M124&gt;0,L124=0),IF(AH124&gt;=120,"VERY HIGH",IF(AH124&gt;=90,"HIGH",IF(AH124&gt;=60,"MEDIUM",IF(AH124&lt;60,"LOW")))),"-")</f>
        <v/>
      </c>
      <c r="AJ124" s="12" t="n"/>
      <c r="AK124" s="41">
        <f>IF(AND(W124="X",M124&lt;=$AJ$2),"YES","")</f>
        <v/>
      </c>
      <c r="AL124" s="38">
        <f>IF(AND(W124="X",M124&lt;=$AJ$2),S124,"")</f>
        <v/>
      </c>
      <c r="AM124" s="26">
        <f>IF(AND(W124="X",M124&gt;$AJ$2),"YES","")</f>
        <v/>
      </c>
      <c r="AN124" s="89">
        <f>IF(AND(W124="X",M124&gt;$AJ$2),S124,"")</f>
        <v/>
      </c>
      <c r="AO124" s="35">
        <f>IF(AND(W124="",M124&gt;0,$AJ$2&gt;M124,L124=""),1,0)</f>
        <v/>
      </c>
      <c r="AP124" s="26">
        <f>IF(AND(AK124="YES",W124="X"),"X","")</f>
        <v/>
      </c>
      <c r="AQ124" s="28">
        <f>IF(AP124="X",100%,0%)</f>
        <v/>
      </c>
      <c r="AR124" s="25">
        <f>IF(AND(T124&gt;0,L124=""),H124,"")</f>
        <v/>
      </c>
      <c r="AS124" s="25">
        <f>IF(AND(D124&gt;0,H124=0,G124=""),1,"")</f>
        <v/>
      </c>
      <c r="AT124" s="25">
        <f>IF(G124="BLOQ",1,"")</f>
        <v/>
      </c>
      <c r="AU124" s="25">
        <f>IF(L124="BLOQ",1,"")</f>
        <v/>
      </c>
      <c r="AV124" s="25">
        <f>MONTH(F124)</f>
        <v/>
      </c>
      <c r="AW124" s="65">
        <f>IF(AP124="",100%,0%)</f>
        <v/>
      </c>
      <c r="AX124" s="23" t="n"/>
      <c r="AY124" s="24">
        <f>IF(M124=0,"",M124-$AX$2)</f>
        <v/>
      </c>
      <c r="AZ124" s="66">
        <f>IF(AND(W124="",AY124&gt;0,AY124&lt;15),1,0)</f>
        <v/>
      </c>
      <c r="BA124" s="24">
        <f>IF(AND(W124="",AY124&gt;0,AY124&lt;15),T124,"")</f>
        <v/>
      </c>
      <c r="BB124" s="87">
        <f>IF(R124&lt;Q124,"X","")</f>
        <v/>
      </c>
      <c r="BC124" s="190" t="inlineStr">
        <is>
          <t>NO</t>
        </is>
      </c>
      <c r="BD124" s="190" t="inlineStr">
        <is>
          <t>NO</t>
        </is>
      </c>
    </row>
    <row r="125" ht="15" customHeight="1" s="162">
      <c r="A125" s="7" t="n">
        <v>124</v>
      </c>
      <c r="B125" t="inlineStr">
        <is>
          <t>39121723</t>
        </is>
      </c>
      <c r="C125" t="inlineStr">
        <is>
          <t>Tubo termorretr&amp;#225;ctil TE Connectivit</t>
        </is>
      </c>
      <c r="D125" t="inlineStr">
        <is>
          <t>1101803073</t>
        </is>
      </c>
      <c r="E125" t="inlineStr">
        <is>
          <t>2</t>
        </is>
      </c>
      <c r="F125" s="163" t="n">
        <v>45607</v>
      </c>
      <c r="G125" t="inlineStr"/>
      <c r="H125" t="inlineStr">
        <is>
          <t>4800002726</t>
        </is>
      </c>
      <c r="I125" t="inlineStr">
        <is>
          <t>70</t>
        </is>
      </c>
      <c r="J125" s="163" t="n">
        <v>45606</v>
      </c>
      <c r="K125" s="163" t="inlineStr"/>
      <c r="L125" t="inlineStr"/>
      <c r="M125" s="163" t="n">
        <v>45608</v>
      </c>
      <c r="N125" s="164" t="n">
        <v>0</v>
      </c>
      <c r="O125" s="164" t="n">
        <v>0</v>
      </c>
      <c r="P125" t="inlineStr"/>
      <c r="Q125" s="165" t="n">
        <v>1</v>
      </c>
      <c r="R125" s="165" t="n">
        <v>1</v>
      </c>
      <c r="S125" s="165" t="n">
        <v>1</v>
      </c>
      <c r="T125" s="165" t="n">
        <v>0</v>
      </c>
      <c r="U125" s="166" t="n">
        <v>0</v>
      </c>
      <c r="V125" s="166" t="n">
        <v>0</v>
      </c>
      <c r="W125" t="inlineStr">
        <is>
          <t>X</t>
        </is>
      </c>
      <c r="X125" t="inlineStr">
        <is>
          <t>0.00</t>
        </is>
      </c>
      <c r="Y125" t="inlineStr"/>
      <c r="Z125" t="inlineStr">
        <is>
          <t>AMIDATA, S.A.</t>
        </is>
      </c>
      <c r="AA125" t="inlineStr"/>
      <c r="AB125" t="inlineStr">
        <is>
          <t>2777960</t>
        </is>
      </c>
      <c r="AC125" t="inlineStr"/>
      <c r="AD125" s="164" t="n">
        <v>0</v>
      </c>
      <c r="AE125" s="185" t="n">
        <v>0</v>
      </c>
      <c r="AG125" s="167" t="inlineStr">
        <is>
          <t>7218|JA2593_1001</t>
        </is>
      </c>
      <c r="AH125" s="46">
        <f>IF(M125=0,"-",M125-J125)</f>
        <v/>
      </c>
      <c r="AI125" s="46">
        <f>IF(AND(S125=0,M125&gt;0,L125=0),IF(AH125&gt;=120,"VERY HIGH",IF(AH125&gt;=90,"HIGH",IF(AH125&gt;=60,"MEDIUM",IF(AH125&lt;60,"LOW")))),"-")</f>
        <v/>
      </c>
      <c r="AJ125" s="12" t="n"/>
      <c r="AK125" s="41">
        <f>IF(AND(W125="X",M125&lt;=$AJ$2),"YES","")</f>
        <v/>
      </c>
      <c r="AL125" s="38">
        <f>IF(AND(W125="X",M125&lt;=$AJ$2),S125,"")</f>
        <v/>
      </c>
      <c r="AM125" s="26">
        <f>IF(AND(W125="X",M125&gt;$AJ$2),"YES","")</f>
        <v/>
      </c>
      <c r="AN125" s="89">
        <f>IF(AND(W125="X",M125&gt;$AJ$2),S125,"")</f>
        <v/>
      </c>
      <c r="AO125" s="35">
        <f>IF(AND(W125="",M125&gt;0,$AJ$2&gt;M125,L125=""),1,0)</f>
        <v/>
      </c>
      <c r="AP125" s="26">
        <f>IF(AND(AK125="YES",W125="X"),"X","")</f>
        <v/>
      </c>
      <c r="AQ125" s="28">
        <f>IF(AP125="X",100%,0%)</f>
        <v/>
      </c>
      <c r="AR125" s="25">
        <f>IF(AND(T125&gt;0,L125=""),H125,"")</f>
        <v/>
      </c>
      <c r="AS125" s="25">
        <f>IF(AND(D125&gt;0,H125=0,G125=""),1,"")</f>
        <v/>
      </c>
      <c r="AT125" s="25">
        <f>IF(G125="BLOQ",1,"")</f>
        <v/>
      </c>
      <c r="AU125" s="25">
        <f>IF(L125="BLOQ",1,"")</f>
        <v/>
      </c>
      <c r="AV125" s="25">
        <f>MONTH(F125)</f>
        <v/>
      </c>
      <c r="AW125" s="65">
        <f>IF(AP125="",100%,0%)</f>
        <v/>
      </c>
      <c r="AX125" s="23" t="n"/>
      <c r="AY125" s="24">
        <f>IF(M125=0,"",M125-$AX$2)</f>
        <v/>
      </c>
      <c r="AZ125" s="66">
        <f>IF(AND(W125="",AY125&gt;0,AY125&lt;15),1,0)</f>
        <v/>
      </c>
      <c r="BA125" s="24">
        <f>IF(AND(W125="",AY125&gt;0,AY125&lt;15),T125,"")</f>
        <v/>
      </c>
      <c r="BB125" s="87">
        <f>IF(R125&lt;Q125,"X","")</f>
        <v/>
      </c>
      <c r="BC125" s="190" t="inlineStr">
        <is>
          <t>NO</t>
        </is>
      </c>
      <c r="BD125" s="190" t="inlineStr">
        <is>
          <t>NO</t>
        </is>
      </c>
    </row>
    <row r="126" ht="15" customHeight="1" s="162">
      <c r="A126" s="7" t="n">
        <v>125</v>
      </c>
      <c r="B126" t="inlineStr">
        <is>
          <t>39121412</t>
        </is>
      </c>
      <c r="C126" t="inlineStr">
        <is>
          <t>Carcasa de conector circular Amphenol Li</t>
        </is>
      </c>
      <c r="D126" t="inlineStr">
        <is>
          <t>1101803108</t>
        </is>
      </c>
      <c r="E126" t="inlineStr">
        <is>
          <t>1</t>
        </is>
      </c>
      <c r="F126" s="163" t="n">
        <v>45607</v>
      </c>
      <c r="G126" t="inlineStr"/>
      <c r="H126" t="inlineStr">
        <is>
          <t>4800002726</t>
        </is>
      </c>
      <c r="I126" t="inlineStr">
        <is>
          <t>100</t>
        </is>
      </c>
      <c r="J126" s="163" t="n">
        <v>45606</v>
      </c>
      <c r="K126" s="163" t="inlineStr"/>
      <c r="L126" t="inlineStr"/>
      <c r="M126" s="163" t="n">
        <v>45608</v>
      </c>
      <c r="N126" s="164" t="n">
        <v>0</v>
      </c>
      <c r="O126" s="164" t="n">
        <v>0</v>
      </c>
      <c r="P126" t="inlineStr"/>
      <c r="Q126" s="165" t="n">
        <v>1</v>
      </c>
      <c r="R126" s="165" t="n">
        <v>1</v>
      </c>
      <c r="S126" s="165" t="n">
        <v>1</v>
      </c>
      <c r="T126" s="165" t="n">
        <v>0</v>
      </c>
      <c r="U126" s="166" t="n">
        <v>0</v>
      </c>
      <c r="V126" s="166" t="n">
        <v>0</v>
      </c>
      <c r="W126" t="inlineStr">
        <is>
          <t>X</t>
        </is>
      </c>
      <c r="X126" t="inlineStr">
        <is>
          <t>0.00</t>
        </is>
      </c>
      <c r="Y126" t="inlineStr"/>
      <c r="Z126" t="inlineStr">
        <is>
          <t>AMIDATA, S.A.</t>
        </is>
      </c>
      <c r="AA126" t="inlineStr"/>
      <c r="AB126" t="inlineStr">
        <is>
          <t>2067532</t>
        </is>
      </c>
      <c r="AC126" t="inlineStr"/>
      <c r="AD126" s="164" t="n">
        <v>0</v>
      </c>
      <c r="AE126" s="185" t="n">
        <v>0</v>
      </c>
      <c r="AG126" s="167" t="inlineStr">
        <is>
          <t>7218|JA2593_1001</t>
        </is>
      </c>
      <c r="AH126" s="46">
        <f>IF(M126=0,"-",M126-J126)</f>
        <v/>
      </c>
      <c r="AI126" s="46">
        <f>IF(AND(S126=0,M126&gt;0,L126=0),IF(AH126&gt;=120,"VERY HIGH",IF(AH126&gt;=90,"HIGH",IF(AH126&gt;=60,"MEDIUM",IF(AH126&lt;60,"LOW")))),"-")</f>
        <v/>
      </c>
      <c r="AJ126" s="12" t="n"/>
      <c r="AK126" s="41">
        <f>IF(AND(W126="X",M126&lt;=$AJ$2),"YES","")</f>
        <v/>
      </c>
      <c r="AL126" s="38">
        <f>IF(AND(W126="X",M126&lt;=$AJ$2),S126,"")</f>
        <v/>
      </c>
      <c r="AM126" s="26">
        <f>IF(AND(W126="X",M126&gt;$AJ$2),"YES","")</f>
        <v/>
      </c>
      <c r="AN126" s="89">
        <f>IF(AND(W126="X",M126&gt;$AJ$2),S126,"")</f>
        <v/>
      </c>
      <c r="AO126" s="35">
        <f>IF(AND(W126="",M126&gt;0,$AJ$2&gt;M126,L126=""),1,0)</f>
        <v/>
      </c>
      <c r="AP126" s="26">
        <f>IF(AND(AK126="YES",W126="X"),"X","")</f>
        <v/>
      </c>
      <c r="AQ126" s="28">
        <f>IF(AP126="X",100%,0%)</f>
        <v/>
      </c>
      <c r="AR126" s="25">
        <f>IF(AND(T126&gt;0,L126=""),H126,"")</f>
        <v/>
      </c>
      <c r="AS126" s="25">
        <f>IF(AND(D126&gt;0,H126=0,G126=""),1,"")</f>
        <v/>
      </c>
      <c r="AT126" s="25">
        <f>IF(G126="BLOQ",1,"")</f>
        <v/>
      </c>
      <c r="AU126" s="25">
        <f>IF(L126="BLOQ",1,"")</f>
        <v/>
      </c>
      <c r="AV126" s="25">
        <f>MONTH(F126)</f>
        <v/>
      </c>
      <c r="AW126" s="65">
        <f>IF(AP126="",100%,0%)</f>
        <v/>
      </c>
      <c r="AX126" s="23" t="n"/>
      <c r="AY126" s="24">
        <f>IF(M126=0,"",M126-$AX$2)</f>
        <v/>
      </c>
      <c r="AZ126" s="66">
        <f>IF(AND(W126="",AY126&gt;0,AY126&lt;15),1,0)</f>
        <v/>
      </c>
      <c r="BA126" s="24">
        <f>IF(AND(W126="",AY126&gt;0,AY126&lt;15),T126,"")</f>
        <v/>
      </c>
      <c r="BB126" s="87">
        <f>IF(R126&lt;Q126,"X","")</f>
        <v/>
      </c>
      <c r="BC126" s="190" t="inlineStr">
        <is>
          <t>NO</t>
        </is>
      </c>
      <c r="BD126" s="190" t="inlineStr">
        <is>
          <t>NO</t>
        </is>
      </c>
    </row>
    <row r="127" ht="15" customHeight="1" s="162">
      <c r="A127" s="7" t="n">
        <v>126</v>
      </c>
      <c r="B127" t="inlineStr">
        <is>
          <t>39121723</t>
        </is>
      </c>
      <c r="C127" t="inlineStr">
        <is>
          <t>Tubo termorretr&amp;#225;ctil TE Connectivit</t>
        </is>
      </c>
      <c r="D127" t="inlineStr">
        <is>
          <t>1101803543</t>
        </is>
      </c>
      <c r="E127" t="inlineStr">
        <is>
          <t>1</t>
        </is>
      </c>
      <c r="F127" s="163" t="n">
        <v>45608</v>
      </c>
      <c r="G127" t="inlineStr"/>
      <c r="H127" t="inlineStr">
        <is>
          <t>4800002726</t>
        </is>
      </c>
      <c r="I127" t="inlineStr">
        <is>
          <t>1360</t>
        </is>
      </c>
      <c r="J127" s="163" t="n">
        <v>45606</v>
      </c>
      <c r="K127" s="163" t="inlineStr"/>
      <c r="L127" t="inlineStr"/>
      <c r="M127" s="163" t="n">
        <v>45609</v>
      </c>
      <c r="N127" s="164" t="n">
        <v>0</v>
      </c>
      <c r="O127" s="164" t="n">
        <v>0</v>
      </c>
      <c r="P127" t="inlineStr"/>
      <c r="Q127" s="165" t="n">
        <v>3</v>
      </c>
      <c r="R127" s="165" t="n">
        <v>3</v>
      </c>
      <c r="S127" s="165" t="n">
        <v>3</v>
      </c>
      <c r="T127" s="165" t="n">
        <v>0</v>
      </c>
      <c r="U127" s="166" t="n">
        <v>0</v>
      </c>
      <c r="V127" s="166" t="n">
        <v>0</v>
      </c>
      <c r="W127" t="inlineStr">
        <is>
          <t>X</t>
        </is>
      </c>
      <c r="X127" t="inlineStr">
        <is>
          <t>0.00</t>
        </is>
      </c>
      <c r="Y127" t="inlineStr"/>
      <c r="Z127" t="inlineStr">
        <is>
          <t>AMIDATA, S.A.</t>
        </is>
      </c>
      <c r="AA127" t="inlineStr"/>
      <c r="AB127" t="inlineStr">
        <is>
          <t>2885241</t>
        </is>
      </c>
      <c r="AC127" t="inlineStr"/>
      <c r="AD127" s="164" t="n">
        <v>0</v>
      </c>
      <c r="AE127" s="185" t="n">
        <v>0</v>
      </c>
      <c r="AG127" s="167" t="inlineStr">
        <is>
          <t>7218|JA2582_1001</t>
        </is>
      </c>
      <c r="AH127" s="46">
        <f>IF(M127=0,"-",M127-J127)</f>
        <v/>
      </c>
      <c r="AI127" s="46">
        <f>IF(AND(S127=0,M127&gt;0,L127=0),IF(AH127&gt;=120,"VERY HIGH",IF(AH127&gt;=90,"HIGH",IF(AH127&gt;=60,"MEDIUM",IF(AH127&lt;60,"LOW")))),"-")</f>
        <v/>
      </c>
      <c r="AJ127" s="12" t="n"/>
      <c r="AK127" s="41">
        <f>IF(AND(W127="X",M127&lt;=$AJ$2),"YES","")</f>
        <v/>
      </c>
      <c r="AL127" s="38">
        <f>IF(AND(W127="X",M127&lt;=$AJ$2),S127,"")</f>
        <v/>
      </c>
      <c r="AM127" s="26">
        <f>IF(AND(W127="X",M127&gt;$AJ$2),"YES","")</f>
        <v/>
      </c>
      <c r="AN127" s="89">
        <f>IF(AND(W127="X",M127&gt;$AJ$2),S127,"")</f>
        <v/>
      </c>
      <c r="AO127" s="35">
        <f>IF(AND(W127="",M127&gt;0,$AJ$2&gt;M127,L127=""),1,0)</f>
        <v/>
      </c>
      <c r="AP127" s="26">
        <f>IF(AND(AK127="YES",W127="X"),"X","")</f>
        <v/>
      </c>
      <c r="AQ127" s="28">
        <f>IF(AP127="X",100%,0%)</f>
        <v/>
      </c>
      <c r="AR127" s="25">
        <f>IF(AND(T127&gt;0,L127=""),H127,"")</f>
        <v/>
      </c>
      <c r="AS127" s="25">
        <f>IF(AND(D127&gt;0,H127=0,G127=""),1,"")</f>
        <v/>
      </c>
      <c r="AT127" s="25">
        <f>IF(G127="BLOQ",1,"")</f>
        <v/>
      </c>
      <c r="AU127" s="25">
        <f>IF(L127="BLOQ",1,"")</f>
        <v/>
      </c>
      <c r="AV127" s="25">
        <f>MONTH(F127)</f>
        <v/>
      </c>
      <c r="AW127" s="65">
        <f>IF(AP127="",100%,0%)</f>
        <v/>
      </c>
      <c r="AX127" s="23" t="n"/>
      <c r="AY127" s="24">
        <f>IF(M127=0,"",M127-$AX$2)</f>
        <v/>
      </c>
      <c r="AZ127" s="66">
        <f>IF(AND(W127="",AY127&gt;0,AY127&lt;15),1,0)</f>
        <v/>
      </c>
      <c r="BA127" s="24">
        <f>IF(AND(W127="",AY127&gt;0,AY127&lt;15),T127,"")</f>
        <v/>
      </c>
      <c r="BB127" s="87">
        <f>IF(R127&lt;Q127,"X","")</f>
        <v/>
      </c>
      <c r="BC127" s="190" t="inlineStr">
        <is>
          <t>NO</t>
        </is>
      </c>
      <c r="BD127" s="190" t="inlineStr">
        <is>
          <t>NO</t>
        </is>
      </c>
    </row>
    <row r="128" ht="15" customHeight="1" s="162">
      <c r="A128" s="7" t="n">
        <v>127</v>
      </c>
      <c r="B128" t="inlineStr">
        <is>
          <t>39121412</t>
        </is>
      </c>
      <c r="C128" t="inlineStr">
        <is>
          <t>Carcasa de conector circular Amphenol Li</t>
        </is>
      </c>
      <c r="D128" t="inlineStr">
        <is>
          <t>1101803543</t>
        </is>
      </c>
      <c r="E128" t="inlineStr">
        <is>
          <t>2</t>
        </is>
      </c>
      <c r="F128" s="163" t="n">
        <v>45608</v>
      </c>
      <c r="G128" t="inlineStr"/>
      <c r="H128" t="inlineStr">
        <is>
          <t>4800002726</t>
        </is>
      </c>
      <c r="I128" t="inlineStr">
        <is>
          <t>1370</t>
        </is>
      </c>
      <c r="J128" s="163" t="n">
        <v>45606</v>
      </c>
      <c r="K128" s="163" t="inlineStr"/>
      <c r="L128" t="inlineStr"/>
      <c r="M128" s="163" t="n">
        <v>45609</v>
      </c>
      <c r="N128" s="164" t="n">
        <v>0</v>
      </c>
      <c r="O128" s="164" t="n">
        <v>0</v>
      </c>
      <c r="P128" t="inlineStr"/>
      <c r="Q128" s="165" t="n">
        <v>1</v>
      </c>
      <c r="R128" s="165" t="n">
        <v>1</v>
      </c>
      <c r="S128" s="165" t="n">
        <v>1</v>
      </c>
      <c r="T128" s="165" t="n">
        <v>0</v>
      </c>
      <c r="U128" s="166" t="n">
        <v>0</v>
      </c>
      <c r="V128" s="166" t="n">
        <v>0</v>
      </c>
      <c r="W128" t="inlineStr">
        <is>
          <t>X</t>
        </is>
      </c>
      <c r="X128" t="inlineStr">
        <is>
          <t>0.00</t>
        </is>
      </c>
      <c r="Y128" t="inlineStr"/>
      <c r="Z128" t="inlineStr">
        <is>
          <t>AMIDATA, S.A.</t>
        </is>
      </c>
      <c r="AA128" t="inlineStr"/>
      <c r="AB128" t="inlineStr">
        <is>
          <t>2067523</t>
        </is>
      </c>
      <c r="AC128" t="inlineStr"/>
      <c r="AD128" s="164" t="n">
        <v>0</v>
      </c>
      <c r="AE128" s="185" t="n">
        <v>0</v>
      </c>
      <c r="AG128" s="167" t="inlineStr">
        <is>
          <t>7218|JA2582_1001</t>
        </is>
      </c>
      <c r="AH128" s="46">
        <f>IF(M128=0,"-",M128-J128)</f>
        <v/>
      </c>
      <c r="AI128" s="46">
        <f>IF(AND(S128=0,M128&gt;0,L128=0),IF(AH128&gt;=120,"VERY HIGH",IF(AH128&gt;=90,"HIGH",IF(AH128&gt;=60,"MEDIUM",IF(AH128&lt;60,"LOW")))),"-")</f>
        <v/>
      </c>
      <c r="AJ128" s="12" t="n"/>
      <c r="AK128" s="41">
        <f>IF(AND(W128="X",M128&lt;=$AJ$2),"YES","")</f>
        <v/>
      </c>
      <c r="AL128" s="38">
        <f>IF(AND(W128="X",M128&lt;=$AJ$2),S128,"")</f>
        <v/>
      </c>
      <c r="AM128" s="26">
        <f>IF(AND(W128="X",M128&gt;$AJ$2),"YES","")</f>
        <v/>
      </c>
      <c r="AN128" s="89">
        <f>IF(AND(W128="X",M128&gt;$AJ$2),S128,"")</f>
        <v/>
      </c>
      <c r="AO128" s="35">
        <f>IF(AND(W128="",M128&gt;0,$AJ$2&gt;M128,L128=""),1,0)</f>
        <v/>
      </c>
      <c r="AP128" s="26">
        <f>IF(AND(AK128="YES",W128="X"),"X","")</f>
        <v/>
      </c>
      <c r="AQ128" s="28">
        <f>IF(AP128="X",100%,0%)</f>
        <v/>
      </c>
      <c r="AR128" s="25">
        <f>IF(AND(T128&gt;0,L128=""),H128,"")</f>
        <v/>
      </c>
      <c r="AS128" s="25">
        <f>IF(AND(D128&gt;0,H128=0,G128=""),1,"")</f>
        <v/>
      </c>
      <c r="AT128" s="25">
        <f>IF(G128="BLOQ",1,"")</f>
        <v/>
      </c>
      <c r="AU128" s="25">
        <f>IF(L128="BLOQ",1,"")</f>
        <v/>
      </c>
      <c r="AV128" s="25">
        <f>MONTH(F128)</f>
        <v/>
      </c>
      <c r="AW128" s="65">
        <f>IF(AP128="",100%,0%)</f>
        <v/>
      </c>
      <c r="AX128" s="23" t="n"/>
      <c r="AY128" s="24">
        <f>IF(M128=0,"",M128-$AX$2)</f>
        <v/>
      </c>
      <c r="AZ128" s="66">
        <f>IF(AND(W128="",AY128&gt;0,AY128&lt;15),1,0)</f>
        <v/>
      </c>
      <c r="BA128" s="24">
        <f>IF(AND(W128="",AY128&gt;0,AY128&lt;15),T128,"")</f>
        <v/>
      </c>
      <c r="BB128" s="87">
        <f>IF(R128&lt;Q128,"X","")</f>
        <v/>
      </c>
      <c r="BC128" s="190" t="inlineStr">
        <is>
          <t>NO</t>
        </is>
      </c>
      <c r="BD128" s="190" t="inlineStr">
        <is>
          <t>NO</t>
        </is>
      </c>
    </row>
    <row r="129" ht="15" customHeight="1" s="162">
      <c r="A129" s="7" t="n">
        <v>128</v>
      </c>
      <c r="B129" t="inlineStr">
        <is>
          <t>39121412</t>
        </is>
      </c>
      <c r="C129" t="inlineStr">
        <is>
          <t>Carcasa de conector circular Amphenol Li</t>
        </is>
      </c>
      <c r="D129" t="inlineStr">
        <is>
          <t>1101803543</t>
        </is>
      </c>
      <c r="E129" t="inlineStr">
        <is>
          <t>3</t>
        </is>
      </c>
      <c r="F129" s="163" t="n">
        <v>45608</v>
      </c>
      <c r="G129" t="inlineStr"/>
      <c r="H129" t="inlineStr">
        <is>
          <t>4800002726</t>
        </is>
      </c>
      <c r="I129" t="inlineStr">
        <is>
          <t>1380</t>
        </is>
      </c>
      <c r="J129" s="163" t="n">
        <v>45606</v>
      </c>
      <c r="K129" s="163" t="inlineStr"/>
      <c r="L129" t="inlineStr"/>
      <c r="M129" s="163" t="n">
        <v>45609</v>
      </c>
      <c r="N129" s="164" t="n">
        <v>0</v>
      </c>
      <c r="O129" s="164" t="n">
        <v>0</v>
      </c>
      <c r="P129" t="inlineStr"/>
      <c r="Q129" s="165" t="n">
        <v>1</v>
      </c>
      <c r="R129" s="165" t="n">
        <v>1</v>
      </c>
      <c r="S129" s="165" t="n">
        <v>1</v>
      </c>
      <c r="T129" s="165" t="n">
        <v>0</v>
      </c>
      <c r="U129" s="166" t="n">
        <v>0</v>
      </c>
      <c r="V129" s="166" t="n">
        <v>0</v>
      </c>
      <c r="W129" t="inlineStr">
        <is>
          <t>X</t>
        </is>
      </c>
      <c r="X129" t="inlineStr">
        <is>
          <t>0.00</t>
        </is>
      </c>
      <c r="Y129" t="inlineStr"/>
      <c r="Z129" t="inlineStr">
        <is>
          <t>AMIDATA, S.A.</t>
        </is>
      </c>
      <c r="AA129" t="inlineStr"/>
      <c r="AB129" t="inlineStr">
        <is>
          <t>2067532</t>
        </is>
      </c>
      <c r="AC129" t="inlineStr"/>
      <c r="AD129" s="164" t="n">
        <v>0</v>
      </c>
      <c r="AE129" s="185" t="n">
        <v>0</v>
      </c>
      <c r="AG129" s="167" t="inlineStr">
        <is>
          <t>7218|JA2582_1001</t>
        </is>
      </c>
      <c r="AH129" s="46">
        <f>IF(M129=0,"-",M129-J129)</f>
        <v/>
      </c>
      <c r="AI129" s="46">
        <f>IF(AND(S129=0,M129&gt;0,L129=0),IF(AH129&gt;=120,"VERY HIGH",IF(AH129&gt;=90,"HIGH",IF(AH129&gt;=60,"MEDIUM",IF(AH129&lt;60,"LOW")))),"-")</f>
        <v/>
      </c>
      <c r="AJ129" s="12" t="n"/>
      <c r="AK129" s="41">
        <f>IF(AND(W129="X",M129&lt;=$AJ$2),"YES","")</f>
        <v/>
      </c>
      <c r="AL129" s="38">
        <f>IF(AND(W129="X",M129&lt;=$AJ$2),S129,"")</f>
        <v/>
      </c>
      <c r="AM129" s="26">
        <f>IF(AND(W129="X",M129&gt;$AJ$2),"YES","")</f>
        <v/>
      </c>
      <c r="AN129" s="89">
        <f>IF(AND(W129="X",M129&gt;$AJ$2),S129,"")</f>
        <v/>
      </c>
      <c r="AO129" s="35">
        <f>IF(AND(W129="",M129&gt;0,$AJ$2&gt;M129,L129=""),1,0)</f>
        <v/>
      </c>
      <c r="AP129" s="26">
        <f>IF(AND(AK129="YES",W129="X"),"X","")</f>
        <v/>
      </c>
      <c r="AQ129" s="28">
        <f>IF(AP129="X",100%,0%)</f>
        <v/>
      </c>
      <c r="AR129" s="25">
        <f>IF(AND(T129&gt;0,L129=""),H129,"")</f>
        <v/>
      </c>
      <c r="AS129" s="25">
        <f>IF(AND(D129&gt;0,H129=0,G129=""),1,"")</f>
        <v/>
      </c>
      <c r="AT129" s="25">
        <f>IF(G129="BLOQ",1,"")</f>
        <v/>
      </c>
      <c r="AU129" s="25">
        <f>IF(L129="BLOQ",1,"")</f>
        <v/>
      </c>
      <c r="AV129" s="25">
        <f>MONTH(F129)</f>
        <v/>
      </c>
      <c r="AW129" s="65">
        <f>IF(AP129="",100%,0%)</f>
        <v/>
      </c>
      <c r="AX129" s="23" t="n"/>
      <c r="AY129" s="24">
        <f>IF(M129=0,"",M129-$AX$2)</f>
        <v/>
      </c>
      <c r="AZ129" s="66">
        <f>IF(AND(W129="",AY129&gt;0,AY129&lt;15),1,0)</f>
        <v/>
      </c>
      <c r="BA129" s="24">
        <f>IF(AND(W129="",AY129&gt;0,AY129&lt;15),T129,"")</f>
        <v/>
      </c>
      <c r="BB129" s="87">
        <f>IF(R129&lt;Q129,"X","")</f>
        <v/>
      </c>
      <c r="BC129" s="190" t="inlineStr">
        <is>
          <t>NO</t>
        </is>
      </c>
      <c r="BD129" s="190" t="inlineStr">
        <is>
          <t>NO</t>
        </is>
      </c>
    </row>
    <row r="130" ht="15" customHeight="1" s="162">
      <c r="A130" s="7" t="n">
        <v>129</v>
      </c>
      <c r="B130" t="inlineStr">
        <is>
          <t>39121412</t>
        </is>
      </c>
      <c r="C130" t="inlineStr">
        <is>
          <t>Carcasa de conector circular Amphenol M8</t>
        </is>
      </c>
      <c r="D130" t="inlineStr">
        <is>
          <t>1101803543</t>
        </is>
      </c>
      <c r="E130" t="inlineStr">
        <is>
          <t>4</t>
        </is>
      </c>
      <c r="F130" s="163" t="n">
        <v>45608</v>
      </c>
      <c r="G130" t="inlineStr"/>
      <c r="H130" t="inlineStr">
        <is>
          <t>4800002726</t>
        </is>
      </c>
      <c r="I130" t="inlineStr">
        <is>
          <t>1390</t>
        </is>
      </c>
      <c r="J130" s="163" t="n">
        <v>45606</v>
      </c>
      <c r="K130" s="163" t="inlineStr"/>
      <c r="L130" t="inlineStr"/>
      <c r="M130" s="163" t="n">
        <v>45609</v>
      </c>
      <c r="N130" s="164" t="n">
        <v>0</v>
      </c>
      <c r="O130" s="164" t="n">
        <v>0</v>
      </c>
      <c r="P130" t="inlineStr"/>
      <c r="Q130" s="165" t="n">
        <v>2</v>
      </c>
      <c r="R130" s="165" t="n">
        <v>2</v>
      </c>
      <c r="S130" s="165" t="n">
        <v>2</v>
      </c>
      <c r="T130" s="165" t="n">
        <v>0</v>
      </c>
      <c r="U130" s="166" t="n">
        <v>0</v>
      </c>
      <c r="V130" s="166" t="n">
        <v>0</v>
      </c>
      <c r="W130" t="inlineStr">
        <is>
          <t>X</t>
        </is>
      </c>
      <c r="X130" t="inlineStr">
        <is>
          <t>0.00</t>
        </is>
      </c>
      <c r="Y130" t="inlineStr"/>
      <c r="Z130" t="inlineStr">
        <is>
          <t>AMIDATA, S.A.</t>
        </is>
      </c>
      <c r="AA130" t="inlineStr"/>
      <c r="AB130" t="inlineStr">
        <is>
          <t>2067519</t>
        </is>
      </c>
      <c r="AC130" t="inlineStr"/>
      <c r="AD130" s="164" t="n">
        <v>0</v>
      </c>
      <c r="AE130" s="185" t="n">
        <v>0</v>
      </c>
      <c r="AG130" s="167" t="inlineStr">
        <is>
          <t>7218|JA2582_1001</t>
        </is>
      </c>
      <c r="AH130" s="46">
        <f>IF(M130=0,"-",M130-J130)</f>
        <v/>
      </c>
      <c r="AI130" s="46">
        <f>IF(AND(S130=0,M130&gt;0,L130=0),IF(AH130&gt;=120,"VERY HIGH",IF(AH130&gt;=90,"HIGH",IF(AH130&gt;=60,"MEDIUM",IF(AH130&lt;60,"LOW")))),"-")</f>
        <v/>
      </c>
      <c r="AJ130" s="12" t="n"/>
      <c r="AK130" s="41">
        <f>IF(AND(W130="X",M130&lt;=$AJ$2),"YES","")</f>
        <v/>
      </c>
      <c r="AL130" s="38">
        <f>IF(AND(W130="X",M130&lt;=$AJ$2),S130,"")</f>
        <v/>
      </c>
      <c r="AM130" s="26">
        <f>IF(AND(W130="X",M130&gt;$AJ$2),"YES","")</f>
        <v/>
      </c>
      <c r="AN130" s="89">
        <f>IF(AND(W130="X",M130&gt;$AJ$2),S130,"")</f>
        <v/>
      </c>
      <c r="AO130" s="35">
        <f>IF(AND(W130="",M130&gt;0,$AJ$2&gt;M130,L130=""),1,0)</f>
        <v/>
      </c>
      <c r="AP130" s="26">
        <f>IF(AND(AK130="YES",W130="X"),"X","")</f>
        <v/>
      </c>
      <c r="AQ130" s="28">
        <f>IF(AP130="X",100%,0%)</f>
        <v/>
      </c>
      <c r="AR130" s="25">
        <f>IF(AND(T130&gt;0,L130=""),H130,"")</f>
        <v/>
      </c>
      <c r="AS130" s="25">
        <f>IF(AND(D130&gt;0,H130=0,G130=""),1,"")</f>
        <v/>
      </c>
      <c r="AT130" s="25">
        <f>IF(G130="BLOQ",1,"")</f>
        <v/>
      </c>
      <c r="AU130" s="25">
        <f>IF(L130="BLOQ",1,"")</f>
        <v/>
      </c>
      <c r="AV130" s="25">
        <f>MONTH(F130)</f>
        <v/>
      </c>
      <c r="AW130" s="65">
        <f>IF(AP130="",100%,0%)</f>
        <v/>
      </c>
      <c r="AX130" s="23" t="n"/>
      <c r="AY130" s="24">
        <f>IF(M130=0,"",M130-$AX$2)</f>
        <v/>
      </c>
      <c r="AZ130" s="66">
        <f>IF(AND(W130="",AY130&gt;0,AY130&lt;15),1,0)</f>
        <v/>
      </c>
      <c r="BA130" s="24">
        <f>IF(AND(W130="",AY130&gt;0,AY130&lt;15),T130,"")</f>
        <v/>
      </c>
      <c r="BB130" s="87">
        <f>IF(R130&lt;Q130,"X","")</f>
        <v/>
      </c>
      <c r="BC130" s="190" t="inlineStr">
        <is>
          <t>NO</t>
        </is>
      </c>
      <c r="BD130" s="190" t="inlineStr">
        <is>
          <t>NO</t>
        </is>
      </c>
    </row>
    <row r="131" ht="15" customHeight="1" s="162">
      <c r="A131" s="7" t="n">
        <v>130</v>
      </c>
      <c r="B131" t="inlineStr">
        <is>
          <t>39121432</t>
        </is>
      </c>
      <c r="C131" t="inlineStr">
        <is>
          <t>Puntera hueca de crimpado RS PRO, Aislad</t>
        </is>
      </c>
      <c r="D131" t="inlineStr">
        <is>
          <t>1101804761</t>
        </is>
      </c>
      <c r="E131" t="inlineStr">
        <is>
          <t>1</t>
        </is>
      </c>
      <c r="F131" s="163" t="n">
        <v>45610</v>
      </c>
      <c r="G131" t="inlineStr"/>
      <c r="H131" t="inlineStr">
        <is>
          <t>4800002726</t>
        </is>
      </c>
      <c r="I131" t="inlineStr">
        <is>
          <t>3420</t>
        </is>
      </c>
      <c r="J131" s="163" t="n">
        <v>45606</v>
      </c>
      <c r="K131" s="163" t="inlineStr"/>
      <c r="L131" t="inlineStr"/>
      <c r="M131" s="163" t="n">
        <v>45611</v>
      </c>
      <c r="N131" s="164" t="n">
        <v>0</v>
      </c>
      <c r="O131" s="164" t="n">
        <v>0</v>
      </c>
      <c r="P131" t="inlineStr"/>
      <c r="Q131" s="165" t="n">
        <v>100</v>
      </c>
      <c r="R131" s="165" t="n">
        <v>100</v>
      </c>
      <c r="S131" s="165" t="n">
        <v>100</v>
      </c>
      <c r="T131" s="165" t="n">
        <v>0</v>
      </c>
      <c r="U131" s="166" t="n">
        <v>0</v>
      </c>
      <c r="V131" s="166" t="n">
        <v>0</v>
      </c>
      <c r="W131" t="inlineStr">
        <is>
          <t>X</t>
        </is>
      </c>
      <c r="X131" t="inlineStr">
        <is>
          <t>0.00</t>
        </is>
      </c>
      <c r="Y131" t="inlineStr"/>
      <c r="Z131" t="inlineStr">
        <is>
          <t>AMIDATA, S.A.</t>
        </is>
      </c>
      <c r="AA131" t="inlineStr"/>
      <c r="AB131" t="inlineStr">
        <is>
          <t>1787320</t>
        </is>
      </c>
      <c r="AC131" t="inlineStr"/>
      <c r="AD131" s="164" t="n">
        <v>0</v>
      </c>
      <c r="AE131" s="185" t="n">
        <v>0</v>
      </c>
      <c r="AG131" s="167" t="inlineStr">
        <is>
          <t>7218|JA2593_1001</t>
        </is>
      </c>
      <c r="AH131" s="46">
        <f>IF(M131=0,"-",M131-J131)</f>
        <v/>
      </c>
      <c r="AI131" s="46">
        <f>IF(AND(S131=0,M131&gt;0,L131=0),IF(AH131&gt;=120,"VERY HIGH",IF(AH131&gt;=90,"HIGH",IF(AH131&gt;=60,"MEDIUM",IF(AH131&lt;60,"LOW")))),"-")</f>
        <v/>
      </c>
      <c r="AJ131" s="12" t="n"/>
      <c r="AK131" s="41">
        <f>IF(AND(W131="X",M131&lt;=$AJ$2),"YES","")</f>
        <v/>
      </c>
      <c r="AL131" s="38">
        <f>IF(AND(W131="X",M131&lt;=$AJ$2),S131,"")</f>
        <v/>
      </c>
      <c r="AM131" s="26">
        <f>IF(AND(W131="X",M131&gt;$AJ$2),"YES","")</f>
        <v/>
      </c>
      <c r="AN131" s="89">
        <f>IF(AND(W131="X",M131&gt;$AJ$2),S131,"")</f>
        <v/>
      </c>
      <c r="AO131" s="35">
        <f>IF(AND(W131="",M131&gt;0,$AJ$2&gt;M131,L131=""),1,0)</f>
        <v/>
      </c>
      <c r="AP131" s="26">
        <f>IF(AND(AK131="YES",W131="X"),"X","")</f>
        <v/>
      </c>
      <c r="AQ131" s="28">
        <f>IF(AP131="X",100%,0%)</f>
        <v/>
      </c>
      <c r="AR131" s="25">
        <f>IF(AND(T131&gt;0,L131=""),H131,"")</f>
        <v/>
      </c>
      <c r="AS131" s="25">
        <f>IF(AND(D131&gt;0,H131=0,G131=""),1,"")</f>
        <v/>
      </c>
      <c r="AT131" s="25">
        <f>IF(G131="BLOQ",1,"")</f>
        <v/>
      </c>
      <c r="AU131" s="25">
        <f>IF(L131="BLOQ",1,"")</f>
        <v/>
      </c>
      <c r="AV131" s="25">
        <f>MONTH(F131)</f>
        <v/>
      </c>
      <c r="AW131" s="65">
        <f>IF(AP131="",100%,0%)</f>
        <v/>
      </c>
      <c r="AX131" s="23" t="n"/>
      <c r="AY131" s="24">
        <f>IF(M131=0,"",M131-$AX$2)</f>
        <v/>
      </c>
      <c r="AZ131" s="66">
        <f>IF(AND(W131="",AY131&gt;0,AY131&lt;15),1,0)</f>
        <v/>
      </c>
      <c r="BA131" s="24">
        <f>IF(AND(W131="",AY131&gt;0,AY131&lt;15),T131,"")</f>
        <v/>
      </c>
      <c r="BB131" s="87">
        <f>IF(R131&lt;Q131,"X","")</f>
        <v/>
      </c>
      <c r="BC131" s="190" t="inlineStr">
        <is>
          <t>NO</t>
        </is>
      </c>
      <c r="BD131" s="190" t="inlineStr">
        <is>
          <t>NO</t>
        </is>
      </c>
    </row>
    <row r="132" ht="15" customHeight="1" s="162">
      <c r="A132" s="7" t="n">
        <v>131</v>
      </c>
      <c r="B132" t="inlineStr">
        <is>
          <t>43211609</t>
        </is>
      </c>
      <c r="C132" t="inlineStr">
        <is>
          <t>Cable USB 2.0 StarTech.com, con A. USB C</t>
        </is>
      </c>
      <c r="D132" t="inlineStr">
        <is>
          <t>1101804766</t>
        </is>
      </c>
      <c r="E132" t="inlineStr">
        <is>
          <t>1</t>
        </is>
      </c>
      <c r="F132" s="163" t="n">
        <v>45610</v>
      </c>
      <c r="G132" t="inlineStr"/>
      <c r="H132" t="inlineStr">
        <is>
          <t>4800002726</t>
        </is>
      </c>
      <c r="I132" t="inlineStr">
        <is>
          <t>3440</t>
        </is>
      </c>
      <c r="J132" s="163" t="n">
        <v>45606</v>
      </c>
      <c r="K132" s="163" t="inlineStr"/>
      <c r="L132" t="inlineStr"/>
      <c r="M132" s="163" t="n">
        <v>45611</v>
      </c>
      <c r="N132" s="164" t="n">
        <v>0</v>
      </c>
      <c r="O132" s="164" t="n">
        <v>0</v>
      </c>
      <c r="P132" t="inlineStr"/>
      <c r="Q132" s="165" t="n">
        <v>1</v>
      </c>
      <c r="R132" s="165" t="n">
        <v>1</v>
      </c>
      <c r="S132" s="165" t="n">
        <v>1</v>
      </c>
      <c r="T132" s="165" t="n">
        <v>0</v>
      </c>
      <c r="U132" s="166" t="n">
        <v>0</v>
      </c>
      <c r="V132" s="166" t="n">
        <v>0</v>
      </c>
      <c r="W132" t="inlineStr">
        <is>
          <t>X</t>
        </is>
      </c>
      <c r="X132" t="inlineStr">
        <is>
          <t>0.00</t>
        </is>
      </c>
      <c r="Y132" t="inlineStr"/>
      <c r="Z132" t="inlineStr">
        <is>
          <t>AMIDATA, S.A.</t>
        </is>
      </c>
      <c r="AA132" t="inlineStr"/>
      <c r="AB132" t="inlineStr">
        <is>
          <t>1863229</t>
        </is>
      </c>
      <c r="AC132" t="inlineStr"/>
      <c r="AD132" s="164" t="n">
        <v>0</v>
      </c>
      <c r="AE132" s="185" t="n">
        <v>0</v>
      </c>
      <c r="AG132" s="167" t="inlineStr">
        <is>
          <t>7218|JA2588_1001</t>
        </is>
      </c>
      <c r="AH132" s="46">
        <f>IF(M132=0,"-",M132-J132)</f>
        <v/>
      </c>
      <c r="AI132" s="46">
        <f>IF(AND(S132=0,M132&gt;0,L132=0),IF(AH132&gt;=120,"VERY HIGH",IF(AH132&gt;=90,"HIGH",IF(AH132&gt;=60,"MEDIUM",IF(AH132&lt;60,"LOW")))),"-")</f>
        <v/>
      </c>
      <c r="AJ132" s="12" t="n"/>
      <c r="AK132" s="41">
        <f>IF(AND(W132="X",M132&lt;=$AJ$2),"YES","")</f>
        <v/>
      </c>
      <c r="AL132" s="38">
        <f>IF(AND(W132="X",M132&lt;=$AJ$2),S132,"")</f>
        <v/>
      </c>
      <c r="AM132" s="26">
        <f>IF(AND(W132="X",M132&gt;$AJ$2),"YES","")</f>
        <v/>
      </c>
      <c r="AN132" s="89">
        <f>IF(AND(W132="X",M132&gt;$AJ$2),S132,"")</f>
        <v/>
      </c>
      <c r="AO132" s="35">
        <f>IF(AND(W132="",M132&gt;0,$AJ$2&gt;M132,L132=""),1,0)</f>
        <v/>
      </c>
      <c r="AP132" s="26">
        <f>IF(AND(AK132="YES",W132="X"),"X","")</f>
        <v/>
      </c>
      <c r="AQ132" s="28">
        <f>IF(AP132="X",100%,0%)</f>
        <v/>
      </c>
      <c r="AR132" s="25">
        <f>IF(AND(T132&gt;0,L132=""),H132,"")</f>
        <v/>
      </c>
      <c r="AS132" s="25">
        <f>IF(AND(D132&gt;0,H132=0,G132=""),1,"")</f>
        <v/>
      </c>
      <c r="AT132" s="25">
        <f>IF(G132="BLOQ",1,"")</f>
        <v/>
      </c>
      <c r="AU132" s="25">
        <f>IF(L132="BLOQ",1,"")</f>
        <v/>
      </c>
      <c r="AV132" s="25">
        <f>MONTH(F132)</f>
        <v/>
      </c>
      <c r="AW132" s="65">
        <f>IF(AP132="",100%,0%)</f>
        <v/>
      </c>
      <c r="AX132" s="23" t="n"/>
      <c r="AY132" s="24">
        <f>IF(M132=0,"",M132-$AX$2)</f>
        <v/>
      </c>
      <c r="AZ132" s="66">
        <f>IF(AND(W132="",AY132&gt;0,AY132&lt;15),1,0)</f>
        <v/>
      </c>
      <c r="BA132" s="24">
        <f>IF(AND(W132="",AY132&gt;0,AY132&lt;15),T132,"")</f>
        <v/>
      </c>
      <c r="BB132" s="87">
        <f>IF(R132&lt;Q132,"X","")</f>
        <v/>
      </c>
      <c r="BC132" s="190" t="inlineStr">
        <is>
          <t>NO</t>
        </is>
      </c>
      <c r="BD132" s="190" t="inlineStr">
        <is>
          <t>NO</t>
        </is>
      </c>
    </row>
    <row r="133" ht="15" customHeight="1" s="162">
      <c r="A133" s="7" t="n">
        <v>132</v>
      </c>
      <c r="B133" t="inlineStr">
        <is>
          <t>43202222</t>
        </is>
      </c>
      <c r="C133" t="inlineStr">
        <is>
          <t>Cable VGA StarTech.com de color Negro, c</t>
        </is>
      </c>
      <c r="D133" t="inlineStr">
        <is>
          <t>1101804766</t>
        </is>
      </c>
      <c r="E133" t="inlineStr">
        <is>
          <t>2</t>
        </is>
      </c>
      <c r="F133" s="163" t="n">
        <v>45610</v>
      </c>
      <c r="G133" t="inlineStr"/>
      <c r="H133" t="inlineStr">
        <is>
          <t>4800002726</t>
        </is>
      </c>
      <c r="I133" t="inlineStr">
        <is>
          <t>3450</t>
        </is>
      </c>
      <c r="J133" s="163" t="n">
        <v>45606</v>
      </c>
      <c r="K133" s="163" t="inlineStr"/>
      <c r="L133" t="inlineStr"/>
      <c r="M133" s="163" t="n">
        <v>45611</v>
      </c>
      <c r="N133" s="164" t="n">
        <v>0</v>
      </c>
      <c r="O133" s="164" t="n">
        <v>0</v>
      </c>
      <c r="P133" t="inlineStr"/>
      <c r="Q133" s="165" t="n">
        <v>1</v>
      </c>
      <c r="R133" s="165" t="n">
        <v>1</v>
      </c>
      <c r="S133" s="165" t="n">
        <v>1</v>
      </c>
      <c r="T133" s="165" t="n">
        <v>0</v>
      </c>
      <c r="U133" s="166" t="n">
        <v>0</v>
      </c>
      <c r="V133" s="166" t="n">
        <v>0</v>
      </c>
      <c r="W133" t="inlineStr">
        <is>
          <t>X</t>
        </is>
      </c>
      <c r="X133" t="inlineStr">
        <is>
          <t>0.00</t>
        </is>
      </c>
      <c r="Y133" t="inlineStr"/>
      <c r="Z133" t="inlineStr">
        <is>
          <t>AMIDATA, S.A.</t>
        </is>
      </c>
      <c r="AA133" t="inlineStr"/>
      <c r="AB133" t="inlineStr">
        <is>
          <t>1861667</t>
        </is>
      </c>
      <c r="AC133" t="inlineStr"/>
      <c r="AD133" s="164" t="n">
        <v>0</v>
      </c>
      <c r="AE133" s="185" t="n">
        <v>0</v>
      </c>
      <c r="AG133" s="167" t="inlineStr">
        <is>
          <t>7218|JA2588_1001</t>
        </is>
      </c>
      <c r="AH133" s="46">
        <f>IF(M133=0,"-",M133-J133)</f>
        <v/>
      </c>
      <c r="AI133" s="46">
        <f>IF(AND(S133=0,M133&gt;0,L133=0),IF(AH133&gt;=120,"VERY HIGH",IF(AH133&gt;=90,"HIGH",IF(AH133&gt;=60,"MEDIUM",IF(AH133&lt;60,"LOW")))),"-")</f>
        <v/>
      </c>
      <c r="AJ133" s="12" t="n"/>
      <c r="AK133" s="41">
        <f>IF(AND(W133="X",M133&lt;=$AJ$2),"YES","")</f>
        <v/>
      </c>
      <c r="AL133" s="38">
        <f>IF(AND(W133="X",M133&lt;=$AJ$2),S133,"")</f>
        <v/>
      </c>
      <c r="AM133" s="26">
        <f>IF(AND(W133="X",M133&gt;$AJ$2),"YES","")</f>
        <v/>
      </c>
      <c r="AN133" s="89">
        <f>IF(AND(W133="X",M133&gt;$AJ$2),S133,"")</f>
        <v/>
      </c>
      <c r="AO133" s="35">
        <f>IF(AND(W133="",M133&gt;0,$AJ$2&gt;M133,L133=""),1,0)</f>
        <v/>
      </c>
      <c r="AP133" s="26">
        <f>IF(AND(AK133="YES",W133="X"),"X","")</f>
        <v/>
      </c>
      <c r="AQ133" s="28">
        <f>IF(AP133="X",100%,0%)</f>
        <v/>
      </c>
      <c r="AR133" s="25">
        <f>IF(AND(T133&gt;0,L133=""),H133,"")</f>
        <v/>
      </c>
      <c r="AS133" s="25">
        <f>IF(AND(D133&gt;0,H133=0,G133=""),1,"")</f>
        <v/>
      </c>
      <c r="AT133" s="25">
        <f>IF(G133="BLOQ",1,"")</f>
        <v/>
      </c>
      <c r="AU133" s="25">
        <f>IF(L133="BLOQ",1,"")</f>
        <v/>
      </c>
      <c r="AV133" s="25">
        <f>MONTH(F133)</f>
        <v/>
      </c>
      <c r="AW133" s="65">
        <f>IF(AP133="",100%,0%)</f>
        <v/>
      </c>
      <c r="AX133" s="23" t="n"/>
      <c r="AY133" s="24">
        <f>IF(M133=0,"",M133-$AX$2)</f>
        <v/>
      </c>
      <c r="AZ133" s="66">
        <f>IF(AND(W133="",AY133&gt;0,AY133&lt;15),1,0)</f>
        <v/>
      </c>
      <c r="BA133" s="24">
        <f>IF(AND(W133="",AY133&gt;0,AY133&lt;15),T133,"")</f>
        <v/>
      </c>
      <c r="BB133" s="87">
        <f>IF(R133&lt;Q133,"X","")</f>
        <v/>
      </c>
      <c r="BC133" s="190" t="inlineStr">
        <is>
          <t>NO</t>
        </is>
      </c>
      <c r="BD133" s="190" t="inlineStr">
        <is>
          <t>NO</t>
        </is>
      </c>
    </row>
    <row r="134" ht="15" customHeight="1" s="162">
      <c r="A134" s="7" t="n">
        <v>133</v>
      </c>
      <c r="B134" t="inlineStr">
        <is>
          <t>43211617</t>
        </is>
      </c>
      <c r="C134" t="inlineStr">
        <is>
          <t>Cable USB 2.0 StarTech.com, con A. USB A</t>
        </is>
      </c>
      <c r="D134" t="inlineStr">
        <is>
          <t>1101804766</t>
        </is>
      </c>
      <c r="E134" t="inlineStr">
        <is>
          <t>3</t>
        </is>
      </c>
      <c r="F134" s="163" t="n">
        <v>45610</v>
      </c>
      <c r="G134" t="inlineStr"/>
      <c r="H134" t="inlineStr">
        <is>
          <t>4800002726</t>
        </is>
      </c>
      <c r="I134" t="inlineStr">
        <is>
          <t>3460</t>
        </is>
      </c>
      <c r="J134" s="163" t="n">
        <v>45606</v>
      </c>
      <c r="K134" s="163" t="inlineStr"/>
      <c r="L134" t="inlineStr"/>
      <c r="M134" s="163" t="n">
        <v>45611</v>
      </c>
      <c r="N134" s="164" t="n">
        <v>0</v>
      </c>
      <c r="O134" s="164" t="n">
        <v>0</v>
      </c>
      <c r="P134" t="inlineStr"/>
      <c r="Q134" s="165" t="n">
        <v>1</v>
      </c>
      <c r="R134" s="165" t="n">
        <v>1</v>
      </c>
      <c r="S134" s="165" t="n">
        <v>1</v>
      </c>
      <c r="T134" s="165" t="n">
        <v>0</v>
      </c>
      <c r="U134" s="166" t="n">
        <v>0</v>
      </c>
      <c r="V134" s="166" t="n">
        <v>0</v>
      </c>
      <c r="W134" t="inlineStr">
        <is>
          <t>X</t>
        </is>
      </c>
      <c r="X134" t="inlineStr">
        <is>
          <t>0.00</t>
        </is>
      </c>
      <c r="Y134" t="inlineStr"/>
      <c r="Z134" t="inlineStr">
        <is>
          <t>AMIDATA, S.A.</t>
        </is>
      </c>
      <c r="AA134" t="inlineStr"/>
      <c r="AB134" t="inlineStr">
        <is>
          <t>1863178</t>
        </is>
      </c>
      <c r="AC134" t="inlineStr"/>
      <c r="AD134" s="164" t="n">
        <v>0</v>
      </c>
      <c r="AE134" s="185" t="n">
        <v>0</v>
      </c>
      <c r="AG134" s="167" t="inlineStr">
        <is>
          <t>7218|JA2588_1001</t>
        </is>
      </c>
      <c r="AH134" s="46">
        <f>IF(M134=0,"-",M134-J134)</f>
        <v/>
      </c>
      <c r="AI134" s="46">
        <f>IF(AND(S134=0,M134&gt;0,L134=0),IF(AH134&gt;=120,"VERY HIGH",IF(AH134&gt;=90,"HIGH",IF(AH134&gt;=60,"MEDIUM",IF(AH134&lt;60,"LOW")))),"-")</f>
        <v/>
      </c>
      <c r="AJ134" s="12" t="n"/>
      <c r="AK134" s="41">
        <f>IF(AND(W134="X",M134&lt;=$AJ$2),"YES","")</f>
        <v/>
      </c>
      <c r="AL134" s="38">
        <f>IF(AND(W134="X",M134&lt;=$AJ$2),S134,"")</f>
        <v/>
      </c>
      <c r="AM134" s="26">
        <f>IF(AND(W134="X",M134&gt;$AJ$2),"YES","")</f>
        <v/>
      </c>
      <c r="AN134" s="89">
        <f>IF(AND(W134="X",M134&gt;$AJ$2),S134,"")</f>
        <v/>
      </c>
      <c r="AO134" s="35">
        <f>IF(AND(W134="",M134&gt;0,$AJ$2&gt;M134,L134=""),1,0)</f>
        <v/>
      </c>
      <c r="AP134" s="26">
        <f>IF(AND(AK134="YES",W134="X"),"X","")</f>
        <v/>
      </c>
      <c r="AQ134" s="28">
        <f>IF(AP134="X",100%,0%)</f>
        <v/>
      </c>
      <c r="AR134" s="25">
        <f>IF(AND(T134&gt;0,L134=""),H134,"")</f>
        <v/>
      </c>
      <c r="AS134" s="25">
        <f>IF(AND(D134&gt;0,H134=0,G134=""),1,"")</f>
        <v/>
      </c>
      <c r="AT134" s="25">
        <f>IF(G134="BLOQ",1,"")</f>
        <v/>
      </c>
      <c r="AU134" s="25">
        <f>IF(L134="BLOQ",1,"")</f>
        <v/>
      </c>
      <c r="AV134" s="25">
        <f>MONTH(F134)</f>
        <v/>
      </c>
      <c r="AW134" s="65">
        <f>IF(AP134="",100%,0%)</f>
        <v/>
      </c>
      <c r="AX134" s="23" t="n"/>
      <c r="AY134" s="24">
        <f>IF(M134=0,"",M134-$AX$2)</f>
        <v/>
      </c>
      <c r="AZ134" s="66">
        <f>IF(AND(W134="",AY134&gt;0,AY134&lt;15),1,0)</f>
        <v/>
      </c>
      <c r="BA134" s="24">
        <f>IF(AND(W134="",AY134&gt;0,AY134&lt;15),T134,"")</f>
        <v/>
      </c>
      <c r="BB134" s="87">
        <f>IF(R134&lt;Q134,"X","")</f>
        <v/>
      </c>
      <c r="BC134" s="190" t="inlineStr">
        <is>
          <t>NO</t>
        </is>
      </c>
      <c r="BD134" s="190" t="inlineStr">
        <is>
          <t>NO</t>
        </is>
      </c>
    </row>
    <row r="135" ht="15" customHeight="1" s="162">
      <c r="A135" s="7" t="n">
        <v>134</v>
      </c>
      <c r="B135" t="inlineStr">
        <is>
          <t>43211617</t>
        </is>
      </c>
      <c r="C135" t="inlineStr">
        <is>
          <t>Cable USB 2.0 StarTech.com, con A. USB A</t>
        </is>
      </c>
      <c r="D135" t="inlineStr">
        <is>
          <t>1101804766</t>
        </is>
      </c>
      <c r="E135" t="inlineStr">
        <is>
          <t>4</t>
        </is>
      </c>
      <c r="F135" s="163" t="n">
        <v>45610</v>
      </c>
      <c r="G135" t="inlineStr"/>
      <c r="H135" t="inlineStr">
        <is>
          <t>4800002726</t>
        </is>
      </c>
      <c r="I135" t="inlineStr">
        <is>
          <t>3470</t>
        </is>
      </c>
      <c r="J135" s="163" t="n">
        <v>45606</v>
      </c>
      <c r="K135" s="163" t="inlineStr"/>
      <c r="L135" t="inlineStr"/>
      <c r="M135" s="163" t="n">
        <v>45611</v>
      </c>
      <c r="N135" s="164" t="n">
        <v>0</v>
      </c>
      <c r="O135" s="164" t="n">
        <v>0</v>
      </c>
      <c r="P135" t="inlineStr"/>
      <c r="Q135" s="165" t="n">
        <v>4</v>
      </c>
      <c r="R135" s="165" t="n">
        <v>4</v>
      </c>
      <c r="S135" s="165" t="n">
        <v>4</v>
      </c>
      <c r="T135" s="165" t="n">
        <v>0</v>
      </c>
      <c r="U135" s="166" t="n">
        <v>0</v>
      </c>
      <c r="V135" s="166" t="n">
        <v>0</v>
      </c>
      <c r="W135" t="inlineStr">
        <is>
          <t>X</t>
        </is>
      </c>
      <c r="X135" t="inlineStr">
        <is>
          <t>0.00</t>
        </is>
      </c>
      <c r="Y135" t="inlineStr"/>
      <c r="Z135" t="inlineStr">
        <is>
          <t>AMIDATA, S.A.</t>
        </is>
      </c>
      <c r="AA135" t="inlineStr"/>
      <c r="AB135" t="inlineStr">
        <is>
          <t>1863187</t>
        </is>
      </c>
      <c r="AC135" t="inlineStr"/>
      <c r="AD135" s="164" t="n">
        <v>0</v>
      </c>
      <c r="AE135" s="185" t="n">
        <v>0</v>
      </c>
      <c r="AG135" s="167" t="inlineStr">
        <is>
          <t>7218|JA2588_1001</t>
        </is>
      </c>
      <c r="AH135" s="46">
        <f>IF(M135=0,"-",M135-J135)</f>
        <v/>
      </c>
      <c r="AI135" s="46">
        <f>IF(AND(S135=0,M135&gt;0,L135=0),IF(AH135&gt;=120,"VERY HIGH",IF(AH135&gt;=90,"HIGH",IF(AH135&gt;=60,"MEDIUM",IF(AH135&lt;60,"LOW")))),"-")</f>
        <v/>
      </c>
      <c r="AJ135" s="12" t="n"/>
      <c r="AK135" s="41">
        <f>IF(AND(W135="X",M135&lt;=$AJ$2),"YES","")</f>
        <v/>
      </c>
      <c r="AL135" s="38">
        <f>IF(AND(W135="X",M135&lt;=$AJ$2),S135,"")</f>
        <v/>
      </c>
      <c r="AM135" s="26">
        <f>IF(AND(W135="X",M135&gt;$AJ$2),"YES","")</f>
        <v/>
      </c>
      <c r="AN135" s="89">
        <f>IF(AND(W135="X",M135&gt;$AJ$2),S135,"")</f>
        <v/>
      </c>
      <c r="AO135" s="35">
        <f>IF(AND(W135="",M135&gt;0,$AJ$2&gt;M135,L135=""),1,0)</f>
        <v/>
      </c>
      <c r="AP135" s="26">
        <f>IF(AND(AK135="YES",W135="X"),"X","")</f>
        <v/>
      </c>
      <c r="AQ135" s="28">
        <f>IF(AP135="X",100%,0%)</f>
        <v/>
      </c>
      <c r="AR135" s="25">
        <f>IF(AND(T135&gt;0,L135=""),H135,"")</f>
        <v/>
      </c>
      <c r="AS135" s="25">
        <f>IF(AND(D135&gt;0,H135=0,G135=""),1,"")</f>
        <v/>
      </c>
      <c r="AT135" s="25">
        <f>IF(G135="BLOQ",1,"")</f>
        <v/>
      </c>
      <c r="AU135" s="25">
        <f>IF(L135="BLOQ",1,"")</f>
        <v/>
      </c>
      <c r="AV135" s="25">
        <f>MONTH(F135)</f>
        <v/>
      </c>
      <c r="AW135" s="65">
        <f>IF(AP135="",100%,0%)</f>
        <v/>
      </c>
      <c r="AX135" s="23" t="n"/>
      <c r="AY135" s="24">
        <f>IF(M135=0,"",M135-$AX$2)</f>
        <v/>
      </c>
      <c r="AZ135" s="66">
        <f>IF(AND(W135="",AY135&gt;0,AY135&lt;15),1,0)</f>
        <v/>
      </c>
      <c r="BA135" s="24">
        <f>IF(AND(W135="",AY135&gt;0,AY135&lt;15),T135,"")</f>
        <v/>
      </c>
      <c r="BB135" s="87">
        <f>IF(R135&lt;Q135,"X","")</f>
        <v/>
      </c>
      <c r="BC135" s="190" t="inlineStr">
        <is>
          <t>NO</t>
        </is>
      </c>
      <c r="BD135" s="190" t="inlineStr">
        <is>
          <t>NO</t>
        </is>
      </c>
    </row>
    <row r="136" ht="15" customHeight="1" s="162">
      <c r="A136" s="7" t="n">
        <v>135</v>
      </c>
      <c r="B136" t="inlineStr">
        <is>
          <t>26121639</t>
        </is>
      </c>
      <c r="C136" t="inlineStr">
        <is>
          <t>Cable de datos apantallado TE Connectivi</t>
        </is>
      </c>
      <c r="D136" t="inlineStr">
        <is>
          <t>1101805339</t>
        </is>
      </c>
      <c r="E136" t="inlineStr">
        <is>
          <t>1</t>
        </is>
      </c>
      <c r="F136" s="163" t="n">
        <v>45611</v>
      </c>
      <c r="G136" t="inlineStr"/>
      <c r="H136" t="inlineStr">
        <is>
          <t>4800002726</t>
        </is>
      </c>
      <c r="I136" t="inlineStr">
        <is>
          <t>4800</t>
        </is>
      </c>
      <c r="J136" s="163" t="n">
        <v>45606</v>
      </c>
      <c r="K136" s="163" t="inlineStr"/>
      <c r="L136" t="inlineStr"/>
      <c r="M136" s="163" t="n">
        <v>45612</v>
      </c>
      <c r="N136" s="164" t="n">
        <v>0</v>
      </c>
      <c r="O136" s="164" t="n">
        <v>0</v>
      </c>
      <c r="P136" t="inlineStr"/>
      <c r="Q136" s="165" t="n">
        <v>1</v>
      </c>
      <c r="R136" s="165" t="n">
        <v>1</v>
      </c>
      <c r="S136" s="165" t="n">
        <v>1</v>
      </c>
      <c r="T136" s="165" t="n">
        <v>0</v>
      </c>
      <c r="U136" s="166" t="n">
        <v>0</v>
      </c>
      <c r="V136" s="166" t="n">
        <v>0</v>
      </c>
      <c r="W136" t="inlineStr">
        <is>
          <t>X</t>
        </is>
      </c>
      <c r="X136" t="inlineStr">
        <is>
          <t>0.00</t>
        </is>
      </c>
      <c r="Y136" t="inlineStr"/>
      <c r="Z136" t="inlineStr">
        <is>
          <t>AMIDATA, S.A.</t>
        </is>
      </c>
      <c r="AA136" t="inlineStr"/>
      <c r="AB136" t="inlineStr">
        <is>
          <t>0362572</t>
        </is>
      </c>
      <c r="AC136" t="inlineStr"/>
      <c r="AD136" s="164" t="n">
        <v>0</v>
      </c>
      <c r="AE136" s="185" t="n">
        <v>0</v>
      </c>
      <c r="AG136" s="167" t="inlineStr">
        <is>
          <t>7218|JA2593_1001</t>
        </is>
      </c>
      <c r="AH136" s="46">
        <f>IF(M136=0,"-",M136-J136)</f>
        <v/>
      </c>
      <c r="AI136" s="46">
        <f>IF(AND(S136=0,M136&gt;0,L136=0),IF(AH136&gt;=120,"VERY HIGH",IF(AH136&gt;=90,"HIGH",IF(AH136&gt;=60,"MEDIUM",IF(AH136&lt;60,"LOW")))),"-")</f>
        <v/>
      </c>
      <c r="AJ136" s="12" t="n"/>
      <c r="AK136" s="41">
        <f>IF(AND(W136="X",M136&lt;=$AJ$2),"YES","")</f>
        <v/>
      </c>
      <c r="AL136" s="38">
        <f>IF(AND(W136="X",M136&lt;=$AJ$2),S136,"")</f>
        <v/>
      </c>
      <c r="AM136" s="26">
        <f>IF(AND(W136="X",M136&gt;$AJ$2),"YES","")</f>
        <v/>
      </c>
      <c r="AN136" s="89">
        <f>IF(AND(W136="X",M136&gt;$AJ$2),S136,"")</f>
        <v/>
      </c>
      <c r="AO136" s="35">
        <f>IF(AND(W136="",M136&gt;0,$AJ$2&gt;M136,L136=""),1,0)</f>
        <v/>
      </c>
      <c r="AP136" s="26">
        <f>IF(AND(AK136="YES",W136="X"),"X","")</f>
        <v/>
      </c>
      <c r="AQ136" s="28">
        <f>IF(AP136="X",100%,0%)</f>
        <v/>
      </c>
      <c r="AR136" s="25">
        <f>IF(AND(T136&gt;0,L136=""),H136,"")</f>
        <v/>
      </c>
      <c r="AS136" s="25">
        <f>IF(AND(D136&gt;0,H136=0,G136=""),1,"")</f>
        <v/>
      </c>
      <c r="AT136" s="25">
        <f>IF(G136="BLOQ",1,"")</f>
        <v/>
      </c>
      <c r="AU136" s="25">
        <f>IF(L136="BLOQ",1,"")</f>
        <v/>
      </c>
      <c r="AV136" s="25">
        <f>MONTH(F136)</f>
        <v/>
      </c>
      <c r="AW136" s="65">
        <f>IF(AP136="",100%,0%)</f>
        <v/>
      </c>
      <c r="AX136" s="23" t="n"/>
      <c r="AY136" s="24">
        <f>IF(M136=0,"",M136-$AX$2)</f>
        <v/>
      </c>
      <c r="AZ136" s="66">
        <f>IF(AND(W136="",AY136&gt;0,AY136&lt;15),1,0)</f>
        <v/>
      </c>
      <c r="BA136" s="24">
        <f>IF(AND(W136="",AY136&gt;0,AY136&lt;15),T136,"")</f>
        <v/>
      </c>
      <c r="BB136" s="87">
        <f>IF(R136&lt;Q136,"X","")</f>
        <v/>
      </c>
      <c r="BC136" s="190" t="inlineStr">
        <is>
          <t>NO</t>
        </is>
      </c>
      <c r="BD136" s="190" t="inlineStr">
        <is>
          <t>NO</t>
        </is>
      </c>
    </row>
    <row r="137" ht="15" customHeight="1" s="162">
      <c r="A137" s="7" t="n">
        <v>136</v>
      </c>
      <c r="B137" t="inlineStr">
        <is>
          <t>39121432</t>
        </is>
      </c>
      <c r="C137" t="inlineStr">
        <is>
          <t>Contacto de crimpado hembra Molex serie</t>
        </is>
      </c>
      <c r="D137" t="inlineStr">
        <is>
          <t>1101805339</t>
        </is>
      </c>
      <c r="E137" t="inlineStr">
        <is>
          <t>2</t>
        </is>
      </c>
      <c r="F137" s="163" t="n">
        <v>45611</v>
      </c>
      <c r="G137" t="inlineStr"/>
      <c r="H137" t="inlineStr">
        <is>
          <t>4800002726</t>
        </is>
      </c>
      <c r="I137" t="inlineStr">
        <is>
          <t>4810</t>
        </is>
      </c>
      <c r="J137" s="163" t="n">
        <v>45606</v>
      </c>
      <c r="K137" s="163" t="inlineStr"/>
      <c r="L137" t="inlineStr"/>
      <c r="M137" s="163" t="n">
        <v>45612</v>
      </c>
      <c r="N137" s="164" t="n">
        <v>0</v>
      </c>
      <c r="O137" s="164" t="n">
        <v>0</v>
      </c>
      <c r="P137" t="inlineStr"/>
      <c r="Q137" s="165" t="n">
        <v>100</v>
      </c>
      <c r="R137" s="165" t="n">
        <v>100</v>
      </c>
      <c r="S137" s="165" t="n">
        <v>100</v>
      </c>
      <c r="T137" s="165" t="n">
        <v>0</v>
      </c>
      <c r="U137" s="166" t="n">
        <v>0</v>
      </c>
      <c r="V137" s="166" t="n">
        <v>0</v>
      </c>
      <c r="W137" t="inlineStr">
        <is>
          <t>X</t>
        </is>
      </c>
      <c r="X137" t="inlineStr">
        <is>
          <t>0.00</t>
        </is>
      </c>
      <c r="Y137" t="inlineStr"/>
      <c r="Z137" t="inlineStr">
        <is>
          <t>AMIDATA, S.A.</t>
        </is>
      </c>
      <c r="AA137" t="inlineStr"/>
      <c r="AB137" t="inlineStr">
        <is>
          <t>6706293</t>
        </is>
      </c>
      <c r="AC137" t="inlineStr"/>
      <c r="AD137" s="164" t="n">
        <v>0</v>
      </c>
      <c r="AE137" s="185" t="n">
        <v>0</v>
      </c>
      <c r="AG137" s="167" t="inlineStr">
        <is>
          <t>7218|JA2593_1001</t>
        </is>
      </c>
      <c r="AH137" s="46">
        <f>IF(M137=0,"-",M137-J137)</f>
        <v/>
      </c>
      <c r="AI137" s="46">
        <f>IF(AND(S137=0,M137&gt;0,L137=0),IF(AH137&gt;=120,"VERY HIGH",IF(AH137&gt;=90,"HIGH",IF(AH137&gt;=60,"MEDIUM",IF(AH137&lt;60,"LOW")))),"-")</f>
        <v/>
      </c>
      <c r="AJ137" s="12" t="n"/>
      <c r="AK137" s="41">
        <f>IF(AND(W137="X",M137&lt;=$AJ$2),"YES","")</f>
        <v/>
      </c>
      <c r="AL137" s="38">
        <f>IF(AND(W137="X",M137&lt;=$AJ$2),S137,"")</f>
        <v/>
      </c>
      <c r="AM137" s="26">
        <f>IF(AND(W137="X",M137&gt;$AJ$2),"YES","")</f>
        <v/>
      </c>
      <c r="AN137" s="89">
        <f>IF(AND(W137="X",M137&gt;$AJ$2),S137,"")</f>
        <v/>
      </c>
      <c r="AO137" s="35">
        <f>IF(AND(W137="",M137&gt;0,$AJ$2&gt;M137,L137=""),1,0)</f>
        <v/>
      </c>
      <c r="AP137" s="26">
        <f>IF(AND(AK137="YES",W137="X"),"X","")</f>
        <v/>
      </c>
      <c r="AQ137" s="28">
        <f>IF(AP137="X",100%,0%)</f>
        <v/>
      </c>
      <c r="AR137" s="25">
        <f>IF(AND(T137&gt;0,L137=""),H137,"")</f>
        <v/>
      </c>
      <c r="AS137" s="25">
        <f>IF(AND(D137&gt;0,H137=0,G137=""),1,"")</f>
        <v/>
      </c>
      <c r="AT137" s="25">
        <f>IF(G137="BLOQ",1,"")</f>
        <v/>
      </c>
      <c r="AU137" s="25">
        <f>IF(L137="BLOQ",1,"")</f>
        <v/>
      </c>
      <c r="AV137" s="25">
        <f>MONTH(F137)</f>
        <v/>
      </c>
      <c r="AW137" s="65">
        <f>IF(AP137="",100%,0%)</f>
        <v/>
      </c>
      <c r="AX137" s="23" t="n"/>
      <c r="AY137" s="24">
        <f>IF(M137=0,"",M137-$AX$2)</f>
        <v/>
      </c>
      <c r="AZ137" s="66">
        <f>IF(AND(W137="",AY137&gt;0,AY137&lt;15),1,0)</f>
        <v/>
      </c>
      <c r="BA137" s="24">
        <f>IF(AND(W137="",AY137&gt;0,AY137&lt;15),T137,"")</f>
        <v/>
      </c>
      <c r="BB137" s="87">
        <f>IF(R137&lt;Q137,"X","")</f>
        <v/>
      </c>
      <c r="BC137" s="190" t="inlineStr">
        <is>
          <t>NO</t>
        </is>
      </c>
      <c r="BD137" s="190" t="inlineStr">
        <is>
          <t>NO</t>
        </is>
      </c>
    </row>
    <row r="138" ht="15" customHeight="1" s="162">
      <c r="A138" s="7" t="n">
        <v>137</v>
      </c>
      <c r="B138" t="inlineStr">
        <is>
          <t>1359900000500</t>
        </is>
      </c>
      <c r="C138" t="inlineStr">
        <is>
          <t>COMPRA DIRECTA ELECTRICOS/ELECTRONICOS</t>
        </is>
      </c>
      <c r="D138" t="inlineStr">
        <is>
          <t>1101805413</t>
        </is>
      </c>
      <c r="E138" t="inlineStr">
        <is>
          <t>1</t>
        </is>
      </c>
      <c r="F138" s="163" t="n">
        <v>45611</v>
      </c>
      <c r="G138" t="inlineStr"/>
      <c r="H138" t="inlineStr">
        <is>
          <t>4200586752</t>
        </is>
      </c>
      <c r="I138" t="inlineStr">
        <is>
          <t>30</t>
        </is>
      </c>
      <c r="J138" s="163" t="n">
        <v>45617</v>
      </c>
      <c r="K138" s="163" t="n">
        <v>45617</v>
      </c>
      <c r="L138" t="inlineStr"/>
      <c r="M138" s="163" t="n">
        <v>45646</v>
      </c>
      <c r="N138" s="164" t="n">
        <v>30</v>
      </c>
      <c r="O138" s="164" t="n">
        <v>8</v>
      </c>
      <c r="P138" t="inlineStr">
        <is>
          <t>Liberado</t>
        </is>
      </c>
      <c r="Q138" s="165" t="n">
        <v>1</v>
      </c>
      <c r="R138" s="165" t="n">
        <v>1</v>
      </c>
      <c r="S138" s="165" t="n">
        <v>1</v>
      </c>
      <c r="T138" s="165" t="n">
        <v>0</v>
      </c>
      <c r="U138" s="166" t="n">
        <v>0</v>
      </c>
      <c r="V138" s="166" t="n">
        <v>0</v>
      </c>
      <c r="W138" t="inlineStr">
        <is>
          <t>X</t>
        </is>
      </c>
      <c r="X138" t="inlineStr">
        <is>
          <t>0.00</t>
        </is>
      </c>
      <c r="Y138" t="inlineStr"/>
      <c r="Z138" t="inlineStr">
        <is>
          <t>SARVER S.L.</t>
        </is>
      </c>
      <c r="AA138" t="inlineStr">
        <is>
          <t>OTROS FABRICANTES</t>
        </is>
      </c>
      <c r="AB138" t="inlineStr">
        <is>
          <t>1359900000500</t>
        </is>
      </c>
      <c r="AC138" t="inlineStr"/>
      <c r="AD138" s="164" t="n">
        <v>0</v>
      </c>
      <c r="AE138" s="185" t="n">
        <v>0</v>
      </c>
      <c r="AG138" s="167" t="inlineStr">
        <is>
          <t>7218|JA2593_1001</t>
        </is>
      </c>
      <c r="AH138" s="46">
        <f>IF(M138=0,"-",M138-J138)</f>
        <v/>
      </c>
      <c r="AI138" s="46">
        <f>IF(AND(S138=0,M138&gt;0,L138=0),IF(AH138&gt;=120,"VERY HIGH",IF(AH138&gt;=90,"HIGH",IF(AH138&gt;=60,"MEDIUM",IF(AH138&lt;60,"LOW")))),"-")</f>
        <v/>
      </c>
      <c r="AJ138" s="12" t="n"/>
      <c r="AK138" s="41">
        <f>IF(AND(W138="X",M138&lt;=$AJ$2),"YES","")</f>
        <v/>
      </c>
      <c r="AL138" s="38">
        <f>IF(AND(W138="X",M138&lt;=$AJ$2),S138,"")</f>
        <v/>
      </c>
      <c r="AM138" s="26">
        <f>IF(AND(W138="X",M138&gt;$AJ$2),"YES","")</f>
        <v/>
      </c>
      <c r="AN138" s="89">
        <f>IF(AND(W138="X",M138&gt;$AJ$2),S138,"")</f>
        <v/>
      </c>
      <c r="AO138" s="35">
        <f>IF(AND(W138="",M138&gt;0,$AJ$2&gt;M138,L138=""),1,0)</f>
        <v/>
      </c>
      <c r="AP138" s="26">
        <f>IF(AND(AK138="YES",W138="X"),"X","")</f>
        <v/>
      </c>
      <c r="AQ138" s="28">
        <f>IF(AP138="X",100%,0%)</f>
        <v/>
      </c>
      <c r="AR138" s="25">
        <f>IF(AND(T138&gt;0,L138=""),H138,"")</f>
        <v/>
      </c>
      <c r="AS138" s="25">
        <f>IF(AND(D138&gt;0,H138=0,G138=""),1,"")</f>
        <v/>
      </c>
      <c r="AT138" s="25">
        <f>IF(G138="BLOQ",1,"")</f>
        <v/>
      </c>
      <c r="AU138" s="25">
        <f>IF(L138="BLOQ",1,"")</f>
        <v/>
      </c>
      <c r="AV138" s="25">
        <f>MONTH(F138)</f>
        <v/>
      </c>
      <c r="AW138" s="65">
        <f>IF(AP138="",100%,0%)</f>
        <v/>
      </c>
      <c r="AX138" s="23" t="n"/>
      <c r="AY138" s="24">
        <f>IF(M138=0,"",M138-$AX$2)</f>
        <v/>
      </c>
      <c r="AZ138" s="66">
        <f>IF(AND(W138="",AY138&gt;0,AY138&lt;15),1,0)</f>
        <v/>
      </c>
      <c r="BA138" s="24">
        <f>IF(AND(W138="",AY138&gt;0,AY138&lt;15),T138,"")</f>
        <v/>
      </c>
      <c r="BB138" s="87">
        <f>IF(R138&lt;Q138,"X","")</f>
        <v/>
      </c>
      <c r="BC138" s="190" t="inlineStr">
        <is>
          <t>NO</t>
        </is>
      </c>
      <c r="BD138" s="190" t="inlineStr">
        <is>
          <t>NO</t>
        </is>
      </c>
    </row>
    <row r="139" ht="15" customHeight="1" s="162">
      <c r="A139" s="7" t="n">
        <v>138</v>
      </c>
      <c r="B139" t="inlineStr">
        <is>
          <t>31161807</t>
        </is>
      </c>
      <c r="C139" t="inlineStr">
        <is>
          <t>Arandelas Galvanizado brillante, Acero,</t>
        </is>
      </c>
      <c r="D139" t="inlineStr">
        <is>
          <t>1101806430</t>
        </is>
      </c>
      <c r="E139" t="inlineStr">
        <is>
          <t>1</t>
        </is>
      </c>
      <c r="F139" s="163" t="n">
        <v>45615</v>
      </c>
      <c r="G139" t="inlineStr"/>
      <c r="H139" t="inlineStr">
        <is>
          <t>4800002733</t>
        </is>
      </c>
      <c r="I139" t="inlineStr">
        <is>
          <t>1340</t>
        </is>
      </c>
      <c r="J139" s="163" t="n">
        <v>45611</v>
      </c>
      <c r="K139" s="163" t="inlineStr"/>
      <c r="L139" t="inlineStr"/>
      <c r="M139" s="163" t="n">
        <v>45616</v>
      </c>
      <c r="N139" s="164" t="n">
        <v>0</v>
      </c>
      <c r="O139" s="164" t="n">
        <v>0</v>
      </c>
      <c r="P139" t="inlineStr"/>
      <c r="Q139" s="165" t="n">
        <v>1</v>
      </c>
      <c r="R139" s="165" t="n">
        <v>1</v>
      </c>
      <c r="S139" s="165" t="n">
        <v>1</v>
      </c>
      <c r="T139" s="165" t="n">
        <v>0</v>
      </c>
      <c r="U139" s="166" t="n">
        <v>0</v>
      </c>
      <c r="V139" s="166" t="n">
        <v>0</v>
      </c>
      <c r="W139" t="inlineStr">
        <is>
          <t>X</t>
        </is>
      </c>
      <c r="X139" t="inlineStr">
        <is>
          <t>0.00</t>
        </is>
      </c>
      <c r="Y139" t="inlineStr"/>
      <c r="Z139" t="inlineStr">
        <is>
          <t>AMIDATA, S.A.</t>
        </is>
      </c>
      <c r="AA139" t="inlineStr"/>
      <c r="AB139" t="inlineStr">
        <is>
          <t>0560338</t>
        </is>
      </c>
      <c r="AC139" t="inlineStr"/>
      <c r="AD139" s="164" t="n">
        <v>0</v>
      </c>
      <c r="AE139" s="185" t="n">
        <v>0</v>
      </c>
      <c r="AG139" s="167" t="inlineStr">
        <is>
          <t>7218|JA2593_1001</t>
        </is>
      </c>
      <c r="AH139" s="46">
        <f>IF(M139=0,"-",M139-J139)</f>
        <v/>
      </c>
      <c r="AI139" s="46">
        <f>IF(AND(S139=0,M139&gt;0,L139=0),IF(AH139&gt;=120,"VERY HIGH",IF(AH139&gt;=90,"HIGH",IF(AH139&gt;=60,"MEDIUM",IF(AH139&lt;60,"LOW")))),"-")</f>
        <v/>
      </c>
      <c r="AJ139" s="12" t="n"/>
      <c r="AK139" s="41">
        <f>IF(AND(W139="X",M139&lt;=$AJ$2),"YES","")</f>
        <v/>
      </c>
      <c r="AL139" s="38">
        <f>IF(AND(W139="X",M139&lt;=$AJ$2),S139,"")</f>
        <v/>
      </c>
      <c r="AM139" s="26">
        <f>IF(AND(W139="X",M139&gt;$AJ$2),"YES","")</f>
        <v/>
      </c>
      <c r="AN139" s="89">
        <f>IF(AND(W139="X",M139&gt;$AJ$2),S139,"")</f>
        <v/>
      </c>
      <c r="AO139" s="35">
        <f>IF(AND(W139="",M139&gt;0,$AJ$2&gt;M139,L139=""),1,0)</f>
        <v/>
      </c>
      <c r="AP139" s="26">
        <f>IF(AND(AK139="YES",W139="X"),"X","")</f>
        <v/>
      </c>
      <c r="AQ139" s="28">
        <f>IF(AP139="X",100%,0%)</f>
        <v/>
      </c>
      <c r="AR139" s="25">
        <f>IF(AND(T139&gt;0,L139=""),H139,"")</f>
        <v/>
      </c>
      <c r="AS139" s="25">
        <f>IF(AND(D139&gt;0,H139=0,G139=""),1,"")</f>
        <v/>
      </c>
      <c r="AT139" s="25">
        <f>IF(G139="BLOQ",1,"")</f>
        <v/>
      </c>
      <c r="AU139" s="25">
        <f>IF(L139="BLOQ",1,"")</f>
        <v/>
      </c>
      <c r="AV139" s="25">
        <f>MONTH(F139)</f>
        <v/>
      </c>
      <c r="AW139" s="65">
        <f>IF(AP139="",100%,0%)</f>
        <v/>
      </c>
      <c r="AX139" s="23" t="n"/>
      <c r="AY139" s="24">
        <f>IF(M139=0,"",M139-$AX$2)</f>
        <v/>
      </c>
      <c r="AZ139" s="66">
        <f>IF(AND(W139="",AY139&gt;0,AY139&lt;15),1,0)</f>
        <v/>
      </c>
      <c r="BA139" s="24">
        <f>IF(AND(W139="",AY139&gt;0,AY139&lt;15),T139,"")</f>
        <v/>
      </c>
      <c r="BB139" s="87">
        <f>IF(R139&lt;Q139,"X","")</f>
        <v/>
      </c>
      <c r="BC139" s="190" t="inlineStr">
        <is>
          <t>NO</t>
        </is>
      </c>
      <c r="BD139" s="190" t="inlineStr">
        <is>
          <t>NO</t>
        </is>
      </c>
    </row>
    <row r="140" ht="15" customHeight="1" s="162">
      <c r="A140" s="7" t="n">
        <v>139</v>
      </c>
      <c r="B140" t="inlineStr">
        <is>
          <t>31161801</t>
        </is>
      </c>
      <c r="C140" t="inlineStr">
        <is>
          <t>Arandela a prueba de vibraciones Galvani</t>
        </is>
      </c>
      <c r="D140" t="inlineStr">
        <is>
          <t>1101806430</t>
        </is>
      </c>
      <c r="E140" t="inlineStr">
        <is>
          <t>2</t>
        </is>
      </c>
      <c r="F140" s="163" t="n">
        <v>45615</v>
      </c>
      <c r="G140" t="inlineStr"/>
      <c r="H140" t="inlineStr">
        <is>
          <t>4800002733</t>
        </is>
      </c>
      <c r="I140" t="inlineStr">
        <is>
          <t>1350</t>
        </is>
      </c>
      <c r="J140" s="163" t="n">
        <v>45611</v>
      </c>
      <c r="K140" s="163" t="inlineStr"/>
      <c r="L140" t="inlineStr"/>
      <c r="M140" s="163" t="n">
        <v>45616</v>
      </c>
      <c r="N140" s="164" t="n">
        <v>0</v>
      </c>
      <c r="O140" s="164" t="n">
        <v>0</v>
      </c>
      <c r="P140" t="inlineStr"/>
      <c r="Q140" s="165" t="n">
        <v>1</v>
      </c>
      <c r="R140" s="165" t="n">
        <v>1</v>
      </c>
      <c r="S140" s="165" t="n">
        <v>1</v>
      </c>
      <c r="T140" s="165" t="n">
        <v>0</v>
      </c>
      <c r="U140" s="166" t="n">
        <v>0</v>
      </c>
      <c r="V140" s="166" t="n">
        <v>0</v>
      </c>
      <c r="W140" t="inlineStr">
        <is>
          <t>X</t>
        </is>
      </c>
      <c r="X140" t="inlineStr">
        <is>
          <t>0.00</t>
        </is>
      </c>
      <c r="Y140" t="inlineStr"/>
      <c r="Z140" t="inlineStr">
        <is>
          <t>AMIDATA, S.A.</t>
        </is>
      </c>
      <c r="AA140" t="inlineStr"/>
      <c r="AB140" t="inlineStr">
        <is>
          <t>0526574</t>
        </is>
      </c>
      <c r="AC140" t="inlineStr"/>
      <c r="AD140" s="164" t="n">
        <v>0</v>
      </c>
      <c r="AE140" s="185" t="n">
        <v>0</v>
      </c>
      <c r="AG140" s="167" t="inlineStr">
        <is>
          <t>7218|JA2593_1001</t>
        </is>
      </c>
      <c r="AH140" s="46">
        <f>IF(M140=0,"-",M140-J140)</f>
        <v/>
      </c>
      <c r="AI140" s="46">
        <f>IF(AND(S140=0,M140&gt;0,L140=0),IF(AH140&gt;=120,"VERY HIGH",IF(AH140&gt;=90,"HIGH",IF(AH140&gt;=60,"MEDIUM",IF(AH140&lt;60,"LOW")))),"-")</f>
        <v/>
      </c>
      <c r="AJ140" s="12" t="n"/>
      <c r="AK140" s="41">
        <f>IF(AND(W140="X",M140&lt;=$AJ$2),"YES","")</f>
        <v/>
      </c>
      <c r="AL140" s="38">
        <f>IF(AND(W140="X",M140&lt;=$AJ$2),S140,"")</f>
        <v/>
      </c>
      <c r="AM140" s="26">
        <f>IF(AND(W140="X",M140&gt;$AJ$2),"YES","")</f>
        <v/>
      </c>
      <c r="AN140" s="89">
        <f>IF(AND(W140="X",M140&gt;$AJ$2),S140,"")</f>
        <v/>
      </c>
      <c r="AO140" s="35">
        <f>IF(AND(W140="",M140&gt;0,$AJ$2&gt;M140,L140=""),1,0)</f>
        <v/>
      </c>
      <c r="AP140" s="26">
        <f>IF(AND(AK140="YES",W140="X"),"X","")</f>
        <v/>
      </c>
      <c r="AQ140" s="28">
        <f>IF(AP140="X",100%,0%)</f>
        <v/>
      </c>
      <c r="AR140" s="25">
        <f>IF(AND(T140&gt;0,L140=""),H140,"")</f>
        <v/>
      </c>
      <c r="AS140" s="25">
        <f>IF(AND(D140&gt;0,H140=0,G140=""),1,"")</f>
        <v/>
      </c>
      <c r="AT140" s="25">
        <f>IF(G140="BLOQ",1,"")</f>
        <v/>
      </c>
      <c r="AU140" s="25">
        <f>IF(L140="BLOQ",1,"")</f>
        <v/>
      </c>
      <c r="AV140" s="25">
        <f>MONTH(F140)</f>
        <v/>
      </c>
      <c r="AW140" s="65">
        <f>IF(AP140="",100%,0%)</f>
        <v/>
      </c>
      <c r="AX140" s="23" t="n"/>
      <c r="AY140" s="24">
        <f>IF(M140=0,"",M140-$AX$2)</f>
        <v/>
      </c>
      <c r="AZ140" s="66">
        <f>IF(AND(W140="",AY140&gt;0,AY140&lt;15),1,0)</f>
        <v/>
      </c>
      <c r="BA140" s="24">
        <f>IF(AND(W140="",AY140&gt;0,AY140&lt;15),T140,"")</f>
        <v/>
      </c>
      <c r="BB140" s="87">
        <f>IF(R140&lt;Q140,"X","")</f>
        <v/>
      </c>
      <c r="BC140" s="190" t="inlineStr">
        <is>
          <t>NO</t>
        </is>
      </c>
      <c r="BD140" s="190" t="inlineStr">
        <is>
          <t>NO</t>
        </is>
      </c>
    </row>
    <row r="141" ht="15" customHeight="1" s="162">
      <c r="A141" s="7" t="n">
        <v>140</v>
      </c>
      <c r="B141" t="inlineStr">
        <is>
          <t>31161727</t>
        </is>
      </c>
      <c r="C141" t="inlineStr">
        <is>
          <t>Tuerca hexagonal M3 RS PRO de acero Galv</t>
        </is>
      </c>
      <c r="D141" t="inlineStr">
        <is>
          <t>1101806430</t>
        </is>
      </c>
      <c r="E141" t="inlineStr">
        <is>
          <t>3</t>
        </is>
      </c>
      <c r="F141" s="163" t="n">
        <v>45615</v>
      </c>
      <c r="G141" t="inlineStr"/>
      <c r="H141" t="inlineStr">
        <is>
          <t>4800002733</t>
        </is>
      </c>
      <c r="I141" t="inlineStr">
        <is>
          <t>1360</t>
        </is>
      </c>
      <c r="J141" s="163" t="n">
        <v>45611</v>
      </c>
      <c r="K141" s="163" t="inlineStr"/>
      <c r="L141" t="inlineStr"/>
      <c r="M141" s="163" t="n">
        <v>45616</v>
      </c>
      <c r="N141" s="164" t="n">
        <v>0</v>
      </c>
      <c r="O141" s="164" t="n">
        <v>0</v>
      </c>
      <c r="P141" t="inlineStr"/>
      <c r="Q141" s="165" t="n">
        <v>1</v>
      </c>
      <c r="R141" s="165" t="n">
        <v>1</v>
      </c>
      <c r="S141" s="165" t="n">
        <v>1</v>
      </c>
      <c r="T141" s="165" t="n">
        <v>0</v>
      </c>
      <c r="U141" s="166" t="n">
        <v>0</v>
      </c>
      <c r="V141" s="166" t="n">
        <v>0</v>
      </c>
      <c r="W141" t="inlineStr">
        <is>
          <t>X</t>
        </is>
      </c>
      <c r="X141" t="inlineStr">
        <is>
          <t>0.00</t>
        </is>
      </c>
      <c r="Y141" t="inlineStr"/>
      <c r="Z141" t="inlineStr">
        <is>
          <t>AMIDATA, S.A.</t>
        </is>
      </c>
      <c r="AA141" t="inlineStr"/>
      <c r="AB141" t="inlineStr">
        <is>
          <t>0560293</t>
        </is>
      </c>
      <c r="AC141" t="inlineStr"/>
      <c r="AD141" s="164" t="n">
        <v>0</v>
      </c>
      <c r="AE141" s="185" t="n">
        <v>0</v>
      </c>
      <c r="AG141" s="167" t="inlineStr">
        <is>
          <t>7218|JA2593_1001</t>
        </is>
      </c>
      <c r="AH141" s="46">
        <f>IF(M141=0,"-",M141-J141)</f>
        <v/>
      </c>
      <c r="AI141" s="46">
        <f>IF(AND(S141=0,M141&gt;0,L141=0),IF(AH141&gt;=120,"VERY HIGH",IF(AH141&gt;=90,"HIGH",IF(AH141&gt;=60,"MEDIUM",IF(AH141&lt;60,"LOW")))),"-")</f>
        <v/>
      </c>
      <c r="AJ141" s="12" t="n"/>
      <c r="AK141" s="41">
        <f>IF(AND(W141="X",M141&lt;=$AJ$2),"YES","")</f>
        <v/>
      </c>
      <c r="AL141" s="38">
        <f>IF(AND(W141="X",M141&lt;=$AJ$2),S141,"")</f>
        <v/>
      </c>
      <c r="AM141" s="26">
        <f>IF(AND(W141="X",M141&gt;$AJ$2),"YES","")</f>
        <v/>
      </c>
      <c r="AN141" s="89">
        <f>IF(AND(W141="X",M141&gt;$AJ$2),S141,"")</f>
        <v/>
      </c>
      <c r="AO141" s="35">
        <f>IF(AND(W141="",M141&gt;0,$AJ$2&gt;M141,L141=""),1,0)</f>
        <v/>
      </c>
      <c r="AP141" s="26">
        <f>IF(AND(AK141="YES",W141="X"),"X","")</f>
        <v/>
      </c>
      <c r="AQ141" s="28">
        <f>IF(AP141="X",100%,0%)</f>
        <v/>
      </c>
      <c r="AR141" s="25">
        <f>IF(AND(T141&gt;0,L141=""),H141,"")</f>
        <v/>
      </c>
      <c r="AS141" s="25">
        <f>IF(AND(D141&gt;0,H141=0,G141=""),1,"")</f>
        <v/>
      </c>
      <c r="AT141" s="25">
        <f>IF(G141="BLOQ",1,"")</f>
        <v/>
      </c>
      <c r="AU141" s="25">
        <f>IF(L141="BLOQ",1,"")</f>
        <v/>
      </c>
      <c r="AV141" s="25">
        <f>MONTH(F141)</f>
        <v/>
      </c>
      <c r="AW141" s="65">
        <f>IF(AP141="",100%,0%)</f>
        <v/>
      </c>
      <c r="AX141" s="23" t="n"/>
      <c r="AY141" s="24">
        <f>IF(M141=0,"",M141-$AX$2)</f>
        <v/>
      </c>
      <c r="AZ141" s="66">
        <f>IF(AND(W141="",AY141&gt;0,AY141&lt;15),1,0)</f>
        <v/>
      </c>
      <c r="BA141" s="24">
        <f>IF(AND(W141="",AY141&gt;0,AY141&lt;15),T141,"")</f>
        <v/>
      </c>
      <c r="BB141" s="87">
        <f>IF(R141&lt;Q141,"X","")</f>
        <v/>
      </c>
      <c r="BC141" s="190" t="inlineStr">
        <is>
          <t>NO</t>
        </is>
      </c>
      <c r="BD141" s="190" t="inlineStr">
        <is>
          <t>NO</t>
        </is>
      </c>
    </row>
    <row r="142" ht="15" customHeight="1" s="162">
      <c r="A142" s="7" t="n">
        <v>141</v>
      </c>
      <c r="B142" t="inlineStr">
        <is>
          <t>32121508</t>
        </is>
      </c>
      <c r="C142" t="inlineStr">
        <is>
          <t>Condensador de t&amp;#225;ntalo Vishay 489D4</t>
        </is>
      </c>
      <c r="D142" t="inlineStr">
        <is>
          <t>1101806430</t>
        </is>
      </c>
      <c r="E142" t="inlineStr">
        <is>
          <t>4</t>
        </is>
      </c>
      <c r="F142" s="163" t="n">
        <v>45615</v>
      </c>
      <c r="G142" t="inlineStr"/>
      <c r="H142" t="inlineStr">
        <is>
          <t>4800002733</t>
        </is>
      </c>
      <c r="I142" t="inlineStr">
        <is>
          <t>1370</t>
        </is>
      </c>
      <c r="J142" s="163" t="n">
        <v>45611</v>
      </c>
      <c r="K142" s="163" t="inlineStr"/>
      <c r="L142" t="inlineStr"/>
      <c r="M142" s="163" t="n">
        <v>45616</v>
      </c>
      <c r="N142" s="164" t="n">
        <v>0</v>
      </c>
      <c r="O142" s="164" t="n">
        <v>0</v>
      </c>
      <c r="P142" t="inlineStr"/>
      <c r="Q142" s="165" t="n">
        <v>30</v>
      </c>
      <c r="R142" s="165" t="n">
        <v>30</v>
      </c>
      <c r="S142" s="165" t="n">
        <v>30</v>
      </c>
      <c r="T142" s="165" t="n">
        <v>0</v>
      </c>
      <c r="U142" s="166" t="n">
        <v>0</v>
      </c>
      <c r="V142" s="166" t="n">
        <v>0</v>
      </c>
      <c r="W142" t="inlineStr">
        <is>
          <t>X</t>
        </is>
      </c>
      <c r="X142" t="inlineStr">
        <is>
          <t>0.00</t>
        </is>
      </c>
      <c r="Y142" t="inlineStr"/>
      <c r="Z142" t="inlineStr">
        <is>
          <t>AMIDATA, S.A.</t>
        </is>
      </c>
      <c r="AA142" t="inlineStr"/>
      <c r="AB142" t="inlineStr">
        <is>
          <t>6844389</t>
        </is>
      </c>
      <c r="AC142" t="inlineStr"/>
      <c r="AD142" s="164" t="n">
        <v>0</v>
      </c>
      <c r="AE142" s="185" t="n">
        <v>0</v>
      </c>
      <c r="AG142" s="167" t="inlineStr">
        <is>
          <t>7218|JA2593_1001</t>
        </is>
      </c>
      <c r="AH142" s="46">
        <f>IF(M142=0,"-",M142-J142)</f>
        <v/>
      </c>
      <c r="AI142" s="46">
        <f>IF(AND(S142=0,M142&gt;0,L142=0),IF(AH142&gt;=120,"VERY HIGH",IF(AH142&gt;=90,"HIGH",IF(AH142&gt;=60,"MEDIUM",IF(AH142&lt;60,"LOW")))),"-")</f>
        <v/>
      </c>
      <c r="AJ142" s="12" t="n"/>
      <c r="AK142" s="41">
        <f>IF(AND(W142="X",M142&lt;=$AJ$2),"YES","")</f>
        <v/>
      </c>
      <c r="AL142" s="38">
        <f>IF(AND(W142="X",M142&lt;=$AJ$2),S142,"")</f>
        <v/>
      </c>
      <c r="AM142" s="26">
        <f>IF(AND(W142="X",M142&gt;$AJ$2),"YES","")</f>
        <v/>
      </c>
      <c r="AN142" s="89">
        <f>IF(AND(W142="X",M142&gt;$AJ$2),S142,"")</f>
        <v/>
      </c>
      <c r="AO142" s="35">
        <f>IF(AND(W142="",M142&gt;0,$AJ$2&gt;M142,L142=""),1,0)</f>
        <v/>
      </c>
      <c r="AP142" s="26">
        <f>IF(AND(AK142="YES",W142="X"),"X","")</f>
        <v/>
      </c>
      <c r="AQ142" s="28">
        <f>IF(AP142="X",100%,0%)</f>
        <v/>
      </c>
      <c r="AR142" s="25">
        <f>IF(AND(T142&gt;0,L142=""),H142,"")</f>
        <v/>
      </c>
      <c r="AS142" s="25">
        <f>IF(AND(D142&gt;0,H142=0,G142=""),1,"")</f>
        <v/>
      </c>
      <c r="AT142" s="25">
        <f>IF(G142="BLOQ",1,"")</f>
        <v/>
      </c>
      <c r="AU142" s="25">
        <f>IF(L142="BLOQ",1,"")</f>
        <v/>
      </c>
      <c r="AV142" s="25">
        <f>MONTH(F142)</f>
        <v/>
      </c>
      <c r="AW142" s="65">
        <f>IF(AP142="",100%,0%)</f>
        <v/>
      </c>
      <c r="AX142" s="23" t="n"/>
      <c r="AY142" s="24">
        <f>IF(M142=0,"",M142-$AX$2)</f>
        <v/>
      </c>
      <c r="AZ142" s="66">
        <f>IF(AND(W142="",AY142&gt;0,AY142&lt;15),1,0)</f>
        <v/>
      </c>
      <c r="BA142" s="24">
        <f>IF(AND(W142="",AY142&gt;0,AY142&lt;15),T142,"")</f>
        <v/>
      </c>
      <c r="BB142" s="87">
        <f>IF(R142&lt;Q142,"X","")</f>
        <v/>
      </c>
      <c r="BC142" s="190" t="inlineStr">
        <is>
          <t>NO</t>
        </is>
      </c>
      <c r="BD142" s="190" t="inlineStr">
        <is>
          <t>NO</t>
        </is>
      </c>
    </row>
    <row r="143" ht="15" customHeight="1" s="162">
      <c r="A143" s="7" t="n">
        <v>142</v>
      </c>
      <c r="B143" t="inlineStr">
        <is>
          <t>32121701</t>
        </is>
      </c>
      <c r="C143" t="inlineStr">
        <is>
          <t>Diodo, 1N4004-E3/54, 1A, 400V Conexi&amp;#24</t>
        </is>
      </c>
      <c r="D143" t="inlineStr">
        <is>
          <t>1101806430</t>
        </is>
      </c>
      <c r="E143" t="inlineStr">
        <is>
          <t>5</t>
        </is>
      </c>
      <c r="F143" s="163" t="n">
        <v>45615</v>
      </c>
      <c r="G143" t="inlineStr"/>
      <c r="H143" t="inlineStr">
        <is>
          <t>4800002733</t>
        </is>
      </c>
      <c r="I143" t="inlineStr">
        <is>
          <t>1380</t>
        </is>
      </c>
      <c r="J143" s="163" t="n">
        <v>45611</v>
      </c>
      <c r="K143" s="163" t="inlineStr"/>
      <c r="L143" t="inlineStr"/>
      <c r="M143" s="163" t="n">
        <v>45616</v>
      </c>
      <c r="N143" s="164" t="n">
        <v>0</v>
      </c>
      <c r="O143" s="164" t="n">
        <v>0</v>
      </c>
      <c r="P143" t="inlineStr"/>
      <c r="Q143" s="165" t="n">
        <v>20</v>
      </c>
      <c r="R143" s="165" t="n">
        <v>20</v>
      </c>
      <c r="S143" s="165" t="n">
        <v>20</v>
      </c>
      <c r="T143" s="165" t="n">
        <v>0</v>
      </c>
      <c r="U143" s="166" t="n">
        <v>0</v>
      </c>
      <c r="V143" s="166" t="n">
        <v>0</v>
      </c>
      <c r="W143" t="inlineStr">
        <is>
          <t>X</t>
        </is>
      </c>
      <c r="X143" t="inlineStr">
        <is>
          <t>0.00</t>
        </is>
      </c>
      <c r="Y143" t="inlineStr"/>
      <c r="Z143" t="inlineStr">
        <is>
          <t>AMIDATA, S.A.</t>
        </is>
      </c>
      <c r="AA143" t="inlineStr"/>
      <c r="AB143" t="inlineStr">
        <is>
          <t>6289029</t>
        </is>
      </c>
      <c r="AC143" t="inlineStr"/>
      <c r="AD143" s="164" t="n">
        <v>0</v>
      </c>
      <c r="AE143" s="185" t="n">
        <v>0</v>
      </c>
      <c r="AG143" s="167" t="inlineStr">
        <is>
          <t>7218|JA2593_1001</t>
        </is>
      </c>
      <c r="AH143" s="46">
        <f>IF(M143=0,"-",M143-J143)</f>
        <v/>
      </c>
      <c r="AI143" s="46">
        <f>IF(AND(S143=0,M143&gt;0,L143=0),IF(AH143&gt;=120,"VERY HIGH",IF(AH143&gt;=90,"HIGH",IF(AH143&gt;=60,"MEDIUM",IF(AH143&lt;60,"LOW")))),"-")</f>
        <v/>
      </c>
      <c r="AJ143" s="12" t="n"/>
      <c r="AK143" s="41">
        <f>IF(AND(W143="X",M143&lt;=$AJ$2),"YES","")</f>
        <v/>
      </c>
      <c r="AL143" s="38">
        <f>IF(AND(W143="X",M143&lt;=$AJ$2),S143,"")</f>
        <v/>
      </c>
      <c r="AM143" s="26">
        <f>IF(AND(W143="X",M143&gt;$AJ$2),"YES","")</f>
        <v/>
      </c>
      <c r="AN143" s="89">
        <f>IF(AND(W143="X",M143&gt;$AJ$2),S143,"")</f>
        <v/>
      </c>
      <c r="AO143" s="35">
        <f>IF(AND(W143="",M143&gt;0,$AJ$2&gt;M143,L143=""),1,0)</f>
        <v/>
      </c>
      <c r="AP143" s="26">
        <f>IF(AND(AK143="YES",W143="X"),"X","")</f>
        <v/>
      </c>
      <c r="AQ143" s="28">
        <f>IF(AP143="X",100%,0%)</f>
        <v/>
      </c>
      <c r="AR143" s="25">
        <f>IF(AND(T143&gt;0,L143=""),H143,"")</f>
        <v/>
      </c>
      <c r="AS143" s="25">
        <f>IF(AND(D143&gt;0,H143=0,G143=""),1,"")</f>
        <v/>
      </c>
      <c r="AT143" s="25">
        <f>IF(G143="BLOQ",1,"")</f>
        <v/>
      </c>
      <c r="AU143" s="25">
        <f>IF(L143="BLOQ",1,"")</f>
        <v/>
      </c>
      <c r="AV143" s="25">
        <f>MONTH(F143)</f>
        <v/>
      </c>
      <c r="AW143" s="65">
        <f>IF(AP143="",100%,0%)</f>
        <v/>
      </c>
      <c r="AX143" s="23" t="n"/>
      <c r="AY143" s="24">
        <f>IF(M143=0,"",M143-$AX$2)</f>
        <v/>
      </c>
      <c r="AZ143" s="66">
        <f>IF(AND(W143="",AY143&gt;0,AY143&lt;15),1,0)</f>
        <v/>
      </c>
      <c r="BA143" s="24">
        <f>IF(AND(W143="",AY143&gt;0,AY143&lt;15),T143,"")</f>
        <v/>
      </c>
      <c r="BB143" s="87">
        <f>IF(R143&lt;Q143,"X","")</f>
        <v/>
      </c>
      <c r="BC143" s="190" t="inlineStr">
        <is>
          <t>NO</t>
        </is>
      </c>
      <c r="BD143" s="190" t="inlineStr">
        <is>
          <t>NO</t>
        </is>
      </c>
    </row>
    <row r="144" ht="15" customHeight="1" s="162">
      <c r="A144" s="7" t="n">
        <v>143</v>
      </c>
      <c r="B144" t="inlineStr">
        <is>
          <t>32121615</t>
        </is>
      </c>
      <c r="C144" t="inlineStr">
        <is>
          <t>Resistencia RS PRO, de 5.1k? &amp;#177;5%, 0</t>
        </is>
      </c>
      <c r="D144" t="inlineStr">
        <is>
          <t>1101806430</t>
        </is>
      </c>
      <c r="E144" t="inlineStr">
        <is>
          <t>6</t>
        </is>
      </c>
      <c r="F144" s="163" t="n">
        <v>45615</v>
      </c>
      <c r="G144" t="inlineStr"/>
      <c r="H144" t="inlineStr">
        <is>
          <t>4800002733</t>
        </is>
      </c>
      <c r="I144" t="inlineStr">
        <is>
          <t>1390</t>
        </is>
      </c>
      <c r="J144" s="163" t="n">
        <v>45611</v>
      </c>
      <c r="K144" s="163" t="inlineStr"/>
      <c r="L144" t="inlineStr"/>
      <c r="M144" s="163" t="n">
        <v>45616</v>
      </c>
      <c r="N144" s="164" t="n">
        <v>0</v>
      </c>
      <c r="O144" s="164" t="n">
        <v>0</v>
      </c>
      <c r="P144" t="inlineStr"/>
      <c r="Q144" s="165" t="n">
        <v>5000</v>
      </c>
      <c r="R144" s="165" t="n">
        <v>5000</v>
      </c>
      <c r="S144" s="165" t="n">
        <v>5000</v>
      </c>
      <c r="T144" s="165" t="n">
        <v>0</v>
      </c>
      <c r="U144" s="166" t="n">
        <v>0</v>
      </c>
      <c r="V144" s="166" t="n">
        <v>0</v>
      </c>
      <c r="W144" t="inlineStr">
        <is>
          <t>X</t>
        </is>
      </c>
      <c r="X144" t="inlineStr">
        <is>
          <t>0.00</t>
        </is>
      </c>
      <c r="Y144" t="inlineStr"/>
      <c r="Z144" t="inlineStr">
        <is>
          <t>AMIDATA, S.A.</t>
        </is>
      </c>
      <c r="AA144" t="inlineStr"/>
      <c r="AB144" t="inlineStr">
        <is>
          <t>7397512</t>
        </is>
      </c>
      <c r="AC144" t="inlineStr"/>
      <c r="AD144" s="164" t="n">
        <v>0</v>
      </c>
      <c r="AE144" s="185" t="n">
        <v>0</v>
      </c>
      <c r="AG144" s="167" t="inlineStr">
        <is>
          <t>7218|JA2593_1001</t>
        </is>
      </c>
      <c r="AH144" s="46">
        <f>IF(M144=0,"-",M144-J144)</f>
        <v/>
      </c>
      <c r="AI144" s="46">
        <f>IF(AND(S144=0,M144&gt;0,L144=0),IF(AH144&gt;=120,"VERY HIGH",IF(AH144&gt;=90,"HIGH",IF(AH144&gt;=60,"MEDIUM",IF(AH144&lt;60,"LOW")))),"-")</f>
        <v/>
      </c>
      <c r="AJ144" s="12" t="n"/>
      <c r="AK144" s="41">
        <f>IF(AND(W144="X",M144&lt;=$AJ$2),"YES","")</f>
        <v/>
      </c>
      <c r="AL144" s="38">
        <f>IF(AND(W144="X",M144&lt;=$AJ$2),S144,"")</f>
        <v/>
      </c>
      <c r="AM144" s="26">
        <f>IF(AND(W144="X",M144&gt;$AJ$2),"YES","")</f>
        <v/>
      </c>
      <c r="AN144" s="89">
        <f>IF(AND(W144="X",M144&gt;$AJ$2),S144,"")</f>
        <v/>
      </c>
      <c r="AO144" s="35">
        <f>IF(AND(W144="",M144&gt;0,$AJ$2&gt;M144,L144=""),1,0)</f>
        <v/>
      </c>
      <c r="AP144" s="26">
        <f>IF(AND(AK144="YES",W144="X"),"X","")</f>
        <v/>
      </c>
      <c r="AQ144" s="28">
        <f>IF(AP144="X",100%,0%)</f>
        <v/>
      </c>
      <c r="AR144" s="25">
        <f>IF(AND(T144&gt;0,L144=""),H144,"")</f>
        <v/>
      </c>
      <c r="AS144" s="25">
        <f>IF(AND(D144&gt;0,H144=0,G144=""),1,"")</f>
        <v/>
      </c>
      <c r="AT144" s="25">
        <f>IF(G144="BLOQ",1,"")</f>
        <v/>
      </c>
      <c r="AU144" s="25">
        <f>IF(L144="BLOQ",1,"")</f>
        <v/>
      </c>
      <c r="AV144" s="25">
        <f>MONTH(F144)</f>
        <v/>
      </c>
      <c r="AW144" s="65">
        <f>IF(AP144="",100%,0%)</f>
        <v/>
      </c>
      <c r="AX144" s="23" t="n"/>
      <c r="AY144" s="24">
        <f>IF(M144=0,"",M144-$AX$2)</f>
        <v/>
      </c>
      <c r="AZ144" s="66">
        <f>IF(AND(W144="",AY144&gt;0,AY144&lt;15),1,0)</f>
        <v/>
      </c>
      <c r="BA144" s="24">
        <f>IF(AND(W144="",AY144&gt;0,AY144&lt;15),T144,"")</f>
        <v/>
      </c>
      <c r="BB144" s="87">
        <f>IF(R144&lt;Q144,"X","")</f>
        <v/>
      </c>
      <c r="BC144" s="190" t="inlineStr">
        <is>
          <t>NO</t>
        </is>
      </c>
      <c r="BD144" s="190" t="inlineStr">
        <is>
          <t>NO</t>
        </is>
      </c>
    </row>
    <row r="145" ht="15" customHeight="1" s="162">
      <c r="A145" s="7" t="n">
        <v>144</v>
      </c>
      <c r="B145" t="inlineStr">
        <is>
          <t>32121607</t>
        </is>
      </c>
      <c r="C145" t="inlineStr">
        <is>
          <t>Matriz de resistencias Bourns, 4.7k?, &amp;#</t>
        </is>
      </c>
      <c r="D145" t="inlineStr">
        <is>
          <t>1101806430</t>
        </is>
      </c>
      <c r="E145" t="inlineStr">
        <is>
          <t>7</t>
        </is>
      </c>
      <c r="F145" s="163" t="n">
        <v>45615</v>
      </c>
      <c r="G145" t="inlineStr"/>
      <c r="H145" t="inlineStr">
        <is>
          <t>4800002733</t>
        </is>
      </c>
      <c r="I145" t="inlineStr">
        <is>
          <t>1400</t>
        </is>
      </c>
      <c r="J145" s="163" t="n">
        <v>45611</v>
      </c>
      <c r="K145" s="163" t="inlineStr"/>
      <c r="L145" t="inlineStr"/>
      <c r="M145" s="163" t="n">
        <v>45616</v>
      </c>
      <c r="N145" s="164" t="n">
        <v>0</v>
      </c>
      <c r="O145" s="164" t="n">
        <v>0</v>
      </c>
      <c r="P145" t="inlineStr"/>
      <c r="Q145" s="165" t="n">
        <v>25</v>
      </c>
      <c r="R145" s="165" t="n">
        <v>25</v>
      </c>
      <c r="S145" s="165" t="n">
        <v>25</v>
      </c>
      <c r="T145" s="165" t="n">
        <v>0</v>
      </c>
      <c r="U145" s="166" t="n">
        <v>0</v>
      </c>
      <c r="V145" s="166" t="n">
        <v>0</v>
      </c>
      <c r="W145" t="inlineStr">
        <is>
          <t>X</t>
        </is>
      </c>
      <c r="X145" t="inlineStr">
        <is>
          <t>0.00</t>
        </is>
      </c>
      <c r="Y145" t="inlineStr"/>
      <c r="Z145" t="inlineStr">
        <is>
          <t>AMIDATA, S.A.</t>
        </is>
      </c>
      <c r="AA145" t="inlineStr"/>
      <c r="AB145" t="inlineStr">
        <is>
          <t>5224015</t>
        </is>
      </c>
      <c r="AC145" t="inlineStr"/>
      <c r="AD145" s="164" t="n">
        <v>0</v>
      </c>
      <c r="AE145" s="185" t="n">
        <v>0</v>
      </c>
      <c r="AG145" s="167" t="inlineStr">
        <is>
          <t>7218|JA2593_1001</t>
        </is>
      </c>
      <c r="AH145" s="46">
        <f>IF(M145=0,"-",M145-J145)</f>
        <v/>
      </c>
      <c r="AI145" s="46">
        <f>IF(AND(S145=0,M145&gt;0,L145=0),IF(AH145&gt;=120,"VERY HIGH",IF(AH145&gt;=90,"HIGH",IF(AH145&gt;=60,"MEDIUM",IF(AH145&lt;60,"LOW")))),"-")</f>
        <v/>
      </c>
      <c r="AJ145" s="12" t="n"/>
      <c r="AK145" s="41">
        <f>IF(AND(W145="X",M145&lt;=$AJ$2),"YES","")</f>
        <v/>
      </c>
      <c r="AL145" s="38">
        <f>IF(AND(W145="X",M145&lt;=$AJ$2),S145,"")</f>
        <v/>
      </c>
      <c r="AM145" s="26">
        <f>IF(AND(W145="X",M145&gt;$AJ$2),"YES","")</f>
        <v/>
      </c>
      <c r="AN145" s="89">
        <f>IF(AND(W145="X",M145&gt;$AJ$2),S145,"")</f>
        <v/>
      </c>
      <c r="AO145" s="35">
        <f>IF(AND(W145="",M145&gt;0,$AJ$2&gt;M145,L145=""),1,0)</f>
        <v/>
      </c>
      <c r="AP145" s="26">
        <f>IF(AND(AK145="YES",W145="X"),"X","")</f>
        <v/>
      </c>
      <c r="AQ145" s="28">
        <f>IF(AP145="X",100%,0%)</f>
        <v/>
      </c>
      <c r="AR145" s="25">
        <f>IF(AND(T145&gt;0,L145=""),H145,"")</f>
        <v/>
      </c>
      <c r="AS145" s="25">
        <f>IF(AND(D145&gt;0,H145=0,G145=""),1,"")</f>
        <v/>
      </c>
      <c r="AT145" s="25">
        <f>IF(G145="BLOQ",1,"")</f>
        <v/>
      </c>
      <c r="AU145" s="25">
        <f>IF(L145="BLOQ",1,"")</f>
        <v/>
      </c>
      <c r="AV145" s="25">
        <f>MONTH(F145)</f>
        <v/>
      </c>
      <c r="AW145" s="65">
        <f>IF(AP145="",100%,0%)</f>
        <v/>
      </c>
      <c r="AX145" s="23" t="n"/>
      <c r="AY145" s="24">
        <f>IF(M145=0,"",M145-$AX$2)</f>
        <v/>
      </c>
      <c r="AZ145" s="66">
        <f>IF(AND(W145="",AY145&gt;0,AY145&lt;15),1,0)</f>
        <v/>
      </c>
      <c r="BA145" s="24">
        <f>IF(AND(W145="",AY145&gt;0,AY145&lt;15),T145,"")</f>
        <v/>
      </c>
      <c r="BB145" s="87">
        <f>IF(R145&lt;Q145,"X","")</f>
        <v/>
      </c>
      <c r="BC145" s="190" t="inlineStr">
        <is>
          <t>NO</t>
        </is>
      </c>
      <c r="BD145" s="190" t="inlineStr">
        <is>
          <t>NO</t>
        </is>
      </c>
    </row>
    <row r="146" ht="15" customHeight="1" s="162">
      <c r="A146" s="7" t="n">
        <v>145</v>
      </c>
      <c r="B146" t="inlineStr">
        <is>
          <t>32121615</t>
        </is>
      </c>
      <c r="C146" t="inlineStr">
        <is>
          <t>Resistencia RS PRO, de 27k? &amp;#177;5%, 0.</t>
        </is>
      </c>
      <c r="D146" t="inlineStr">
        <is>
          <t>1101806430</t>
        </is>
      </c>
      <c r="E146" t="inlineStr">
        <is>
          <t>8</t>
        </is>
      </c>
      <c r="F146" s="163" t="n">
        <v>45615</v>
      </c>
      <c r="G146" t="inlineStr"/>
      <c r="H146" t="inlineStr">
        <is>
          <t>4800002733</t>
        </is>
      </c>
      <c r="I146" t="inlineStr">
        <is>
          <t>1410</t>
        </is>
      </c>
      <c r="J146" s="163" t="n">
        <v>45611</v>
      </c>
      <c r="K146" s="163" t="inlineStr"/>
      <c r="L146" t="inlineStr"/>
      <c r="M146" s="163" t="n">
        <v>45616</v>
      </c>
      <c r="N146" s="164" t="n">
        <v>0</v>
      </c>
      <c r="O146" s="164" t="n">
        <v>0</v>
      </c>
      <c r="P146" t="inlineStr"/>
      <c r="Q146" s="165" t="n">
        <v>5000</v>
      </c>
      <c r="R146" s="165" t="n">
        <v>5000</v>
      </c>
      <c r="S146" s="165" t="n">
        <v>5000</v>
      </c>
      <c r="T146" s="165" t="n">
        <v>0</v>
      </c>
      <c r="U146" s="166" t="n">
        <v>0</v>
      </c>
      <c r="V146" s="166" t="n">
        <v>0</v>
      </c>
      <c r="W146" t="inlineStr">
        <is>
          <t>X</t>
        </is>
      </c>
      <c r="X146" t="inlineStr">
        <is>
          <t>0.00</t>
        </is>
      </c>
      <c r="Y146" t="inlineStr"/>
      <c r="Z146" t="inlineStr">
        <is>
          <t>AMIDATA, S.A.</t>
        </is>
      </c>
      <c r="AA146" t="inlineStr"/>
      <c r="AB146" t="inlineStr">
        <is>
          <t>7397575</t>
        </is>
      </c>
      <c r="AC146" t="inlineStr"/>
      <c r="AD146" s="164" t="n">
        <v>0</v>
      </c>
      <c r="AE146" s="185" t="n">
        <v>0</v>
      </c>
      <c r="AG146" s="167" t="inlineStr">
        <is>
          <t>7218|JA2593_1001</t>
        </is>
      </c>
      <c r="AH146" s="46">
        <f>IF(M146=0,"-",M146-J146)</f>
        <v/>
      </c>
      <c r="AI146" s="46">
        <f>IF(AND(S146=0,M146&gt;0,L146=0),IF(AH146&gt;=120,"VERY HIGH",IF(AH146&gt;=90,"HIGH",IF(AH146&gt;=60,"MEDIUM",IF(AH146&lt;60,"LOW")))),"-")</f>
        <v/>
      </c>
      <c r="AJ146" s="12" t="n"/>
      <c r="AK146" s="41">
        <f>IF(AND(W146="X",M146&lt;=$AJ$2),"YES","")</f>
        <v/>
      </c>
      <c r="AL146" s="38">
        <f>IF(AND(W146="X",M146&lt;=$AJ$2),S146,"")</f>
        <v/>
      </c>
      <c r="AM146" s="26">
        <f>IF(AND(W146="X",M146&gt;$AJ$2),"YES","")</f>
        <v/>
      </c>
      <c r="AN146" s="89">
        <f>IF(AND(W146="X",M146&gt;$AJ$2),S146,"")</f>
        <v/>
      </c>
      <c r="AO146" s="35">
        <f>IF(AND(W146="",M146&gt;0,$AJ$2&gt;M146,L146=""),1,0)</f>
        <v/>
      </c>
      <c r="AP146" s="26">
        <f>IF(AND(AK146="YES",W146="X"),"X","")</f>
        <v/>
      </c>
      <c r="AQ146" s="28">
        <f>IF(AP146="X",100%,0%)</f>
        <v/>
      </c>
      <c r="AR146" s="25">
        <f>IF(AND(T146&gt;0,L146=""),H146,"")</f>
        <v/>
      </c>
      <c r="AS146" s="25">
        <f>IF(AND(D146&gt;0,H146=0,G146=""),1,"")</f>
        <v/>
      </c>
      <c r="AT146" s="25">
        <f>IF(G146="BLOQ",1,"")</f>
        <v/>
      </c>
      <c r="AU146" s="25">
        <f>IF(L146="BLOQ",1,"")</f>
        <v/>
      </c>
      <c r="AV146" s="25">
        <f>MONTH(F146)</f>
        <v/>
      </c>
      <c r="AW146" s="65">
        <f>IF(AP146="",100%,0%)</f>
        <v/>
      </c>
      <c r="AX146" s="23" t="n"/>
      <c r="AY146" s="24">
        <f>IF(M146=0,"",M146-$AX$2)</f>
        <v/>
      </c>
      <c r="AZ146" s="66">
        <f>IF(AND(W146="",AY146&gt;0,AY146&lt;15),1,0)</f>
        <v/>
      </c>
      <c r="BA146" s="24">
        <f>IF(AND(W146="",AY146&gt;0,AY146&lt;15),T146,"")</f>
        <v/>
      </c>
      <c r="BB146" s="87">
        <f>IF(R146&lt;Q146,"X","")</f>
        <v/>
      </c>
      <c r="BC146" s="190" t="inlineStr">
        <is>
          <t>NO</t>
        </is>
      </c>
      <c r="BD146" s="190" t="inlineStr">
        <is>
          <t>NO</t>
        </is>
      </c>
    </row>
    <row r="147" ht="15" customHeight="1" s="162">
      <c r="A147" s="7" t="n">
        <v>146</v>
      </c>
      <c r="B147" t="inlineStr">
        <is>
          <t>32121618</t>
        </is>
      </c>
      <c r="C147" t="inlineStr">
        <is>
          <t>Resistencia TE Connectivity, de 13k? &amp;#1</t>
        </is>
      </c>
      <c r="D147" t="inlineStr">
        <is>
          <t>1101806430</t>
        </is>
      </c>
      <c r="E147" t="inlineStr">
        <is>
          <t>9</t>
        </is>
      </c>
      <c r="F147" s="163" t="n">
        <v>45615</v>
      </c>
      <c r="G147" t="inlineStr"/>
      <c r="H147" t="inlineStr">
        <is>
          <t>4800002733</t>
        </is>
      </c>
      <c r="I147" t="inlineStr">
        <is>
          <t>1420</t>
        </is>
      </c>
      <c r="J147" s="163" t="n">
        <v>45611</v>
      </c>
      <c r="K147" s="163" t="inlineStr"/>
      <c r="L147" t="inlineStr"/>
      <c r="M147" s="163" t="n">
        <v>45616</v>
      </c>
      <c r="N147" s="164" t="n">
        <v>0</v>
      </c>
      <c r="O147" s="164" t="n">
        <v>0</v>
      </c>
      <c r="P147" t="inlineStr"/>
      <c r="Q147" s="165" t="n">
        <v>10</v>
      </c>
      <c r="R147" s="165" t="n">
        <v>10</v>
      </c>
      <c r="S147" s="165" t="n">
        <v>10</v>
      </c>
      <c r="T147" s="165" t="n">
        <v>0</v>
      </c>
      <c r="U147" s="166" t="n">
        <v>0</v>
      </c>
      <c r="V147" s="166" t="n">
        <v>0</v>
      </c>
      <c r="W147" t="inlineStr">
        <is>
          <t>X</t>
        </is>
      </c>
      <c r="X147" t="inlineStr">
        <is>
          <t>0.00</t>
        </is>
      </c>
      <c r="Y147" t="inlineStr"/>
      <c r="Z147" t="inlineStr">
        <is>
          <t>AMIDATA, S.A.</t>
        </is>
      </c>
      <c r="AA147" t="inlineStr"/>
      <c r="AB147" t="inlineStr">
        <is>
          <t>7550870</t>
        </is>
      </c>
      <c r="AC147" t="inlineStr"/>
      <c r="AD147" s="164" t="n">
        <v>0</v>
      </c>
      <c r="AE147" s="185" t="n">
        <v>0</v>
      </c>
      <c r="AG147" s="167" t="inlineStr">
        <is>
          <t>7218|JA2593_1001</t>
        </is>
      </c>
      <c r="AH147" s="46">
        <f>IF(M147=0,"-",M147-J147)</f>
        <v/>
      </c>
      <c r="AI147" s="46">
        <f>IF(AND(S147=0,M147&gt;0,L147=0),IF(AH147&gt;=120,"VERY HIGH",IF(AH147&gt;=90,"HIGH",IF(AH147&gt;=60,"MEDIUM",IF(AH147&lt;60,"LOW")))),"-")</f>
        <v/>
      </c>
      <c r="AJ147" s="12" t="n"/>
      <c r="AK147" s="41">
        <f>IF(AND(W147="X",M147&lt;=$AJ$2),"YES","")</f>
        <v/>
      </c>
      <c r="AL147" s="38">
        <f>IF(AND(W147="X",M147&lt;=$AJ$2),S147,"")</f>
        <v/>
      </c>
      <c r="AM147" s="26">
        <f>IF(AND(W147="X",M147&gt;$AJ$2),"YES","")</f>
        <v/>
      </c>
      <c r="AN147" s="89">
        <f>IF(AND(W147="X",M147&gt;$AJ$2),S147,"")</f>
        <v/>
      </c>
      <c r="AO147" s="35">
        <f>IF(AND(W147="",M147&gt;0,$AJ$2&gt;M147,L147=""),1,0)</f>
        <v/>
      </c>
      <c r="AP147" s="26">
        <f>IF(AND(AK147="YES",W147="X"),"X","")</f>
        <v/>
      </c>
      <c r="AQ147" s="28">
        <f>IF(AP147="X",100%,0%)</f>
        <v/>
      </c>
      <c r="AR147" s="25">
        <f>IF(AND(T147&gt;0,L147=""),H147,"")</f>
        <v/>
      </c>
      <c r="AS147" s="25">
        <f>IF(AND(D147&gt;0,H147=0,G147=""),1,"")</f>
        <v/>
      </c>
      <c r="AT147" s="25">
        <f>IF(G147="BLOQ",1,"")</f>
        <v/>
      </c>
      <c r="AU147" s="25">
        <f>IF(L147="BLOQ",1,"")</f>
        <v/>
      </c>
      <c r="AV147" s="25">
        <f>MONTH(F147)</f>
        <v/>
      </c>
      <c r="AW147" s="65">
        <f>IF(AP147="",100%,0%)</f>
        <v/>
      </c>
      <c r="AX147" s="23" t="n"/>
      <c r="AY147" s="24">
        <f>IF(M147=0,"",M147-$AX$2)</f>
        <v/>
      </c>
      <c r="AZ147" s="66">
        <f>IF(AND(W147="",AY147&gt;0,AY147&lt;15),1,0)</f>
        <v/>
      </c>
      <c r="BA147" s="24">
        <f>IF(AND(W147="",AY147&gt;0,AY147&lt;15),T147,"")</f>
        <v/>
      </c>
      <c r="BB147" s="87">
        <f>IF(R147&lt;Q147,"X","")</f>
        <v/>
      </c>
      <c r="BC147" s="190" t="inlineStr">
        <is>
          <t>NO</t>
        </is>
      </c>
      <c r="BD147" s="190" t="inlineStr">
        <is>
          <t>NO</t>
        </is>
      </c>
    </row>
    <row r="148" ht="15" customHeight="1" s="162">
      <c r="A148" s="7" t="n">
        <v>147</v>
      </c>
      <c r="B148" t="inlineStr">
        <is>
          <t>32121616</t>
        </is>
      </c>
      <c r="C148" t="inlineStr">
        <is>
          <t>Potenci&amp;#243;metro para PCB Bourns serie</t>
        </is>
      </c>
      <c r="D148" t="inlineStr">
        <is>
          <t>1101806430</t>
        </is>
      </c>
      <c r="E148" t="inlineStr">
        <is>
          <t>10</t>
        </is>
      </c>
      <c r="F148" s="163" t="n">
        <v>45615</v>
      </c>
      <c r="G148" t="inlineStr"/>
      <c r="H148" t="inlineStr">
        <is>
          <t>4800002733</t>
        </is>
      </c>
      <c r="I148" t="inlineStr">
        <is>
          <t>1430</t>
        </is>
      </c>
      <c r="J148" s="163" t="n">
        <v>45611</v>
      </c>
      <c r="K148" s="163" t="inlineStr"/>
      <c r="L148" t="inlineStr"/>
      <c r="M148" s="163" t="n">
        <v>45616</v>
      </c>
      <c r="N148" s="164" t="n">
        <v>0</v>
      </c>
      <c r="O148" s="164" t="n">
        <v>0</v>
      </c>
      <c r="P148" t="inlineStr"/>
      <c r="Q148" s="165" t="n">
        <v>6</v>
      </c>
      <c r="R148" s="165" t="n">
        <v>6</v>
      </c>
      <c r="S148" s="165" t="n">
        <v>6</v>
      </c>
      <c r="T148" s="165" t="n">
        <v>0</v>
      </c>
      <c r="U148" s="166" t="n">
        <v>0</v>
      </c>
      <c r="V148" s="166" t="n">
        <v>0</v>
      </c>
      <c r="W148" t="inlineStr">
        <is>
          <t>X</t>
        </is>
      </c>
      <c r="X148" t="inlineStr">
        <is>
          <t>0.00</t>
        </is>
      </c>
      <c r="Y148" t="inlineStr"/>
      <c r="Z148" t="inlineStr">
        <is>
          <t>AMIDATA, S.A.</t>
        </is>
      </c>
      <c r="AA148" t="inlineStr"/>
      <c r="AB148" t="inlineStr">
        <is>
          <t>5219287</t>
        </is>
      </c>
      <c r="AC148" t="inlineStr"/>
      <c r="AD148" s="164" t="n">
        <v>0</v>
      </c>
      <c r="AE148" s="185" t="n">
        <v>0</v>
      </c>
      <c r="AG148" s="167" t="inlineStr">
        <is>
          <t>7218|JA2593_1001</t>
        </is>
      </c>
      <c r="AH148" s="46">
        <f>IF(M148=0,"-",M148-J148)</f>
        <v/>
      </c>
      <c r="AI148" s="46">
        <f>IF(AND(S148=0,M148&gt;0,L148=0),IF(AH148&gt;=120,"VERY HIGH",IF(AH148&gt;=90,"HIGH",IF(AH148&gt;=60,"MEDIUM",IF(AH148&lt;60,"LOW")))),"-")</f>
        <v/>
      </c>
      <c r="AJ148" s="12" t="n"/>
      <c r="AK148" s="41">
        <f>IF(AND(W148="X",M148&lt;=$AJ$2),"YES","")</f>
        <v/>
      </c>
      <c r="AL148" s="38">
        <f>IF(AND(W148="X",M148&lt;=$AJ$2),S148,"")</f>
        <v/>
      </c>
      <c r="AM148" s="26">
        <f>IF(AND(W148="X",M148&gt;$AJ$2),"YES","")</f>
        <v/>
      </c>
      <c r="AN148" s="89">
        <f>IF(AND(W148="X",M148&gt;$AJ$2),S148,"")</f>
        <v/>
      </c>
      <c r="AO148" s="35">
        <f>IF(AND(W148="",M148&gt;0,$AJ$2&gt;M148,L148=""),1,0)</f>
        <v/>
      </c>
      <c r="AP148" s="26">
        <f>IF(AND(AK148="YES",W148="X"),"X","")</f>
        <v/>
      </c>
      <c r="AQ148" s="28">
        <f>IF(AP148="X",100%,0%)</f>
        <v/>
      </c>
      <c r="AR148" s="25">
        <f>IF(AND(T148&gt;0,L148=""),H148,"")</f>
        <v/>
      </c>
      <c r="AS148" s="25">
        <f>IF(AND(D148&gt;0,H148=0,G148=""),1,"")</f>
        <v/>
      </c>
      <c r="AT148" s="25">
        <f>IF(G148="BLOQ",1,"")</f>
        <v/>
      </c>
      <c r="AU148" s="25">
        <f>IF(L148="BLOQ",1,"")</f>
        <v/>
      </c>
      <c r="AV148" s="25">
        <f>MONTH(F148)</f>
        <v/>
      </c>
      <c r="AW148" s="65">
        <f>IF(AP148="",100%,0%)</f>
        <v/>
      </c>
      <c r="AX148" s="23" t="n"/>
      <c r="AY148" s="24">
        <f>IF(M148=0,"",M148-$AX$2)</f>
        <v/>
      </c>
      <c r="AZ148" s="66">
        <f>IF(AND(W148="",AY148&gt;0,AY148&lt;15),1,0)</f>
        <v/>
      </c>
      <c r="BA148" s="24">
        <f>IF(AND(W148="",AY148&gt;0,AY148&lt;15),T148,"")</f>
        <v/>
      </c>
      <c r="BB148" s="87">
        <f>IF(R148&lt;Q148,"X","")</f>
        <v/>
      </c>
      <c r="BC148" s="190" t="inlineStr">
        <is>
          <t>NO</t>
        </is>
      </c>
      <c r="BD148" s="190" t="inlineStr">
        <is>
          <t>NO</t>
        </is>
      </c>
    </row>
    <row r="149" ht="15" customHeight="1" s="162">
      <c r="A149" s="7" t="n">
        <v>148</v>
      </c>
      <c r="B149" t="inlineStr">
        <is>
          <t>32121615</t>
        </is>
      </c>
      <c r="C149" t="inlineStr">
        <is>
          <t>Resistencia RS PRO, de 33k? &amp;#177;5%, 0.</t>
        </is>
      </c>
      <c r="D149" t="inlineStr">
        <is>
          <t>1101806430</t>
        </is>
      </c>
      <c r="E149" t="inlineStr">
        <is>
          <t>11</t>
        </is>
      </c>
      <c r="F149" s="163" t="n">
        <v>45615</v>
      </c>
      <c r="G149" t="inlineStr"/>
      <c r="H149" t="inlineStr">
        <is>
          <t>4800002733</t>
        </is>
      </c>
      <c r="I149" t="inlineStr">
        <is>
          <t>1440</t>
        </is>
      </c>
      <c r="J149" s="163" t="n">
        <v>45611</v>
      </c>
      <c r="K149" s="163" t="inlineStr"/>
      <c r="L149" t="inlineStr"/>
      <c r="M149" s="163" t="n">
        <v>45616</v>
      </c>
      <c r="N149" s="164" t="n">
        <v>0</v>
      </c>
      <c r="O149" s="164" t="n">
        <v>0</v>
      </c>
      <c r="P149" t="inlineStr"/>
      <c r="Q149" s="165" t="n">
        <v>10</v>
      </c>
      <c r="R149" s="165" t="n">
        <v>10</v>
      </c>
      <c r="S149" s="165" t="n">
        <v>10</v>
      </c>
      <c r="T149" s="165" t="n">
        <v>0</v>
      </c>
      <c r="U149" s="166" t="n">
        <v>0</v>
      </c>
      <c r="V149" s="166" t="n">
        <v>0</v>
      </c>
      <c r="W149" t="inlineStr">
        <is>
          <t>X</t>
        </is>
      </c>
      <c r="X149" t="inlineStr">
        <is>
          <t>0.00</t>
        </is>
      </c>
      <c r="Y149" t="inlineStr"/>
      <c r="Z149" t="inlineStr">
        <is>
          <t>AMIDATA, S.A.</t>
        </is>
      </c>
      <c r="AA149" t="inlineStr"/>
      <c r="AB149" t="inlineStr">
        <is>
          <t>7077789</t>
        </is>
      </c>
      <c r="AC149" t="inlineStr"/>
      <c r="AD149" s="164" t="n">
        <v>0</v>
      </c>
      <c r="AE149" s="185" t="n">
        <v>0</v>
      </c>
      <c r="AG149" s="167" t="inlineStr">
        <is>
          <t>7218|JA2593_1001</t>
        </is>
      </c>
      <c r="AH149" s="46">
        <f>IF(M149=0,"-",M149-J149)</f>
        <v/>
      </c>
      <c r="AI149" s="46">
        <f>IF(AND(S149=0,M149&gt;0,L149=0),IF(AH149&gt;=120,"VERY HIGH",IF(AH149&gt;=90,"HIGH",IF(AH149&gt;=60,"MEDIUM",IF(AH149&lt;60,"LOW")))),"-")</f>
        <v/>
      </c>
      <c r="AJ149" s="12" t="n"/>
      <c r="AK149" s="41">
        <f>IF(AND(W149="X",M149&lt;=$AJ$2),"YES","")</f>
        <v/>
      </c>
      <c r="AL149" s="38">
        <f>IF(AND(W149="X",M149&lt;=$AJ$2),S149,"")</f>
        <v/>
      </c>
      <c r="AM149" s="26">
        <f>IF(AND(W149="X",M149&gt;$AJ$2),"YES","")</f>
        <v/>
      </c>
      <c r="AN149" s="89">
        <f>IF(AND(W149="X",M149&gt;$AJ$2),S149,"")</f>
        <v/>
      </c>
      <c r="AO149" s="35">
        <f>IF(AND(W149="",M149&gt;0,$AJ$2&gt;M149,L149=""),1,0)</f>
        <v/>
      </c>
      <c r="AP149" s="26">
        <f>IF(AND(AK149="YES",W149="X"),"X","")</f>
        <v/>
      </c>
      <c r="AQ149" s="28">
        <f>IF(AP149="X",100%,0%)</f>
        <v/>
      </c>
      <c r="AR149" s="25">
        <f>IF(AND(T149&gt;0,L149=""),H149,"")</f>
        <v/>
      </c>
      <c r="AS149" s="25">
        <f>IF(AND(D149&gt;0,H149=0,G149=""),1,"")</f>
        <v/>
      </c>
      <c r="AT149" s="25">
        <f>IF(G149="BLOQ",1,"")</f>
        <v/>
      </c>
      <c r="AU149" s="25">
        <f>IF(L149="BLOQ",1,"")</f>
        <v/>
      </c>
      <c r="AV149" s="25">
        <f>MONTH(F149)</f>
        <v/>
      </c>
      <c r="AW149" s="65">
        <f>IF(AP149="",100%,0%)</f>
        <v/>
      </c>
      <c r="AX149" s="23" t="n"/>
      <c r="AY149" s="24">
        <f>IF(M149=0,"",M149-$AX$2)</f>
        <v/>
      </c>
      <c r="AZ149" s="66">
        <f>IF(AND(W149="",AY149&gt;0,AY149&lt;15),1,0)</f>
        <v/>
      </c>
      <c r="BA149" s="24">
        <f>IF(AND(W149="",AY149&gt;0,AY149&lt;15),T149,"")</f>
        <v/>
      </c>
      <c r="BB149" s="87">
        <f>IF(R149&lt;Q149,"X","")</f>
        <v/>
      </c>
      <c r="BC149" s="190" t="inlineStr">
        <is>
          <t>NO</t>
        </is>
      </c>
      <c r="BD149" s="190" t="inlineStr">
        <is>
          <t>NO</t>
        </is>
      </c>
    </row>
    <row r="150" ht="15" customHeight="1" s="162">
      <c r="A150" s="7" t="n">
        <v>149</v>
      </c>
      <c r="B150" t="inlineStr">
        <is>
          <t>32131006</t>
        </is>
      </c>
      <c r="C150" t="inlineStr">
        <is>
          <t>Z&amp;#243;calo DIL Preci-Dip, paso de 2.54m</t>
        </is>
      </c>
      <c r="D150" t="inlineStr">
        <is>
          <t>1101806430</t>
        </is>
      </c>
      <c r="E150" t="inlineStr">
        <is>
          <t>12</t>
        </is>
      </c>
      <c r="F150" s="163" t="n">
        <v>45615</v>
      </c>
      <c r="G150" t="inlineStr"/>
      <c r="H150" t="inlineStr">
        <is>
          <t>4800002733</t>
        </is>
      </c>
      <c r="I150" t="inlineStr">
        <is>
          <t>1450</t>
        </is>
      </c>
      <c r="J150" s="163" t="n">
        <v>45611</v>
      </c>
      <c r="K150" s="163" t="inlineStr"/>
      <c r="L150" t="inlineStr"/>
      <c r="M150" s="163" t="n">
        <v>45616</v>
      </c>
      <c r="N150" s="164" t="n">
        <v>0</v>
      </c>
      <c r="O150" s="164" t="n">
        <v>0</v>
      </c>
      <c r="P150" t="inlineStr"/>
      <c r="Q150" s="165" t="n">
        <v>10</v>
      </c>
      <c r="R150" s="165" t="n">
        <v>10</v>
      </c>
      <c r="S150" s="165" t="n">
        <v>10</v>
      </c>
      <c r="T150" s="165" t="n">
        <v>0</v>
      </c>
      <c r="U150" s="166" t="n">
        <v>0</v>
      </c>
      <c r="V150" s="166" t="n">
        <v>0</v>
      </c>
      <c r="W150" t="inlineStr">
        <is>
          <t>X</t>
        </is>
      </c>
      <c r="X150" t="inlineStr">
        <is>
          <t>0.00</t>
        </is>
      </c>
      <c r="Y150" t="inlineStr"/>
      <c r="Z150" t="inlineStr">
        <is>
          <t>AMIDATA, S.A.</t>
        </is>
      </c>
      <c r="AA150" t="inlineStr"/>
      <c r="AB150" t="inlineStr">
        <is>
          <t>7020676</t>
        </is>
      </c>
      <c r="AC150" t="inlineStr"/>
      <c r="AD150" s="164" t="n">
        <v>0</v>
      </c>
      <c r="AE150" s="185" t="n">
        <v>0</v>
      </c>
      <c r="AG150" s="167" t="inlineStr">
        <is>
          <t>7218|JA2593_1001</t>
        </is>
      </c>
      <c r="AH150" s="46">
        <f>IF(M150=0,"-",M150-J150)</f>
        <v/>
      </c>
      <c r="AI150" s="46">
        <f>IF(AND(S150=0,M150&gt;0,L150=0),IF(AH150&gt;=120,"VERY HIGH",IF(AH150&gt;=90,"HIGH",IF(AH150&gt;=60,"MEDIUM",IF(AH150&lt;60,"LOW")))),"-")</f>
        <v/>
      </c>
      <c r="AJ150" s="12" t="n"/>
      <c r="AK150" s="41">
        <f>IF(AND(W150="X",M150&lt;=$AJ$2),"YES","")</f>
        <v/>
      </c>
      <c r="AL150" s="38">
        <f>IF(AND(W150="X",M150&lt;=$AJ$2),S150,"")</f>
        <v/>
      </c>
      <c r="AM150" s="26">
        <f>IF(AND(W150="X",M150&gt;$AJ$2),"YES","")</f>
        <v/>
      </c>
      <c r="AN150" s="89">
        <f>IF(AND(W150="X",M150&gt;$AJ$2),S150,"")</f>
        <v/>
      </c>
      <c r="AO150" s="35">
        <f>IF(AND(W150="",M150&gt;0,$AJ$2&gt;M150,L150=""),1,0)</f>
        <v/>
      </c>
      <c r="AP150" s="26">
        <f>IF(AND(AK150="YES",W150="X"),"X","")</f>
        <v/>
      </c>
      <c r="AQ150" s="28">
        <f>IF(AP150="X",100%,0%)</f>
        <v/>
      </c>
      <c r="AR150" s="25">
        <f>IF(AND(T150&gt;0,L150=""),H150,"")</f>
        <v/>
      </c>
      <c r="AS150" s="25">
        <f>IF(AND(D150&gt;0,H150=0,G150=""),1,"")</f>
        <v/>
      </c>
      <c r="AT150" s="25">
        <f>IF(G150="BLOQ",1,"")</f>
        <v/>
      </c>
      <c r="AU150" s="25">
        <f>IF(L150="BLOQ",1,"")</f>
        <v/>
      </c>
      <c r="AV150" s="25">
        <f>MONTH(F150)</f>
        <v/>
      </c>
      <c r="AW150" s="65">
        <f>IF(AP150="",100%,0%)</f>
        <v/>
      </c>
      <c r="AX150" s="23" t="n"/>
      <c r="AY150" s="24">
        <f>IF(M150=0,"",M150-$AX$2)</f>
        <v/>
      </c>
      <c r="AZ150" s="66">
        <f>IF(AND(W150="",AY150&gt;0,AY150&lt;15),1,0)</f>
        <v/>
      </c>
      <c r="BA150" s="24">
        <f>IF(AND(W150="",AY150&gt;0,AY150&lt;15),T150,"")</f>
        <v/>
      </c>
      <c r="BB150" s="87">
        <f>IF(R150&lt;Q150,"X","")</f>
        <v/>
      </c>
      <c r="BC150" s="190" t="inlineStr">
        <is>
          <t>NO</t>
        </is>
      </c>
      <c r="BD150" s="190" t="inlineStr">
        <is>
          <t>NO</t>
        </is>
      </c>
    </row>
    <row r="151" ht="15" customHeight="1" s="162">
      <c r="A151" s="7" t="n">
        <v>150</v>
      </c>
      <c r="B151" t="inlineStr">
        <is>
          <t>1807990092800</t>
        </is>
      </c>
      <c r="C151" t="inlineStr">
        <is>
          <t>PIEZA RECORTADA ADH GANCHO 25X25MM NEGRO</t>
        </is>
      </c>
      <c r="D151" t="inlineStr">
        <is>
          <t>1101806908</t>
        </is>
      </c>
      <c r="E151" t="inlineStr">
        <is>
          <t>1</t>
        </is>
      </c>
      <c r="F151" s="163" t="n">
        <v>45615</v>
      </c>
      <c r="G151" t="inlineStr"/>
      <c r="H151" t="inlineStr">
        <is>
          <t>4200594733</t>
        </is>
      </c>
      <c r="I151" t="inlineStr">
        <is>
          <t>10</t>
        </is>
      </c>
      <c r="J151" s="163" t="n">
        <v>45684</v>
      </c>
      <c r="K151" s="163" t="n">
        <v>45684</v>
      </c>
      <c r="L151" t="inlineStr"/>
      <c r="M151" s="163" t="n">
        <v>45691</v>
      </c>
      <c r="N151" s="164" t="n">
        <v>61</v>
      </c>
      <c r="O151" s="164" t="n">
        <v>8</v>
      </c>
      <c r="P151" t="inlineStr">
        <is>
          <t>Liberado</t>
        </is>
      </c>
      <c r="Q151" s="165" t="n">
        <v>6</v>
      </c>
      <c r="R151" s="165" t="n">
        <v>1</v>
      </c>
      <c r="S151" s="165" t="n">
        <v>1</v>
      </c>
      <c r="T151" s="165" t="n">
        <v>0</v>
      </c>
      <c r="U151" s="166" t="n">
        <v>1</v>
      </c>
      <c r="V151" s="166" t="n">
        <v>0</v>
      </c>
      <c r="W151" t="inlineStr">
        <is>
          <t>X</t>
        </is>
      </c>
      <c r="X151" t="inlineStr">
        <is>
          <t>0.00</t>
        </is>
      </c>
      <c r="Y151" t="inlineStr"/>
      <c r="Z151" t="inlineStr">
        <is>
          <t>Technipol Suministros, S.L.</t>
        </is>
      </c>
      <c r="AA151" t="inlineStr">
        <is>
          <t>VELCRO</t>
        </is>
      </c>
      <c r="AB151" t="inlineStr">
        <is>
          <t>EB51025330118476</t>
        </is>
      </c>
      <c r="AC151" t="inlineStr"/>
      <c r="AD151" s="164" t="n">
        <v>0</v>
      </c>
      <c r="AE151" s="185" t="n">
        <v>0</v>
      </c>
      <c r="AG151" s="167" t="inlineStr">
        <is>
          <t>7218|S24B05_P10253</t>
        </is>
      </c>
      <c r="AH151" s="46">
        <f>IF(M151=0,"-",M151-J151)</f>
        <v/>
      </c>
      <c r="AI151" s="46">
        <f>IF(AND(S151=0,M151&gt;0,L151=0),IF(AH151&gt;=120,"VERY HIGH",IF(AH151&gt;=90,"HIGH",IF(AH151&gt;=60,"MEDIUM",IF(AH151&lt;60,"LOW")))),"-")</f>
        <v/>
      </c>
      <c r="AJ151" s="12" t="n"/>
      <c r="AK151" s="41">
        <f>IF(AND(W151="X",M151&lt;=$AJ$2),"YES","")</f>
        <v/>
      </c>
      <c r="AL151" s="38">
        <f>IF(AND(W151="X",M151&lt;=$AJ$2),S151,"")</f>
        <v/>
      </c>
      <c r="AM151" s="26">
        <f>IF(AND(W151="X",M151&gt;$AJ$2),"YES","")</f>
        <v/>
      </c>
      <c r="AN151" s="89">
        <f>IF(AND(W151="X",M151&gt;$AJ$2),S151,"")</f>
        <v/>
      </c>
      <c r="AO151" s="35">
        <f>IF(AND(W151="",M151&gt;0,$AJ$2&gt;M151,L151=""),1,0)</f>
        <v/>
      </c>
      <c r="AP151" s="26">
        <f>IF(AND(AK151="YES",W151="X"),"X","")</f>
        <v/>
      </c>
      <c r="AQ151" s="28">
        <f>IF(AP151="X",100%,0%)</f>
        <v/>
      </c>
      <c r="AR151" s="25">
        <f>IF(AND(T151&gt;0,L151=""),H151,"")</f>
        <v/>
      </c>
      <c r="AS151" s="25">
        <f>IF(AND(D151&gt;0,H151=0,G151=""),1,"")</f>
        <v/>
      </c>
      <c r="AT151" s="25">
        <f>IF(G151="BLOQ",1,"")</f>
        <v/>
      </c>
      <c r="AU151" s="25">
        <f>IF(L151="BLOQ",1,"")</f>
        <v/>
      </c>
      <c r="AV151" s="25">
        <f>MONTH(F151)</f>
        <v/>
      </c>
      <c r="AW151" s="65">
        <f>IF(AP151="",100%,0%)</f>
        <v/>
      </c>
      <c r="AX151" s="23" t="n"/>
      <c r="AY151" s="24">
        <f>IF(M151=0,"",M151-$AX$2)</f>
        <v/>
      </c>
      <c r="AZ151" s="66">
        <f>IF(AND(W151="",AY151&gt;0,AY151&lt;15),1,0)</f>
        <v/>
      </c>
      <c r="BA151" s="24">
        <f>IF(AND(W151="",AY151&gt;0,AY151&lt;15),T151,"")</f>
        <v/>
      </c>
      <c r="BB151" s="87">
        <f>IF(R151&lt;Q151,"X","")</f>
        <v/>
      </c>
      <c r="BC151" s="190" t="inlineStr">
        <is>
          <t>NO</t>
        </is>
      </c>
      <c r="BD151" s="191" t="inlineStr">
        <is>
          <t>SI</t>
        </is>
      </c>
    </row>
    <row r="152" ht="15" customHeight="1" s="162">
      <c r="A152" s="7" t="n">
        <v>151</v>
      </c>
      <c r="B152" t="inlineStr">
        <is>
          <t>1807990092800</t>
        </is>
      </c>
      <c r="C152" t="inlineStr">
        <is>
          <t>PIEZA RECORTADA ADH GANCHO 25X25MM NEGRO</t>
        </is>
      </c>
      <c r="D152" t="inlineStr">
        <is>
          <t>1101806908</t>
        </is>
      </c>
      <c r="E152" t="inlineStr">
        <is>
          <t>1</t>
        </is>
      </c>
      <c r="F152" s="163" t="n">
        <v>45615</v>
      </c>
      <c r="G152" t="inlineStr"/>
      <c r="H152" t="inlineStr">
        <is>
          <t>4200604976</t>
        </is>
      </c>
      <c r="I152" t="inlineStr">
        <is>
          <t>10</t>
        </is>
      </c>
      <c r="J152" s="163" t="n">
        <v>45747</v>
      </c>
      <c r="K152" s="163" t="n">
        <v>45748</v>
      </c>
      <c r="L152" t="inlineStr"/>
      <c r="M152" s="163" t="n">
        <v>45751</v>
      </c>
      <c r="N152" s="164" t="n">
        <v>61</v>
      </c>
      <c r="O152" s="164" t="n">
        <v>8</v>
      </c>
      <c r="P152" t="inlineStr">
        <is>
          <t>Liberado</t>
        </is>
      </c>
      <c r="Q152" s="165" t="n">
        <v>6</v>
      </c>
      <c r="R152" s="165" t="n">
        <v>5</v>
      </c>
      <c r="S152" s="165" t="n">
        <v>5</v>
      </c>
      <c r="T152" s="165" t="n">
        <v>0</v>
      </c>
      <c r="U152" s="166" t="n">
        <v>5</v>
      </c>
      <c r="V152" s="166" t="n">
        <v>0</v>
      </c>
      <c r="W152" t="inlineStr">
        <is>
          <t>X</t>
        </is>
      </c>
      <c r="X152" t="inlineStr">
        <is>
          <t>0.00</t>
        </is>
      </c>
      <c r="Y152" t="inlineStr"/>
      <c r="Z152" t="inlineStr">
        <is>
          <t>Technipol Suministros, S.L.</t>
        </is>
      </c>
      <c r="AA152" t="inlineStr">
        <is>
          <t>VELCRO</t>
        </is>
      </c>
      <c r="AB152" t="inlineStr">
        <is>
          <t>EB51025330118476</t>
        </is>
      </c>
      <c r="AC152" t="inlineStr"/>
      <c r="AD152" s="164" t="n">
        <v>0</v>
      </c>
      <c r="AE152" s="185" t="n">
        <v>0</v>
      </c>
      <c r="AG152" s="167" t="inlineStr">
        <is>
          <t>7218|S24B05_P10253</t>
        </is>
      </c>
      <c r="AH152" s="46">
        <f>IF(M152=0,"-",M152-J152)</f>
        <v/>
      </c>
      <c r="AI152" s="46">
        <f>IF(AND(S152=0,M152&gt;0,L152=0),IF(AH152&gt;=120,"VERY HIGH",IF(AH152&gt;=90,"HIGH",IF(AH152&gt;=60,"MEDIUM",IF(AH152&lt;60,"LOW")))),"-")</f>
        <v/>
      </c>
      <c r="AJ152" s="12" t="n"/>
      <c r="AK152" s="41">
        <f>IF(AND(W152="X",M152&lt;=$AJ$2),"YES","")</f>
        <v/>
      </c>
      <c r="AL152" s="38">
        <f>IF(AND(W152="X",M152&lt;=$AJ$2),S152,"")</f>
        <v/>
      </c>
      <c r="AM152" s="26">
        <f>IF(AND(W152="X",M152&gt;$AJ$2),"YES","")</f>
        <v/>
      </c>
      <c r="AN152" s="89">
        <f>IF(AND(W152="X",M152&gt;$AJ$2),S152,"")</f>
        <v/>
      </c>
      <c r="AO152" s="35">
        <f>IF(AND(W152="",M152&gt;0,$AJ$2&gt;M152,L152=""),1,0)</f>
        <v/>
      </c>
      <c r="AP152" s="26">
        <f>IF(AND(AK152="YES",W152="X"),"X","")</f>
        <v/>
      </c>
      <c r="AQ152" s="28">
        <f>IF(AP152="X",100%,0%)</f>
        <v/>
      </c>
      <c r="AR152" s="25">
        <f>IF(AND(T152&gt;0,L152=""),H152,"")</f>
        <v/>
      </c>
      <c r="AS152" s="25">
        <f>IF(AND(D152&gt;0,H152=0,G152=""),1,"")</f>
        <v/>
      </c>
      <c r="AT152" s="25">
        <f>IF(G152="BLOQ",1,"")</f>
        <v/>
      </c>
      <c r="AU152" s="25">
        <f>IF(L152="BLOQ",1,"")</f>
        <v/>
      </c>
      <c r="AV152" s="25">
        <f>MONTH(F152)</f>
        <v/>
      </c>
      <c r="AW152" s="65">
        <f>IF(AP152="",100%,0%)</f>
        <v/>
      </c>
      <c r="AX152" s="23" t="n"/>
      <c r="AY152" s="24">
        <f>IF(M152=0,"",M152-$AX$2)</f>
        <v/>
      </c>
      <c r="AZ152" s="66">
        <f>IF(AND(W152="",AY152&gt;0,AY152&lt;15),1,0)</f>
        <v/>
      </c>
      <c r="BA152" s="24">
        <f>IF(AND(W152="",AY152&gt;0,AY152&lt;15),T152,"")</f>
        <v/>
      </c>
      <c r="BB152" s="87">
        <f>IF(R152&lt;Q152,"X","")</f>
        <v/>
      </c>
      <c r="BC152" s="190" t="inlineStr">
        <is>
          <t>NO</t>
        </is>
      </c>
      <c r="BD152" s="191" t="inlineStr">
        <is>
          <t>SI</t>
        </is>
      </c>
    </row>
    <row r="153" ht="15" customHeight="1" s="162">
      <c r="A153" s="7" t="n">
        <v>152</v>
      </c>
      <c r="B153" t="inlineStr">
        <is>
          <t>1232525308000</t>
        </is>
      </c>
      <c r="C153" t="inlineStr">
        <is>
          <t>CINT ADH ESPUM ACR VHB 4930P 30MM 33M BL</t>
        </is>
      </c>
      <c r="D153" t="inlineStr">
        <is>
          <t>1101806908</t>
        </is>
      </c>
      <c r="E153" t="inlineStr">
        <is>
          <t>2</t>
        </is>
      </c>
      <c r="F153" s="163" t="n">
        <v>45615</v>
      </c>
      <c r="G153" t="inlineStr"/>
      <c r="H153" t="inlineStr">
        <is>
          <t>4200594733</t>
        </is>
      </c>
      <c r="I153" t="inlineStr">
        <is>
          <t>20</t>
        </is>
      </c>
      <c r="J153" s="163" t="n">
        <v>45684</v>
      </c>
      <c r="K153" s="163" t="n">
        <v>45684</v>
      </c>
      <c r="L153" t="inlineStr"/>
      <c r="M153" s="163" t="n">
        <v>45691</v>
      </c>
      <c r="N153" s="164" t="n">
        <v>40</v>
      </c>
      <c r="O153" s="164" t="n">
        <v>8</v>
      </c>
      <c r="P153" t="inlineStr">
        <is>
          <t>Liberado</t>
        </is>
      </c>
      <c r="Q153" s="165" t="n">
        <v>165</v>
      </c>
      <c r="R153" s="165" t="n">
        <v>5</v>
      </c>
      <c r="S153" s="165" t="n">
        <v>5</v>
      </c>
      <c r="T153" s="165" t="n">
        <v>0</v>
      </c>
      <c r="U153" s="166" t="n">
        <v>5</v>
      </c>
      <c r="V153" s="166" t="n">
        <v>0</v>
      </c>
      <c r="W153" t="inlineStr">
        <is>
          <t>X</t>
        </is>
      </c>
      <c r="X153" t="inlineStr">
        <is>
          <t>0.00</t>
        </is>
      </c>
      <c r="Y153" t="inlineStr"/>
      <c r="Z153" t="inlineStr">
        <is>
          <t>Technipol Suministros, S.L.</t>
        </is>
      </c>
      <c r="AA153" t="inlineStr">
        <is>
          <t>3M</t>
        </is>
      </c>
      <c r="AB153" t="inlineStr">
        <is>
          <t>4930P/30MM</t>
        </is>
      </c>
      <c r="AC153" t="inlineStr"/>
      <c r="AD153" s="164" t="n">
        <v>0</v>
      </c>
      <c r="AE153" s="185" t="n">
        <v>0</v>
      </c>
      <c r="AG153" s="167" t="inlineStr">
        <is>
          <t>7218|S24B05_P10253</t>
        </is>
      </c>
      <c r="AH153" s="46">
        <f>IF(M153=0,"-",M153-J153)</f>
        <v/>
      </c>
      <c r="AI153" s="46">
        <f>IF(AND(S153=0,M153&gt;0,L153=0),IF(AH153&gt;=120,"VERY HIGH",IF(AH153&gt;=90,"HIGH",IF(AH153&gt;=60,"MEDIUM",IF(AH153&lt;60,"LOW")))),"-")</f>
        <v/>
      </c>
      <c r="AJ153" s="12" t="n"/>
      <c r="AK153" s="41">
        <f>IF(AND(W153="X",M153&lt;=$AJ$2),"YES","")</f>
        <v/>
      </c>
      <c r="AL153" s="38">
        <f>IF(AND(W153="X",M153&lt;=$AJ$2),S153,"")</f>
        <v/>
      </c>
      <c r="AM153" s="26">
        <f>IF(AND(W153="X",M153&gt;$AJ$2),"YES","")</f>
        <v/>
      </c>
      <c r="AN153" s="89">
        <f>IF(AND(W153="X",M153&gt;$AJ$2),S153,"")</f>
        <v/>
      </c>
      <c r="AO153" s="35">
        <f>IF(AND(W153="",M153&gt;0,$AJ$2&gt;M153,L153=""),1,0)</f>
        <v/>
      </c>
      <c r="AP153" s="26">
        <f>IF(AND(AK153="YES",W153="X"),"X","")</f>
        <v/>
      </c>
      <c r="AQ153" s="28">
        <f>IF(AP153="X",100%,0%)</f>
        <v/>
      </c>
      <c r="AR153" s="25">
        <f>IF(AND(T153&gt;0,L153=""),H153,"")</f>
        <v/>
      </c>
      <c r="AS153" s="25">
        <f>IF(AND(D153&gt;0,H153=0,G153=""),1,"")</f>
        <v/>
      </c>
      <c r="AT153" s="25">
        <f>IF(G153="BLOQ",1,"")</f>
        <v/>
      </c>
      <c r="AU153" s="25">
        <f>IF(L153="BLOQ",1,"")</f>
        <v/>
      </c>
      <c r="AV153" s="25">
        <f>MONTH(F153)</f>
        <v/>
      </c>
      <c r="AW153" s="65">
        <f>IF(AP153="",100%,0%)</f>
        <v/>
      </c>
      <c r="AX153" s="23" t="n"/>
      <c r="AY153" s="24">
        <f>IF(M153=0,"",M153-$AX$2)</f>
        <v/>
      </c>
      <c r="AZ153" s="66">
        <f>IF(AND(W153="",AY153&gt;0,AY153&lt;15),1,0)</f>
        <v/>
      </c>
      <c r="BA153" s="24">
        <f>IF(AND(W153="",AY153&gt;0,AY153&lt;15),T153,"")</f>
        <v/>
      </c>
      <c r="BB153" s="87">
        <f>IF(R153&lt;Q153,"X","")</f>
        <v/>
      </c>
      <c r="BC153" s="190" t="inlineStr">
        <is>
          <t>NO</t>
        </is>
      </c>
      <c r="BD153" s="191" t="inlineStr">
        <is>
          <t>SI</t>
        </is>
      </c>
    </row>
    <row r="154" ht="15" customHeight="1" s="162">
      <c r="A154" s="7" t="n">
        <v>153</v>
      </c>
      <c r="B154" t="inlineStr">
        <is>
          <t>1805710000000</t>
        </is>
      </c>
      <c r="C154" t="inlineStr">
        <is>
          <t>IMPRIMACION 94 AMBAR APROX 6% SOLIDOS</t>
        </is>
      </c>
      <c r="D154" t="inlineStr">
        <is>
          <t>1101806908</t>
        </is>
      </c>
      <c r="E154" t="inlineStr">
        <is>
          <t>3</t>
        </is>
      </c>
      <c r="F154" s="163" t="n">
        <v>45615</v>
      </c>
      <c r="G154" t="inlineStr"/>
      <c r="H154" t="inlineStr">
        <is>
          <t>4200594733</t>
        </is>
      </c>
      <c r="I154" t="inlineStr">
        <is>
          <t>30</t>
        </is>
      </c>
      <c r="J154" s="163" t="n">
        <v>45684</v>
      </c>
      <c r="K154" s="163" t="n">
        <v>45684</v>
      </c>
      <c r="L154" t="inlineStr"/>
      <c r="M154" s="163" t="n">
        <v>45691</v>
      </c>
      <c r="N154" s="164" t="n">
        <v>30</v>
      </c>
      <c r="O154" s="164" t="n">
        <v>8</v>
      </c>
      <c r="P154" t="inlineStr">
        <is>
          <t>Liberado</t>
        </is>
      </c>
      <c r="Q154" s="165" t="n">
        <v>3</v>
      </c>
      <c r="R154" s="165" t="n">
        <v>3</v>
      </c>
      <c r="S154" s="165" t="n">
        <v>3</v>
      </c>
      <c r="T154" s="165" t="n">
        <v>0</v>
      </c>
      <c r="U154" s="166" t="n">
        <v>3</v>
      </c>
      <c r="V154" s="166" t="n">
        <v>0</v>
      </c>
      <c r="W154" t="inlineStr">
        <is>
          <t>X</t>
        </is>
      </c>
      <c r="X154" t="inlineStr">
        <is>
          <t>0.00</t>
        </is>
      </c>
      <c r="Y154" t="inlineStr"/>
      <c r="Z154" t="inlineStr">
        <is>
          <t>Technipol Suministros, S.L.</t>
        </is>
      </c>
      <c r="AA154" t="inlineStr">
        <is>
          <t>3M</t>
        </is>
      </c>
      <c r="AB154" t="inlineStr">
        <is>
          <t>70-0160-5477-0</t>
        </is>
      </c>
      <c r="AC154" t="inlineStr"/>
      <c r="AD154" s="164" t="n">
        <v>0</v>
      </c>
      <c r="AE154" s="185" t="n">
        <v>0</v>
      </c>
      <c r="AG154" s="167" t="inlineStr">
        <is>
          <t>7218|S24B05_P10253</t>
        </is>
      </c>
      <c r="AH154" s="46">
        <f>IF(M154=0,"-",M154-J154)</f>
        <v/>
      </c>
      <c r="AI154" s="46">
        <f>IF(AND(S154=0,M154&gt;0,L154=0),IF(AH154&gt;=120,"VERY HIGH",IF(AH154&gt;=90,"HIGH",IF(AH154&gt;=60,"MEDIUM",IF(AH154&lt;60,"LOW")))),"-")</f>
        <v/>
      </c>
      <c r="AJ154" s="12" t="n"/>
      <c r="AK154" s="41">
        <f>IF(AND(W154="X",M154&lt;=$AJ$2),"YES","")</f>
        <v/>
      </c>
      <c r="AL154" s="38">
        <f>IF(AND(W154="X",M154&lt;=$AJ$2),S154,"")</f>
        <v/>
      </c>
      <c r="AM154" s="26">
        <f>IF(AND(W154="X",M154&gt;$AJ$2),"YES","")</f>
        <v/>
      </c>
      <c r="AN154" s="89">
        <f>IF(AND(W154="X",M154&gt;$AJ$2),S154,"")</f>
        <v/>
      </c>
      <c r="AO154" s="35">
        <f>IF(AND(W154="",M154&gt;0,$AJ$2&gt;M154,L154=""),1,0)</f>
        <v/>
      </c>
      <c r="AP154" s="26">
        <f>IF(AND(AK154="YES",W154="X"),"X","")</f>
        <v/>
      </c>
      <c r="AQ154" s="28">
        <f>IF(AP154="X",100%,0%)</f>
        <v/>
      </c>
      <c r="AR154" s="25">
        <f>IF(AND(T154&gt;0,L154=""),H154,"")</f>
        <v/>
      </c>
      <c r="AS154" s="25">
        <f>IF(AND(D154&gt;0,H154=0,G154=""),1,"")</f>
        <v/>
      </c>
      <c r="AT154" s="25">
        <f>IF(G154="BLOQ",1,"")</f>
        <v/>
      </c>
      <c r="AU154" s="25">
        <f>IF(L154="BLOQ",1,"")</f>
        <v/>
      </c>
      <c r="AV154" s="25">
        <f>MONTH(F154)</f>
        <v/>
      </c>
      <c r="AW154" s="65">
        <f>IF(AP154="",100%,0%)</f>
        <v/>
      </c>
      <c r="AX154" s="23" t="n"/>
      <c r="AY154" s="24">
        <f>IF(M154=0,"",M154-$AX$2)</f>
        <v/>
      </c>
      <c r="AZ154" s="66">
        <f>IF(AND(W154="",AY154&gt;0,AY154&lt;15),1,0)</f>
        <v/>
      </c>
      <c r="BA154" s="24">
        <f>IF(AND(W154="",AY154&gt;0,AY154&lt;15),T154,"")</f>
        <v/>
      </c>
      <c r="BB154" s="87">
        <f>IF(R154&lt;Q154,"X","")</f>
        <v/>
      </c>
      <c r="BC154" s="190" t="inlineStr">
        <is>
          <t>NO</t>
        </is>
      </c>
      <c r="BD154" s="191" t="inlineStr">
        <is>
          <t>SI</t>
        </is>
      </c>
    </row>
    <row r="155" ht="15" customHeight="1" s="162">
      <c r="A155" s="7" t="n">
        <v>154</v>
      </c>
      <c r="B155" t="inlineStr">
        <is>
          <t>7854800130000</t>
        </is>
      </c>
      <c r="C155" t="inlineStr">
        <is>
          <t>BROCHA PEQ PINTURA PLANA 25MM</t>
        </is>
      </c>
      <c r="D155" t="inlineStr">
        <is>
          <t>1101806908</t>
        </is>
      </c>
      <c r="E155" t="inlineStr">
        <is>
          <t>4</t>
        </is>
      </c>
      <c r="F155" s="163" t="n">
        <v>45615</v>
      </c>
      <c r="G155" t="inlineStr"/>
      <c r="H155" t="inlineStr">
        <is>
          <t>4200592492</t>
        </is>
      </c>
      <c r="I155" t="inlineStr">
        <is>
          <t>20</t>
        </is>
      </c>
      <c r="J155" s="163" t="n">
        <v>45666</v>
      </c>
      <c r="K155" s="163" t="n">
        <v>45667</v>
      </c>
      <c r="L155" t="inlineStr"/>
      <c r="M155" s="163" t="n">
        <v>45702</v>
      </c>
      <c r="N155" s="164" t="n">
        <v>40</v>
      </c>
      <c r="O155" s="164" t="n">
        <v>8</v>
      </c>
      <c r="P155" t="inlineStr">
        <is>
          <t>Liberado</t>
        </is>
      </c>
      <c r="Q155" s="165" t="n">
        <v>3</v>
      </c>
      <c r="R155" s="165" t="n">
        <v>3</v>
      </c>
      <c r="S155" s="165" t="n">
        <v>3</v>
      </c>
      <c r="T155" s="165" t="n">
        <v>0</v>
      </c>
      <c r="U155" s="166" t="n">
        <v>0</v>
      </c>
      <c r="V155" s="166" t="n">
        <v>0</v>
      </c>
      <c r="W155" t="inlineStr">
        <is>
          <t>X</t>
        </is>
      </c>
      <c r="X155" t="inlineStr">
        <is>
          <t>0.00</t>
        </is>
      </c>
      <c r="Y155" t="inlineStr"/>
      <c r="Z155" t="inlineStr">
        <is>
          <t>FERRETERIA FERAYU SL</t>
        </is>
      </c>
      <c r="AA155" t="inlineStr">
        <is>
          <t>HENKEL CORP.</t>
        </is>
      </c>
      <c r="AB155" t="inlineStr">
        <is>
          <t>799 299 003</t>
        </is>
      </c>
      <c r="AC155" t="inlineStr"/>
      <c r="AD155" s="164" t="n">
        <v>1</v>
      </c>
      <c r="AE155" s="185" t="n">
        <v>1</v>
      </c>
      <c r="AG155" s="167" t="inlineStr">
        <is>
          <t>7218|S24B05_P10253</t>
        </is>
      </c>
      <c r="AH155" s="46">
        <f>IF(M155=0,"-",M155-J155)</f>
        <v/>
      </c>
      <c r="AI155" s="46">
        <f>IF(AND(S155=0,M155&gt;0,L155=0),IF(AH155&gt;=120,"VERY HIGH",IF(AH155&gt;=90,"HIGH",IF(AH155&gt;=60,"MEDIUM",IF(AH155&lt;60,"LOW")))),"-")</f>
        <v/>
      </c>
      <c r="AJ155" s="12" t="n"/>
      <c r="AK155" s="41">
        <f>IF(AND(W155="X",M155&lt;=$AJ$2),"YES","")</f>
        <v/>
      </c>
      <c r="AL155" s="38">
        <f>IF(AND(W155="X",M155&lt;=$AJ$2),S155,"")</f>
        <v/>
      </c>
      <c r="AM155" s="26">
        <f>IF(AND(W155="X",M155&gt;$AJ$2),"YES","")</f>
        <v/>
      </c>
      <c r="AN155" s="89">
        <f>IF(AND(W155="X",M155&gt;$AJ$2),S155,"")</f>
        <v/>
      </c>
      <c r="AO155" s="35">
        <f>IF(AND(W155="",M155&gt;0,$AJ$2&gt;M155,L155=""),1,0)</f>
        <v/>
      </c>
      <c r="AP155" s="26">
        <f>IF(AND(AK155="YES",W155="X"),"X","")</f>
        <v/>
      </c>
      <c r="AQ155" s="28">
        <f>IF(AP155="X",100%,0%)</f>
        <v/>
      </c>
      <c r="AR155" s="25">
        <f>IF(AND(T155&gt;0,L155=""),H155,"")</f>
        <v/>
      </c>
      <c r="AS155" s="25">
        <f>IF(AND(D155&gt;0,H155=0,G155=""),1,"")</f>
        <v/>
      </c>
      <c r="AT155" s="25">
        <f>IF(G155="BLOQ",1,"")</f>
        <v/>
      </c>
      <c r="AU155" s="25">
        <f>IF(L155="BLOQ",1,"")</f>
        <v/>
      </c>
      <c r="AV155" s="25">
        <f>MONTH(F155)</f>
        <v/>
      </c>
      <c r="AW155" s="65">
        <f>IF(AP155="",100%,0%)</f>
        <v/>
      </c>
      <c r="AX155" s="23" t="n"/>
      <c r="AY155" s="24">
        <f>IF(M155=0,"",M155-$AX$2)</f>
        <v/>
      </c>
      <c r="AZ155" s="66">
        <f>IF(AND(W155="",AY155&gt;0,AY155&lt;15),1,0)</f>
        <v/>
      </c>
      <c r="BA155" s="24">
        <f>IF(AND(W155="",AY155&gt;0,AY155&lt;15),T155,"")</f>
        <v/>
      </c>
      <c r="BB155" s="87">
        <f>IF(R155&lt;Q155,"X","")</f>
        <v/>
      </c>
      <c r="BC155" s="190" t="inlineStr">
        <is>
          <t>NO</t>
        </is>
      </c>
      <c r="BD155" s="190" t="inlineStr">
        <is>
          <t>NO</t>
        </is>
      </c>
    </row>
    <row r="156" ht="15" customHeight="1" s="162">
      <c r="A156" s="7" t="n">
        <v>155</v>
      </c>
      <c r="B156" t="inlineStr">
        <is>
          <t>1802500600000</t>
        </is>
      </c>
      <c r="C156" t="inlineStr">
        <is>
          <t>MASILLA UNIVERSAL RELLENO DUAL</t>
        </is>
      </c>
      <c r="D156" t="inlineStr">
        <is>
          <t>1101806908</t>
        </is>
      </c>
      <c r="E156" t="inlineStr">
        <is>
          <t>5</t>
        </is>
      </c>
      <c r="F156" s="163" t="n">
        <v>45615</v>
      </c>
      <c r="G156" t="inlineStr"/>
      <c r="H156" t="inlineStr">
        <is>
          <t>4200594733</t>
        </is>
      </c>
      <c r="I156" t="inlineStr">
        <is>
          <t>40</t>
        </is>
      </c>
      <c r="J156" s="163" t="n">
        <v>45684</v>
      </c>
      <c r="K156" s="163" t="n">
        <v>45684</v>
      </c>
      <c r="L156" t="inlineStr"/>
      <c r="M156" s="163" t="n">
        <v>45691</v>
      </c>
      <c r="N156" s="164" t="n">
        <v>30</v>
      </c>
      <c r="O156" s="164" t="n">
        <v>8</v>
      </c>
      <c r="P156" t="inlineStr">
        <is>
          <t>Liberado</t>
        </is>
      </c>
      <c r="Q156" s="165" t="n">
        <v>1</v>
      </c>
      <c r="R156" s="165" t="n">
        <v>1</v>
      </c>
      <c r="S156" s="165" t="n">
        <v>1</v>
      </c>
      <c r="T156" s="165" t="n">
        <v>0</v>
      </c>
      <c r="U156" s="166" t="n">
        <v>1</v>
      </c>
      <c r="V156" s="166" t="n">
        <v>0</v>
      </c>
      <c r="W156" t="inlineStr">
        <is>
          <t>X</t>
        </is>
      </c>
      <c r="X156" t="inlineStr">
        <is>
          <t>0.00</t>
        </is>
      </c>
      <c r="Y156" t="inlineStr"/>
      <c r="Z156" t="inlineStr">
        <is>
          <t>Technipol Suministros, S.L.</t>
        </is>
      </c>
      <c r="AA156" t="inlineStr">
        <is>
          <t>KRAFFT</t>
        </is>
      </c>
      <c r="AB156" t="inlineStr">
        <is>
          <t>14524</t>
        </is>
      </c>
      <c r="AC156" t="inlineStr"/>
      <c r="AD156" s="164" t="n">
        <v>0</v>
      </c>
      <c r="AE156" s="185" t="n">
        <v>0</v>
      </c>
      <c r="AG156" s="167" t="inlineStr">
        <is>
          <t>7218|S24B05_P10253</t>
        </is>
      </c>
      <c r="AH156" s="46">
        <f>IF(M156=0,"-",M156-J156)</f>
        <v/>
      </c>
      <c r="AI156" s="46">
        <f>IF(AND(S156=0,M156&gt;0,L156=0),IF(AH156&gt;=120,"VERY HIGH",IF(AH156&gt;=90,"HIGH",IF(AH156&gt;=60,"MEDIUM",IF(AH156&lt;60,"LOW")))),"-")</f>
        <v/>
      </c>
      <c r="AJ156" s="12" t="n"/>
      <c r="AK156" s="41">
        <f>IF(AND(W156="X",M156&lt;=$AJ$2),"YES","")</f>
        <v/>
      </c>
      <c r="AL156" s="38">
        <f>IF(AND(W156="X",M156&lt;=$AJ$2),S156,"")</f>
        <v/>
      </c>
      <c r="AM156" s="26">
        <f>IF(AND(W156="X",M156&gt;$AJ$2),"YES","")</f>
        <v/>
      </c>
      <c r="AN156" s="89">
        <f>IF(AND(W156="X",M156&gt;$AJ$2),S156,"")</f>
        <v/>
      </c>
      <c r="AO156" s="35">
        <f>IF(AND(W156="",M156&gt;0,$AJ$2&gt;M156,L156=""),1,0)</f>
        <v/>
      </c>
      <c r="AP156" s="26">
        <f>IF(AND(AK156="YES",W156="X"),"X","")</f>
        <v/>
      </c>
      <c r="AQ156" s="28">
        <f>IF(AP156="X",100%,0%)</f>
        <v/>
      </c>
      <c r="AR156" s="25">
        <f>IF(AND(T156&gt;0,L156=""),H156,"")</f>
        <v/>
      </c>
      <c r="AS156" s="25">
        <f>IF(AND(D156&gt;0,H156=0,G156=""),1,"")</f>
        <v/>
      </c>
      <c r="AT156" s="25">
        <f>IF(G156="BLOQ",1,"")</f>
        <v/>
      </c>
      <c r="AU156" s="25">
        <f>IF(L156="BLOQ",1,"")</f>
        <v/>
      </c>
      <c r="AV156" s="25">
        <f>MONTH(F156)</f>
        <v/>
      </c>
      <c r="AW156" s="65">
        <f>IF(AP156="",100%,0%)</f>
        <v/>
      </c>
      <c r="AX156" s="23" t="n"/>
      <c r="AY156" s="24">
        <f>IF(M156=0,"",M156-$AX$2)</f>
        <v/>
      </c>
      <c r="AZ156" s="66">
        <f>IF(AND(W156="",AY156&gt;0,AY156&lt;15),1,0)</f>
        <v/>
      </c>
      <c r="BA156" s="24">
        <f>IF(AND(W156="",AY156&gt;0,AY156&lt;15),T156,"")</f>
        <v/>
      </c>
      <c r="BB156" s="87">
        <f>IF(R156&lt;Q156,"X","")</f>
        <v/>
      </c>
      <c r="BC156" s="190" t="inlineStr">
        <is>
          <t>NO</t>
        </is>
      </c>
      <c r="BD156" s="190" t="inlineStr">
        <is>
          <t>NO</t>
        </is>
      </c>
    </row>
    <row r="157" ht="15" customHeight="1" s="162">
      <c r="A157" s="7" t="n">
        <v>156</v>
      </c>
      <c r="B157" t="inlineStr">
        <is>
          <t>1800700500000</t>
        </is>
      </c>
      <c r="C157" t="inlineStr">
        <is>
          <t>ADH METACRILATO 2C ARALDITE 2021-1 50ML</t>
        </is>
      </c>
      <c r="D157" t="inlineStr">
        <is>
          <t>1101806908</t>
        </is>
      </c>
      <c r="E157" t="inlineStr">
        <is>
          <t>6</t>
        </is>
      </c>
      <c r="F157" s="163" t="n">
        <v>45615</v>
      </c>
      <c r="G157" t="inlineStr"/>
      <c r="H157" t="inlineStr">
        <is>
          <t>4200594733</t>
        </is>
      </c>
      <c r="I157" t="inlineStr">
        <is>
          <t>50</t>
        </is>
      </c>
      <c r="J157" s="163" t="n">
        <v>45684</v>
      </c>
      <c r="K157" s="163" t="n">
        <v>45684</v>
      </c>
      <c r="L157" t="inlineStr"/>
      <c r="M157" s="163" t="n">
        <v>45691</v>
      </c>
      <c r="N157" s="164" t="n">
        <v>30</v>
      </c>
      <c r="O157" s="164" t="n">
        <v>8</v>
      </c>
      <c r="P157" t="inlineStr">
        <is>
          <t>Liberado</t>
        </is>
      </c>
      <c r="Q157" s="166" t="n">
        <v>1</v>
      </c>
      <c r="R157" s="166" t="n">
        <v>50</v>
      </c>
      <c r="S157" s="166" t="n">
        <v>50</v>
      </c>
      <c r="T157" s="166" t="n">
        <v>0</v>
      </c>
      <c r="U157" s="166" t="n">
        <v>50</v>
      </c>
      <c r="V157" s="166" t="n">
        <v>0</v>
      </c>
      <c r="W157" t="inlineStr">
        <is>
          <t>X</t>
        </is>
      </c>
      <c r="X157" t="inlineStr">
        <is>
          <t>0.00</t>
        </is>
      </c>
      <c r="Y157" t="inlineStr"/>
      <c r="Z157" t="inlineStr">
        <is>
          <t>Technipol Suministros, S.L.</t>
        </is>
      </c>
      <c r="AA157" t="inlineStr">
        <is>
          <t>HUNTSMAN</t>
        </is>
      </c>
      <c r="AB157" t="inlineStr">
        <is>
          <t>4746608</t>
        </is>
      </c>
      <c r="AC157" t="inlineStr"/>
      <c r="AD157" s="164" t="n">
        <v>0</v>
      </c>
      <c r="AE157" s="185" t="n">
        <v>0</v>
      </c>
      <c r="AG157" s="167" t="inlineStr">
        <is>
          <t>7218|S24B05_P10253</t>
        </is>
      </c>
      <c r="AH157" s="46">
        <f>IF(M157=0,"-",M157-J157)</f>
        <v/>
      </c>
      <c r="AI157" s="46">
        <f>IF(AND(S157=0,M157&gt;0,L157=0),IF(AH157&gt;=120,"VERY HIGH",IF(AH157&gt;=90,"HIGH",IF(AH157&gt;=60,"MEDIUM",IF(AH157&lt;60,"LOW")))),"-")</f>
        <v/>
      </c>
      <c r="AJ157" s="12" t="n"/>
      <c r="AK157" s="41">
        <f>IF(AND(W157="X",M157&lt;=$AJ$2),"YES","")</f>
        <v/>
      </c>
      <c r="AL157" s="38">
        <f>IF(AND(W157="X",M157&lt;=$AJ$2),S157,"")</f>
        <v/>
      </c>
      <c r="AM157" s="26">
        <f>IF(AND(W157="X",M157&gt;$AJ$2),"YES","")</f>
        <v/>
      </c>
      <c r="AN157" s="89">
        <f>IF(AND(W157="X",M157&gt;$AJ$2),S157,"")</f>
        <v/>
      </c>
      <c r="AO157" s="35">
        <f>IF(AND(W157="",M157&gt;0,$AJ$2&gt;M157,L157=""),1,0)</f>
        <v/>
      </c>
      <c r="AP157" s="26">
        <f>IF(AND(AK157="YES",W157="X"),"X","")</f>
        <v/>
      </c>
      <c r="AQ157" s="28">
        <f>IF(AP157="X",100%,0%)</f>
        <v/>
      </c>
      <c r="AR157" s="25">
        <f>IF(AND(T157&gt;0,L157=""),H157,"")</f>
        <v/>
      </c>
      <c r="AS157" s="25">
        <f>IF(AND(D157&gt;0,H157=0,G157=""),1,"")</f>
        <v/>
      </c>
      <c r="AT157" s="25">
        <f>IF(G157="BLOQ",1,"")</f>
        <v/>
      </c>
      <c r="AU157" s="25">
        <f>IF(L157="BLOQ",1,"")</f>
        <v/>
      </c>
      <c r="AV157" s="25">
        <f>MONTH(F157)</f>
        <v/>
      </c>
      <c r="AW157" s="65">
        <f>IF(AP157="",100%,0%)</f>
        <v/>
      </c>
      <c r="AX157" s="23" t="n"/>
      <c r="AY157" s="24">
        <f>IF(M157=0,"",M157-$AX$2)</f>
        <v/>
      </c>
      <c r="AZ157" s="66">
        <f>IF(AND(W157="",AY157&gt;0,AY157&lt;15),1,0)</f>
        <v/>
      </c>
      <c r="BA157" s="24">
        <f>IF(AND(W157="",AY157&gt;0,AY157&lt;15),T157,"")</f>
        <v/>
      </c>
      <c r="BB157" s="87">
        <f>IF(R157&lt;Q157,"X","")</f>
        <v/>
      </c>
      <c r="BC157" s="190" t="inlineStr">
        <is>
          <t>NO</t>
        </is>
      </c>
      <c r="BD157" s="190" t="inlineStr">
        <is>
          <t>NO</t>
        </is>
      </c>
    </row>
    <row r="158" ht="15" customHeight="1" s="162">
      <c r="A158" s="7" t="n">
        <v>157</v>
      </c>
      <c r="B158" t="inlineStr">
        <is>
          <t>1800600900000</t>
        </is>
      </c>
      <c r="C158" t="inlineStr">
        <is>
          <t>ADHESIVO CONTACTO TEROKAL 2444</t>
        </is>
      </c>
      <c r="D158" t="inlineStr">
        <is>
          <t>1101806908</t>
        </is>
      </c>
      <c r="E158" t="inlineStr">
        <is>
          <t>7</t>
        </is>
      </c>
      <c r="F158" s="163" t="n">
        <v>45615</v>
      </c>
      <c r="G158" t="inlineStr"/>
      <c r="H158" t="inlineStr">
        <is>
          <t>4200594106</t>
        </is>
      </c>
      <c r="I158" t="inlineStr">
        <is>
          <t>10</t>
        </is>
      </c>
      <c r="J158" s="163" t="n">
        <v>45679</v>
      </c>
      <c r="K158" s="163" t="n">
        <v>45679</v>
      </c>
      <c r="L158" t="inlineStr"/>
      <c r="M158" s="163" t="n">
        <v>45691</v>
      </c>
      <c r="N158" s="164" t="n">
        <v>90</v>
      </c>
      <c r="O158" s="164" t="n">
        <v>8</v>
      </c>
      <c r="P158" t="inlineStr">
        <is>
          <t>Liberado</t>
        </is>
      </c>
      <c r="Q158" s="164" t="n">
        <v>2</v>
      </c>
      <c r="R158" s="164" t="n">
        <v>340</v>
      </c>
      <c r="S158" s="164" t="n">
        <v>1020</v>
      </c>
      <c r="T158" s="164" t="n">
        <v>0</v>
      </c>
      <c r="U158" s="166" t="n">
        <v>340</v>
      </c>
      <c r="V158" s="166" t="n">
        <v>680</v>
      </c>
      <c r="W158" t="inlineStr">
        <is>
          <t>X</t>
        </is>
      </c>
      <c r="X158" t="inlineStr">
        <is>
          <t>0.00</t>
        </is>
      </c>
      <c r="Y158" t="inlineStr"/>
      <c r="Z158" t="inlineStr">
        <is>
          <t>Technipol Suministros, S.L.</t>
        </is>
      </c>
      <c r="AA158" t="inlineStr">
        <is>
          <t>HENKEL CORP.</t>
        </is>
      </c>
      <c r="AB158" t="inlineStr">
        <is>
          <t>238403</t>
        </is>
      </c>
      <c r="AC158" t="inlineStr"/>
      <c r="AD158" s="164" t="n">
        <v>0</v>
      </c>
      <c r="AE158" s="185" t="n">
        <v>0</v>
      </c>
      <c r="AG158" s="167" t="inlineStr">
        <is>
          <t>7218|S24B05_P10253</t>
        </is>
      </c>
      <c r="AH158" s="46">
        <f>IF(M158=0,"-",M158-J158)</f>
        <v/>
      </c>
      <c r="AI158" s="46">
        <f>IF(AND(S158=0,M158&gt;0,L158=0),IF(AH158&gt;=120,"VERY HIGH",IF(AH158&gt;=90,"HIGH",IF(AH158&gt;=60,"MEDIUM",IF(AH158&lt;60,"LOW")))),"-")</f>
        <v/>
      </c>
      <c r="AJ158" s="12" t="n"/>
      <c r="AK158" s="41">
        <f>IF(AND(W158="X",M158&lt;=$AJ$2),"YES","")</f>
        <v/>
      </c>
      <c r="AL158" s="38">
        <f>IF(AND(W158="X",M158&lt;=$AJ$2),S158,"")</f>
        <v/>
      </c>
      <c r="AM158" s="26">
        <f>IF(AND(W158="X",M158&gt;$AJ$2),"YES","")</f>
        <v/>
      </c>
      <c r="AN158" s="89">
        <f>IF(AND(W158="X",M158&gt;$AJ$2),S158,"")</f>
        <v/>
      </c>
      <c r="AO158" s="35">
        <f>IF(AND(W158="",M158&gt;0,$AJ$2&gt;M158,L158=""),1,0)</f>
        <v/>
      </c>
      <c r="AP158" s="26">
        <f>IF(AND(AK158="YES",W158="X"),"X","")</f>
        <v/>
      </c>
      <c r="AQ158" s="28">
        <f>IF(AP158="X",100%,0%)</f>
        <v/>
      </c>
      <c r="AR158" s="25">
        <f>IF(AND(T158&gt;0,L158=""),H158,"")</f>
        <v/>
      </c>
      <c r="AS158" s="25">
        <f>IF(AND(D158&gt;0,H158=0,G158=""),1,"")</f>
        <v/>
      </c>
      <c r="AT158" s="25">
        <f>IF(G158="BLOQ",1,"")</f>
        <v/>
      </c>
      <c r="AU158" s="25">
        <f>IF(L158="BLOQ",1,"")</f>
        <v/>
      </c>
      <c r="AV158" s="25">
        <f>MONTH(F158)</f>
        <v/>
      </c>
      <c r="AW158" s="65">
        <f>IF(AP158="",100%,0%)</f>
        <v/>
      </c>
      <c r="AX158" s="23" t="n"/>
      <c r="AY158" s="24">
        <f>IF(M158=0,"",M158-$AX$2)</f>
        <v/>
      </c>
      <c r="AZ158" s="66">
        <f>IF(AND(W158="",AY158&gt;0,AY158&lt;15),1,0)</f>
        <v/>
      </c>
      <c r="BA158" s="24">
        <f>IF(AND(W158="",AY158&gt;0,AY158&lt;15),T158,"")</f>
        <v/>
      </c>
      <c r="BB158" s="87">
        <f>IF(R158&lt;Q158,"X","")</f>
        <v/>
      </c>
      <c r="BC158" s="190" t="inlineStr">
        <is>
          <t>NO</t>
        </is>
      </c>
      <c r="BD158" s="191" t="inlineStr">
        <is>
          <t>SI</t>
        </is>
      </c>
    </row>
    <row r="159" ht="15" customHeight="1" s="162">
      <c r="A159" s="7" t="n">
        <v>158</v>
      </c>
      <c r="B159" t="inlineStr">
        <is>
          <t>1232525506900</t>
        </is>
      </c>
      <c r="C159" t="inlineStr">
        <is>
          <t>CINTA ADH 50MM 390UM 7.5N/CM BLANC TEJID</t>
        </is>
      </c>
      <c r="D159" t="inlineStr">
        <is>
          <t>1101806908</t>
        </is>
      </c>
      <c r="E159" t="inlineStr">
        <is>
          <t>8</t>
        </is>
      </c>
      <c r="F159" s="163" t="n">
        <v>45615</v>
      </c>
      <c r="G159" t="inlineStr"/>
      <c r="H159" t="inlineStr">
        <is>
          <t>4200588735</t>
        </is>
      </c>
      <c r="I159" t="inlineStr">
        <is>
          <t>10</t>
        </is>
      </c>
      <c r="J159" s="163" t="n">
        <v>45631</v>
      </c>
      <c r="K159" s="163" t="n">
        <v>45636</v>
      </c>
      <c r="L159" t="inlineStr"/>
      <c r="M159" s="163" t="n">
        <v>45670</v>
      </c>
      <c r="N159" s="164" t="n">
        <v>30</v>
      </c>
      <c r="O159" s="164" t="n">
        <v>8</v>
      </c>
      <c r="P159" t="inlineStr">
        <is>
          <t>Liberado</t>
        </is>
      </c>
      <c r="Q159" s="166" t="n">
        <v>1</v>
      </c>
      <c r="R159" s="166" t="n">
        <v>50</v>
      </c>
      <c r="S159" s="166" t="n">
        <v>50</v>
      </c>
      <c r="T159" s="166" t="n">
        <v>0</v>
      </c>
      <c r="U159" s="166" t="n">
        <v>50</v>
      </c>
      <c r="V159" s="166" t="n">
        <v>0</v>
      </c>
      <c r="W159" t="inlineStr">
        <is>
          <t>X</t>
        </is>
      </c>
      <c r="X159" t="inlineStr">
        <is>
          <t>0.00</t>
        </is>
      </c>
      <c r="Y159" t="inlineStr"/>
      <c r="Z159" t="inlineStr">
        <is>
          <t>TCX MICRO, S.L.U</t>
        </is>
      </c>
      <c r="AA159" t="inlineStr">
        <is>
          <t>TESA</t>
        </is>
      </c>
      <c r="AB159" t="inlineStr">
        <is>
          <t>4964</t>
        </is>
      </c>
      <c r="AC159" t="inlineStr"/>
      <c r="AD159" s="164" t="n">
        <v>0</v>
      </c>
      <c r="AE159" s="185" t="n">
        <v>0</v>
      </c>
      <c r="AG159" s="167" t="inlineStr">
        <is>
          <t>7218|S24B05_P10253</t>
        </is>
      </c>
      <c r="AH159" s="46">
        <f>IF(M159=0,"-",M159-J159)</f>
        <v/>
      </c>
      <c r="AI159" s="46">
        <f>IF(AND(S159=0,M159&gt;0,L159=0),IF(AH159&gt;=120,"VERY HIGH",IF(AH159&gt;=90,"HIGH",IF(AH159&gt;=60,"MEDIUM",IF(AH159&lt;60,"LOW")))),"-")</f>
        <v/>
      </c>
      <c r="AJ159" s="12" t="n"/>
      <c r="AK159" s="41">
        <f>IF(AND(W159="X",M159&lt;=$AJ$2),"YES","")</f>
        <v/>
      </c>
      <c r="AL159" s="38">
        <f>IF(AND(W159="X",M159&lt;=$AJ$2),S159,"")</f>
        <v/>
      </c>
      <c r="AM159" s="26">
        <f>IF(AND(W159="X",M159&gt;$AJ$2),"YES","")</f>
        <v/>
      </c>
      <c r="AN159" s="89">
        <f>IF(AND(W159="X",M159&gt;$AJ$2),S159,"")</f>
        <v/>
      </c>
      <c r="AO159" s="35">
        <f>IF(AND(W159="",M159&gt;0,$AJ$2&gt;M159,L159=""),1,0)</f>
        <v/>
      </c>
      <c r="AP159" s="26">
        <f>IF(AND(AK159="YES",W159="X"),"X","")</f>
        <v/>
      </c>
      <c r="AQ159" s="28">
        <f>IF(AP159="X",100%,0%)</f>
        <v/>
      </c>
      <c r="AR159" s="25">
        <f>IF(AND(T159&gt;0,L159=""),H159,"")</f>
        <v/>
      </c>
      <c r="AS159" s="25">
        <f>IF(AND(D159&gt;0,H159=0,G159=""),1,"")</f>
        <v/>
      </c>
      <c r="AT159" s="25">
        <f>IF(G159="BLOQ",1,"")</f>
        <v/>
      </c>
      <c r="AU159" s="25">
        <f>IF(L159="BLOQ",1,"")</f>
        <v/>
      </c>
      <c r="AV159" s="25">
        <f>MONTH(F159)</f>
        <v/>
      </c>
      <c r="AW159" s="65">
        <f>IF(AP159="",100%,0%)</f>
        <v/>
      </c>
      <c r="AX159" s="23" t="n"/>
      <c r="AY159" s="24">
        <f>IF(M159=0,"",M159-$AX$2)</f>
        <v/>
      </c>
      <c r="AZ159" s="66">
        <f>IF(AND(W159="",AY159&gt;0,AY159&lt;15),1,0)</f>
        <v/>
      </c>
      <c r="BA159" s="24">
        <f>IF(AND(W159="",AY159&gt;0,AY159&lt;15),T159,"")</f>
        <v/>
      </c>
      <c r="BB159" s="87">
        <f>IF(R159&lt;Q159,"X","")</f>
        <v/>
      </c>
      <c r="BC159" s="190" t="inlineStr">
        <is>
          <t>NO</t>
        </is>
      </c>
      <c r="BD159" s="190" t="inlineStr">
        <is>
          <t>NO</t>
        </is>
      </c>
    </row>
    <row r="160" ht="15" customHeight="1" s="162">
      <c r="A160" s="7" t="n">
        <v>159</v>
      </c>
      <c r="B160" t="inlineStr">
        <is>
          <t>39121415</t>
        </is>
      </c>
      <c r="C160" t="inlineStr">
        <is>
          <t>Conector macho para PCB Molex serie SL d</t>
        </is>
      </c>
      <c r="D160" t="inlineStr">
        <is>
          <t>1101807103</t>
        </is>
      </c>
      <c r="E160" t="inlineStr">
        <is>
          <t>1</t>
        </is>
      </c>
      <c r="F160" s="163" t="n">
        <v>45616</v>
      </c>
      <c r="G160" t="inlineStr"/>
      <c r="H160" t="inlineStr">
        <is>
          <t>4800002736</t>
        </is>
      </c>
      <c r="I160" t="inlineStr">
        <is>
          <t>380</t>
        </is>
      </c>
      <c r="J160" s="163" t="n">
        <v>45615</v>
      </c>
      <c r="K160" s="163" t="inlineStr"/>
      <c r="L160" t="inlineStr"/>
      <c r="M160" s="163" t="n">
        <v>45617</v>
      </c>
      <c r="N160" s="164" t="n">
        <v>0</v>
      </c>
      <c r="O160" s="164" t="n">
        <v>0</v>
      </c>
      <c r="P160" t="inlineStr"/>
      <c r="Q160" s="165" t="n">
        <v>5</v>
      </c>
      <c r="R160" s="165" t="n">
        <v>5</v>
      </c>
      <c r="S160" s="165" t="n">
        <v>5</v>
      </c>
      <c r="T160" s="165" t="n">
        <v>0</v>
      </c>
      <c r="U160" s="166" t="n">
        <v>0</v>
      </c>
      <c r="V160" s="166" t="n">
        <v>0</v>
      </c>
      <c r="W160" t="inlineStr">
        <is>
          <t>X</t>
        </is>
      </c>
      <c r="X160" t="inlineStr">
        <is>
          <t>0.00</t>
        </is>
      </c>
      <c r="Y160" t="inlineStr"/>
      <c r="Z160" t="inlineStr">
        <is>
          <t>AMIDATA, S.A.</t>
        </is>
      </c>
      <c r="AA160" t="inlineStr"/>
      <c r="AB160" t="inlineStr">
        <is>
          <t>6700835</t>
        </is>
      </c>
      <c r="AC160" t="inlineStr"/>
      <c r="AD160" s="164" t="n">
        <v>0</v>
      </c>
      <c r="AE160" s="185" t="n">
        <v>0</v>
      </c>
      <c r="AG160" s="167" t="inlineStr">
        <is>
          <t>7218|JA2583_1001</t>
        </is>
      </c>
      <c r="AH160" s="46">
        <f>IF(M160=0,"-",M160-J160)</f>
        <v/>
      </c>
      <c r="AI160" s="46">
        <f>IF(AND(S160=0,M160&gt;0,L160=0),IF(AH160&gt;=120,"VERY HIGH",IF(AH160&gt;=90,"HIGH",IF(AH160&gt;=60,"MEDIUM",IF(AH160&lt;60,"LOW")))),"-")</f>
        <v/>
      </c>
      <c r="AJ160" s="12" t="n"/>
      <c r="AK160" s="41">
        <f>IF(AND(W160="X",M160&lt;=$AJ$2),"YES","")</f>
        <v/>
      </c>
      <c r="AL160" s="38">
        <f>IF(AND(W160="X",M160&lt;=$AJ$2),S160,"")</f>
        <v/>
      </c>
      <c r="AM160" s="26">
        <f>IF(AND(W160="X",M160&gt;$AJ$2),"YES","")</f>
        <v/>
      </c>
      <c r="AN160" s="89">
        <f>IF(AND(W160="X",M160&gt;$AJ$2),S160,"")</f>
        <v/>
      </c>
      <c r="AO160" s="35">
        <f>IF(AND(W160="",M160&gt;0,$AJ$2&gt;M160,L160=""),1,0)</f>
        <v/>
      </c>
      <c r="AP160" s="26">
        <f>IF(AND(AK160="YES",W160="X"),"X","")</f>
        <v/>
      </c>
      <c r="AQ160" s="28">
        <f>IF(AP160="X",100%,0%)</f>
        <v/>
      </c>
      <c r="AR160" s="25">
        <f>IF(AND(T160&gt;0,L160=""),H160,"")</f>
        <v/>
      </c>
      <c r="AS160" s="25">
        <f>IF(AND(D160&gt;0,H160=0,G160=""),1,"")</f>
        <v/>
      </c>
      <c r="AT160" s="25">
        <f>IF(G160="BLOQ",1,"")</f>
        <v/>
      </c>
      <c r="AU160" s="25">
        <f>IF(L160="BLOQ",1,"")</f>
        <v/>
      </c>
      <c r="AV160" s="25">
        <f>MONTH(F160)</f>
        <v/>
      </c>
      <c r="AW160" s="65">
        <f>IF(AP160="",100%,0%)</f>
        <v/>
      </c>
      <c r="AX160" s="23" t="n"/>
      <c r="AY160" s="24">
        <f>IF(M160=0,"",M160-$AX$2)</f>
        <v/>
      </c>
      <c r="AZ160" s="66">
        <f>IF(AND(W160="",AY160&gt;0,AY160&lt;15),1,0)</f>
        <v/>
      </c>
      <c r="BA160" s="24">
        <f>IF(AND(W160="",AY160&gt;0,AY160&lt;15),T160,"")</f>
        <v/>
      </c>
      <c r="BB160" s="87">
        <f>IF(R160&lt;Q160,"X","")</f>
        <v/>
      </c>
      <c r="BC160" s="190" t="inlineStr">
        <is>
          <t>NO</t>
        </is>
      </c>
      <c r="BD160" s="190" t="inlineStr">
        <is>
          <t>NO</t>
        </is>
      </c>
    </row>
    <row r="161" ht="15" customHeight="1" s="162">
      <c r="A161" s="7" t="n">
        <v>160</v>
      </c>
      <c r="B161" t="inlineStr">
        <is>
          <t>39121415</t>
        </is>
      </c>
      <c r="C161" t="inlineStr">
        <is>
          <t>Conector macho para PCB Molex serie SL d</t>
        </is>
      </c>
      <c r="D161" t="inlineStr">
        <is>
          <t>1101807103</t>
        </is>
      </c>
      <c r="E161" t="inlineStr">
        <is>
          <t>2</t>
        </is>
      </c>
      <c r="F161" s="163" t="n">
        <v>45616</v>
      </c>
      <c r="G161" t="inlineStr"/>
      <c r="H161" t="inlineStr">
        <is>
          <t>4800002736</t>
        </is>
      </c>
      <c r="I161" t="inlineStr">
        <is>
          <t>390</t>
        </is>
      </c>
      <c r="J161" s="163" t="n">
        <v>45615</v>
      </c>
      <c r="K161" s="163" t="inlineStr"/>
      <c r="L161" t="inlineStr"/>
      <c r="M161" s="163" t="n">
        <v>45617</v>
      </c>
      <c r="N161" s="164" t="n">
        <v>0</v>
      </c>
      <c r="O161" s="164" t="n">
        <v>0</v>
      </c>
      <c r="P161" t="inlineStr"/>
      <c r="Q161" s="165" t="n">
        <v>10</v>
      </c>
      <c r="R161" s="165" t="n">
        <v>10</v>
      </c>
      <c r="S161" s="165" t="n">
        <v>10</v>
      </c>
      <c r="T161" s="165" t="n">
        <v>0</v>
      </c>
      <c r="U161" s="166" t="n">
        <v>0</v>
      </c>
      <c r="V161" s="166" t="n">
        <v>0</v>
      </c>
      <c r="W161" t="inlineStr">
        <is>
          <t>X</t>
        </is>
      </c>
      <c r="X161" t="inlineStr">
        <is>
          <t>0.00</t>
        </is>
      </c>
      <c r="Y161" t="inlineStr"/>
      <c r="Z161" t="inlineStr">
        <is>
          <t>AMIDATA, S.A.</t>
        </is>
      </c>
      <c r="AA161" t="inlineStr"/>
      <c r="AB161" t="inlineStr">
        <is>
          <t>6792499</t>
        </is>
      </c>
      <c r="AC161" t="inlineStr"/>
      <c r="AD161" s="164" t="n">
        <v>0</v>
      </c>
      <c r="AE161" s="185" t="n">
        <v>0</v>
      </c>
      <c r="AG161" s="167" t="inlineStr">
        <is>
          <t>7218|JA2583_1001</t>
        </is>
      </c>
      <c r="AH161" s="46">
        <f>IF(M161=0,"-",M161-J161)</f>
        <v/>
      </c>
      <c r="AI161" s="46">
        <f>IF(AND(S161=0,M161&gt;0,L161=0),IF(AH161&gt;=120,"VERY HIGH",IF(AH161&gt;=90,"HIGH",IF(AH161&gt;=60,"MEDIUM",IF(AH161&lt;60,"LOW")))),"-")</f>
        <v/>
      </c>
      <c r="AJ161" s="12" t="n"/>
      <c r="AK161" s="41">
        <f>IF(AND(W161="X",M161&lt;=$AJ$2),"YES","")</f>
        <v/>
      </c>
      <c r="AL161" s="38">
        <f>IF(AND(W161="X",M161&lt;=$AJ$2),S161,"")</f>
        <v/>
      </c>
      <c r="AM161" s="26">
        <f>IF(AND(W161="X",M161&gt;$AJ$2),"YES","")</f>
        <v/>
      </c>
      <c r="AN161" s="89">
        <f>IF(AND(W161="X",M161&gt;$AJ$2),S161,"")</f>
        <v/>
      </c>
      <c r="AO161" s="35">
        <f>IF(AND(W161="",M161&gt;0,$AJ$2&gt;M161,L161=""),1,0)</f>
        <v/>
      </c>
      <c r="AP161" s="26">
        <f>IF(AND(AK161="YES",W161="X"),"X","")</f>
        <v/>
      </c>
      <c r="AQ161" s="28">
        <f>IF(AP161="X",100%,0%)</f>
        <v/>
      </c>
      <c r="AR161" s="25">
        <f>IF(AND(T161&gt;0,L161=""),H161,"")</f>
        <v/>
      </c>
      <c r="AS161" s="25">
        <f>IF(AND(D161&gt;0,H161=0,G161=""),1,"")</f>
        <v/>
      </c>
      <c r="AT161" s="25">
        <f>IF(G161="BLOQ",1,"")</f>
        <v/>
      </c>
      <c r="AU161" s="25">
        <f>IF(L161="BLOQ",1,"")</f>
        <v/>
      </c>
      <c r="AV161" s="25">
        <f>MONTH(F161)</f>
        <v/>
      </c>
      <c r="AW161" s="65">
        <f>IF(AP161="",100%,0%)</f>
        <v/>
      </c>
      <c r="AX161" s="23" t="n"/>
      <c r="AY161" s="24">
        <f>IF(M161=0,"",M161-$AX$2)</f>
        <v/>
      </c>
      <c r="AZ161" s="66">
        <f>IF(AND(W161="",AY161&gt;0,AY161&lt;15),1,0)</f>
        <v/>
      </c>
      <c r="BA161" s="24">
        <f>IF(AND(W161="",AY161&gt;0,AY161&lt;15),T161,"")</f>
        <v/>
      </c>
      <c r="BB161" s="87">
        <f>IF(R161&lt;Q161,"X","")</f>
        <v/>
      </c>
      <c r="BC161" s="190" t="inlineStr">
        <is>
          <t>NO</t>
        </is>
      </c>
      <c r="BD161" s="190" t="inlineStr">
        <is>
          <t>NO</t>
        </is>
      </c>
    </row>
    <row r="162" ht="15" customHeight="1" s="162">
      <c r="A162" s="7" t="n">
        <v>161</v>
      </c>
      <c r="B162" t="inlineStr">
        <is>
          <t>39121402</t>
        </is>
      </c>
      <c r="C162" t="inlineStr">
        <is>
          <t>Punto de toma de tierra para rack para p</t>
        </is>
      </c>
      <c r="D162" t="inlineStr">
        <is>
          <t>1101807400</t>
        </is>
      </c>
      <c r="E162" t="inlineStr">
        <is>
          <t>1</t>
        </is>
      </c>
      <c r="F162" s="163" t="n">
        <v>45616</v>
      </c>
      <c r="G162" t="inlineStr"/>
      <c r="H162" t="inlineStr">
        <is>
          <t>4800002736</t>
        </is>
      </c>
      <c r="I162" t="inlineStr">
        <is>
          <t>700</t>
        </is>
      </c>
      <c r="J162" s="163" t="n">
        <v>45615</v>
      </c>
      <c r="K162" s="163" t="inlineStr"/>
      <c r="L162" t="inlineStr"/>
      <c r="M162" s="163" t="n">
        <v>45617</v>
      </c>
      <c r="N162" s="164" t="n">
        <v>0</v>
      </c>
      <c r="O162" s="164" t="n">
        <v>0</v>
      </c>
      <c r="P162" t="inlineStr"/>
      <c r="Q162" s="165" t="n">
        <v>2</v>
      </c>
      <c r="R162" s="165" t="n">
        <v>2</v>
      </c>
      <c r="S162" s="165" t="n">
        <v>2</v>
      </c>
      <c r="T162" s="165" t="n">
        <v>0</v>
      </c>
      <c r="U162" s="166" t="n">
        <v>0</v>
      </c>
      <c r="V162" s="166" t="n">
        <v>0</v>
      </c>
      <c r="W162" t="inlineStr">
        <is>
          <t>X</t>
        </is>
      </c>
      <c r="X162" t="inlineStr">
        <is>
          <t>0.00</t>
        </is>
      </c>
      <c r="Y162" t="inlineStr"/>
      <c r="Z162" t="inlineStr">
        <is>
          <t>AMIDATA, S.A.</t>
        </is>
      </c>
      <c r="AA162" t="inlineStr"/>
      <c r="AB162" t="inlineStr">
        <is>
          <t>0392141</t>
        </is>
      </c>
      <c r="AC162" t="inlineStr"/>
      <c r="AD162" s="164" t="n">
        <v>0</v>
      </c>
      <c r="AE162" s="185" t="n">
        <v>0</v>
      </c>
      <c r="AG162" s="167" t="inlineStr">
        <is>
          <t>7218|JA2585_1001</t>
        </is>
      </c>
      <c r="AH162" s="46">
        <f>IF(M162=0,"-",M162-J162)</f>
        <v/>
      </c>
      <c r="AI162" s="46">
        <f>IF(AND(S162=0,M162&gt;0,L162=0),IF(AH162&gt;=120,"VERY HIGH",IF(AH162&gt;=90,"HIGH",IF(AH162&gt;=60,"MEDIUM",IF(AH162&lt;60,"LOW")))),"-")</f>
        <v/>
      </c>
      <c r="AJ162" s="12" t="n"/>
      <c r="AK162" s="41">
        <f>IF(AND(W162="X",M162&lt;=$AJ$2),"YES","")</f>
        <v/>
      </c>
      <c r="AL162" s="38">
        <f>IF(AND(W162="X",M162&lt;=$AJ$2),S162,"")</f>
        <v/>
      </c>
      <c r="AM162" s="26">
        <f>IF(AND(W162="X",M162&gt;$AJ$2),"YES","")</f>
        <v/>
      </c>
      <c r="AN162" s="89">
        <f>IF(AND(W162="X",M162&gt;$AJ$2),S162,"")</f>
        <v/>
      </c>
      <c r="AO162" s="35">
        <f>IF(AND(W162="",M162&gt;0,$AJ$2&gt;M162,L162=""),1,0)</f>
        <v/>
      </c>
      <c r="AP162" s="26">
        <f>IF(AND(AK162="YES",W162="X"),"X","")</f>
        <v/>
      </c>
      <c r="AQ162" s="28">
        <f>IF(AP162="X",100%,0%)</f>
        <v/>
      </c>
      <c r="AR162" s="25">
        <f>IF(AND(T162&gt;0,L162=""),H162,"")</f>
        <v/>
      </c>
      <c r="AS162" s="25">
        <f>IF(AND(D162&gt;0,H162=0,G162=""),1,"")</f>
        <v/>
      </c>
      <c r="AT162" s="25">
        <f>IF(G162="BLOQ",1,"")</f>
        <v/>
      </c>
      <c r="AU162" s="25">
        <f>IF(L162="BLOQ",1,"")</f>
        <v/>
      </c>
      <c r="AV162" s="25">
        <f>MONTH(F162)</f>
        <v/>
      </c>
      <c r="AW162" s="65">
        <f>IF(AP162="",100%,0%)</f>
        <v/>
      </c>
      <c r="AX162" s="23" t="n"/>
      <c r="AY162" s="24">
        <f>IF(M162=0,"",M162-$AX$2)</f>
        <v/>
      </c>
      <c r="AZ162" s="66">
        <f>IF(AND(W162="",AY162&gt;0,AY162&lt;15),1,0)</f>
        <v/>
      </c>
      <c r="BA162" s="24">
        <f>IF(AND(W162="",AY162&gt;0,AY162&lt;15),T162,"")</f>
        <v/>
      </c>
      <c r="BB162" s="87">
        <f>IF(R162&lt;Q162,"X","")</f>
        <v/>
      </c>
      <c r="BC162" s="190" t="inlineStr">
        <is>
          <t>NO</t>
        </is>
      </c>
      <c r="BD162" s="190" t="inlineStr">
        <is>
          <t>NO</t>
        </is>
      </c>
    </row>
    <row r="163" ht="15" customHeight="1" s="162">
      <c r="A163" s="7" t="n">
        <v>162</v>
      </c>
      <c r="B163" t="inlineStr">
        <is>
          <t>39121708</t>
        </is>
      </c>
      <c r="C163" t="inlineStr">
        <is>
          <t>Carril DIN Perforado de Acero Phoenix Co</t>
        </is>
      </c>
      <c r="D163" t="inlineStr">
        <is>
          <t>1101807400</t>
        </is>
      </c>
      <c r="E163" t="inlineStr">
        <is>
          <t>2</t>
        </is>
      </c>
      <c r="F163" s="163" t="n">
        <v>45616</v>
      </c>
      <c r="G163" t="inlineStr"/>
      <c r="H163" t="inlineStr">
        <is>
          <t>4800002736</t>
        </is>
      </c>
      <c r="I163" t="inlineStr">
        <is>
          <t>710</t>
        </is>
      </c>
      <c r="J163" s="163" t="n">
        <v>45615</v>
      </c>
      <c r="K163" s="163" t="inlineStr"/>
      <c r="L163" t="inlineStr"/>
      <c r="M163" s="163" t="n">
        <v>45617</v>
      </c>
      <c r="N163" s="164" t="n">
        <v>0</v>
      </c>
      <c r="O163" s="164" t="n">
        <v>0</v>
      </c>
      <c r="P163" t="inlineStr"/>
      <c r="Q163" s="165" t="n">
        <v>1</v>
      </c>
      <c r="R163" s="165" t="n">
        <v>1</v>
      </c>
      <c r="S163" s="165" t="n">
        <v>1</v>
      </c>
      <c r="T163" s="165" t="n">
        <v>0</v>
      </c>
      <c r="U163" s="166" t="n">
        <v>0</v>
      </c>
      <c r="V163" s="166" t="n">
        <v>0</v>
      </c>
      <c r="W163" t="inlineStr">
        <is>
          <t>X</t>
        </is>
      </c>
      <c r="X163" t="inlineStr">
        <is>
          <t>0.00</t>
        </is>
      </c>
      <c r="Y163" t="inlineStr"/>
      <c r="Z163" t="inlineStr">
        <is>
          <t>AMIDATA, S.A.</t>
        </is>
      </c>
      <c r="AA163" t="inlineStr"/>
      <c r="AB163" t="inlineStr">
        <is>
          <t>6485738</t>
        </is>
      </c>
      <c r="AC163" t="inlineStr"/>
      <c r="AD163" s="164" t="n">
        <v>0</v>
      </c>
      <c r="AE163" s="185" t="n">
        <v>0</v>
      </c>
      <c r="AG163" s="167" t="inlineStr">
        <is>
          <t>7218|JA2585_1001</t>
        </is>
      </c>
      <c r="AH163" s="46">
        <f>IF(M163=0,"-",M163-J163)</f>
        <v/>
      </c>
      <c r="AI163" s="46">
        <f>IF(AND(S163=0,M163&gt;0,L163=0),IF(AH163&gt;=120,"VERY HIGH",IF(AH163&gt;=90,"HIGH",IF(AH163&gt;=60,"MEDIUM",IF(AH163&lt;60,"LOW")))),"-")</f>
        <v/>
      </c>
      <c r="AJ163" s="12" t="n"/>
      <c r="AK163" s="41">
        <f>IF(AND(W163="X",M163&lt;=$AJ$2),"YES","")</f>
        <v/>
      </c>
      <c r="AL163" s="38">
        <f>IF(AND(W163="X",M163&lt;=$AJ$2),S163,"")</f>
        <v/>
      </c>
      <c r="AM163" s="26">
        <f>IF(AND(W163="X",M163&gt;$AJ$2),"YES","")</f>
        <v/>
      </c>
      <c r="AN163" s="89">
        <f>IF(AND(W163="X",M163&gt;$AJ$2),S163,"")</f>
        <v/>
      </c>
      <c r="AO163" s="35">
        <f>IF(AND(W163="",M163&gt;0,$AJ$2&gt;M163,L163=""),1,0)</f>
        <v/>
      </c>
      <c r="AP163" s="26">
        <f>IF(AND(AK163="YES",W163="X"),"X","")</f>
        <v/>
      </c>
      <c r="AQ163" s="28">
        <f>IF(AP163="X",100%,0%)</f>
        <v/>
      </c>
      <c r="AR163" s="25">
        <f>IF(AND(T163&gt;0,L163=""),H163,"")</f>
        <v/>
      </c>
      <c r="AS163" s="25">
        <f>IF(AND(D163&gt;0,H163=0,G163=""),1,"")</f>
        <v/>
      </c>
      <c r="AT163" s="25">
        <f>IF(G163="BLOQ",1,"")</f>
        <v/>
      </c>
      <c r="AU163" s="25">
        <f>IF(L163="BLOQ",1,"")</f>
        <v/>
      </c>
      <c r="AV163" s="25">
        <f>MONTH(F163)</f>
        <v/>
      </c>
      <c r="AW163" s="65">
        <f>IF(AP163="",100%,0%)</f>
        <v/>
      </c>
      <c r="AX163" s="23" t="n"/>
      <c r="AY163" s="24">
        <f>IF(M163=0,"",M163-$AX$2)</f>
        <v/>
      </c>
      <c r="AZ163" s="66">
        <f>IF(AND(W163="",AY163&gt;0,AY163&lt;15),1,0)</f>
        <v/>
      </c>
      <c r="BA163" s="24">
        <f>IF(AND(W163="",AY163&gt;0,AY163&lt;15),T163,"")</f>
        <v/>
      </c>
      <c r="BB163" s="87">
        <f>IF(R163&lt;Q163,"X","")</f>
        <v/>
      </c>
      <c r="BC163" s="190" t="inlineStr">
        <is>
          <t>NO</t>
        </is>
      </c>
      <c r="BD163" s="190" t="inlineStr">
        <is>
          <t>NO</t>
        </is>
      </c>
    </row>
    <row r="164" ht="15" customHeight="1" s="162">
      <c r="A164" s="7" t="n">
        <v>163</v>
      </c>
      <c r="B164" t="inlineStr">
        <is>
          <t>32000000</t>
        </is>
      </c>
      <c r="C164" t="inlineStr">
        <is>
          <t>Placa de Cierre APC, 483 x 45 x 28mm</t>
        </is>
      </c>
      <c r="D164" t="inlineStr">
        <is>
          <t>1101807410</t>
        </is>
      </c>
      <c r="E164" t="inlineStr">
        <is>
          <t>1</t>
        </is>
      </c>
      <c r="F164" s="163" t="n">
        <v>45616</v>
      </c>
      <c r="G164" t="inlineStr"/>
      <c r="H164" t="inlineStr">
        <is>
          <t>4800002736</t>
        </is>
      </c>
      <c r="I164" t="inlineStr">
        <is>
          <t>720</t>
        </is>
      </c>
      <c r="J164" s="163" t="n">
        <v>45615</v>
      </c>
      <c r="K164" s="163" t="inlineStr"/>
      <c r="L164" t="inlineStr"/>
      <c r="M164" s="163" t="n">
        <v>45617</v>
      </c>
      <c r="N164" s="164" t="n">
        <v>0</v>
      </c>
      <c r="O164" s="164" t="n">
        <v>0</v>
      </c>
      <c r="P164" t="inlineStr"/>
      <c r="Q164" s="165" t="n">
        <v>4</v>
      </c>
      <c r="R164" s="165" t="n">
        <v>4</v>
      </c>
      <c r="S164" s="165" t="n">
        <v>4</v>
      </c>
      <c r="T164" s="165" t="n">
        <v>0</v>
      </c>
      <c r="U164" s="166" t="n">
        <v>0</v>
      </c>
      <c r="V164" s="166" t="n">
        <v>0</v>
      </c>
      <c r="W164" t="inlineStr">
        <is>
          <t>X</t>
        </is>
      </c>
      <c r="X164" t="inlineStr">
        <is>
          <t>0.00</t>
        </is>
      </c>
      <c r="Y164" t="inlineStr"/>
      <c r="Z164" t="inlineStr">
        <is>
          <t>AMIDATA, S.A.</t>
        </is>
      </c>
      <c r="AA164" t="inlineStr"/>
      <c r="AB164" t="inlineStr">
        <is>
          <t>7794070</t>
        </is>
      </c>
      <c r="AC164" t="inlineStr"/>
      <c r="AD164" s="164" t="n">
        <v>0</v>
      </c>
      <c r="AE164" s="185" t="n">
        <v>0</v>
      </c>
      <c r="AG164" s="167" t="inlineStr">
        <is>
          <t>7218|JA2585_1001</t>
        </is>
      </c>
      <c r="AH164" s="46">
        <f>IF(M164=0,"-",M164-J164)</f>
        <v/>
      </c>
      <c r="AI164" s="46">
        <f>IF(AND(S164=0,M164&gt;0,L164=0),IF(AH164&gt;=120,"VERY HIGH",IF(AH164&gt;=90,"HIGH",IF(AH164&gt;=60,"MEDIUM",IF(AH164&lt;60,"LOW")))),"-")</f>
        <v/>
      </c>
      <c r="AJ164" s="12" t="n"/>
      <c r="AK164" s="41">
        <f>IF(AND(W164="X",M164&lt;=$AJ$2),"YES","")</f>
        <v/>
      </c>
      <c r="AL164" s="38">
        <f>IF(AND(W164="X",M164&lt;=$AJ$2),S164,"")</f>
        <v/>
      </c>
      <c r="AM164" s="26">
        <f>IF(AND(W164="X",M164&gt;$AJ$2),"YES","")</f>
        <v/>
      </c>
      <c r="AN164" s="89">
        <f>IF(AND(W164="X",M164&gt;$AJ$2),S164,"")</f>
        <v/>
      </c>
      <c r="AO164" s="35">
        <f>IF(AND(W164="",M164&gt;0,$AJ$2&gt;M164,L164=""),1,0)</f>
        <v/>
      </c>
      <c r="AP164" s="26">
        <f>IF(AND(AK164="YES",W164="X"),"X","")</f>
        <v/>
      </c>
      <c r="AQ164" s="28">
        <f>IF(AP164="X",100%,0%)</f>
        <v/>
      </c>
      <c r="AR164" s="25">
        <f>IF(AND(T164&gt;0,L164=""),H164,"")</f>
        <v/>
      </c>
      <c r="AS164" s="25">
        <f>IF(AND(D164&gt;0,H164=0,G164=""),1,"")</f>
        <v/>
      </c>
      <c r="AT164" s="25">
        <f>IF(G164="BLOQ",1,"")</f>
        <v/>
      </c>
      <c r="AU164" s="25">
        <f>IF(L164="BLOQ",1,"")</f>
        <v/>
      </c>
      <c r="AV164" s="25">
        <f>MONTH(F164)</f>
        <v/>
      </c>
      <c r="AW164" s="65">
        <f>IF(AP164="",100%,0%)</f>
        <v/>
      </c>
      <c r="AX164" s="23" t="n"/>
      <c r="AY164" s="24">
        <f>IF(M164=0,"",M164-$AX$2)</f>
        <v/>
      </c>
      <c r="AZ164" s="66">
        <f>IF(AND(W164="",AY164&gt;0,AY164&lt;15),1,0)</f>
        <v/>
      </c>
      <c r="BA164" s="24">
        <f>IF(AND(W164="",AY164&gt;0,AY164&lt;15),T164,"")</f>
        <v/>
      </c>
      <c r="BB164" s="87">
        <f>IF(R164&lt;Q164,"X","")</f>
        <v/>
      </c>
      <c r="BC164" s="190" t="inlineStr">
        <is>
          <t>NO</t>
        </is>
      </c>
      <c r="BD164" s="190" t="inlineStr">
        <is>
          <t>NO</t>
        </is>
      </c>
    </row>
    <row r="165" ht="15" customHeight="1" s="162">
      <c r="A165" s="7" t="n">
        <v>164</v>
      </c>
      <c r="B165" t="inlineStr">
        <is>
          <t>39121415</t>
        </is>
      </c>
      <c r="C165" t="inlineStr">
        <is>
          <t>Conector D-sub FCT from Molex, Serie FL,</t>
        </is>
      </c>
      <c r="D165" t="inlineStr">
        <is>
          <t>1101807607</t>
        </is>
      </c>
      <c r="E165" t="inlineStr">
        <is>
          <t>1</t>
        </is>
      </c>
      <c r="F165" s="163" t="n">
        <v>45617</v>
      </c>
      <c r="G165" t="inlineStr"/>
      <c r="H165" t="inlineStr">
        <is>
          <t>4800002739</t>
        </is>
      </c>
      <c r="I165" t="inlineStr">
        <is>
          <t>130</t>
        </is>
      </c>
      <c r="J165" s="163" t="n">
        <v>45616</v>
      </c>
      <c r="K165" s="163" t="inlineStr"/>
      <c r="L165" t="inlineStr"/>
      <c r="M165" s="163" t="n">
        <v>45618</v>
      </c>
      <c r="N165" s="164" t="n">
        <v>0</v>
      </c>
      <c r="O165" s="164" t="n">
        <v>0</v>
      </c>
      <c r="P165" t="inlineStr"/>
      <c r="Q165" s="165" t="n">
        <v>2</v>
      </c>
      <c r="R165" s="165" t="n">
        <v>2</v>
      </c>
      <c r="S165" s="165" t="n">
        <v>2</v>
      </c>
      <c r="T165" s="165" t="n">
        <v>0</v>
      </c>
      <c r="U165" s="166" t="n">
        <v>0</v>
      </c>
      <c r="V165" s="166" t="n">
        <v>0</v>
      </c>
      <c r="W165" t="inlineStr">
        <is>
          <t>X</t>
        </is>
      </c>
      <c r="X165" t="inlineStr">
        <is>
          <t>0.00</t>
        </is>
      </c>
      <c r="Y165" t="inlineStr"/>
      <c r="Z165" t="inlineStr">
        <is>
          <t>AMIDATA, S.A.</t>
        </is>
      </c>
      <c r="AA165" t="inlineStr"/>
      <c r="AB165" t="inlineStr">
        <is>
          <t>8126368</t>
        </is>
      </c>
      <c r="AC165" t="inlineStr"/>
      <c r="AD165" s="164" t="n">
        <v>0</v>
      </c>
      <c r="AE165" s="185" t="n">
        <v>0</v>
      </c>
      <c r="AG165" s="167" t="inlineStr">
        <is>
          <t>7218|JA2585_1001</t>
        </is>
      </c>
      <c r="AH165" s="46">
        <f>IF(M165=0,"-",M165-J165)</f>
        <v/>
      </c>
      <c r="AI165" s="46">
        <f>IF(AND(S165=0,M165&gt;0,L165=0),IF(AH165&gt;=120,"VERY HIGH",IF(AH165&gt;=90,"HIGH",IF(AH165&gt;=60,"MEDIUM",IF(AH165&lt;60,"LOW")))),"-")</f>
        <v/>
      </c>
      <c r="AJ165" s="12" t="n"/>
      <c r="AK165" s="41">
        <f>IF(AND(W165="X",M165&lt;=$AJ$2),"YES","")</f>
        <v/>
      </c>
      <c r="AL165" s="38">
        <f>IF(AND(W165="X",M165&lt;=$AJ$2),S165,"")</f>
        <v/>
      </c>
      <c r="AM165" s="26">
        <f>IF(AND(W165="X",M165&gt;$AJ$2),"YES","")</f>
        <v/>
      </c>
      <c r="AN165" s="89">
        <f>IF(AND(W165="X",M165&gt;$AJ$2),S165,"")</f>
        <v/>
      </c>
      <c r="AO165" s="35">
        <f>IF(AND(W165="",M165&gt;0,$AJ$2&gt;M165,L165=""),1,0)</f>
        <v/>
      </c>
      <c r="AP165" s="26">
        <f>IF(AND(AK165="YES",W165="X"),"X","")</f>
        <v/>
      </c>
      <c r="AQ165" s="28">
        <f>IF(AP165="X",100%,0%)</f>
        <v/>
      </c>
      <c r="AR165" s="25">
        <f>IF(AND(T165&gt;0,L165=""),H165,"")</f>
        <v/>
      </c>
      <c r="AS165" s="25">
        <f>IF(AND(D165&gt;0,H165=0,G165=""),1,"")</f>
        <v/>
      </c>
      <c r="AT165" s="25">
        <f>IF(G165="BLOQ",1,"")</f>
        <v/>
      </c>
      <c r="AU165" s="25">
        <f>IF(L165="BLOQ",1,"")</f>
        <v/>
      </c>
      <c r="AV165" s="25">
        <f>MONTH(F165)</f>
        <v/>
      </c>
      <c r="AW165" s="65">
        <f>IF(AP165="",100%,0%)</f>
        <v/>
      </c>
      <c r="AX165" s="23" t="n"/>
      <c r="AY165" s="24">
        <f>IF(M165=0,"",M165-$AX$2)</f>
        <v/>
      </c>
      <c r="AZ165" s="66">
        <f>IF(AND(W165="",AY165&gt;0,AY165&lt;15),1,0)</f>
        <v/>
      </c>
      <c r="BA165" s="24">
        <f>IF(AND(W165="",AY165&gt;0,AY165&lt;15),T165,"")</f>
        <v/>
      </c>
      <c r="BB165" s="87">
        <f>IF(R165&lt;Q165,"X","")</f>
        <v/>
      </c>
      <c r="BC165" s="190" t="inlineStr">
        <is>
          <t>NO</t>
        </is>
      </c>
      <c r="BD165" s="190" t="inlineStr">
        <is>
          <t>NO</t>
        </is>
      </c>
    </row>
    <row r="166" ht="15" customHeight="1" s="162">
      <c r="A166" s="7" t="n">
        <v>165</v>
      </c>
      <c r="B166" t="inlineStr">
        <is>
          <t>39121402</t>
        </is>
      </c>
      <c r="C166" t="inlineStr">
        <is>
          <t>Toma Kopp de 2P de color Negro, para Eur</t>
        </is>
      </c>
      <c r="D166" t="inlineStr">
        <is>
          <t>1101807607</t>
        </is>
      </c>
      <c r="E166" t="inlineStr">
        <is>
          <t>2</t>
        </is>
      </c>
      <c r="F166" s="163" t="n">
        <v>45617</v>
      </c>
      <c r="G166" t="inlineStr"/>
      <c r="H166" t="inlineStr">
        <is>
          <t>4800002739</t>
        </is>
      </c>
      <c r="I166" t="inlineStr">
        <is>
          <t>140</t>
        </is>
      </c>
      <c r="J166" s="163" t="n">
        <v>45616</v>
      </c>
      <c r="K166" s="163" t="inlineStr"/>
      <c r="L166" t="inlineStr"/>
      <c r="M166" s="163" t="n">
        <v>45618</v>
      </c>
      <c r="N166" s="164" t="n">
        <v>0</v>
      </c>
      <c r="O166" s="164" t="n">
        <v>0</v>
      </c>
      <c r="P166" t="inlineStr"/>
      <c r="Q166" s="165" t="n">
        <v>13</v>
      </c>
      <c r="R166" s="165" t="n">
        <v>13</v>
      </c>
      <c r="S166" s="165" t="n">
        <v>13</v>
      </c>
      <c r="T166" s="165" t="n">
        <v>0</v>
      </c>
      <c r="U166" s="166" t="n">
        <v>0</v>
      </c>
      <c r="V166" s="166" t="n">
        <v>0</v>
      </c>
      <c r="W166" t="inlineStr">
        <is>
          <t>X</t>
        </is>
      </c>
      <c r="X166" t="inlineStr">
        <is>
          <t>0.00</t>
        </is>
      </c>
      <c r="Y166" t="inlineStr"/>
      <c r="Z166" t="inlineStr">
        <is>
          <t>AMIDATA, S.A.</t>
        </is>
      </c>
      <c r="AA166" t="inlineStr"/>
      <c r="AB166" t="inlineStr">
        <is>
          <t>2425811</t>
        </is>
      </c>
      <c r="AC166" t="inlineStr"/>
      <c r="AD166" s="164" t="n">
        <v>0</v>
      </c>
      <c r="AE166" s="185" t="n">
        <v>0</v>
      </c>
      <c r="AG166" s="167" t="inlineStr">
        <is>
          <t>7218|JA2585_1001</t>
        </is>
      </c>
      <c r="AH166" s="46">
        <f>IF(M166=0,"-",M166-J166)</f>
        <v/>
      </c>
      <c r="AI166" s="46">
        <f>IF(AND(S166=0,M166&gt;0,L166=0),IF(AH166&gt;=120,"VERY HIGH",IF(AH166&gt;=90,"HIGH",IF(AH166&gt;=60,"MEDIUM",IF(AH166&lt;60,"LOW")))),"-")</f>
        <v/>
      </c>
      <c r="AJ166" s="12" t="n"/>
      <c r="AK166" s="41">
        <f>IF(AND(W166="X",M166&lt;=$AJ$2),"YES","")</f>
        <v/>
      </c>
      <c r="AL166" s="38">
        <f>IF(AND(W166="X",M166&lt;=$AJ$2),S166,"")</f>
        <v/>
      </c>
      <c r="AM166" s="26">
        <f>IF(AND(W166="X",M166&gt;$AJ$2),"YES","")</f>
        <v/>
      </c>
      <c r="AN166" s="89">
        <f>IF(AND(W166="X",M166&gt;$AJ$2),S166,"")</f>
        <v/>
      </c>
      <c r="AO166" s="35">
        <f>IF(AND(W166="",M166&gt;0,$AJ$2&gt;M166,L166=""),1,0)</f>
        <v/>
      </c>
      <c r="AP166" s="26">
        <f>IF(AND(AK166="YES",W166="X"),"X","")</f>
        <v/>
      </c>
      <c r="AQ166" s="28">
        <f>IF(AP166="X",100%,0%)</f>
        <v/>
      </c>
      <c r="AR166" s="25">
        <f>IF(AND(T166&gt;0,L166=""),H166,"")</f>
        <v/>
      </c>
      <c r="AS166" s="25">
        <f>IF(AND(D166&gt;0,H166=0,G166=""),1,"")</f>
        <v/>
      </c>
      <c r="AT166" s="25">
        <f>IF(G166="BLOQ",1,"")</f>
        <v/>
      </c>
      <c r="AU166" s="25">
        <f>IF(L166="BLOQ",1,"")</f>
        <v/>
      </c>
      <c r="AV166" s="25">
        <f>MONTH(F166)</f>
        <v/>
      </c>
      <c r="AW166" s="65">
        <f>IF(AP166="",100%,0%)</f>
        <v/>
      </c>
      <c r="AX166" s="23" t="n"/>
      <c r="AY166" s="24">
        <f>IF(M166=0,"",M166-$AX$2)</f>
        <v/>
      </c>
      <c r="AZ166" s="66">
        <f>IF(AND(W166="",AY166&gt;0,AY166&lt;15),1,0)</f>
        <v/>
      </c>
      <c r="BA166" s="24">
        <f>IF(AND(W166="",AY166&gt;0,AY166&lt;15),T166,"")</f>
        <v/>
      </c>
      <c r="BB166" s="87">
        <f>IF(R166&lt;Q166,"X","")</f>
        <v/>
      </c>
      <c r="BC166" s="190" t="inlineStr">
        <is>
          <t>NO</t>
        </is>
      </c>
      <c r="BD166" s="190" t="inlineStr">
        <is>
          <t>NO</t>
        </is>
      </c>
    </row>
    <row r="167" ht="15" customHeight="1" s="162">
      <c r="A167" s="7" t="n">
        <v>166</v>
      </c>
      <c r="B167" t="inlineStr">
        <is>
          <t>32000000</t>
        </is>
      </c>
      <c r="C167" t="inlineStr">
        <is>
          <t>Placa de Cierre APC, 483 x 45 x 28mm</t>
        </is>
      </c>
      <c r="D167" t="inlineStr">
        <is>
          <t>1101807610</t>
        </is>
      </c>
      <c r="E167" t="inlineStr">
        <is>
          <t>1</t>
        </is>
      </c>
      <c r="F167" s="163" t="n">
        <v>45617</v>
      </c>
      <c r="G167" t="inlineStr"/>
      <c r="H167" t="inlineStr">
        <is>
          <t>4800002739</t>
        </is>
      </c>
      <c r="I167" t="inlineStr">
        <is>
          <t>160</t>
        </is>
      </c>
      <c r="J167" s="163" t="n">
        <v>45616</v>
      </c>
      <c r="K167" s="163" t="inlineStr"/>
      <c r="L167" t="inlineStr"/>
      <c r="M167" s="163" t="n">
        <v>45618</v>
      </c>
      <c r="N167" s="164" t="n">
        <v>0</v>
      </c>
      <c r="O167" s="164" t="n">
        <v>0</v>
      </c>
      <c r="P167" t="inlineStr"/>
      <c r="Q167" s="165" t="n">
        <v>4</v>
      </c>
      <c r="R167" s="165" t="n">
        <v>4</v>
      </c>
      <c r="S167" s="165" t="n">
        <v>4</v>
      </c>
      <c r="T167" s="165" t="n">
        <v>0</v>
      </c>
      <c r="U167" s="166" t="n">
        <v>0</v>
      </c>
      <c r="V167" s="166" t="n">
        <v>0</v>
      </c>
      <c r="W167" t="inlineStr">
        <is>
          <t>X</t>
        </is>
      </c>
      <c r="X167" t="inlineStr">
        <is>
          <t>0.00</t>
        </is>
      </c>
      <c r="Y167" t="inlineStr"/>
      <c r="Z167" t="inlineStr">
        <is>
          <t>AMIDATA, S.A.</t>
        </is>
      </c>
      <c r="AA167" t="inlineStr"/>
      <c r="AB167" t="inlineStr">
        <is>
          <t>7794070</t>
        </is>
      </c>
      <c r="AC167" t="inlineStr"/>
      <c r="AD167" s="164" t="n">
        <v>0</v>
      </c>
      <c r="AE167" s="185" t="n">
        <v>0</v>
      </c>
      <c r="AG167" s="167" t="inlineStr">
        <is>
          <t>7218|JA2585_1001</t>
        </is>
      </c>
      <c r="AH167" s="46">
        <f>IF(M167=0,"-",M167-J167)</f>
        <v/>
      </c>
      <c r="AI167" s="46">
        <f>IF(AND(S167=0,M167&gt;0,L167=0),IF(AH167&gt;=120,"VERY HIGH",IF(AH167&gt;=90,"HIGH",IF(AH167&gt;=60,"MEDIUM",IF(AH167&lt;60,"LOW")))),"-")</f>
        <v/>
      </c>
      <c r="AJ167" s="12" t="n"/>
      <c r="AK167" s="41">
        <f>IF(AND(W167="X",M167&lt;=$AJ$2),"YES","")</f>
        <v/>
      </c>
      <c r="AL167" s="38">
        <f>IF(AND(W167="X",M167&lt;=$AJ$2),S167,"")</f>
        <v/>
      </c>
      <c r="AM167" s="26">
        <f>IF(AND(W167="X",M167&gt;$AJ$2),"YES","")</f>
        <v/>
      </c>
      <c r="AN167" s="89">
        <f>IF(AND(W167="X",M167&gt;$AJ$2),S167,"")</f>
        <v/>
      </c>
      <c r="AO167" s="35">
        <f>IF(AND(W167="",M167&gt;0,$AJ$2&gt;M167,L167=""),1,0)</f>
        <v/>
      </c>
      <c r="AP167" s="26">
        <f>IF(AND(AK167="YES",W167="X"),"X","")</f>
        <v/>
      </c>
      <c r="AQ167" s="28">
        <f>IF(AP167="X",100%,0%)</f>
        <v/>
      </c>
      <c r="AR167" s="25">
        <f>IF(AND(T167&gt;0,L167=""),H167,"")</f>
        <v/>
      </c>
      <c r="AS167" s="25">
        <f>IF(AND(D167&gt;0,H167=0,G167=""),1,"")</f>
        <v/>
      </c>
      <c r="AT167" s="25">
        <f>IF(G167="BLOQ",1,"")</f>
        <v/>
      </c>
      <c r="AU167" s="25">
        <f>IF(L167="BLOQ",1,"")</f>
        <v/>
      </c>
      <c r="AV167" s="25">
        <f>MONTH(F167)</f>
        <v/>
      </c>
      <c r="AW167" s="65">
        <f>IF(AP167="",100%,0%)</f>
        <v/>
      </c>
      <c r="AX167" s="23" t="n"/>
      <c r="AY167" s="24">
        <f>IF(M167=0,"",M167-$AX$2)</f>
        <v/>
      </c>
      <c r="AZ167" s="66">
        <f>IF(AND(W167="",AY167&gt;0,AY167&lt;15),1,0)</f>
        <v/>
      </c>
      <c r="BA167" s="24">
        <f>IF(AND(W167="",AY167&gt;0,AY167&lt;15),T167,"")</f>
        <v/>
      </c>
      <c r="BB167" s="87">
        <f>IF(R167&lt;Q167,"X","")</f>
        <v/>
      </c>
      <c r="BC167" s="190" t="inlineStr">
        <is>
          <t>NO</t>
        </is>
      </c>
      <c r="BD167" s="190" t="inlineStr">
        <is>
          <t>NO</t>
        </is>
      </c>
    </row>
    <row r="168" ht="15" customHeight="1" s="162">
      <c r="A168" s="7" t="n">
        <v>167</v>
      </c>
      <c r="B168" t="inlineStr"/>
      <c r="C168" t="inlineStr">
        <is>
          <t>MONTAJE SIMULADOR A320</t>
        </is>
      </c>
      <c r="D168" t="inlineStr">
        <is>
          <t>1101807791</t>
        </is>
      </c>
      <c r="E168" t="inlineStr">
        <is>
          <t>1</t>
        </is>
      </c>
      <c r="F168" s="163" t="n">
        <v>45617</v>
      </c>
      <c r="G168" t="inlineStr"/>
      <c r="H168" t="inlineStr">
        <is>
          <t>4300335965</t>
        </is>
      </c>
      <c r="I168" t="inlineStr">
        <is>
          <t>10</t>
        </is>
      </c>
      <c r="J168" s="163" t="n">
        <v>45621</v>
      </c>
      <c r="K168" s="163" t="n">
        <v>45623</v>
      </c>
      <c r="L168" t="inlineStr"/>
      <c r="M168" s="163" t="n">
        <v>45640</v>
      </c>
      <c r="N168" s="164" t="n">
        <v>0</v>
      </c>
      <c r="O168" s="164" t="n">
        <v>0</v>
      </c>
      <c r="P168" t="inlineStr">
        <is>
          <t>Liberado</t>
        </is>
      </c>
      <c r="Q168" s="166" t="n">
        <v>1</v>
      </c>
      <c r="R168" s="164" t="n">
        <v>1</v>
      </c>
      <c r="S168" s="164" t="n">
        <v>0</v>
      </c>
      <c r="T168" s="164" t="n">
        <v>0</v>
      </c>
      <c r="U168" s="166" t="n">
        <v>0</v>
      </c>
      <c r="V168" s="166" t="n">
        <v>0</v>
      </c>
      <c r="W168" t="inlineStr">
        <is>
          <t>X</t>
        </is>
      </c>
      <c r="X168" t="inlineStr">
        <is>
          <t>0.00</t>
        </is>
      </c>
      <c r="Y168" t="inlineStr"/>
      <c r="Z168" t="inlineStr">
        <is>
          <t>AUXITEL, S.L.</t>
        </is>
      </c>
      <c r="AA168" t="inlineStr"/>
      <c r="AB168" t="inlineStr"/>
      <c r="AC168" t="inlineStr"/>
      <c r="AD168" s="164" t="n">
        <v>0</v>
      </c>
      <c r="AE168" s="185" t="n">
        <v>0</v>
      </c>
      <c r="AG168" s="167" t="inlineStr">
        <is>
          <t>7218|JA2593_1001</t>
        </is>
      </c>
      <c r="AH168" s="46">
        <f>IF(M168=0,"-",M168-J168)</f>
        <v/>
      </c>
      <c r="AI168" s="46">
        <f>IF(AND(S168=0,M168&gt;0,L168=0),IF(AH168&gt;=120,"VERY HIGH",IF(AH168&gt;=90,"HIGH",IF(AH168&gt;=60,"MEDIUM",IF(AH168&lt;60,"LOW")))),"-")</f>
        <v/>
      </c>
      <c r="AJ168" s="12" t="n"/>
      <c r="AK168" s="41">
        <f>IF(AND(W168="X",M168&lt;=$AJ$2),"YES","")</f>
        <v/>
      </c>
      <c r="AL168" s="38">
        <f>IF(AND(W168="X",M168&lt;=$AJ$2),S168,"")</f>
        <v/>
      </c>
      <c r="AM168" s="26">
        <f>IF(AND(W168="X",M168&gt;$AJ$2),"YES","")</f>
        <v/>
      </c>
      <c r="AN168" s="89">
        <f>IF(AND(W168="X",M168&gt;$AJ$2),S168,"")</f>
        <v/>
      </c>
      <c r="AO168" s="35">
        <f>IF(AND(W168="",M168&gt;0,$AJ$2&gt;M168,L168=""),1,0)</f>
        <v/>
      </c>
      <c r="AP168" s="26">
        <f>IF(AND(AK168="YES",W168="X"),"X","")</f>
        <v/>
      </c>
      <c r="AQ168" s="28">
        <f>IF(AP168="X",100%,0%)</f>
        <v/>
      </c>
      <c r="AR168" s="25">
        <f>IF(AND(T168&gt;0,L168=""),H168,"")</f>
        <v/>
      </c>
      <c r="AS168" s="25">
        <f>IF(AND(D168&gt;0,H168=0,G168=""),1,"")</f>
        <v/>
      </c>
      <c r="AT168" s="25">
        <f>IF(G168="BLOQ",1,"")</f>
        <v/>
      </c>
      <c r="AU168" s="25">
        <f>IF(L168="BLOQ",1,"")</f>
        <v/>
      </c>
      <c r="AV168" s="25">
        <f>MONTH(F168)</f>
        <v/>
      </c>
      <c r="AW168" s="65">
        <f>IF(AP168="",100%,0%)</f>
        <v/>
      </c>
      <c r="AX168" s="23" t="n"/>
      <c r="AY168" s="24">
        <f>IF(M168=0,"",M168-$AX$2)</f>
        <v/>
      </c>
      <c r="AZ168" s="66">
        <f>IF(AND(W168="",AY168&gt;0,AY168&lt;15),1,0)</f>
        <v/>
      </c>
      <c r="BA168" s="24">
        <f>IF(AND(W168="",AY168&gt;0,AY168&lt;15),T168,"")</f>
        <v/>
      </c>
      <c r="BB168" s="87">
        <f>IF(R168&lt;Q168,"X","")</f>
        <v/>
      </c>
      <c r="BC168" s="190" t="inlineStr">
        <is>
          <t>NO</t>
        </is>
      </c>
      <c r="BD168" s="190" t="inlineStr">
        <is>
          <t>NO</t>
        </is>
      </c>
    </row>
    <row r="169" ht="15" customHeight="1" s="162">
      <c r="A169" s="7" t="n">
        <v>168</v>
      </c>
      <c r="B169" t="inlineStr">
        <is>
          <t>39121723</t>
        </is>
      </c>
      <c r="C169" t="inlineStr">
        <is>
          <t>Tubo termorretr&amp;#225;ctil HellermannTyto</t>
        </is>
      </c>
      <c r="D169" t="inlineStr">
        <is>
          <t>1101807940</t>
        </is>
      </c>
      <c r="E169" t="inlineStr">
        <is>
          <t>1</t>
        </is>
      </c>
      <c r="F169" s="163" t="n">
        <v>45617</v>
      </c>
      <c r="G169" t="inlineStr"/>
      <c r="H169" t="inlineStr">
        <is>
          <t>4800002739</t>
        </is>
      </c>
      <c r="I169" t="inlineStr">
        <is>
          <t>490</t>
        </is>
      </c>
      <c r="J169" s="163" t="n">
        <v>45616</v>
      </c>
      <c r="K169" s="163" t="inlineStr"/>
      <c r="L169" t="inlineStr"/>
      <c r="M169" s="163" t="n">
        <v>45618</v>
      </c>
      <c r="N169" s="164" t="n">
        <v>0</v>
      </c>
      <c r="O169" s="164" t="n">
        <v>0</v>
      </c>
      <c r="P169" t="inlineStr"/>
      <c r="Q169" s="165" t="n">
        <v>1</v>
      </c>
      <c r="R169" s="165" t="n">
        <v>1</v>
      </c>
      <c r="S169" s="165" t="n">
        <v>1</v>
      </c>
      <c r="T169" s="165" t="n">
        <v>0</v>
      </c>
      <c r="U169" s="166" t="n">
        <v>0</v>
      </c>
      <c r="V169" s="166" t="n">
        <v>0</v>
      </c>
      <c r="W169" t="inlineStr">
        <is>
          <t>X</t>
        </is>
      </c>
      <c r="X169" t="inlineStr">
        <is>
          <t>0.00</t>
        </is>
      </c>
      <c r="Y169" t="inlineStr"/>
      <c r="Z169" t="inlineStr">
        <is>
          <t>AMIDATA, S.A.</t>
        </is>
      </c>
      <c r="AA169" t="inlineStr"/>
      <c r="AB169" t="inlineStr">
        <is>
          <t>1331782</t>
        </is>
      </c>
      <c r="AC169" t="inlineStr"/>
      <c r="AD169" s="164" t="n">
        <v>0</v>
      </c>
      <c r="AE169" s="185" t="n">
        <v>0</v>
      </c>
      <c r="AG169" s="167" t="inlineStr">
        <is>
          <t>7218|JA2585_1001</t>
        </is>
      </c>
      <c r="AH169" s="46">
        <f>IF(M169=0,"-",M169-J169)</f>
        <v/>
      </c>
      <c r="AI169" s="46">
        <f>IF(AND(S169=0,M169&gt;0,L169=0),IF(AH169&gt;=120,"VERY HIGH",IF(AH169&gt;=90,"HIGH",IF(AH169&gt;=60,"MEDIUM",IF(AH169&lt;60,"LOW")))),"-")</f>
        <v/>
      </c>
      <c r="AJ169" s="12" t="n"/>
      <c r="AK169" s="41">
        <f>IF(AND(W169="X",M169&lt;=$AJ$2),"YES","")</f>
        <v/>
      </c>
      <c r="AL169" s="38">
        <f>IF(AND(W169="X",M169&lt;=$AJ$2),S169,"")</f>
        <v/>
      </c>
      <c r="AM169" s="26">
        <f>IF(AND(W169="X",M169&gt;$AJ$2),"YES","")</f>
        <v/>
      </c>
      <c r="AN169" s="89">
        <f>IF(AND(W169="X",M169&gt;$AJ$2),S169,"")</f>
        <v/>
      </c>
      <c r="AO169" s="35">
        <f>IF(AND(W169="",M169&gt;0,$AJ$2&gt;M169,L169=""),1,0)</f>
        <v/>
      </c>
      <c r="AP169" s="26">
        <f>IF(AND(AK169="YES",W169="X"),"X","")</f>
        <v/>
      </c>
      <c r="AQ169" s="28">
        <f>IF(AP169="X",100%,0%)</f>
        <v/>
      </c>
      <c r="AR169" s="25">
        <f>IF(AND(T169&gt;0,L169=""),H169,"")</f>
        <v/>
      </c>
      <c r="AS169" s="25">
        <f>IF(AND(D169&gt;0,H169=0,G169=""),1,"")</f>
        <v/>
      </c>
      <c r="AT169" s="25">
        <f>IF(G169="BLOQ",1,"")</f>
        <v/>
      </c>
      <c r="AU169" s="25">
        <f>IF(L169="BLOQ",1,"")</f>
        <v/>
      </c>
      <c r="AV169" s="25">
        <f>MONTH(F169)</f>
        <v/>
      </c>
      <c r="AW169" s="65">
        <f>IF(AP169="",100%,0%)</f>
        <v/>
      </c>
      <c r="AX169" s="23" t="n"/>
      <c r="AY169" s="24">
        <f>IF(M169=0,"",M169-$AX$2)</f>
        <v/>
      </c>
      <c r="AZ169" s="66">
        <f>IF(AND(W169="",AY169&gt;0,AY169&lt;15),1,0)</f>
        <v/>
      </c>
      <c r="BA169" s="24">
        <f>IF(AND(W169="",AY169&gt;0,AY169&lt;15),T169,"")</f>
        <v/>
      </c>
      <c r="BB169" s="87">
        <f>IF(R169&lt;Q169,"X","")</f>
        <v/>
      </c>
      <c r="BC169" s="190" t="inlineStr">
        <is>
          <t>NO</t>
        </is>
      </c>
      <c r="BD169" s="190" t="inlineStr">
        <is>
          <t>NO</t>
        </is>
      </c>
    </row>
    <row r="170" ht="15" customHeight="1" s="162">
      <c r="A170" s="7" t="n">
        <v>169</v>
      </c>
      <c r="B170" t="inlineStr">
        <is>
          <t>39121723</t>
        </is>
      </c>
      <c r="C170" t="inlineStr">
        <is>
          <t>Tubo termorretr&amp;#225;ctil HellermannTyto</t>
        </is>
      </c>
      <c r="D170" t="inlineStr">
        <is>
          <t>1101807940</t>
        </is>
      </c>
      <c r="E170" t="inlineStr">
        <is>
          <t>2</t>
        </is>
      </c>
      <c r="F170" s="163" t="n">
        <v>45617</v>
      </c>
      <c r="G170" t="inlineStr"/>
      <c r="H170" t="inlineStr">
        <is>
          <t>4800002739</t>
        </is>
      </c>
      <c r="I170" t="inlineStr">
        <is>
          <t>500</t>
        </is>
      </c>
      <c r="J170" s="163" t="n">
        <v>45616</v>
      </c>
      <c r="K170" s="163" t="inlineStr"/>
      <c r="L170" t="inlineStr"/>
      <c r="M170" s="163" t="n">
        <v>45618</v>
      </c>
      <c r="N170" s="164" t="n">
        <v>0</v>
      </c>
      <c r="O170" s="164" t="n">
        <v>0</v>
      </c>
      <c r="P170" t="inlineStr"/>
      <c r="Q170" s="165" t="n">
        <v>1</v>
      </c>
      <c r="R170" s="165" t="n">
        <v>1</v>
      </c>
      <c r="S170" s="165" t="n">
        <v>1</v>
      </c>
      <c r="T170" s="165" t="n">
        <v>0</v>
      </c>
      <c r="U170" s="166" t="n">
        <v>0</v>
      </c>
      <c r="V170" s="166" t="n">
        <v>0</v>
      </c>
      <c r="W170" t="inlineStr">
        <is>
          <t>X</t>
        </is>
      </c>
      <c r="X170" t="inlineStr">
        <is>
          <t>0.00</t>
        </is>
      </c>
      <c r="Y170" t="inlineStr"/>
      <c r="Z170" t="inlineStr">
        <is>
          <t>AMIDATA, S.A.</t>
        </is>
      </c>
      <c r="AA170" t="inlineStr"/>
      <c r="AB170" t="inlineStr">
        <is>
          <t>1331780</t>
        </is>
      </c>
      <c r="AC170" t="inlineStr"/>
      <c r="AD170" s="164" t="n">
        <v>0</v>
      </c>
      <c r="AE170" s="185" t="n">
        <v>0</v>
      </c>
      <c r="AG170" s="167" t="inlineStr">
        <is>
          <t>7218|JA2585_1001</t>
        </is>
      </c>
      <c r="AH170" s="46">
        <f>IF(M170=0,"-",M170-J170)</f>
        <v/>
      </c>
      <c r="AI170" s="46">
        <f>IF(AND(S170=0,M170&gt;0,L170=0),IF(AH170&gt;=120,"VERY HIGH",IF(AH170&gt;=90,"HIGH",IF(AH170&gt;=60,"MEDIUM",IF(AH170&lt;60,"LOW")))),"-")</f>
        <v/>
      </c>
      <c r="AJ170" s="12" t="n"/>
      <c r="AK170" s="41">
        <f>IF(AND(W170="X",M170&lt;=$AJ$2),"YES","")</f>
        <v/>
      </c>
      <c r="AL170" s="38">
        <f>IF(AND(W170="X",M170&lt;=$AJ$2),S170,"")</f>
        <v/>
      </c>
      <c r="AM170" s="26">
        <f>IF(AND(W170="X",M170&gt;$AJ$2),"YES","")</f>
        <v/>
      </c>
      <c r="AN170" s="89">
        <f>IF(AND(W170="X",M170&gt;$AJ$2),S170,"")</f>
        <v/>
      </c>
      <c r="AO170" s="35">
        <f>IF(AND(W170="",M170&gt;0,$AJ$2&gt;M170,L170=""),1,0)</f>
        <v/>
      </c>
      <c r="AP170" s="26">
        <f>IF(AND(AK170="YES",W170="X"),"X","")</f>
        <v/>
      </c>
      <c r="AQ170" s="28">
        <f>IF(AP170="X",100%,0%)</f>
        <v/>
      </c>
      <c r="AR170" s="25">
        <f>IF(AND(T170&gt;0,L170=""),H170,"")</f>
        <v/>
      </c>
      <c r="AS170" s="25">
        <f>IF(AND(D170&gt;0,H170=0,G170=""),1,"")</f>
        <v/>
      </c>
      <c r="AT170" s="25">
        <f>IF(G170="BLOQ",1,"")</f>
        <v/>
      </c>
      <c r="AU170" s="25">
        <f>IF(L170="BLOQ",1,"")</f>
        <v/>
      </c>
      <c r="AV170" s="25">
        <f>MONTH(F170)</f>
        <v/>
      </c>
      <c r="AW170" s="65">
        <f>IF(AP170="",100%,0%)</f>
        <v/>
      </c>
      <c r="AX170" s="23" t="n"/>
      <c r="AY170" s="24">
        <f>IF(M170=0,"",M170-$AX$2)</f>
        <v/>
      </c>
      <c r="AZ170" s="66">
        <f>IF(AND(W170="",AY170&gt;0,AY170&lt;15),1,0)</f>
        <v/>
      </c>
      <c r="BA170" s="24">
        <f>IF(AND(W170="",AY170&gt;0,AY170&lt;15),T170,"")</f>
        <v/>
      </c>
      <c r="BB170" s="87">
        <f>IF(R170&lt;Q170,"X","")</f>
        <v/>
      </c>
      <c r="BC170" s="190" t="inlineStr">
        <is>
          <t>NO</t>
        </is>
      </c>
      <c r="BD170" s="190" t="inlineStr">
        <is>
          <t>NO</t>
        </is>
      </c>
    </row>
    <row r="171" ht="15" customHeight="1" s="162">
      <c r="A171" s="7" t="n">
        <v>170</v>
      </c>
      <c r="B171" t="inlineStr">
        <is>
          <t>39121321</t>
        </is>
      </c>
      <c r="C171" t="inlineStr">
        <is>
          <t>Juego de tornillos Rittal serie EL, para</t>
        </is>
      </c>
      <c r="D171" t="inlineStr">
        <is>
          <t>1101808178</t>
        </is>
      </c>
      <c r="E171" t="inlineStr">
        <is>
          <t>1</t>
        </is>
      </c>
      <c r="F171" s="163" t="n">
        <v>45618</v>
      </c>
      <c r="G171" t="inlineStr"/>
      <c r="H171" t="inlineStr">
        <is>
          <t>4800002739</t>
        </is>
      </c>
      <c r="I171" t="inlineStr">
        <is>
          <t>820</t>
        </is>
      </c>
      <c r="J171" s="163" t="n">
        <v>45616</v>
      </c>
      <c r="K171" s="163" t="inlineStr"/>
      <c r="L171" t="inlineStr"/>
      <c r="M171" s="163" t="n">
        <v>45619</v>
      </c>
      <c r="N171" s="164" t="n">
        <v>0</v>
      </c>
      <c r="O171" s="164" t="n">
        <v>0</v>
      </c>
      <c r="P171" t="inlineStr"/>
      <c r="Q171" s="165" t="n">
        <v>50</v>
      </c>
      <c r="R171" s="165" t="n">
        <v>50</v>
      </c>
      <c r="S171" s="165" t="n">
        <v>50</v>
      </c>
      <c r="T171" s="165" t="n">
        <v>0</v>
      </c>
      <c r="U171" s="166" t="n">
        <v>0</v>
      </c>
      <c r="V171" s="166" t="n">
        <v>0</v>
      </c>
      <c r="W171" t="inlineStr">
        <is>
          <t>X</t>
        </is>
      </c>
      <c r="X171" t="inlineStr">
        <is>
          <t>0.00</t>
        </is>
      </c>
      <c r="Y171" t="inlineStr"/>
      <c r="Z171" t="inlineStr">
        <is>
          <t>AMIDATA, S.A.</t>
        </is>
      </c>
      <c r="AA171" t="inlineStr"/>
      <c r="AB171" t="inlineStr">
        <is>
          <t>8262903</t>
        </is>
      </c>
      <c r="AC171" t="inlineStr"/>
      <c r="AD171" s="164" t="n">
        <v>0</v>
      </c>
      <c r="AE171" s="185" t="n">
        <v>0</v>
      </c>
      <c r="AG171" s="167" t="inlineStr">
        <is>
          <t>7218|JA2585_1001</t>
        </is>
      </c>
      <c r="AH171" s="46">
        <f>IF(M171=0,"-",M171-J171)</f>
        <v/>
      </c>
      <c r="AI171" s="46">
        <f>IF(AND(S171=0,M171&gt;0,L171=0),IF(AH171&gt;=120,"VERY HIGH",IF(AH171&gt;=90,"HIGH",IF(AH171&gt;=60,"MEDIUM",IF(AH171&lt;60,"LOW")))),"-")</f>
        <v/>
      </c>
      <c r="AJ171" s="12" t="n"/>
      <c r="AK171" s="41">
        <f>IF(AND(W171="X",M171&lt;=$AJ$2),"YES","")</f>
        <v/>
      </c>
      <c r="AL171" s="38">
        <f>IF(AND(W171="X",M171&lt;=$AJ$2),S171,"")</f>
        <v/>
      </c>
      <c r="AM171" s="26">
        <f>IF(AND(W171="X",M171&gt;$AJ$2),"YES","")</f>
        <v/>
      </c>
      <c r="AN171" s="89">
        <f>IF(AND(W171="X",M171&gt;$AJ$2),S171,"")</f>
        <v/>
      </c>
      <c r="AO171" s="35">
        <f>IF(AND(W171="",M171&gt;0,$AJ$2&gt;M171,L171=""),1,0)</f>
        <v/>
      </c>
      <c r="AP171" s="26">
        <f>IF(AND(AK171="YES",W171="X"),"X","")</f>
        <v/>
      </c>
      <c r="AQ171" s="28">
        <f>IF(AP171="X",100%,0%)</f>
        <v/>
      </c>
      <c r="AR171" s="25">
        <f>IF(AND(T171&gt;0,L171=""),H171,"")</f>
        <v/>
      </c>
      <c r="AS171" s="25">
        <f>IF(AND(D171&gt;0,H171=0,G171=""),1,"")</f>
        <v/>
      </c>
      <c r="AT171" s="25">
        <f>IF(G171="BLOQ",1,"")</f>
        <v/>
      </c>
      <c r="AU171" s="25">
        <f>IF(L171="BLOQ",1,"")</f>
        <v/>
      </c>
      <c r="AV171" s="25">
        <f>MONTH(F171)</f>
        <v/>
      </c>
      <c r="AW171" s="65">
        <f>IF(AP171="",100%,0%)</f>
        <v/>
      </c>
      <c r="AX171" s="23" t="n"/>
      <c r="AY171" s="24">
        <f>IF(M171=0,"",M171-$AX$2)</f>
        <v/>
      </c>
      <c r="AZ171" s="66">
        <f>IF(AND(W171="",AY171&gt;0,AY171&lt;15),1,0)</f>
        <v/>
      </c>
      <c r="BA171" s="24">
        <f>IF(AND(W171="",AY171&gt;0,AY171&lt;15),T171,"")</f>
        <v/>
      </c>
      <c r="BB171" s="87">
        <f>IF(R171&lt;Q171,"X","")</f>
        <v/>
      </c>
      <c r="BC171" s="190" t="inlineStr">
        <is>
          <t>NO</t>
        </is>
      </c>
      <c r="BD171" s="190" t="inlineStr">
        <is>
          <t>NO</t>
        </is>
      </c>
    </row>
    <row r="172" ht="15" customHeight="1" s="162">
      <c r="A172" s="7" t="n">
        <v>171</v>
      </c>
      <c r="B172" t="inlineStr">
        <is>
          <t>32000000</t>
        </is>
      </c>
      <c r="C172" t="inlineStr">
        <is>
          <t>Tuerca en jaula nVent SCHROFF 21100-003</t>
        </is>
      </c>
      <c r="D172" t="inlineStr">
        <is>
          <t>1101808178</t>
        </is>
      </c>
      <c r="E172" t="inlineStr">
        <is>
          <t>2</t>
        </is>
      </c>
      <c r="F172" s="163" t="n">
        <v>45618</v>
      </c>
      <c r="G172" t="inlineStr"/>
      <c r="H172" t="inlineStr">
        <is>
          <t>4800002739</t>
        </is>
      </c>
      <c r="I172" t="inlineStr">
        <is>
          <t>830</t>
        </is>
      </c>
      <c r="J172" s="163" t="n">
        <v>45616</v>
      </c>
      <c r="K172" s="163" t="inlineStr"/>
      <c r="L172" t="inlineStr"/>
      <c r="M172" s="163" t="n">
        <v>45619</v>
      </c>
      <c r="N172" s="164" t="n">
        <v>0</v>
      </c>
      <c r="O172" s="164" t="n">
        <v>0</v>
      </c>
      <c r="P172" t="inlineStr"/>
      <c r="Q172" s="165" t="n">
        <v>200</v>
      </c>
      <c r="R172" s="165" t="n">
        <v>200</v>
      </c>
      <c r="S172" s="165" t="n">
        <v>200</v>
      </c>
      <c r="T172" s="165" t="n">
        <v>0</v>
      </c>
      <c r="U172" s="166" t="n">
        <v>0</v>
      </c>
      <c r="V172" s="166" t="n">
        <v>0</v>
      </c>
      <c r="W172" t="inlineStr">
        <is>
          <t>X</t>
        </is>
      </c>
      <c r="X172" t="inlineStr">
        <is>
          <t>0.00</t>
        </is>
      </c>
      <c r="Y172" t="inlineStr"/>
      <c r="Z172" t="inlineStr">
        <is>
          <t>AMIDATA, S.A.</t>
        </is>
      </c>
      <c r="AA172" t="inlineStr"/>
      <c r="AB172" t="inlineStr">
        <is>
          <t>2457843</t>
        </is>
      </c>
      <c r="AC172" t="inlineStr"/>
      <c r="AD172" s="164" t="n">
        <v>0</v>
      </c>
      <c r="AE172" s="185" t="n">
        <v>0</v>
      </c>
      <c r="AG172" s="167" t="inlineStr">
        <is>
          <t>7218|JA2585_1001</t>
        </is>
      </c>
      <c r="AH172" s="46">
        <f>IF(M172=0,"-",M172-J172)</f>
        <v/>
      </c>
      <c r="AI172" s="46">
        <f>IF(AND(S172=0,M172&gt;0,L172=0),IF(AH172&gt;=120,"VERY HIGH",IF(AH172&gt;=90,"HIGH",IF(AH172&gt;=60,"MEDIUM",IF(AH172&lt;60,"LOW")))),"-")</f>
        <v/>
      </c>
      <c r="AJ172" s="12" t="n"/>
      <c r="AK172" s="41">
        <f>IF(AND(W172="X",M172&lt;=$AJ$2),"YES","")</f>
        <v/>
      </c>
      <c r="AL172" s="38">
        <f>IF(AND(W172="X",M172&lt;=$AJ$2),S172,"")</f>
        <v/>
      </c>
      <c r="AM172" s="26">
        <f>IF(AND(W172="X",M172&gt;$AJ$2),"YES","")</f>
        <v/>
      </c>
      <c r="AN172" s="89">
        <f>IF(AND(W172="X",M172&gt;$AJ$2),S172,"")</f>
        <v/>
      </c>
      <c r="AO172" s="35">
        <f>IF(AND(W172="",M172&gt;0,$AJ$2&gt;M172,L172=""),1,0)</f>
        <v/>
      </c>
      <c r="AP172" s="26">
        <f>IF(AND(AK172="YES",W172="X"),"X","")</f>
        <v/>
      </c>
      <c r="AQ172" s="28">
        <f>IF(AP172="X",100%,0%)</f>
        <v/>
      </c>
      <c r="AR172" s="25">
        <f>IF(AND(T172&gt;0,L172=""),H172,"")</f>
        <v/>
      </c>
      <c r="AS172" s="25">
        <f>IF(AND(D172&gt;0,H172=0,G172=""),1,"")</f>
        <v/>
      </c>
      <c r="AT172" s="25">
        <f>IF(G172="BLOQ",1,"")</f>
        <v/>
      </c>
      <c r="AU172" s="25">
        <f>IF(L172="BLOQ",1,"")</f>
        <v/>
      </c>
      <c r="AV172" s="25">
        <f>MONTH(F172)</f>
        <v/>
      </c>
      <c r="AW172" s="65">
        <f>IF(AP172="",100%,0%)</f>
        <v/>
      </c>
      <c r="AX172" s="23" t="n"/>
      <c r="AY172" s="24">
        <f>IF(M172=0,"",M172-$AX$2)</f>
        <v/>
      </c>
      <c r="AZ172" s="66">
        <f>IF(AND(W172="",AY172&gt;0,AY172&lt;15),1,0)</f>
        <v/>
      </c>
      <c r="BA172" s="24">
        <f>IF(AND(W172="",AY172&gt;0,AY172&lt;15),T172,"")</f>
        <v/>
      </c>
      <c r="BB172" s="87">
        <f>IF(R172&lt;Q172,"X","")</f>
        <v/>
      </c>
      <c r="BC172" s="190" t="inlineStr">
        <is>
          <t>NO</t>
        </is>
      </c>
      <c r="BD172" s="190" t="inlineStr">
        <is>
          <t>NO</t>
        </is>
      </c>
    </row>
    <row r="173" ht="15" customHeight="1" s="162">
      <c r="A173" s="7" t="n">
        <v>172</v>
      </c>
      <c r="B173" t="inlineStr">
        <is>
          <t>39121321</t>
        </is>
      </c>
      <c r="C173" t="inlineStr">
        <is>
          <t>Earth Bar Rittal 7113000</t>
        </is>
      </c>
      <c r="D173" t="inlineStr">
        <is>
          <t>1101808178</t>
        </is>
      </c>
      <c r="E173" t="inlineStr">
        <is>
          <t>3</t>
        </is>
      </c>
      <c r="F173" s="163" t="n">
        <v>45618</v>
      </c>
      <c r="G173" t="inlineStr"/>
      <c r="H173" t="inlineStr">
        <is>
          <t>4800002739</t>
        </is>
      </c>
      <c r="I173" t="inlineStr">
        <is>
          <t>840</t>
        </is>
      </c>
      <c r="J173" s="163" t="n">
        <v>45616</v>
      </c>
      <c r="K173" s="163" t="inlineStr"/>
      <c r="L173" t="inlineStr"/>
      <c r="M173" s="163" t="n">
        <v>45619</v>
      </c>
      <c r="N173" s="164" t="n">
        <v>0</v>
      </c>
      <c r="O173" s="164" t="n">
        <v>0</v>
      </c>
      <c r="P173" t="inlineStr"/>
      <c r="Q173" s="165" t="n">
        <v>8</v>
      </c>
      <c r="R173" s="165" t="n">
        <v>8</v>
      </c>
      <c r="S173" s="165" t="n">
        <v>8</v>
      </c>
      <c r="T173" s="165" t="n">
        <v>0</v>
      </c>
      <c r="U173" s="166" t="n">
        <v>0</v>
      </c>
      <c r="V173" s="166" t="n">
        <v>0</v>
      </c>
      <c r="W173" t="inlineStr">
        <is>
          <t>X</t>
        </is>
      </c>
      <c r="X173" t="inlineStr">
        <is>
          <t>0.00</t>
        </is>
      </c>
      <c r="Y173" t="inlineStr"/>
      <c r="Z173" t="inlineStr">
        <is>
          <t>AMIDATA, S.A.</t>
        </is>
      </c>
      <c r="AA173" t="inlineStr"/>
      <c r="AB173" t="inlineStr">
        <is>
          <t>8262868</t>
        </is>
      </c>
      <c r="AC173" t="inlineStr"/>
      <c r="AD173" s="164" t="n">
        <v>0</v>
      </c>
      <c r="AE173" s="185" t="n">
        <v>0</v>
      </c>
      <c r="AG173" s="167" t="inlineStr">
        <is>
          <t>7218|JA2585_1001</t>
        </is>
      </c>
      <c r="AH173" s="46">
        <f>IF(M173=0,"-",M173-J173)</f>
        <v/>
      </c>
      <c r="AI173" s="46">
        <f>IF(AND(S173=0,M173&gt;0,L173=0),IF(AH173&gt;=120,"VERY HIGH",IF(AH173&gt;=90,"HIGH",IF(AH173&gt;=60,"MEDIUM",IF(AH173&lt;60,"LOW")))),"-")</f>
        <v/>
      </c>
      <c r="AJ173" s="12" t="n"/>
      <c r="AK173" s="41">
        <f>IF(AND(W173="X",M173&lt;=$AJ$2),"YES","")</f>
        <v/>
      </c>
      <c r="AL173" s="38">
        <f>IF(AND(W173="X",M173&lt;=$AJ$2),S173,"")</f>
        <v/>
      </c>
      <c r="AM173" s="26">
        <f>IF(AND(W173="X",M173&gt;$AJ$2),"YES","")</f>
        <v/>
      </c>
      <c r="AN173" s="89">
        <f>IF(AND(W173="X",M173&gt;$AJ$2),S173,"")</f>
        <v/>
      </c>
      <c r="AO173" s="35">
        <f>IF(AND(W173="",M173&gt;0,$AJ$2&gt;M173,L173=""),1,0)</f>
        <v/>
      </c>
      <c r="AP173" s="26">
        <f>IF(AND(AK173="YES",W173="X"),"X","")</f>
        <v/>
      </c>
      <c r="AQ173" s="28">
        <f>IF(AP173="X",100%,0%)</f>
        <v/>
      </c>
      <c r="AR173" s="25">
        <f>IF(AND(T173&gt;0,L173=""),H173,"")</f>
        <v/>
      </c>
      <c r="AS173" s="25">
        <f>IF(AND(D173&gt;0,H173=0,G173=""),1,"")</f>
        <v/>
      </c>
      <c r="AT173" s="25">
        <f>IF(G173="BLOQ",1,"")</f>
        <v/>
      </c>
      <c r="AU173" s="25">
        <f>IF(L173="BLOQ",1,"")</f>
        <v/>
      </c>
      <c r="AV173" s="25">
        <f>MONTH(F173)</f>
        <v/>
      </c>
      <c r="AW173" s="65">
        <f>IF(AP173="",100%,0%)</f>
        <v/>
      </c>
      <c r="AX173" s="23" t="n"/>
      <c r="AY173" s="24">
        <f>IF(M173=0,"",M173-$AX$2)</f>
        <v/>
      </c>
      <c r="AZ173" s="66">
        <f>IF(AND(W173="",AY173&gt;0,AY173&lt;15),1,0)</f>
        <v/>
      </c>
      <c r="BA173" s="24">
        <f>IF(AND(W173="",AY173&gt;0,AY173&lt;15),T173,"")</f>
        <v/>
      </c>
      <c r="BB173" s="87">
        <f>IF(R173&lt;Q173,"X","")</f>
        <v/>
      </c>
      <c r="BC173" s="190" t="inlineStr">
        <is>
          <t>NO</t>
        </is>
      </c>
      <c r="BD173" s="190" t="inlineStr">
        <is>
          <t>NO</t>
        </is>
      </c>
    </row>
    <row r="174" ht="15" customHeight="1" s="162">
      <c r="A174" s="7" t="n">
        <v>173</v>
      </c>
      <c r="B174" t="inlineStr">
        <is>
          <t>39121413</t>
        </is>
      </c>
      <c r="C174" t="inlineStr">
        <is>
          <t>Protecci&amp;#243;n contra tirones Plateado</t>
        </is>
      </c>
      <c r="D174" t="inlineStr">
        <is>
          <t>1101808334</t>
        </is>
      </c>
      <c r="E174" t="inlineStr">
        <is>
          <t>1</t>
        </is>
      </c>
      <c r="F174" s="163" t="n">
        <v>45618</v>
      </c>
      <c r="G174" t="inlineStr"/>
      <c r="H174" t="inlineStr">
        <is>
          <t>4800002740</t>
        </is>
      </c>
      <c r="I174" t="inlineStr">
        <is>
          <t>350</t>
        </is>
      </c>
      <c r="J174" s="163" t="n">
        <v>45618</v>
      </c>
      <c r="K174" s="163" t="inlineStr"/>
      <c r="L174" t="inlineStr"/>
      <c r="M174" s="163" t="n">
        <v>45619</v>
      </c>
      <c r="N174" s="164" t="n">
        <v>0</v>
      </c>
      <c r="O174" s="164" t="n">
        <v>0</v>
      </c>
      <c r="P174" t="inlineStr"/>
      <c r="Q174" s="165" t="n">
        <v>1</v>
      </c>
      <c r="R174" s="165" t="n">
        <v>1</v>
      </c>
      <c r="S174" s="165" t="n">
        <v>1</v>
      </c>
      <c r="T174" s="165" t="n">
        <v>0</v>
      </c>
      <c r="U174" s="166" t="n">
        <v>0</v>
      </c>
      <c r="V174" s="166" t="n">
        <v>0</v>
      </c>
      <c r="W174" t="inlineStr">
        <is>
          <t>X</t>
        </is>
      </c>
      <c r="X174" t="inlineStr">
        <is>
          <t>0.00</t>
        </is>
      </c>
      <c r="Y174" t="inlineStr"/>
      <c r="Z174" t="inlineStr">
        <is>
          <t>AMIDATA, S.A.</t>
        </is>
      </c>
      <c r="AA174" t="inlineStr"/>
      <c r="AB174" t="inlineStr">
        <is>
          <t>2614993</t>
        </is>
      </c>
      <c r="AC174" t="inlineStr"/>
      <c r="AD174" s="164" t="n">
        <v>0</v>
      </c>
      <c r="AE174" s="185" t="n">
        <v>0</v>
      </c>
      <c r="AG174" s="167" t="inlineStr">
        <is>
          <t>7218|JA2586_1001</t>
        </is>
      </c>
      <c r="AH174" s="46">
        <f>IF(M174=0,"-",M174-J174)</f>
        <v/>
      </c>
      <c r="AI174" s="46">
        <f>IF(AND(S174=0,M174&gt;0,L174=0),IF(AH174&gt;=120,"VERY HIGH",IF(AH174&gt;=90,"HIGH",IF(AH174&gt;=60,"MEDIUM",IF(AH174&lt;60,"LOW")))),"-")</f>
        <v/>
      </c>
      <c r="AJ174" s="12" t="n"/>
      <c r="AK174" s="41">
        <f>IF(AND(W174="X",M174&lt;=$AJ$2),"YES","")</f>
        <v/>
      </c>
      <c r="AL174" s="38">
        <f>IF(AND(W174="X",M174&lt;=$AJ$2),S174,"")</f>
        <v/>
      </c>
      <c r="AM174" s="26">
        <f>IF(AND(W174="X",M174&gt;$AJ$2),"YES","")</f>
        <v/>
      </c>
      <c r="AN174" s="89">
        <f>IF(AND(W174="X",M174&gt;$AJ$2),S174,"")</f>
        <v/>
      </c>
      <c r="AO174" s="35">
        <f>IF(AND(W174="",M174&gt;0,$AJ$2&gt;M174,L174=""),1,0)</f>
        <v/>
      </c>
      <c r="AP174" s="26">
        <f>IF(AND(AK174="YES",W174="X"),"X","")</f>
        <v/>
      </c>
      <c r="AQ174" s="28">
        <f>IF(AP174="X",100%,0%)</f>
        <v/>
      </c>
      <c r="AR174" s="25">
        <f>IF(AND(T174&gt;0,L174=""),H174,"")</f>
        <v/>
      </c>
      <c r="AS174" s="25">
        <f>IF(AND(D174&gt;0,H174=0,G174=""),1,"")</f>
        <v/>
      </c>
      <c r="AT174" s="25">
        <f>IF(G174="BLOQ",1,"")</f>
        <v/>
      </c>
      <c r="AU174" s="25">
        <f>IF(L174="BLOQ",1,"")</f>
        <v/>
      </c>
      <c r="AV174" s="25">
        <f>MONTH(F174)</f>
        <v/>
      </c>
      <c r="AW174" s="65">
        <f>IF(AP174="",100%,0%)</f>
        <v/>
      </c>
      <c r="AX174" s="23" t="n"/>
      <c r="AY174" s="24">
        <f>IF(M174=0,"",M174-$AX$2)</f>
        <v/>
      </c>
      <c r="AZ174" s="66">
        <f>IF(AND(W174="",AY174&gt;0,AY174&lt;15),1,0)</f>
        <v/>
      </c>
      <c r="BA174" s="24">
        <f>IF(AND(W174="",AY174&gt;0,AY174&lt;15),T174,"")</f>
        <v/>
      </c>
      <c r="BB174" s="87">
        <f>IF(R174&lt;Q174,"X","")</f>
        <v/>
      </c>
      <c r="BC174" s="190" t="inlineStr">
        <is>
          <t>NO</t>
        </is>
      </c>
      <c r="BD174" s="190" t="inlineStr">
        <is>
          <t>NO</t>
        </is>
      </c>
    </row>
    <row r="175" ht="15" customHeight="1" s="162">
      <c r="A175" s="7" t="n">
        <v>174</v>
      </c>
      <c r="B175" t="inlineStr">
        <is>
          <t>39121413</t>
        </is>
      </c>
      <c r="C175" t="inlineStr">
        <is>
          <t>Conector circular Amphenol Limited Conec</t>
        </is>
      </c>
      <c r="D175" t="inlineStr">
        <is>
          <t>1101808337</t>
        </is>
      </c>
      <c r="E175" t="inlineStr">
        <is>
          <t>1</t>
        </is>
      </c>
      <c r="F175" s="163" t="n">
        <v>45618</v>
      </c>
      <c r="G175" t="inlineStr"/>
      <c r="H175" t="inlineStr">
        <is>
          <t>4800002740</t>
        </is>
      </c>
      <c r="I175" t="inlineStr">
        <is>
          <t>360</t>
        </is>
      </c>
      <c r="J175" s="163" t="n">
        <v>45618</v>
      </c>
      <c r="K175" s="163" t="inlineStr"/>
      <c r="L175" t="inlineStr"/>
      <c r="M175" s="163" t="n">
        <v>45619</v>
      </c>
      <c r="N175" s="164" t="n">
        <v>0</v>
      </c>
      <c r="O175" s="164" t="n">
        <v>0</v>
      </c>
      <c r="P175" t="inlineStr"/>
      <c r="Q175" s="165" t="n">
        <v>2</v>
      </c>
      <c r="R175" s="165" t="n">
        <v>2</v>
      </c>
      <c r="S175" s="165" t="n">
        <v>2</v>
      </c>
      <c r="T175" s="165" t="n">
        <v>0</v>
      </c>
      <c r="U175" s="166" t="n">
        <v>0</v>
      </c>
      <c r="V175" s="166" t="n">
        <v>0</v>
      </c>
      <c r="W175" t="inlineStr">
        <is>
          <t>X</t>
        </is>
      </c>
      <c r="X175" t="inlineStr">
        <is>
          <t>0.00</t>
        </is>
      </c>
      <c r="Y175" t="inlineStr"/>
      <c r="Z175" t="inlineStr">
        <is>
          <t>AMIDATA, S.A.</t>
        </is>
      </c>
      <c r="AA175" t="inlineStr"/>
      <c r="AB175" t="inlineStr">
        <is>
          <t>2368153</t>
        </is>
      </c>
      <c r="AC175" t="inlineStr"/>
      <c r="AD175" s="164" t="n">
        <v>0</v>
      </c>
      <c r="AE175" s="185" t="n">
        <v>0</v>
      </c>
      <c r="AG175" s="167" t="inlineStr">
        <is>
          <t>7218|JA2582_1001</t>
        </is>
      </c>
      <c r="AH175" s="46">
        <f>IF(M175=0,"-",M175-J175)</f>
        <v/>
      </c>
      <c r="AI175" s="46">
        <f>IF(AND(S175=0,M175&gt;0,L175=0),IF(AH175&gt;=120,"VERY HIGH",IF(AH175&gt;=90,"HIGH",IF(AH175&gt;=60,"MEDIUM",IF(AH175&lt;60,"LOW")))),"-")</f>
        <v/>
      </c>
      <c r="AJ175" s="12" t="n"/>
      <c r="AK175" s="41">
        <f>IF(AND(W175="X",M175&lt;=$AJ$2),"YES","")</f>
        <v/>
      </c>
      <c r="AL175" s="38">
        <f>IF(AND(W175="X",M175&lt;=$AJ$2),S175,"")</f>
        <v/>
      </c>
      <c r="AM175" s="26">
        <f>IF(AND(W175="X",M175&gt;$AJ$2),"YES","")</f>
        <v/>
      </c>
      <c r="AN175" s="89">
        <f>IF(AND(W175="X",M175&gt;$AJ$2),S175,"")</f>
        <v/>
      </c>
      <c r="AO175" s="35">
        <f>IF(AND(W175="",M175&gt;0,$AJ$2&gt;M175,L175=""),1,0)</f>
        <v/>
      </c>
      <c r="AP175" s="26">
        <f>IF(AND(AK175="YES",W175="X"),"X","")</f>
        <v/>
      </c>
      <c r="AQ175" s="28">
        <f>IF(AP175="X",100%,0%)</f>
        <v/>
      </c>
      <c r="AR175" s="25">
        <f>IF(AND(T175&gt;0,L175=""),H175,"")</f>
        <v/>
      </c>
      <c r="AS175" s="25">
        <f>IF(AND(D175&gt;0,H175=0,G175=""),1,"")</f>
        <v/>
      </c>
      <c r="AT175" s="25">
        <f>IF(G175="BLOQ",1,"")</f>
        <v/>
      </c>
      <c r="AU175" s="25">
        <f>IF(L175="BLOQ",1,"")</f>
        <v/>
      </c>
      <c r="AV175" s="25">
        <f>MONTH(F175)</f>
        <v/>
      </c>
      <c r="AW175" s="65">
        <f>IF(AP175="",100%,0%)</f>
        <v/>
      </c>
      <c r="AX175" s="23" t="n"/>
      <c r="AY175" s="24">
        <f>IF(M175=0,"",M175-$AX$2)</f>
        <v/>
      </c>
      <c r="AZ175" s="66">
        <f>IF(AND(W175="",AY175&gt;0,AY175&lt;15),1,0)</f>
        <v/>
      </c>
      <c r="BA175" s="24">
        <f>IF(AND(W175="",AY175&gt;0,AY175&lt;15),T175,"")</f>
        <v/>
      </c>
      <c r="BB175" s="87">
        <f>IF(R175&lt;Q175,"X","")</f>
        <v/>
      </c>
      <c r="BC175" s="190" t="inlineStr">
        <is>
          <t>NO</t>
        </is>
      </c>
      <c r="BD175" s="190" t="inlineStr">
        <is>
          <t>NO</t>
        </is>
      </c>
    </row>
    <row r="176" ht="15" customHeight="1" s="162">
      <c r="A176" s="7" t="n">
        <v>175</v>
      </c>
      <c r="B176" t="inlineStr">
        <is>
          <t>39121413</t>
        </is>
      </c>
      <c r="C176" t="inlineStr">
        <is>
          <t>Protecci&amp;#243;n contra tirones Plateado</t>
        </is>
      </c>
      <c r="D176" t="inlineStr">
        <is>
          <t>1101808337</t>
        </is>
      </c>
      <c r="E176" t="inlineStr">
        <is>
          <t>2</t>
        </is>
      </c>
      <c r="F176" s="163" t="n">
        <v>45618</v>
      </c>
      <c r="G176" t="inlineStr"/>
      <c r="H176" t="inlineStr">
        <is>
          <t>4800002740</t>
        </is>
      </c>
      <c r="I176" t="inlineStr">
        <is>
          <t>370</t>
        </is>
      </c>
      <c r="J176" s="163" t="n">
        <v>45618</v>
      </c>
      <c r="K176" s="163" t="inlineStr"/>
      <c r="L176" t="inlineStr"/>
      <c r="M176" s="163" t="n">
        <v>45619</v>
      </c>
      <c r="N176" s="164" t="n">
        <v>0</v>
      </c>
      <c r="O176" s="164" t="n">
        <v>0</v>
      </c>
      <c r="P176" t="inlineStr"/>
      <c r="Q176" s="165" t="n">
        <v>2</v>
      </c>
      <c r="R176" s="165" t="n">
        <v>2</v>
      </c>
      <c r="S176" s="165" t="n">
        <v>2</v>
      </c>
      <c r="T176" s="165" t="n">
        <v>0</v>
      </c>
      <c r="U176" s="166" t="n">
        <v>0</v>
      </c>
      <c r="V176" s="166" t="n">
        <v>0</v>
      </c>
      <c r="W176" t="inlineStr">
        <is>
          <t>X</t>
        </is>
      </c>
      <c r="X176" t="inlineStr">
        <is>
          <t>0.00</t>
        </is>
      </c>
      <c r="Y176" t="inlineStr"/>
      <c r="Z176" t="inlineStr">
        <is>
          <t>AMIDATA, S.A.</t>
        </is>
      </c>
      <c r="AA176" t="inlineStr"/>
      <c r="AB176" t="inlineStr">
        <is>
          <t>2614964</t>
        </is>
      </c>
      <c r="AC176" t="inlineStr"/>
      <c r="AD176" s="164" t="n">
        <v>0</v>
      </c>
      <c r="AE176" s="185" t="n">
        <v>0</v>
      </c>
      <c r="AG176" s="167" t="inlineStr">
        <is>
          <t>7218|JA2582_1001</t>
        </is>
      </c>
      <c r="AH176" s="46">
        <f>IF(M176=0,"-",M176-J176)</f>
        <v/>
      </c>
      <c r="AI176" s="46">
        <f>IF(AND(S176=0,M176&gt;0,L176=0),IF(AH176&gt;=120,"VERY HIGH",IF(AH176&gt;=90,"HIGH",IF(AH176&gt;=60,"MEDIUM",IF(AH176&lt;60,"LOW")))),"-")</f>
        <v/>
      </c>
      <c r="AJ176" s="12" t="n"/>
      <c r="AK176" s="41">
        <f>IF(AND(W176="X",M176&lt;=$AJ$2),"YES","")</f>
        <v/>
      </c>
      <c r="AL176" s="38">
        <f>IF(AND(W176="X",M176&lt;=$AJ$2),S176,"")</f>
        <v/>
      </c>
      <c r="AM176" s="26">
        <f>IF(AND(W176="X",M176&gt;$AJ$2),"YES","")</f>
        <v/>
      </c>
      <c r="AN176" s="89">
        <f>IF(AND(W176="X",M176&gt;$AJ$2),S176,"")</f>
        <v/>
      </c>
      <c r="AO176" s="35">
        <f>IF(AND(W176="",M176&gt;0,$AJ$2&gt;M176,L176=""),1,0)</f>
        <v/>
      </c>
      <c r="AP176" s="26">
        <f>IF(AND(AK176="YES",W176="X"),"X","")</f>
        <v/>
      </c>
      <c r="AQ176" s="28">
        <f>IF(AP176="X",100%,0%)</f>
        <v/>
      </c>
      <c r="AR176" s="25">
        <f>IF(AND(T176&gt;0,L176=""),H176,"")</f>
        <v/>
      </c>
      <c r="AS176" s="25">
        <f>IF(AND(D176&gt;0,H176=0,G176=""),1,"")</f>
        <v/>
      </c>
      <c r="AT176" s="25">
        <f>IF(G176="BLOQ",1,"")</f>
        <v/>
      </c>
      <c r="AU176" s="25">
        <f>IF(L176="BLOQ",1,"")</f>
        <v/>
      </c>
      <c r="AV176" s="25">
        <f>MONTH(F176)</f>
        <v/>
      </c>
      <c r="AW176" s="65">
        <f>IF(AP176="",100%,0%)</f>
        <v/>
      </c>
      <c r="AX176" s="23" t="n"/>
      <c r="AY176" s="24">
        <f>IF(M176=0,"",M176-$AX$2)</f>
        <v/>
      </c>
      <c r="AZ176" s="66">
        <f>IF(AND(W176="",AY176&gt;0,AY176&lt;15),1,0)</f>
        <v/>
      </c>
      <c r="BA176" s="24">
        <f>IF(AND(W176="",AY176&gt;0,AY176&lt;15),T176,"")</f>
        <v/>
      </c>
      <c r="BB176" s="87">
        <f>IF(R176&lt;Q176,"X","")</f>
        <v/>
      </c>
      <c r="BC176" s="190" t="inlineStr">
        <is>
          <t>NO</t>
        </is>
      </c>
      <c r="BD176" s="190" t="inlineStr">
        <is>
          <t>NO</t>
        </is>
      </c>
    </row>
    <row r="177" ht="15" customHeight="1" s="162">
      <c r="A177" s="7" t="n">
        <v>176</v>
      </c>
      <c r="B177" t="inlineStr"/>
      <c r="C177" t="inlineStr">
        <is>
          <t>ADAPTACIÓN DEL BASEFRAME</t>
        </is>
      </c>
      <c r="D177" t="inlineStr">
        <is>
          <t>1101809006</t>
        </is>
      </c>
      <c r="E177" t="inlineStr">
        <is>
          <t>1</t>
        </is>
      </c>
      <c r="F177" s="163" t="n">
        <v>45621</v>
      </c>
      <c r="G177" t="inlineStr"/>
      <c r="H177" t="inlineStr">
        <is>
          <t>4300336226</t>
        </is>
      </c>
      <c r="I177" t="inlineStr">
        <is>
          <t>10</t>
        </is>
      </c>
      <c r="J177" s="163" t="n">
        <v>45624</v>
      </c>
      <c r="K177" s="163" t="n">
        <v>45625</v>
      </c>
      <c r="L177" t="inlineStr"/>
      <c r="M177" s="163" t="n">
        <v>45650</v>
      </c>
      <c r="N177" s="164" t="n">
        <v>0</v>
      </c>
      <c r="O177" s="164" t="n">
        <v>0</v>
      </c>
      <c r="P177" t="inlineStr">
        <is>
          <t>Liberado</t>
        </is>
      </c>
      <c r="Q177" s="166" t="n">
        <v>1</v>
      </c>
      <c r="R177" s="164" t="n">
        <v>1</v>
      </c>
      <c r="S177" s="164" t="n">
        <v>0</v>
      </c>
      <c r="T177" s="164" t="n">
        <v>0</v>
      </c>
      <c r="U177" s="166" t="n">
        <v>0</v>
      </c>
      <c r="V177" s="166" t="n">
        <v>0</v>
      </c>
      <c r="W177" t="inlineStr">
        <is>
          <t>X</t>
        </is>
      </c>
      <c r="X177" t="inlineStr">
        <is>
          <t>0.00</t>
        </is>
      </c>
      <c r="Y177" t="inlineStr"/>
      <c r="Z177" t="inlineStr">
        <is>
          <t>TALLERES XUQUER, SL</t>
        </is>
      </c>
      <c r="AA177" t="inlineStr"/>
      <c r="AB177" t="inlineStr"/>
      <c r="AC177" t="inlineStr"/>
      <c r="AD177" s="164" t="n">
        <v>0</v>
      </c>
      <c r="AE177" s="185" t="n">
        <v>0</v>
      </c>
      <c r="AG177" s="167" t="inlineStr">
        <is>
          <t>7218|JA2580_1001</t>
        </is>
      </c>
      <c r="AH177" s="46">
        <f>IF(M177=0,"-",M177-J177)</f>
        <v/>
      </c>
      <c r="AI177" s="46">
        <f>IF(AND(S177=0,M177&gt;0,L177=0),IF(AH177&gt;=120,"VERY HIGH",IF(AH177&gt;=90,"HIGH",IF(AH177&gt;=60,"MEDIUM",IF(AH177&lt;60,"LOW")))),"-")</f>
        <v/>
      </c>
      <c r="AJ177" s="12" t="n"/>
      <c r="AK177" s="41">
        <f>IF(AND(W177="X",M177&lt;=$AJ$2),"YES","")</f>
        <v/>
      </c>
      <c r="AL177" s="38">
        <f>IF(AND(W177="X",M177&lt;=$AJ$2),S177,"")</f>
        <v/>
      </c>
      <c r="AM177" s="26">
        <f>IF(AND(W177="X",M177&gt;$AJ$2),"YES","")</f>
        <v/>
      </c>
      <c r="AN177" s="89">
        <f>IF(AND(W177="X",M177&gt;$AJ$2),S177,"")</f>
        <v/>
      </c>
      <c r="AO177" s="35">
        <f>IF(AND(W177="",M177&gt;0,$AJ$2&gt;M177,L177=""),1,0)</f>
        <v/>
      </c>
      <c r="AP177" s="26">
        <f>IF(AND(AK177="YES",W177="X"),"X","")</f>
        <v/>
      </c>
      <c r="AQ177" s="28">
        <f>IF(AP177="X",100%,0%)</f>
        <v/>
      </c>
      <c r="AR177" s="25">
        <f>IF(AND(T177&gt;0,L177=""),H177,"")</f>
        <v/>
      </c>
      <c r="AS177" s="25">
        <f>IF(AND(D177&gt;0,H177=0,G177=""),1,"")</f>
        <v/>
      </c>
      <c r="AT177" s="25">
        <f>IF(G177="BLOQ",1,"")</f>
        <v/>
      </c>
      <c r="AU177" s="25">
        <f>IF(L177="BLOQ",1,"")</f>
        <v/>
      </c>
      <c r="AV177" s="25">
        <f>MONTH(F177)</f>
        <v/>
      </c>
      <c r="AW177" s="65">
        <f>IF(AP177="",100%,0%)</f>
        <v/>
      </c>
      <c r="AX177" s="23" t="n"/>
      <c r="AY177" s="24">
        <f>IF(M177=0,"",M177-$AX$2)</f>
        <v/>
      </c>
      <c r="AZ177" s="66">
        <f>IF(AND(W177="",AY177&gt;0,AY177&lt;15),1,0)</f>
        <v/>
      </c>
      <c r="BA177" s="24">
        <f>IF(AND(W177="",AY177&gt;0,AY177&lt;15),T177,"")</f>
        <v/>
      </c>
      <c r="BB177" s="87">
        <f>IF(R177&lt;Q177,"X","")</f>
        <v/>
      </c>
      <c r="BC177" s="190" t="inlineStr">
        <is>
          <t>NO</t>
        </is>
      </c>
      <c r="BD177" s="190" t="inlineStr">
        <is>
          <t>NO</t>
        </is>
      </c>
    </row>
    <row r="178" ht="15" customHeight="1" s="162">
      <c r="A178" s="7" t="n">
        <v>177</v>
      </c>
      <c r="B178" t="inlineStr"/>
      <c r="C178" t="inlineStr">
        <is>
          <t>PUESTA A PUNTO/EN SERVICIO SIMULACION</t>
        </is>
      </c>
      <c r="D178" t="inlineStr">
        <is>
          <t>1101810000</t>
        </is>
      </c>
      <c r="E178" t="inlineStr">
        <is>
          <t>1</t>
        </is>
      </c>
      <c r="F178" s="163" t="n">
        <v>45623</v>
      </c>
      <c r="G178" t="inlineStr"/>
      <c r="H178" t="inlineStr">
        <is>
          <t>4300336149</t>
        </is>
      </c>
      <c r="I178" t="inlineStr">
        <is>
          <t>10</t>
        </is>
      </c>
      <c r="J178" s="163" t="n">
        <v>45623</v>
      </c>
      <c r="K178" s="163" t="n">
        <v>45702</v>
      </c>
      <c r="L178" t="inlineStr"/>
      <c r="M178" s="163" t="n">
        <v>45656</v>
      </c>
      <c r="N178" s="164" t="n">
        <v>0</v>
      </c>
      <c r="O178" s="164" t="n">
        <v>0</v>
      </c>
      <c r="P178" t="inlineStr">
        <is>
          <t>Liberado</t>
        </is>
      </c>
      <c r="Q178" s="166" t="n">
        <v>1</v>
      </c>
      <c r="R178" s="164" t="n">
        <v>1</v>
      </c>
      <c r="S178" s="164" t="n">
        <v>0</v>
      </c>
      <c r="T178" s="164" t="n">
        <v>0</v>
      </c>
      <c r="U178" s="166" t="n">
        <v>0</v>
      </c>
      <c r="V178" s="166" t="n">
        <v>0</v>
      </c>
      <c r="W178" t="inlineStr">
        <is>
          <t>X</t>
        </is>
      </c>
      <c r="X178" t="inlineStr">
        <is>
          <t>0.00</t>
        </is>
      </c>
      <c r="Y178" t="inlineStr"/>
      <c r="Z178" t="inlineStr">
        <is>
          <t>YNTEGRA SERV.INTEGRALES, S.L.</t>
        </is>
      </c>
      <c r="AA178" t="inlineStr"/>
      <c r="AB178" t="inlineStr"/>
      <c r="AC178" t="inlineStr"/>
      <c r="AD178" s="164" t="n">
        <v>0</v>
      </c>
      <c r="AE178" s="185" t="n">
        <v>0</v>
      </c>
      <c r="AG178" s="167" t="inlineStr">
        <is>
          <t>7218|JA2582_1001</t>
        </is>
      </c>
      <c r="AH178" s="46">
        <f>IF(M178=0,"-",M178-J178)</f>
        <v/>
      </c>
      <c r="AI178" s="46">
        <f>IF(AND(S178=0,M178&gt;0,L178=0),IF(AH178&gt;=120,"VERY HIGH",IF(AH178&gt;=90,"HIGH",IF(AH178&gt;=60,"MEDIUM",IF(AH178&lt;60,"LOW")))),"-")</f>
        <v/>
      </c>
      <c r="AJ178" s="12" t="n"/>
      <c r="AK178" s="41">
        <f>IF(AND(W178="X",M178&lt;=$AJ$2),"YES","")</f>
        <v/>
      </c>
      <c r="AL178" s="38">
        <f>IF(AND(W178="X",M178&lt;=$AJ$2),S178,"")</f>
        <v/>
      </c>
      <c r="AM178" s="26">
        <f>IF(AND(W178="X",M178&gt;$AJ$2),"YES","")</f>
        <v/>
      </c>
      <c r="AN178" s="89">
        <f>IF(AND(W178="X",M178&gt;$AJ$2),S178,"")</f>
        <v/>
      </c>
      <c r="AO178" s="35">
        <f>IF(AND(W178="",M178&gt;0,$AJ$2&gt;M178,L178=""),1,0)</f>
        <v/>
      </c>
      <c r="AP178" s="26">
        <f>IF(AND(AK178="YES",W178="X"),"X","")</f>
        <v/>
      </c>
      <c r="AQ178" s="28">
        <f>IF(AP178="X",100%,0%)</f>
        <v/>
      </c>
      <c r="AR178" s="25">
        <f>IF(AND(T178&gt;0,L178=""),H178,"")</f>
        <v/>
      </c>
      <c r="AS178" s="25">
        <f>IF(AND(D178&gt;0,H178=0,G178=""),1,"")</f>
        <v/>
      </c>
      <c r="AT178" s="25">
        <f>IF(G178="BLOQ",1,"")</f>
        <v/>
      </c>
      <c r="AU178" s="25">
        <f>IF(L178="BLOQ",1,"")</f>
        <v/>
      </c>
      <c r="AV178" s="25">
        <f>MONTH(F178)</f>
        <v/>
      </c>
      <c r="AW178" s="65">
        <f>IF(AP178="",100%,0%)</f>
        <v/>
      </c>
      <c r="AX178" s="23" t="n"/>
      <c r="AY178" s="24">
        <f>IF(M178=0,"",M178-$AX$2)</f>
        <v/>
      </c>
      <c r="AZ178" s="66">
        <f>IF(AND(W178="",AY178&gt;0,AY178&lt;15),1,0)</f>
        <v/>
      </c>
      <c r="BA178" s="24">
        <f>IF(AND(W178="",AY178&gt;0,AY178&lt;15),T178,"")</f>
        <v/>
      </c>
      <c r="BB178" s="87">
        <f>IF(R178&lt;Q178,"X","")</f>
        <v/>
      </c>
      <c r="BC178" s="190" t="inlineStr">
        <is>
          <t>NO</t>
        </is>
      </c>
      <c r="BD178" s="190" t="inlineStr">
        <is>
          <t>NO</t>
        </is>
      </c>
    </row>
    <row r="179" ht="15" customHeight="1" s="162">
      <c r="A179" s="7" t="n">
        <v>178</v>
      </c>
      <c r="B179" t="inlineStr">
        <is>
          <t>39121412</t>
        </is>
      </c>
      <c r="C179" t="inlineStr">
        <is>
          <t>Carcasa de conector circular Amphenol Li</t>
        </is>
      </c>
      <c r="D179" t="inlineStr">
        <is>
          <t>1101810008</t>
        </is>
      </c>
      <c r="E179" t="inlineStr">
        <is>
          <t>1</t>
        </is>
      </c>
      <c r="F179" s="163" t="n">
        <v>45623</v>
      </c>
      <c r="G179" t="inlineStr"/>
      <c r="H179" t="inlineStr">
        <is>
          <t>4800002747</t>
        </is>
      </c>
      <c r="I179" t="inlineStr">
        <is>
          <t>450</t>
        </is>
      </c>
      <c r="J179" s="163" t="n">
        <v>45622</v>
      </c>
      <c r="K179" s="163" t="inlineStr"/>
      <c r="L179" t="inlineStr"/>
      <c r="M179" s="163" t="n">
        <v>45624</v>
      </c>
      <c r="N179" s="164" t="n">
        <v>0</v>
      </c>
      <c r="O179" s="164" t="n">
        <v>0</v>
      </c>
      <c r="P179" t="inlineStr"/>
      <c r="Q179" s="165" t="n">
        <v>2</v>
      </c>
      <c r="R179" s="165" t="n">
        <v>2</v>
      </c>
      <c r="S179" s="165" t="n">
        <v>2</v>
      </c>
      <c r="T179" s="165" t="n">
        <v>0</v>
      </c>
      <c r="U179" s="166" t="n">
        <v>0</v>
      </c>
      <c r="V179" s="166" t="n">
        <v>0</v>
      </c>
      <c r="W179" t="inlineStr">
        <is>
          <t>X</t>
        </is>
      </c>
      <c r="X179" t="inlineStr">
        <is>
          <t>0.00</t>
        </is>
      </c>
      <c r="Y179" t="inlineStr"/>
      <c r="Z179" t="inlineStr">
        <is>
          <t>AMIDATA, S.A.</t>
        </is>
      </c>
      <c r="AA179" t="inlineStr"/>
      <c r="AB179" t="inlineStr">
        <is>
          <t>2067562</t>
        </is>
      </c>
      <c r="AC179" t="inlineStr"/>
      <c r="AD179" s="164" t="n">
        <v>0</v>
      </c>
      <c r="AE179" s="185" t="n">
        <v>0</v>
      </c>
      <c r="AG179" s="167" t="inlineStr">
        <is>
          <t>7218|JA2582_1001</t>
        </is>
      </c>
      <c r="AH179" s="46">
        <f>IF(M179=0,"-",M179-J179)</f>
        <v/>
      </c>
      <c r="AI179" s="46">
        <f>IF(AND(S179=0,M179&gt;0,L179=0),IF(AH179&gt;=120,"VERY HIGH",IF(AH179&gt;=90,"HIGH",IF(AH179&gt;=60,"MEDIUM",IF(AH179&lt;60,"LOW")))),"-")</f>
        <v/>
      </c>
      <c r="AJ179" s="12" t="n"/>
      <c r="AK179" s="41">
        <f>IF(AND(W179="X",M179&lt;=$AJ$2),"YES","")</f>
        <v/>
      </c>
      <c r="AL179" s="38">
        <f>IF(AND(W179="X",M179&lt;=$AJ$2),S179,"")</f>
        <v/>
      </c>
      <c r="AM179" s="26">
        <f>IF(AND(W179="X",M179&gt;$AJ$2),"YES","")</f>
        <v/>
      </c>
      <c r="AN179" s="89">
        <f>IF(AND(W179="X",M179&gt;$AJ$2),S179,"")</f>
        <v/>
      </c>
      <c r="AO179" s="35">
        <f>IF(AND(W179="",M179&gt;0,$AJ$2&gt;M179,L179=""),1,0)</f>
        <v/>
      </c>
      <c r="AP179" s="26">
        <f>IF(AND(AK179="YES",W179="X"),"X","")</f>
        <v/>
      </c>
      <c r="AQ179" s="28">
        <f>IF(AP179="X",100%,0%)</f>
        <v/>
      </c>
      <c r="AR179" s="25">
        <f>IF(AND(T179&gt;0,L179=""),H179,"")</f>
        <v/>
      </c>
      <c r="AS179" s="25">
        <f>IF(AND(D179&gt;0,H179=0,G179=""),1,"")</f>
        <v/>
      </c>
      <c r="AT179" s="25">
        <f>IF(G179="BLOQ",1,"")</f>
        <v/>
      </c>
      <c r="AU179" s="25">
        <f>IF(L179="BLOQ",1,"")</f>
        <v/>
      </c>
      <c r="AV179" s="25">
        <f>MONTH(F179)</f>
        <v/>
      </c>
      <c r="AW179" s="65">
        <f>IF(AP179="",100%,0%)</f>
        <v/>
      </c>
      <c r="AX179" s="23" t="n"/>
      <c r="AY179" s="24">
        <f>IF(M179=0,"",M179-$AX$2)</f>
        <v/>
      </c>
      <c r="AZ179" s="66">
        <f>IF(AND(W179="",AY179&gt;0,AY179&lt;15),1,0)</f>
        <v/>
      </c>
      <c r="BA179" s="24">
        <f>IF(AND(W179="",AY179&gt;0,AY179&lt;15),T179,"")</f>
        <v/>
      </c>
      <c r="BB179" s="87">
        <f>IF(R179&lt;Q179,"X","")</f>
        <v/>
      </c>
      <c r="BC179" s="190" t="inlineStr">
        <is>
          <t>NO</t>
        </is>
      </c>
      <c r="BD179" s="190" t="inlineStr">
        <is>
          <t>NO</t>
        </is>
      </c>
    </row>
    <row r="180" ht="15" customHeight="1" s="162">
      <c r="A180" s="7" t="n">
        <v>179</v>
      </c>
      <c r="B180" t="inlineStr">
        <is>
          <t>39121412</t>
        </is>
      </c>
      <c r="C180" t="inlineStr">
        <is>
          <t>Carcasa de conector circular Amphenol M8</t>
        </is>
      </c>
      <c r="D180" t="inlineStr">
        <is>
          <t>1101810012</t>
        </is>
      </c>
      <c r="E180" t="inlineStr">
        <is>
          <t>1</t>
        </is>
      </c>
      <c r="F180" s="163" t="n">
        <v>45623</v>
      </c>
      <c r="G180" t="inlineStr"/>
      <c r="H180" t="inlineStr">
        <is>
          <t>4800002747</t>
        </is>
      </c>
      <c r="I180" t="inlineStr">
        <is>
          <t>460</t>
        </is>
      </c>
      <c r="J180" s="163" t="n">
        <v>45622</v>
      </c>
      <c r="K180" s="163" t="inlineStr"/>
      <c r="L180" t="inlineStr"/>
      <c r="M180" s="163" t="n">
        <v>45624</v>
      </c>
      <c r="N180" s="164" t="n">
        <v>0</v>
      </c>
      <c r="O180" s="164" t="n">
        <v>0</v>
      </c>
      <c r="P180" t="inlineStr"/>
      <c r="Q180" s="165" t="n">
        <v>2</v>
      </c>
      <c r="R180" s="165" t="n">
        <v>2</v>
      </c>
      <c r="S180" s="165" t="n">
        <v>2</v>
      </c>
      <c r="T180" s="165" t="n">
        <v>0</v>
      </c>
      <c r="U180" s="166" t="n">
        <v>0</v>
      </c>
      <c r="V180" s="166" t="n">
        <v>0</v>
      </c>
      <c r="W180" t="inlineStr">
        <is>
          <t>X</t>
        </is>
      </c>
      <c r="X180" t="inlineStr">
        <is>
          <t>0.00</t>
        </is>
      </c>
      <c r="Y180" t="inlineStr"/>
      <c r="Z180" t="inlineStr">
        <is>
          <t>AMIDATA, S.A.</t>
        </is>
      </c>
      <c r="AA180" t="inlineStr"/>
      <c r="AB180" t="inlineStr">
        <is>
          <t>2067519</t>
        </is>
      </c>
      <c r="AC180" t="inlineStr"/>
      <c r="AD180" s="164" t="n">
        <v>0</v>
      </c>
      <c r="AE180" s="185" t="n">
        <v>0</v>
      </c>
      <c r="AG180" s="167" t="inlineStr">
        <is>
          <t>7218|JA2593_1001</t>
        </is>
      </c>
      <c r="AH180" s="46">
        <f>IF(M180=0,"-",M180-J180)</f>
        <v/>
      </c>
      <c r="AI180" s="46">
        <f>IF(AND(S180=0,M180&gt;0,L180=0),IF(AH180&gt;=120,"VERY HIGH",IF(AH180&gt;=90,"HIGH",IF(AH180&gt;=60,"MEDIUM",IF(AH180&lt;60,"LOW")))),"-")</f>
        <v/>
      </c>
      <c r="AJ180" s="12" t="n"/>
      <c r="AK180" s="41">
        <f>IF(AND(W180="X",M180&lt;=$AJ$2),"YES","")</f>
        <v/>
      </c>
      <c r="AL180" s="38">
        <f>IF(AND(W180="X",M180&lt;=$AJ$2),S180,"")</f>
        <v/>
      </c>
      <c r="AM180" s="26">
        <f>IF(AND(W180="X",M180&gt;$AJ$2),"YES","")</f>
        <v/>
      </c>
      <c r="AN180" s="89">
        <f>IF(AND(W180="X",M180&gt;$AJ$2),S180,"")</f>
        <v/>
      </c>
      <c r="AO180" s="35">
        <f>IF(AND(W180="",M180&gt;0,$AJ$2&gt;M180,L180=""),1,0)</f>
        <v/>
      </c>
      <c r="AP180" s="26">
        <f>IF(AND(AK180="YES",W180="X"),"X","")</f>
        <v/>
      </c>
      <c r="AQ180" s="28">
        <f>IF(AP180="X",100%,0%)</f>
        <v/>
      </c>
      <c r="AR180" s="25">
        <f>IF(AND(T180&gt;0,L180=""),H180,"")</f>
        <v/>
      </c>
      <c r="AS180" s="25">
        <f>IF(AND(D180&gt;0,H180=0,G180=""),1,"")</f>
        <v/>
      </c>
      <c r="AT180" s="25">
        <f>IF(G180="BLOQ",1,"")</f>
        <v/>
      </c>
      <c r="AU180" s="25">
        <f>IF(L180="BLOQ",1,"")</f>
        <v/>
      </c>
      <c r="AV180" s="25">
        <f>MONTH(F180)</f>
        <v/>
      </c>
      <c r="AW180" s="65">
        <f>IF(AP180="",100%,0%)</f>
        <v/>
      </c>
      <c r="AX180" s="23" t="n"/>
      <c r="AY180" s="24">
        <f>IF(M180=0,"",M180-$AX$2)</f>
        <v/>
      </c>
      <c r="AZ180" s="66">
        <f>IF(AND(W180="",AY180&gt;0,AY180&lt;15),1,0)</f>
        <v/>
      </c>
      <c r="BA180" s="24">
        <f>IF(AND(W180="",AY180&gt;0,AY180&lt;15),T180,"")</f>
        <v/>
      </c>
      <c r="BB180" s="87">
        <f>IF(R180&lt;Q180,"X","")</f>
        <v/>
      </c>
      <c r="BC180" s="190" t="inlineStr">
        <is>
          <t>NO</t>
        </is>
      </c>
      <c r="BD180" s="190" t="inlineStr">
        <is>
          <t>NO</t>
        </is>
      </c>
    </row>
    <row r="181" ht="15" customHeight="1" s="162">
      <c r="A181" s="7" t="n">
        <v>180</v>
      </c>
      <c r="B181" t="inlineStr">
        <is>
          <t>39121402</t>
        </is>
      </c>
      <c r="C181" t="inlineStr">
        <is>
          <t>Toma Kopp de 2P de color Negro, para Eur</t>
        </is>
      </c>
      <c r="D181" t="inlineStr">
        <is>
          <t>1101810025</t>
        </is>
      </c>
      <c r="E181" t="inlineStr">
        <is>
          <t>1</t>
        </is>
      </c>
      <c r="F181" s="163" t="n">
        <v>45623</v>
      </c>
      <c r="G181" t="inlineStr"/>
      <c r="H181" t="inlineStr">
        <is>
          <t>4800002747</t>
        </is>
      </c>
      <c r="I181" t="inlineStr">
        <is>
          <t>470</t>
        </is>
      </c>
      <c r="J181" s="163" t="n">
        <v>45622</v>
      </c>
      <c r="K181" s="163" t="inlineStr"/>
      <c r="L181" t="inlineStr"/>
      <c r="M181" s="163" t="n">
        <v>45624</v>
      </c>
      <c r="N181" s="164" t="n">
        <v>0</v>
      </c>
      <c r="O181" s="164" t="n">
        <v>0</v>
      </c>
      <c r="P181" t="inlineStr"/>
      <c r="Q181" s="165" t="n">
        <v>1</v>
      </c>
      <c r="R181" s="165" t="n">
        <v>1</v>
      </c>
      <c r="S181" s="165" t="n">
        <v>1</v>
      </c>
      <c r="T181" s="165" t="n">
        <v>0</v>
      </c>
      <c r="U181" s="166" t="n">
        <v>0</v>
      </c>
      <c r="V181" s="166" t="n">
        <v>0</v>
      </c>
      <c r="W181" t="inlineStr">
        <is>
          <t>X</t>
        </is>
      </c>
      <c r="X181" t="inlineStr">
        <is>
          <t>0.00</t>
        </is>
      </c>
      <c r="Y181" t="inlineStr"/>
      <c r="Z181" t="inlineStr">
        <is>
          <t>AMIDATA, S.A.</t>
        </is>
      </c>
      <c r="AA181" t="inlineStr"/>
      <c r="AB181" t="inlineStr">
        <is>
          <t>2425811</t>
        </is>
      </c>
      <c r="AC181" t="inlineStr"/>
      <c r="AD181" s="164" t="n">
        <v>0</v>
      </c>
      <c r="AE181" s="185" t="n">
        <v>0</v>
      </c>
      <c r="AG181" s="167" t="inlineStr">
        <is>
          <t>7218|JA2593_1001</t>
        </is>
      </c>
      <c r="AH181" s="46">
        <f>IF(M181=0,"-",M181-J181)</f>
        <v/>
      </c>
      <c r="AI181" s="46">
        <f>IF(AND(S181=0,M181&gt;0,L181=0),IF(AH181&gt;=120,"VERY HIGH",IF(AH181&gt;=90,"HIGH",IF(AH181&gt;=60,"MEDIUM",IF(AH181&lt;60,"LOW")))),"-")</f>
        <v/>
      </c>
      <c r="AJ181" s="12" t="n"/>
      <c r="AK181" s="41">
        <f>IF(AND(W181="X",M181&lt;=$AJ$2),"YES","")</f>
        <v/>
      </c>
      <c r="AL181" s="38">
        <f>IF(AND(W181="X",M181&lt;=$AJ$2),S181,"")</f>
        <v/>
      </c>
      <c r="AM181" s="26">
        <f>IF(AND(W181="X",M181&gt;$AJ$2),"YES","")</f>
        <v/>
      </c>
      <c r="AN181" s="89">
        <f>IF(AND(W181="X",M181&gt;$AJ$2),S181,"")</f>
        <v/>
      </c>
      <c r="AO181" s="35">
        <f>IF(AND(W181="",M181&gt;0,$AJ$2&gt;M181,L181=""),1,0)</f>
        <v/>
      </c>
      <c r="AP181" s="26">
        <f>IF(AND(AK181="YES",W181="X"),"X","")</f>
        <v/>
      </c>
      <c r="AQ181" s="28">
        <f>IF(AP181="X",100%,0%)</f>
        <v/>
      </c>
      <c r="AR181" s="25">
        <f>IF(AND(T181&gt;0,L181=""),H181,"")</f>
        <v/>
      </c>
      <c r="AS181" s="25">
        <f>IF(AND(D181&gt;0,H181=0,G181=""),1,"")</f>
        <v/>
      </c>
      <c r="AT181" s="25">
        <f>IF(G181="BLOQ",1,"")</f>
        <v/>
      </c>
      <c r="AU181" s="25">
        <f>IF(L181="BLOQ",1,"")</f>
        <v/>
      </c>
      <c r="AV181" s="25">
        <f>MONTH(F181)</f>
        <v/>
      </c>
      <c r="AW181" s="65">
        <f>IF(AP181="",100%,0%)</f>
        <v/>
      </c>
      <c r="AX181" s="23" t="n"/>
      <c r="AY181" s="24">
        <f>IF(M181=0,"",M181-$AX$2)</f>
        <v/>
      </c>
      <c r="AZ181" s="66">
        <f>IF(AND(W181="",AY181&gt;0,AY181&lt;15),1,0)</f>
        <v/>
      </c>
      <c r="BA181" s="24">
        <f>IF(AND(W181="",AY181&gt;0,AY181&lt;15),T181,"")</f>
        <v/>
      </c>
      <c r="BB181" s="87">
        <f>IF(R181&lt;Q181,"X","")</f>
        <v/>
      </c>
      <c r="BC181" s="190" t="inlineStr">
        <is>
          <t>NO</t>
        </is>
      </c>
      <c r="BD181" s="190" t="inlineStr">
        <is>
          <t>NO</t>
        </is>
      </c>
    </row>
    <row r="182" ht="15" customHeight="1" s="162">
      <c r="A182" s="7" t="n">
        <v>181</v>
      </c>
      <c r="B182" t="inlineStr">
        <is>
          <t>39121402</t>
        </is>
      </c>
      <c r="C182" t="inlineStr">
        <is>
          <t>Toma Kopp de 2P de color Negro, para Eur</t>
        </is>
      </c>
      <c r="D182" t="inlineStr">
        <is>
          <t>1101810025</t>
        </is>
      </c>
      <c r="E182" t="inlineStr">
        <is>
          <t>2</t>
        </is>
      </c>
      <c r="F182" s="163" t="n">
        <v>45623</v>
      </c>
      <c r="G182" t="inlineStr"/>
      <c r="H182" t="inlineStr">
        <is>
          <t>4800002747</t>
        </is>
      </c>
      <c r="I182" t="inlineStr">
        <is>
          <t>480</t>
        </is>
      </c>
      <c r="J182" s="163" t="n">
        <v>45622</v>
      </c>
      <c r="K182" s="163" t="inlineStr"/>
      <c r="L182" t="inlineStr"/>
      <c r="M182" s="163" t="n">
        <v>45624</v>
      </c>
      <c r="N182" s="164" t="n">
        <v>0</v>
      </c>
      <c r="O182" s="164" t="n">
        <v>0</v>
      </c>
      <c r="P182" t="inlineStr"/>
      <c r="Q182" s="165" t="n">
        <v>1</v>
      </c>
      <c r="R182" s="165" t="n">
        <v>1</v>
      </c>
      <c r="S182" s="165" t="n">
        <v>1</v>
      </c>
      <c r="T182" s="165" t="n">
        <v>0</v>
      </c>
      <c r="U182" s="166" t="n">
        <v>0</v>
      </c>
      <c r="V182" s="166" t="n">
        <v>0</v>
      </c>
      <c r="W182" t="inlineStr">
        <is>
          <t>X</t>
        </is>
      </c>
      <c r="X182" t="inlineStr">
        <is>
          <t>0.00</t>
        </is>
      </c>
      <c r="Y182" t="inlineStr"/>
      <c r="Z182" t="inlineStr">
        <is>
          <t>AMIDATA, S.A.</t>
        </is>
      </c>
      <c r="AA182" t="inlineStr"/>
      <c r="AB182" t="inlineStr">
        <is>
          <t>2425811</t>
        </is>
      </c>
      <c r="AC182" t="inlineStr"/>
      <c r="AD182" s="164" t="n">
        <v>0</v>
      </c>
      <c r="AE182" s="185" t="n">
        <v>0</v>
      </c>
      <c r="AG182" s="167" t="inlineStr">
        <is>
          <t>7218|JA2593_1001</t>
        </is>
      </c>
      <c r="AH182" s="46">
        <f>IF(M182=0,"-",M182-J182)</f>
        <v/>
      </c>
      <c r="AI182" s="46">
        <f>IF(AND(S182=0,M182&gt;0,L182=0),IF(AH182&gt;=120,"VERY HIGH",IF(AH182&gt;=90,"HIGH",IF(AH182&gt;=60,"MEDIUM",IF(AH182&lt;60,"LOW")))),"-")</f>
        <v/>
      </c>
      <c r="AJ182" s="12" t="n"/>
      <c r="AK182" s="41">
        <f>IF(AND(W182="X",M182&lt;=$AJ$2),"YES","")</f>
        <v/>
      </c>
      <c r="AL182" s="38">
        <f>IF(AND(W182="X",M182&lt;=$AJ$2),S182,"")</f>
        <v/>
      </c>
      <c r="AM182" s="26">
        <f>IF(AND(W182="X",M182&gt;$AJ$2),"YES","")</f>
        <v/>
      </c>
      <c r="AN182" s="89">
        <f>IF(AND(W182="X",M182&gt;$AJ$2),S182,"")</f>
        <v/>
      </c>
      <c r="AO182" s="35">
        <f>IF(AND(W182="",M182&gt;0,$AJ$2&gt;M182,L182=""),1,0)</f>
        <v/>
      </c>
      <c r="AP182" s="26">
        <f>IF(AND(AK182="YES",W182="X"),"X","")</f>
        <v/>
      </c>
      <c r="AQ182" s="28">
        <f>IF(AP182="X",100%,0%)</f>
        <v/>
      </c>
      <c r="AR182" s="25">
        <f>IF(AND(T182&gt;0,L182=""),H182,"")</f>
        <v/>
      </c>
      <c r="AS182" s="25">
        <f>IF(AND(D182&gt;0,H182=0,G182=""),1,"")</f>
        <v/>
      </c>
      <c r="AT182" s="25">
        <f>IF(G182="BLOQ",1,"")</f>
        <v/>
      </c>
      <c r="AU182" s="25">
        <f>IF(L182="BLOQ",1,"")</f>
        <v/>
      </c>
      <c r="AV182" s="25">
        <f>MONTH(F182)</f>
        <v/>
      </c>
      <c r="AW182" s="65">
        <f>IF(AP182="",100%,0%)</f>
        <v/>
      </c>
      <c r="AX182" s="23" t="n"/>
      <c r="AY182" s="24">
        <f>IF(M182=0,"",M182-$AX$2)</f>
        <v/>
      </c>
      <c r="AZ182" s="66">
        <f>IF(AND(W182="",AY182&gt;0,AY182&lt;15),1,0)</f>
        <v/>
      </c>
      <c r="BA182" s="24">
        <f>IF(AND(W182="",AY182&gt;0,AY182&lt;15),T182,"")</f>
        <v/>
      </c>
      <c r="BB182" s="87">
        <f>IF(R182&lt;Q182,"X","")</f>
        <v/>
      </c>
      <c r="BC182" s="190" t="inlineStr">
        <is>
          <t>NO</t>
        </is>
      </c>
      <c r="BD182" s="190" t="inlineStr">
        <is>
          <t>NO</t>
        </is>
      </c>
    </row>
    <row r="183" ht="15" customHeight="1" s="162">
      <c r="A183" s="7" t="n">
        <v>182</v>
      </c>
      <c r="B183" t="inlineStr">
        <is>
          <t>39121413</t>
        </is>
      </c>
      <c r="C183" t="inlineStr">
        <is>
          <t>Protecci&amp;#243;n contra tirones Plateado</t>
        </is>
      </c>
      <c r="D183" t="inlineStr">
        <is>
          <t>1101810045</t>
        </is>
      </c>
      <c r="E183" t="inlineStr">
        <is>
          <t>1</t>
        </is>
      </c>
      <c r="F183" s="163" t="n">
        <v>45623</v>
      </c>
      <c r="G183" t="inlineStr"/>
      <c r="H183" t="inlineStr">
        <is>
          <t>4800002747</t>
        </is>
      </c>
      <c r="I183" t="inlineStr">
        <is>
          <t>530</t>
        </is>
      </c>
      <c r="J183" s="163" t="n">
        <v>45622</v>
      </c>
      <c r="K183" s="163" t="inlineStr"/>
      <c r="L183" t="inlineStr"/>
      <c r="M183" s="163" t="n">
        <v>45624</v>
      </c>
      <c r="N183" s="164" t="n">
        <v>0</v>
      </c>
      <c r="O183" s="164" t="n">
        <v>0</v>
      </c>
      <c r="P183" t="inlineStr"/>
      <c r="Q183" s="165" t="n">
        <v>2</v>
      </c>
      <c r="R183" s="165" t="n">
        <v>2</v>
      </c>
      <c r="S183" s="165" t="n">
        <v>2</v>
      </c>
      <c r="T183" s="165" t="n">
        <v>0</v>
      </c>
      <c r="U183" s="166" t="n">
        <v>0</v>
      </c>
      <c r="V183" s="166" t="n">
        <v>0</v>
      </c>
      <c r="W183" t="inlineStr">
        <is>
          <t>X</t>
        </is>
      </c>
      <c r="X183" t="inlineStr">
        <is>
          <t>0.00</t>
        </is>
      </c>
      <c r="Y183" t="inlineStr"/>
      <c r="Z183" t="inlineStr">
        <is>
          <t>AMIDATA, S.A.</t>
        </is>
      </c>
      <c r="AA183" t="inlineStr"/>
      <c r="AB183" t="inlineStr">
        <is>
          <t>2614993</t>
        </is>
      </c>
      <c r="AC183" t="inlineStr"/>
      <c r="AD183" s="164" t="n">
        <v>0</v>
      </c>
      <c r="AE183" s="185" t="n">
        <v>0</v>
      </c>
      <c r="AG183" s="167" t="inlineStr">
        <is>
          <t>7218|JA2593_1001</t>
        </is>
      </c>
      <c r="AH183" s="46">
        <f>IF(M183=0,"-",M183-J183)</f>
        <v/>
      </c>
      <c r="AI183" s="46">
        <f>IF(AND(S183=0,M183&gt;0,L183=0),IF(AH183&gt;=120,"VERY HIGH",IF(AH183&gt;=90,"HIGH",IF(AH183&gt;=60,"MEDIUM",IF(AH183&lt;60,"LOW")))),"-")</f>
        <v/>
      </c>
      <c r="AJ183" s="12" t="n"/>
      <c r="AK183" s="41">
        <f>IF(AND(W183="X",M183&lt;=$AJ$2),"YES","")</f>
        <v/>
      </c>
      <c r="AL183" s="38">
        <f>IF(AND(W183="X",M183&lt;=$AJ$2),S183,"")</f>
        <v/>
      </c>
      <c r="AM183" s="26">
        <f>IF(AND(W183="X",M183&gt;$AJ$2),"YES","")</f>
        <v/>
      </c>
      <c r="AN183" s="89">
        <f>IF(AND(W183="X",M183&gt;$AJ$2),S183,"")</f>
        <v/>
      </c>
      <c r="AO183" s="35">
        <f>IF(AND(W183="",M183&gt;0,$AJ$2&gt;M183,L183=""),1,0)</f>
        <v/>
      </c>
      <c r="AP183" s="26">
        <f>IF(AND(AK183="YES",W183="X"),"X","")</f>
        <v/>
      </c>
      <c r="AQ183" s="28">
        <f>IF(AP183="X",100%,0%)</f>
        <v/>
      </c>
      <c r="AR183" s="25">
        <f>IF(AND(T183&gt;0,L183=""),H183,"")</f>
        <v/>
      </c>
      <c r="AS183" s="25">
        <f>IF(AND(D183&gt;0,H183=0,G183=""),1,"")</f>
        <v/>
      </c>
      <c r="AT183" s="25">
        <f>IF(G183="BLOQ",1,"")</f>
        <v/>
      </c>
      <c r="AU183" s="25">
        <f>IF(L183="BLOQ",1,"")</f>
        <v/>
      </c>
      <c r="AV183" s="25">
        <f>MONTH(F183)</f>
        <v/>
      </c>
      <c r="AW183" s="65">
        <f>IF(AP183="",100%,0%)</f>
        <v/>
      </c>
      <c r="AX183" s="23" t="n"/>
      <c r="AY183" s="24">
        <f>IF(M183=0,"",M183-$AX$2)</f>
        <v/>
      </c>
      <c r="AZ183" s="66">
        <f>IF(AND(W183="",AY183&gt;0,AY183&lt;15),1,0)</f>
        <v/>
      </c>
      <c r="BA183" s="24">
        <f>IF(AND(W183="",AY183&gt;0,AY183&lt;15),T183,"")</f>
        <v/>
      </c>
      <c r="BB183" s="87">
        <f>IF(R183&lt;Q183,"X","")</f>
        <v/>
      </c>
      <c r="BC183" s="190" t="inlineStr">
        <is>
          <t>NO</t>
        </is>
      </c>
      <c r="BD183" s="190" t="inlineStr">
        <is>
          <t>NO</t>
        </is>
      </c>
    </row>
    <row r="184" ht="15" customHeight="1" s="162">
      <c r="A184" s="7" t="n">
        <v>183</v>
      </c>
      <c r="B184" t="inlineStr">
        <is>
          <t>39121413</t>
        </is>
      </c>
      <c r="C184" t="inlineStr">
        <is>
          <t>Protecci&amp;#243;n contra tirones Plateado</t>
        </is>
      </c>
      <c r="D184" t="inlineStr">
        <is>
          <t>1101810070</t>
        </is>
      </c>
      <c r="E184" t="inlineStr">
        <is>
          <t>1</t>
        </is>
      </c>
      <c r="F184" s="163" t="n">
        <v>45623</v>
      </c>
      <c r="G184" t="inlineStr"/>
      <c r="H184" t="inlineStr">
        <is>
          <t>4800002747</t>
        </is>
      </c>
      <c r="I184" t="inlineStr">
        <is>
          <t>590</t>
        </is>
      </c>
      <c r="J184" s="163" t="n">
        <v>45622</v>
      </c>
      <c r="K184" s="163" t="inlineStr"/>
      <c r="L184" t="inlineStr"/>
      <c r="M184" s="163" t="n">
        <v>45624</v>
      </c>
      <c r="N184" s="164" t="n">
        <v>0</v>
      </c>
      <c r="O184" s="164" t="n">
        <v>0</v>
      </c>
      <c r="P184" t="inlineStr"/>
      <c r="Q184" s="165" t="n">
        <v>2</v>
      </c>
      <c r="R184" s="165" t="n">
        <v>2</v>
      </c>
      <c r="S184" s="165" t="n">
        <v>2</v>
      </c>
      <c r="T184" s="165" t="n">
        <v>0</v>
      </c>
      <c r="U184" s="166" t="n">
        <v>0</v>
      </c>
      <c r="V184" s="166" t="n">
        <v>0</v>
      </c>
      <c r="W184" t="inlineStr">
        <is>
          <t>X</t>
        </is>
      </c>
      <c r="X184" t="inlineStr">
        <is>
          <t>0.00</t>
        </is>
      </c>
      <c r="Y184" t="inlineStr"/>
      <c r="Z184" t="inlineStr">
        <is>
          <t>AMIDATA, S.A.</t>
        </is>
      </c>
      <c r="AA184" t="inlineStr"/>
      <c r="AB184" t="inlineStr">
        <is>
          <t>2614993</t>
        </is>
      </c>
      <c r="AC184" t="inlineStr"/>
      <c r="AD184" s="164" t="n">
        <v>0</v>
      </c>
      <c r="AE184" s="185" t="n">
        <v>0</v>
      </c>
      <c r="AG184" s="167" t="inlineStr">
        <is>
          <t>7218|JA2586_1001</t>
        </is>
      </c>
      <c r="AH184" s="46">
        <f>IF(M184=0,"-",M184-J184)</f>
        <v/>
      </c>
      <c r="AI184" s="46">
        <f>IF(AND(S184=0,M184&gt;0,L184=0),IF(AH184&gt;=120,"VERY HIGH",IF(AH184&gt;=90,"HIGH",IF(AH184&gt;=60,"MEDIUM",IF(AH184&lt;60,"LOW")))),"-")</f>
        <v/>
      </c>
      <c r="AJ184" s="12" t="n"/>
      <c r="AK184" s="41">
        <f>IF(AND(W184="X",M184&lt;=$AJ$2),"YES","")</f>
        <v/>
      </c>
      <c r="AL184" s="38">
        <f>IF(AND(W184="X",M184&lt;=$AJ$2),S184,"")</f>
        <v/>
      </c>
      <c r="AM184" s="26">
        <f>IF(AND(W184="X",M184&gt;$AJ$2),"YES","")</f>
        <v/>
      </c>
      <c r="AN184" s="89">
        <f>IF(AND(W184="X",M184&gt;$AJ$2),S184,"")</f>
        <v/>
      </c>
      <c r="AO184" s="35">
        <f>IF(AND(W184="",M184&gt;0,$AJ$2&gt;M184,L184=""),1,0)</f>
        <v/>
      </c>
      <c r="AP184" s="26">
        <f>IF(AND(AK184="YES",W184="X"),"X","")</f>
        <v/>
      </c>
      <c r="AQ184" s="28">
        <f>IF(AP184="X",100%,0%)</f>
        <v/>
      </c>
      <c r="AR184" s="25">
        <f>IF(AND(T184&gt;0,L184=""),H184,"")</f>
        <v/>
      </c>
      <c r="AS184" s="25">
        <f>IF(AND(D184&gt;0,H184=0,G184=""),1,"")</f>
        <v/>
      </c>
      <c r="AT184" s="25">
        <f>IF(G184="BLOQ",1,"")</f>
        <v/>
      </c>
      <c r="AU184" s="25">
        <f>IF(L184="BLOQ",1,"")</f>
        <v/>
      </c>
      <c r="AV184" s="25">
        <f>MONTH(F184)</f>
        <v/>
      </c>
      <c r="AW184" s="65">
        <f>IF(AP184="",100%,0%)</f>
        <v/>
      </c>
      <c r="AX184" s="23" t="n"/>
      <c r="AY184" s="24">
        <f>IF(M184=0,"",M184-$AX$2)</f>
        <v/>
      </c>
      <c r="AZ184" s="66">
        <f>IF(AND(W184="",AY184&gt;0,AY184&lt;15),1,0)</f>
        <v/>
      </c>
      <c r="BA184" s="24">
        <f>IF(AND(W184="",AY184&gt;0,AY184&lt;15),T184,"")</f>
        <v/>
      </c>
      <c r="BB184" s="87">
        <f>IF(R184&lt;Q184,"X","")</f>
        <v/>
      </c>
      <c r="BC184" s="190" t="inlineStr">
        <is>
          <t>NO</t>
        </is>
      </c>
      <c r="BD184" s="190" t="inlineStr">
        <is>
          <t>NO</t>
        </is>
      </c>
    </row>
    <row r="185" ht="15" customHeight="1" s="162">
      <c r="A185" s="7" t="n">
        <v>184</v>
      </c>
      <c r="B185" t="inlineStr">
        <is>
          <t>32000000</t>
        </is>
      </c>
      <c r="C185" t="inlineStr">
        <is>
          <t>Conector circular MIL-C-38999 serie III</t>
        </is>
      </c>
      <c r="D185" t="inlineStr">
        <is>
          <t>1101810502</t>
        </is>
      </c>
      <c r="E185" t="inlineStr">
        <is>
          <t>1</t>
        </is>
      </c>
      <c r="F185" s="163" t="n">
        <v>45624</v>
      </c>
      <c r="G185" t="inlineStr"/>
      <c r="H185" t="inlineStr">
        <is>
          <t>4800002749</t>
        </is>
      </c>
      <c r="I185" t="inlineStr">
        <is>
          <t>190</t>
        </is>
      </c>
      <c r="J185" s="163" t="n">
        <v>45623</v>
      </c>
      <c r="K185" s="163" t="inlineStr"/>
      <c r="L185" t="inlineStr"/>
      <c r="M185" s="163" t="n">
        <v>45625</v>
      </c>
      <c r="N185" s="164" t="n">
        <v>0</v>
      </c>
      <c r="O185" s="164" t="n">
        <v>0</v>
      </c>
      <c r="P185" t="inlineStr"/>
      <c r="Q185" s="165" t="n">
        <v>1</v>
      </c>
      <c r="R185" s="165" t="n">
        <v>1</v>
      </c>
      <c r="S185" s="165" t="n">
        <v>1</v>
      </c>
      <c r="T185" s="165" t="n">
        <v>0</v>
      </c>
      <c r="U185" s="166" t="n">
        <v>0</v>
      </c>
      <c r="V185" s="166" t="n">
        <v>0</v>
      </c>
      <c r="W185" t="inlineStr">
        <is>
          <t>X</t>
        </is>
      </c>
      <c r="X185" t="inlineStr">
        <is>
          <t>0.00</t>
        </is>
      </c>
      <c r="Y185" t="inlineStr"/>
      <c r="Z185" t="inlineStr">
        <is>
          <t>AMIDATA, S.A.</t>
        </is>
      </c>
      <c r="AA185" t="inlineStr"/>
      <c r="AB185" t="inlineStr">
        <is>
          <t>2804851</t>
        </is>
      </c>
      <c r="AC185" t="inlineStr"/>
      <c r="AD185" s="164" t="n">
        <v>0</v>
      </c>
      <c r="AE185" s="185" t="n">
        <v>0</v>
      </c>
      <c r="AG185" s="167" t="inlineStr">
        <is>
          <t>7218|JA2585_1001</t>
        </is>
      </c>
      <c r="AH185" s="46">
        <f>IF(M185=0,"-",M185-J185)</f>
        <v/>
      </c>
      <c r="AI185" s="46">
        <f>IF(AND(S185=0,M185&gt;0,L185=0),IF(AH185&gt;=120,"VERY HIGH",IF(AH185&gt;=90,"HIGH",IF(AH185&gt;=60,"MEDIUM",IF(AH185&lt;60,"LOW")))),"-")</f>
        <v/>
      </c>
      <c r="AJ185" s="12" t="n"/>
      <c r="AK185" s="41">
        <f>IF(AND(W185="X",M185&lt;=$AJ$2),"YES","")</f>
        <v/>
      </c>
      <c r="AL185" s="38">
        <f>IF(AND(W185="X",M185&lt;=$AJ$2),S185,"")</f>
        <v/>
      </c>
      <c r="AM185" s="26">
        <f>IF(AND(W185="X",M185&gt;$AJ$2),"YES","")</f>
        <v/>
      </c>
      <c r="AN185" s="89">
        <f>IF(AND(W185="X",M185&gt;$AJ$2),S185,"")</f>
        <v/>
      </c>
      <c r="AO185" s="35">
        <f>IF(AND(W185="",M185&gt;0,$AJ$2&gt;M185,L185=""),1,0)</f>
        <v/>
      </c>
      <c r="AP185" s="26">
        <f>IF(AND(AK185="YES",W185="X"),"X","")</f>
        <v/>
      </c>
      <c r="AQ185" s="28">
        <f>IF(AP185="X",100%,0%)</f>
        <v/>
      </c>
      <c r="AR185" s="25">
        <f>IF(AND(T185&gt;0,L185=""),H185,"")</f>
        <v/>
      </c>
      <c r="AS185" s="25">
        <f>IF(AND(D185&gt;0,H185=0,G185=""),1,"")</f>
        <v/>
      </c>
      <c r="AT185" s="25">
        <f>IF(G185="BLOQ",1,"")</f>
        <v/>
      </c>
      <c r="AU185" s="25">
        <f>IF(L185="BLOQ",1,"")</f>
        <v/>
      </c>
      <c r="AV185" s="25">
        <f>MONTH(F185)</f>
        <v/>
      </c>
      <c r="AW185" s="65">
        <f>IF(AP185="",100%,0%)</f>
        <v/>
      </c>
      <c r="AX185" s="23" t="n"/>
      <c r="AY185" s="24">
        <f>IF(M185=0,"",M185-$AX$2)</f>
        <v/>
      </c>
      <c r="AZ185" s="66">
        <f>IF(AND(W185="",AY185&gt;0,AY185&lt;15),1,0)</f>
        <v/>
      </c>
      <c r="BA185" s="24">
        <f>IF(AND(W185="",AY185&gt;0,AY185&lt;15),T185,"")</f>
        <v/>
      </c>
      <c r="BB185" s="87">
        <f>IF(R185&lt;Q185,"X","")</f>
        <v/>
      </c>
      <c r="BC185" s="190" t="inlineStr">
        <is>
          <t>NO</t>
        </is>
      </c>
      <c r="BD185" s="190" t="inlineStr">
        <is>
          <t>NO</t>
        </is>
      </c>
    </row>
    <row r="186" ht="15" customHeight="1" s="162">
      <c r="A186" s="7" t="n">
        <v>185</v>
      </c>
      <c r="B186" t="inlineStr">
        <is>
          <t>32000000</t>
        </is>
      </c>
      <c r="C186" t="inlineStr">
        <is>
          <t>Conector circular MIL-C-38999 serie III</t>
        </is>
      </c>
      <c r="D186" t="inlineStr">
        <is>
          <t>1101810502</t>
        </is>
      </c>
      <c r="E186" t="inlineStr">
        <is>
          <t>2</t>
        </is>
      </c>
      <c r="F186" s="163" t="n">
        <v>45624</v>
      </c>
      <c r="G186" t="inlineStr"/>
      <c r="H186" t="inlineStr">
        <is>
          <t>4800002749</t>
        </is>
      </c>
      <c r="I186" t="inlineStr">
        <is>
          <t>200</t>
        </is>
      </c>
      <c r="J186" s="163" t="n">
        <v>45623</v>
      </c>
      <c r="K186" s="163" t="inlineStr"/>
      <c r="L186" t="inlineStr"/>
      <c r="M186" s="163" t="n">
        <v>45625</v>
      </c>
      <c r="N186" s="164" t="n">
        <v>0</v>
      </c>
      <c r="O186" s="164" t="n">
        <v>0</v>
      </c>
      <c r="P186" t="inlineStr"/>
      <c r="Q186" s="165" t="n">
        <v>1</v>
      </c>
      <c r="R186" s="165" t="n">
        <v>1</v>
      </c>
      <c r="S186" s="165" t="n">
        <v>1</v>
      </c>
      <c r="T186" s="165" t="n">
        <v>0</v>
      </c>
      <c r="U186" s="166" t="n">
        <v>0</v>
      </c>
      <c r="V186" s="166" t="n">
        <v>0</v>
      </c>
      <c r="W186" t="inlineStr">
        <is>
          <t>X</t>
        </is>
      </c>
      <c r="X186" t="inlineStr">
        <is>
          <t>0.00</t>
        </is>
      </c>
      <c r="Y186" t="inlineStr"/>
      <c r="Z186" t="inlineStr">
        <is>
          <t>AMIDATA, S.A.</t>
        </is>
      </c>
      <c r="AA186" t="inlineStr"/>
      <c r="AB186" t="inlineStr">
        <is>
          <t>2804922</t>
        </is>
      </c>
      <c r="AC186" t="inlineStr"/>
      <c r="AD186" s="164" t="n">
        <v>0</v>
      </c>
      <c r="AE186" s="185" t="n">
        <v>0</v>
      </c>
      <c r="AG186" s="167" t="inlineStr">
        <is>
          <t>7218|JA2585_1001</t>
        </is>
      </c>
      <c r="AH186" s="46">
        <f>IF(M186=0,"-",M186-J186)</f>
        <v/>
      </c>
      <c r="AI186" s="46">
        <f>IF(AND(S186=0,M186&gt;0,L186=0),IF(AH186&gt;=120,"VERY HIGH",IF(AH186&gt;=90,"HIGH",IF(AH186&gt;=60,"MEDIUM",IF(AH186&lt;60,"LOW")))),"-")</f>
        <v/>
      </c>
      <c r="AJ186" s="12" t="n"/>
      <c r="AK186" s="41">
        <f>IF(AND(W186="X",M186&lt;=$AJ$2),"YES","")</f>
        <v/>
      </c>
      <c r="AL186" s="38">
        <f>IF(AND(W186="X",M186&lt;=$AJ$2),S186,"")</f>
        <v/>
      </c>
      <c r="AM186" s="26">
        <f>IF(AND(W186="X",M186&gt;$AJ$2),"YES","")</f>
        <v/>
      </c>
      <c r="AN186" s="89">
        <f>IF(AND(W186="X",M186&gt;$AJ$2),S186,"")</f>
        <v/>
      </c>
      <c r="AO186" s="35">
        <f>IF(AND(W186="",M186&gt;0,$AJ$2&gt;M186,L186=""),1,0)</f>
        <v/>
      </c>
      <c r="AP186" s="26">
        <f>IF(AND(AK186="YES",W186="X"),"X","")</f>
        <v/>
      </c>
      <c r="AQ186" s="28">
        <f>IF(AP186="X",100%,0%)</f>
        <v/>
      </c>
      <c r="AR186" s="25">
        <f>IF(AND(T186&gt;0,L186=""),H186,"")</f>
        <v/>
      </c>
      <c r="AS186" s="25">
        <f>IF(AND(D186&gt;0,H186=0,G186=""),1,"")</f>
        <v/>
      </c>
      <c r="AT186" s="25">
        <f>IF(G186="BLOQ",1,"")</f>
        <v/>
      </c>
      <c r="AU186" s="25">
        <f>IF(L186="BLOQ",1,"")</f>
        <v/>
      </c>
      <c r="AV186" s="25">
        <f>MONTH(F186)</f>
        <v/>
      </c>
      <c r="AW186" s="65">
        <f>IF(AP186="",100%,0%)</f>
        <v/>
      </c>
      <c r="AX186" s="23" t="n"/>
      <c r="AY186" s="24">
        <f>IF(M186=0,"",M186-$AX$2)</f>
        <v/>
      </c>
      <c r="AZ186" s="66">
        <f>IF(AND(W186="",AY186&gt;0,AY186&lt;15),1,0)</f>
        <v/>
      </c>
      <c r="BA186" s="24">
        <f>IF(AND(W186="",AY186&gt;0,AY186&lt;15),T186,"")</f>
        <v/>
      </c>
      <c r="BB186" s="87">
        <f>IF(R186&lt;Q186,"X","")</f>
        <v/>
      </c>
      <c r="BC186" s="190" t="inlineStr">
        <is>
          <t>NO</t>
        </is>
      </c>
      <c r="BD186" s="190" t="inlineStr">
        <is>
          <t>NO</t>
        </is>
      </c>
    </row>
    <row r="187" ht="15" customHeight="1" s="162">
      <c r="A187" s="7" t="n">
        <v>186</v>
      </c>
      <c r="B187" t="inlineStr">
        <is>
          <t>26121629</t>
        </is>
      </c>
      <c r="C187" t="inlineStr">
        <is>
          <t>Cable de alimentaci&amp;#243;n RS PRO Negro</t>
        </is>
      </c>
      <c r="D187" t="inlineStr">
        <is>
          <t>1101810502</t>
        </is>
      </c>
      <c r="E187" t="inlineStr">
        <is>
          <t>3</t>
        </is>
      </c>
      <c r="F187" s="163" t="n">
        <v>45624</v>
      </c>
      <c r="G187" t="inlineStr"/>
      <c r="H187" t="inlineStr">
        <is>
          <t>4800002749</t>
        </is>
      </c>
      <c r="I187" t="inlineStr">
        <is>
          <t>210</t>
        </is>
      </c>
      <c r="J187" s="163" t="n">
        <v>45623</v>
      </c>
      <c r="K187" s="163" t="inlineStr"/>
      <c r="L187" t="inlineStr"/>
      <c r="M187" s="163" t="n">
        <v>45625</v>
      </c>
      <c r="N187" s="164" t="n">
        <v>0</v>
      </c>
      <c r="O187" s="164" t="n">
        <v>0</v>
      </c>
      <c r="P187" t="inlineStr"/>
      <c r="Q187" s="165" t="n">
        <v>5</v>
      </c>
      <c r="R187" s="165" t="n">
        <v>5</v>
      </c>
      <c r="S187" s="165" t="n">
        <v>5</v>
      </c>
      <c r="T187" s="165" t="n">
        <v>0</v>
      </c>
      <c r="U187" s="166" t="n">
        <v>0</v>
      </c>
      <c r="V187" s="166" t="n">
        <v>0</v>
      </c>
      <c r="W187" t="inlineStr">
        <is>
          <t>X</t>
        </is>
      </c>
      <c r="X187" t="inlineStr">
        <is>
          <t>0.00</t>
        </is>
      </c>
      <c r="Y187" t="inlineStr"/>
      <c r="Z187" t="inlineStr">
        <is>
          <t>AMIDATA, S.A.</t>
        </is>
      </c>
      <c r="AA187" t="inlineStr"/>
      <c r="AB187" t="inlineStr">
        <is>
          <t>0487277</t>
        </is>
      </c>
      <c r="AC187" t="inlineStr"/>
      <c r="AD187" s="164" t="n">
        <v>0</v>
      </c>
      <c r="AE187" s="185" t="n">
        <v>0</v>
      </c>
      <c r="AG187" s="167" t="inlineStr">
        <is>
          <t>7218|JA2585_1001</t>
        </is>
      </c>
      <c r="AH187" s="46">
        <f>IF(M187=0,"-",M187-J187)</f>
        <v/>
      </c>
      <c r="AI187" s="46">
        <f>IF(AND(S187=0,M187&gt;0,L187=0),IF(AH187&gt;=120,"VERY HIGH",IF(AH187&gt;=90,"HIGH",IF(AH187&gt;=60,"MEDIUM",IF(AH187&lt;60,"LOW")))),"-")</f>
        <v/>
      </c>
      <c r="AJ187" s="12" t="n"/>
      <c r="AK187" s="41">
        <f>IF(AND(W187="X",M187&lt;=$AJ$2),"YES","")</f>
        <v/>
      </c>
      <c r="AL187" s="38">
        <f>IF(AND(W187="X",M187&lt;=$AJ$2),S187,"")</f>
        <v/>
      </c>
      <c r="AM187" s="26">
        <f>IF(AND(W187="X",M187&gt;$AJ$2),"YES","")</f>
        <v/>
      </c>
      <c r="AN187" s="89">
        <f>IF(AND(W187="X",M187&gt;$AJ$2),S187,"")</f>
        <v/>
      </c>
      <c r="AO187" s="35">
        <f>IF(AND(W187="",M187&gt;0,$AJ$2&gt;M187,L187=""),1,0)</f>
        <v/>
      </c>
      <c r="AP187" s="26">
        <f>IF(AND(AK187="YES",W187="X"),"X","")</f>
        <v/>
      </c>
      <c r="AQ187" s="28">
        <f>IF(AP187="X",100%,0%)</f>
        <v/>
      </c>
      <c r="AR187" s="25">
        <f>IF(AND(T187&gt;0,L187=""),H187,"")</f>
        <v/>
      </c>
      <c r="AS187" s="25">
        <f>IF(AND(D187&gt;0,H187=0,G187=""),1,"")</f>
        <v/>
      </c>
      <c r="AT187" s="25">
        <f>IF(G187="BLOQ",1,"")</f>
        <v/>
      </c>
      <c r="AU187" s="25">
        <f>IF(L187="BLOQ",1,"")</f>
        <v/>
      </c>
      <c r="AV187" s="25">
        <f>MONTH(F187)</f>
        <v/>
      </c>
      <c r="AW187" s="65">
        <f>IF(AP187="",100%,0%)</f>
        <v/>
      </c>
      <c r="AX187" s="23" t="n"/>
      <c r="AY187" s="24">
        <f>IF(M187=0,"",M187-$AX$2)</f>
        <v/>
      </c>
      <c r="AZ187" s="66">
        <f>IF(AND(W187="",AY187&gt;0,AY187&lt;15),1,0)</f>
        <v/>
      </c>
      <c r="BA187" s="24">
        <f>IF(AND(W187="",AY187&gt;0,AY187&lt;15),T187,"")</f>
        <v/>
      </c>
      <c r="BB187" s="87">
        <f>IF(R187&lt;Q187,"X","")</f>
        <v/>
      </c>
      <c r="BC187" s="190" t="inlineStr">
        <is>
          <t>NO</t>
        </is>
      </c>
      <c r="BD187" s="190" t="inlineStr">
        <is>
          <t>NO</t>
        </is>
      </c>
    </row>
    <row r="188" ht="15" customHeight="1" s="162">
      <c r="A188" s="7" t="n">
        <v>187</v>
      </c>
      <c r="B188" t="inlineStr">
        <is>
          <t>39121415</t>
        </is>
      </c>
      <c r="C188" t="inlineStr">
        <is>
          <t>Conector macho para PCB Molex serie SL d</t>
        </is>
      </c>
      <c r="D188" t="inlineStr">
        <is>
          <t>1101810566</t>
        </is>
      </c>
      <c r="E188" t="inlineStr">
        <is>
          <t>1</t>
        </is>
      </c>
      <c r="F188" s="163" t="n">
        <v>45624</v>
      </c>
      <c r="G188" t="inlineStr"/>
      <c r="H188" t="inlineStr">
        <is>
          <t>4800002749</t>
        </is>
      </c>
      <c r="I188" t="inlineStr">
        <is>
          <t>240</t>
        </is>
      </c>
      <c r="J188" s="163" t="n">
        <v>45623</v>
      </c>
      <c r="K188" s="163" t="inlineStr"/>
      <c r="L188" t="inlineStr"/>
      <c r="M188" s="163" t="n">
        <v>45625</v>
      </c>
      <c r="N188" s="164" t="n">
        <v>0</v>
      </c>
      <c r="O188" s="164" t="n">
        <v>0</v>
      </c>
      <c r="P188" t="inlineStr"/>
      <c r="Q188" s="165" t="n">
        <v>15</v>
      </c>
      <c r="R188" s="165" t="n">
        <v>15</v>
      </c>
      <c r="S188" s="165" t="n">
        <v>15</v>
      </c>
      <c r="T188" s="165" t="n">
        <v>0</v>
      </c>
      <c r="U188" s="166" t="n">
        <v>0</v>
      </c>
      <c r="V188" s="166" t="n">
        <v>0</v>
      </c>
      <c r="W188" t="inlineStr">
        <is>
          <t>X</t>
        </is>
      </c>
      <c r="X188" t="inlineStr">
        <is>
          <t>0.00</t>
        </is>
      </c>
      <c r="Y188" t="inlineStr"/>
      <c r="Z188" t="inlineStr">
        <is>
          <t>AMIDATA, S.A.</t>
        </is>
      </c>
      <c r="AA188" t="inlineStr"/>
      <c r="AB188" t="inlineStr">
        <is>
          <t>6700835</t>
        </is>
      </c>
      <c r="AC188" t="inlineStr"/>
      <c r="AD188" s="164" t="n">
        <v>0</v>
      </c>
      <c r="AE188" s="185" t="n">
        <v>0</v>
      </c>
      <c r="AG188" s="167" t="inlineStr">
        <is>
          <t>7218|JA2583_1001</t>
        </is>
      </c>
      <c r="AH188" s="46">
        <f>IF(M188=0,"-",M188-J188)</f>
        <v/>
      </c>
      <c r="AI188" s="46">
        <f>IF(AND(S188=0,M188&gt;0,L188=0),IF(AH188&gt;=120,"VERY HIGH",IF(AH188&gt;=90,"HIGH",IF(AH188&gt;=60,"MEDIUM",IF(AH188&lt;60,"LOW")))),"-")</f>
        <v/>
      </c>
      <c r="AJ188" s="12" t="n"/>
      <c r="AK188" s="41">
        <f>IF(AND(W188="X",M188&lt;=$AJ$2),"YES","")</f>
        <v/>
      </c>
      <c r="AL188" s="38">
        <f>IF(AND(W188="X",M188&lt;=$AJ$2),S188,"")</f>
        <v/>
      </c>
      <c r="AM188" s="26">
        <f>IF(AND(W188="X",M188&gt;$AJ$2),"YES","")</f>
        <v/>
      </c>
      <c r="AN188" s="89">
        <f>IF(AND(W188="X",M188&gt;$AJ$2),S188,"")</f>
        <v/>
      </c>
      <c r="AO188" s="35">
        <f>IF(AND(W188="",M188&gt;0,$AJ$2&gt;M188,L188=""),1,0)</f>
        <v/>
      </c>
      <c r="AP188" s="26">
        <f>IF(AND(AK188="YES",W188="X"),"X","")</f>
        <v/>
      </c>
      <c r="AQ188" s="28">
        <f>IF(AP188="X",100%,0%)</f>
        <v/>
      </c>
      <c r="AR188" s="25">
        <f>IF(AND(T188&gt;0,L188=""),H188,"")</f>
        <v/>
      </c>
      <c r="AS188" s="25">
        <f>IF(AND(D188&gt;0,H188=0,G188=""),1,"")</f>
        <v/>
      </c>
      <c r="AT188" s="25">
        <f>IF(G188="BLOQ",1,"")</f>
        <v/>
      </c>
      <c r="AU188" s="25">
        <f>IF(L188="BLOQ",1,"")</f>
        <v/>
      </c>
      <c r="AV188" s="25">
        <f>MONTH(F188)</f>
        <v/>
      </c>
      <c r="AW188" s="65">
        <f>IF(AP188="",100%,0%)</f>
        <v/>
      </c>
      <c r="AX188" s="23" t="n"/>
      <c r="AY188" s="24">
        <f>IF(M188=0,"",M188-$AX$2)</f>
        <v/>
      </c>
      <c r="AZ188" s="66">
        <f>IF(AND(W188="",AY188&gt;0,AY188&lt;15),1,0)</f>
        <v/>
      </c>
      <c r="BA188" s="24">
        <f>IF(AND(W188="",AY188&gt;0,AY188&lt;15),T188,"")</f>
        <v/>
      </c>
      <c r="BB188" s="87">
        <f>IF(R188&lt;Q188,"X","")</f>
        <v/>
      </c>
      <c r="BC188" s="190" t="inlineStr">
        <is>
          <t>NO</t>
        </is>
      </c>
      <c r="BD188" s="190" t="inlineStr">
        <is>
          <t>NO</t>
        </is>
      </c>
    </row>
    <row r="189" ht="15" customHeight="1" s="162">
      <c r="A189" s="7" t="n">
        <v>188</v>
      </c>
      <c r="B189" t="inlineStr">
        <is>
          <t>39121415</t>
        </is>
      </c>
      <c r="C189" t="inlineStr">
        <is>
          <t>Conector macho para PCB Molex serie SL d</t>
        </is>
      </c>
      <c r="D189" t="inlineStr">
        <is>
          <t>1101810566</t>
        </is>
      </c>
      <c r="E189" t="inlineStr">
        <is>
          <t>2</t>
        </is>
      </c>
      <c r="F189" s="163" t="n">
        <v>45624</v>
      </c>
      <c r="G189" t="inlineStr"/>
      <c r="H189" t="inlineStr">
        <is>
          <t>4800002749</t>
        </is>
      </c>
      <c r="I189" t="inlineStr">
        <is>
          <t>250</t>
        </is>
      </c>
      <c r="J189" s="163" t="n">
        <v>45623</v>
      </c>
      <c r="K189" s="163" t="inlineStr"/>
      <c r="L189" t="inlineStr"/>
      <c r="M189" s="163" t="n">
        <v>45625</v>
      </c>
      <c r="N189" s="164" t="n">
        <v>0</v>
      </c>
      <c r="O189" s="164" t="n">
        <v>0</v>
      </c>
      <c r="P189" t="inlineStr"/>
      <c r="Q189" s="165" t="n">
        <v>10</v>
      </c>
      <c r="R189" s="165" t="n">
        <v>10</v>
      </c>
      <c r="S189" s="165" t="n">
        <v>10</v>
      </c>
      <c r="T189" s="165" t="n">
        <v>0</v>
      </c>
      <c r="U189" s="166" t="n">
        <v>0</v>
      </c>
      <c r="V189" s="166" t="n">
        <v>0</v>
      </c>
      <c r="W189" t="inlineStr">
        <is>
          <t>X</t>
        </is>
      </c>
      <c r="X189" t="inlineStr">
        <is>
          <t>0.00</t>
        </is>
      </c>
      <c r="Y189" t="inlineStr"/>
      <c r="Z189" t="inlineStr">
        <is>
          <t>AMIDATA, S.A.</t>
        </is>
      </c>
      <c r="AA189" t="inlineStr"/>
      <c r="AB189" t="inlineStr">
        <is>
          <t>6792499</t>
        </is>
      </c>
      <c r="AC189" t="inlineStr"/>
      <c r="AD189" s="164" t="n">
        <v>0</v>
      </c>
      <c r="AE189" s="185" t="n">
        <v>0</v>
      </c>
      <c r="AG189" s="167" t="inlineStr">
        <is>
          <t>7218|JA2583_1001</t>
        </is>
      </c>
      <c r="AH189" s="46">
        <f>IF(M189=0,"-",M189-J189)</f>
        <v/>
      </c>
      <c r="AI189" s="46">
        <f>IF(AND(S189=0,M189&gt;0,L189=0),IF(AH189&gt;=120,"VERY HIGH",IF(AH189&gt;=90,"HIGH",IF(AH189&gt;=60,"MEDIUM",IF(AH189&lt;60,"LOW")))),"-")</f>
        <v/>
      </c>
      <c r="AJ189" s="12" t="n"/>
      <c r="AK189" s="41">
        <f>IF(AND(W189="X",M189&lt;=$AJ$2),"YES","")</f>
        <v/>
      </c>
      <c r="AL189" s="38">
        <f>IF(AND(W189="X",M189&lt;=$AJ$2),S189,"")</f>
        <v/>
      </c>
      <c r="AM189" s="26">
        <f>IF(AND(W189="X",M189&gt;$AJ$2),"YES","")</f>
        <v/>
      </c>
      <c r="AN189" s="89">
        <f>IF(AND(W189="X",M189&gt;$AJ$2),S189,"")</f>
        <v/>
      </c>
      <c r="AO189" s="35">
        <f>IF(AND(W189="",M189&gt;0,$AJ$2&gt;M189,L189=""),1,0)</f>
        <v/>
      </c>
      <c r="AP189" s="26">
        <f>IF(AND(AK189="YES",W189="X"),"X","")</f>
        <v/>
      </c>
      <c r="AQ189" s="28">
        <f>IF(AP189="X",100%,0%)</f>
        <v/>
      </c>
      <c r="AR189" s="25">
        <f>IF(AND(T189&gt;0,L189=""),H189,"")</f>
        <v/>
      </c>
      <c r="AS189" s="25">
        <f>IF(AND(D189&gt;0,H189=0,G189=""),1,"")</f>
        <v/>
      </c>
      <c r="AT189" s="25">
        <f>IF(G189="BLOQ",1,"")</f>
        <v/>
      </c>
      <c r="AU189" s="25">
        <f>IF(L189="BLOQ",1,"")</f>
        <v/>
      </c>
      <c r="AV189" s="25">
        <f>MONTH(F189)</f>
        <v/>
      </c>
      <c r="AW189" s="65">
        <f>IF(AP189="",100%,0%)</f>
        <v/>
      </c>
      <c r="AX189" s="23" t="n"/>
      <c r="AY189" s="24">
        <f>IF(M189=0,"",M189-$AX$2)</f>
        <v/>
      </c>
      <c r="AZ189" s="66">
        <f>IF(AND(W189="",AY189&gt;0,AY189&lt;15),1,0)</f>
        <v/>
      </c>
      <c r="BA189" s="24">
        <f>IF(AND(W189="",AY189&gt;0,AY189&lt;15),T189,"")</f>
        <v/>
      </c>
      <c r="BB189" s="87">
        <f>IF(R189&lt;Q189,"X","")</f>
        <v/>
      </c>
      <c r="BC189" s="190" t="inlineStr">
        <is>
          <t>NO</t>
        </is>
      </c>
      <c r="BD189" s="190" t="inlineStr">
        <is>
          <t>NO</t>
        </is>
      </c>
    </row>
    <row r="190" ht="15" customHeight="1" s="162">
      <c r="A190" s="7" t="n">
        <v>189</v>
      </c>
      <c r="B190" t="inlineStr">
        <is>
          <t>39121415</t>
        </is>
      </c>
      <c r="C190" t="inlineStr">
        <is>
          <t>Conector macho para PCB Molex serie SL d</t>
        </is>
      </c>
      <c r="D190" t="inlineStr">
        <is>
          <t>1101810754</t>
        </is>
      </c>
      <c r="E190" t="inlineStr">
        <is>
          <t>1</t>
        </is>
      </c>
      <c r="F190" s="163" t="n">
        <v>45624</v>
      </c>
      <c r="G190" t="inlineStr"/>
      <c r="H190" t="inlineStr">
        <is>
          <t>4800002750</t>
        </is>
      </c>
      <c r="I190" t="inlineStr">
        <is>
          <t>390</t>
        </is>
      </c>
      <c r="J190" s="163" t="n">
        <v>45624</v>
      </c>
      <c r="K190" s="163" t="inlineStr"/>
      <c r="L190" t="inlineStr"/>
      <c r="M190" s="163" t="n">
        <v>45625</v>
      </c>
      <c r="N190" s="164" t="n">
        <v>0</v>
      </c>
      <c r="O190" s="164" t="n">
        <v>0</v>
      </c>
      <c r="P190" t="inlineStr"/>
      <c r="Q190" s="165" t="n">
        <v>25</v>
      </c>
      <c r="R190" s="165" t="n">
        <v>25</v>
      </c>
      <c r="S190" s="165" t="n">
        <v>25</v>
      </c>
      <c r="T190" s="165" t="n">
        <v>0</v>
      </c>
      <c r="U190" s="166" t="n">
        <v>0</v>
      </c>
      <c r="V190" s="166" t="n">
        <v>0</v>
      </c>
      <c r="W190" t="inlineStr">
        <is>
          <t>X</t>
        </is>
      </c>
      <c r="X190" t="inlineStr">
        <is>
          <t>0.00</t>
        </is>
      </c>
      <c r="Y190" t="inlineStr"/>
      <c r="Z190" t="inlineStr">
        <is>
          <t>AMIDATA, S.A.</t>
        </is>
      </c>
      <c r="AA190" t="inlineStr"/>
      <c r="AB190" t="inlineStr">
        <is>
          <t>6700835</t>
        </is>
      </c>
      <c r="AC190" t="inlineStr"/>
      <c r="AD190" s="164" t="n">
        <v>0</v>
      </c>
      <c r="AE190" s="185" t="n">
        <v>0</v>
      </c>
      <c r="AG190" s="167" t="inlineStr">
        <is>
          <t>7218|JA2593_1001</t>
        </is>
      </c>
      <c r="AH190" s="46">
        <f>IF(M190=0,"-",M190-J190)</f>
        <v/>
      </c>
      <c r="AI190" s="46">
        <f>IF(AND(S190=0,M190&gt;0,L190=0),IF(AH190&gt;=120,"VERY HIGH",IF(AH190&gt;=90,"HIGH",IF(AH190&gt;=60,"MEDIUM",IF(AH190&lt;60,"LOW")))),"-")</f>
        <v/>
      </c>
      <c r="AJ190" s="12" t="n"/>
      <c r="AK190" s="41">
        <f>IF(AND(W190="X",M190&lt;=$AJ$2),"YES","")</f>
        <v/>
      </c>
      <c r="AL190" s="38">
        <f>IF(AND(W190="X",M190&lt;=$AJ$2),S190,"")</f>
        <v/>
      </c>
      <c r="AM190" s="26">
        <f>IF(AND(W190="X",M190&gt;$AJ$2),"YES","")</f>
        <v/>
      </c>
      <c r="AN190" s="89">
        <f>IF(AND(W190="X",M190&gt;$AJ$2),S190,"")</f>
        <v/>
      </c>
      <c r="AO190" s="35">
        <f>IF(AND(W190="",M190&gt;0,$AJ$2&gt;M190,L190=""),1,0)</f>
        <v/>
      </c>
      <c r="AP190" s="26">
        <f>IF(AND(AK190="YES",W190="X"),"X","")</f>
        <v/>
      </c>
      <c r="AQ190" s="28">
        <f>IF(AP190="X",100%,0%)</f>
        <v/>
      </c>
      <c r="AR190" s="25">
        <f>IF(AND(T190&gt;0,L190=""),H190,"")</f>
        <v/>
      </c>
      <c r="AS190" s="25">
        <f>IF(AND(D190&gt;0,H190=0,G190=""),1,"")</f>
        <v/>
      </c>
      <c r="AT190" s="25">
        <f>IF(G190="BLOQ",1,"")</f>
        <v/>
      </c>
      <c r="AU190" s="25">
        <f>IF(L190="BLOQ",1,"")</f>
        <v/>
      </c>
      <c r="AV190" s="25">
        <f>MONTH(F190)</f>
        <v/>
      </c>
      <c r="AW190" s="65">
        <f>IF(AP190="",100%,0%)</f>
        <v/>
      </c>
      <c r="AX190" s="23" t="n"/>
      <c r="AY190" s="24">
        <f>IF(M190=0,"",M190-$AX$2)</f>
        <v/>
      </c>
      <c r="AZ190" s="66">
        <f>IF(AND(W190="",AY190&gt;0,AY190&lt;15),1,0)</f>
        <v/>
      </c>
      <c r="BA190" s="24">
        <f>IF(AND(W190="",AY190&gt;0,AY190&lt;15),T190,"")</f>
        <v/>
      </c>
      <c r="BB190" s="87">
        <f>IF(R190&lt;Q190,"X","")</f>
        <v/>
      </c>
      <c r="BC190" s="190" t="inlineStr">
        <is>
          <t>NO</t>
        </is>
      </c>
      <c r="BD190" s="190" t="inlineStr">
        <is>
          <t>NO</t>
        </is>
      </c>
    </row>
    <row r="191" ht="15" customHeight="1" s="162">
      <c r="A191" s="7" t="n">
        <v>190</v>
      </c>
      <c r="B191" t="inlineStr">
        <is>
          <t>39121415</t>
        </is>
      </c>
      <c r="C191" t="inlineStr">
        <is>
          <t>Conector macho para PCB Molex serie SL d</t>
        </is>
      </c>
      <c r="D191" t="inlineStr">
        <is>
          <t>1101810754</t>
        </is>
      </c>
      <c r="E191" t="inlineStr">
        <is>
          <t>2</t>
        </is>
      </c>
      <c r="F191" s="163" t="n">
        <v>45624</v>
      </c>
      <c r="G191" t="inlineStr"/>
      <c r="H191" t="inlineStr">
        <is>
          <t>4800002750</t>
        </is>
      </c>
      <c r="I191" t="inlineStr">
        <is>
          <t>400</t>
        </is>
      </c>
      <c r="J191" s="163" t="n">
        <v>45624</v>
      </c>
      <c r="K191" s="163" t="inlineStr"/>
      <c r="L191" t="inlineStr"/>
      <c r="M191" s="163" t="n">
        <v>45625</v>
      </c>
      <c r="N191" s="164" t="n">
        <v>0</v>
      </c>
      <c r="O191" s="164" t="n">
        <v>0</v>
      </c>
      <c r="P191" t="inlineStr"/>
      <c r="Q191" s="165" t="n">
        <v>30</v>
      </c>
      <c r="R191" s="165" t="n">
        <v>30</v>
      </c>
      <c r="S191" s="165" t="n">
        <v>30</v>
      </c>
      <c r="T191" s="165" t="n">
        <v>0</v>
      </c>
      <c r="U191" s="166" t="n">
        <v>0</v>
      </c>
      <c r="V191" s="166" t="n">
        <v>0</v>
      </c>
      <c r="W191" t="inlineStr">
        <is>
          <t>X</t>
        </is>
      </c>
      <c r="X191" t="inlineStr">
        <is>
          <t>0.00</t>
        </is>
      </c>
      <c r="Y191" t="inlineStr"/>
      <c r="Z191" t="inlineStr">
        <is>
          <t>AMIDATA, S.A.</t>
        </is>
      </c>
      <c r="AA191" t="inlineStr"/>
      <c r="AB191" t="inlineStr">
        <is>
          <t>6792499</t>
        </is>
      </c>
      <c r="AC191" t="inlineStr"/>
      <c r="AD191" s="164" t="n">
        <v>0</v>
      </c>
      <c r="AE191" s="185" t="n">
        <v>0</v>
      </c>
      <c r="AG191" s="167" t="inlineStr">
        <is>
          <t>7218|JA2593_1001</t>
        </is>
      </c>
      <c r="AH191" s="46">
        <f>IF(M191=0,"-",M191-J191)</f>
        <v/>
      </c>
      <c r="AI191" s="46">
        <f>IF(AND(S191=0,M191&gt;0,L191=0),IF(AH191&gt;=120,"VERY HIGH",IF(AH191&gt;=90,"HIGH",IF(AH191&gt;=60,"MEDIUM",IF(AH191&lt;60,"LOW")))),"-")</f>
        <v/>
      </c>
      <c r="AJ191" s="12" t="n"/>
      <c r="AK191" s="41">
        <f>IF(AND(W191="X",M191&lt;=$AJ$2),"YES","")</f>
        <v/>
      </c>
      <c r="AL191" s="38">
        <f>IF(AND(W191="X",M191&lt;=$AJ$2),S191,"")</f>
        <v/>
      </c>
      <c r="AM191" s="26">
        <f>IF(AND(W191="X",M191&gt;$AJ$2),"YES","")</f>
        <v/>
      </c>
      <c r="AN191" s="89">
        <f>IF(AND(W191="X",M191&gt;$AJ$2),S191,"")</f>
        <v/>
      </c>
      <c r="AO191" s="35">
        <f>IF(AND(W191="",M191&gt;0,$AJ$2&gt;M191,L191=""),1,0)</f>
        <v/>
      </c>
      <c r="AP191" s="26">
        <f>IF(AND(AK191="YES",W191="X"),"X","")</f>
        <v/>
      </c>
      <c r="AQ191" s="28">
        <f>IF(AP191="X",100%,0%)</f>
        <v/>
      </c>
      <c r="AR191" s="25">
        <f>IF(AND(T191&gt;0,L191=""),H191,"")</f>
        <v/>
      </c>
      <c r="AS191" s="25">
        <f>IF(AND(D191&gt;0,H191=0,G191=""),1,"")</f>
        <v/>
      </c>
      <c r="AT191" s="25">
        <f>IF(G191="BLOQ",1,"")</f>
        <v/>
      </c>
      <c r="AU191" s="25">
        <f>IF(L191="BLOQ",1,"")</f>
        <v/>
      </c>
      <c r="AV191" s="25">
        <f>MONTH(F191)</f>
        <v/>
      </c>
      <c r="AW191" s="65">
        <f>IF(AP191="",100%,0%)</f>
        <v/>
      </c>
      <c r="AX191" s="23" t="n"/>
      <c r="AY191" s="24">
        <f>IF(M191=0,"",M191-$AX$2)</f>
        <v/>
      </c>
      <c r="AZ191" s="66">
        <f>IF(AND(W191="",AY191&gt;0,AY191&lt;15),1,0)</f>
        <v/>
      </c>
      <c r="BA191" s="24">
        <f>IF(AND(W191="",AY191&gt;0,AY191&lt;15),T191,"")</f>
        <v/>
      </c>
      <c r="BB191" s="87">
        <f>IF(R191&lt;Q191,"X","")</f>
        <v/>
      </c>
      <c r="BC191" s="190" t="inlineStr">
        <is>
          <t>NO</t>
        </is>
      </c>
      <c r="BD191" s="190" t="inlineStr">
        <is>
          <t>NO</t>
        </is>
      </c>
    </row>
    <row r="192" ht="15" customHeight="1" s="162">
      <c r="A192" s="7" t="n">
        <v>191</v>
      </c>
      <c r="B192" t="inlineStr">
        <is>
          <t>39121412</t>
        </is>
      </c>
      <c r="C192" t="inlineStr">
        <is>
          <t>Carcasa de conector circular Amphenol M8</t>
        </is>
      </c>
      <c r="D192" t="inlineStr">
        <is>
          <t>1101810754</t>
        </is>
      </c>
      <c r="E192" t="inlineStr">
        <is>
          <t>3</t>
        </is>
      </c>
      <c r="F192" s="163" t="n">
        <v>45624</v>
      </c>
      <c r="G192" t="inlineStr"/>
      <c r="H192" t="inlineStr">
        <is>
          <t>4800002750</t>
        </is>
      </c>
      <c r="I192" t="inlineStr">
        <is>
          <t>410</t>
        </is>
      </c>
      <c r="J192" s="163" t="n">
        <v>45624</v>
      </c>
      <c r="K192" s="163" t="inlineStr"/>
      <c r="L192" t="inlineStr"/>
      <c r="M192" s="163" t="n">
        <v>45625</v>
      </c>
      <c r="N192" s="164" t="n">
        <v>0</v>
      </c>
      <c r="O192" s="164" t="n">
        <v>0</v>
      </c>
      <c r="P192" t="inlineStr"/>
      <c r="Q192" s="165" t="n">
        <v>4</v>
      </c>
      <c r="R192" s="165" t="n">
        <v>4</v>
      </c>
      <c r="S192" s="165" t="n">
        <v>4</v>
      </c>
      <c r="T192" s="165" t="n">
        <v>0</v>
      </c>
      <c r="U192" s="166" t="n">
        <v>0</v>
      </c>
      <c r="V192" s="166" t="n">
        <v>0</v>
      </c>
      <c r="W192" t="inlineStr">
        <is>
          <t>X</t>
        </is>
      </c>
      <c r="X192" t="inlineStr">
        <is>
          <t>0.00</t>
        </is>
      </c>
      <c r="Y192" t="inlineStr"/>
      <c r="Z192" t="inlineStr">
        <is>
          <t>AMIDATA, S.A.</t>
        </is>
      </c>
      <c r="AA192" t="inlineStr"/>
      <c r="AB192" t="inlineStr">
        <is>
          <t>2067519</t>
        </is>
      </c>
      <c r="AC192" t="inlineStr"/>
      <c r="AD192" s="164" t="n">
        <v>0</v>
      </c>
      <c r="AE192" s="185" t="n">
        <v>0</v>
      </c>
      <c r="AG192" s="167" t="inlineStr">
        <is>
          <t>7218|JA2593_1001</t>
        </is>
      </c>
      <c r="AH192" s="46">
        <f>IF(M192=0,"-",M192-J192)</f>
        <v/>
      </c>
      <c r="AI192" s="46">
        <f>IF(AND(S192=0,M192&gt;0,L192=0),IF(AH192&gt;=120,"VERY HIGH",IF(AH192&gt;=90,"HIGH",IF(AH192&gt;=60,"MEDIUM",IF(AH192&lt;60,"LOW")))),"-")</f>
        <v/>
      </c>
      <c r="AJ192" s="12" t="n"/>
      <c r="AK192" s="41">
        <f>IF(AND(W192="X",M192&lt;=$AJ$2),"YES","")</f>
        <v/>
      </c>
      <c r="AL192" s="38">
        <f>IF(AND(W192="X",M192&lt;=$AJ$2),S192,"")</f>
        <v/>
      </c>
      <c r="AM192" s="26">
        <f>IF(AND(W192="X",M192&gt;$AJ$2),"YES","")</f>
        <v/>
      </c>
      <c r="AN192" s="89">
        <f>IF(AND(W192="X",M192&gt;$AJ$2),S192,"")</f>
        <v/>
      </c>
      <c r="AO192" s="35">
        <f>IF(AND(W192="",M192&gt;0,$AJ$2&gt;M192,L192=""),1,0)</f>
        <v/>
      </c>
      <c r="AP192" s="26">
        <f>IF(AND(AK192="YES",W192="X"),"X","")</f>
        <v/>
      </c>
      <c r="AQ192" s="28">
        <f>IF(AP192="X",100%,0%)</f>
        <v/>
      </c>
      <c r="AR192" s="25">
        <f>IF(AND(T192&gt;0,L192=""),H192,"")</f>
        <v/>
      </c>
      <c r="AS192" s="25">
        <f>IF(AND(D192&gt;0,H192=0,G192=""),1,"")</f>
        <v/>
      </c>
      <c r="AT192" s="25">
        <f>IF(G192="BLOQ",1,"")</f>
        <v/>
      </c>
      <c r="AU192" s="25">
        <f>IF(L192="BLOQ",1,"")</f>
        <v/>
      </c>
      <c r="AV192" s="25">
        <f>MONTH(F192)</f>
        <v/>
      </c>
      <c r="AW192" s="65">
        <f>IF(AP192="",100%,0%)</f>
        <v/>
      </c>
      <c r="AX192" s="23" t="n"/>
      <c r="AY192" s="24">
        <f>IF(M192=0,"",M192-$AX$2)</f>
        <v/>
      </c>
      <c r="AZ192" s="66">
        <f>IF(AND(W192="",AY192&gt;0,AY192&lt;15),1,0)</f>
        <v/>
      </c>
      <c r="BA192" s="24">
        <f>IF(AND(W192="",AY192&gt;0,AY192&lt;15),T192,"")</f>
        <v/>
      </c>
      <c r="BB192" s="87">
        <f>IF(R192&lt;Q192,"X","")</f>
        <v/>
      </c>
      <c r="BC192" s="190" t="inlineStr">
        <is>
          <t>NO</t>
        </is>
      </c>
      <c r="BD192" s="190" t="inlineStr">
        <is>
          <t>NO</t>
        </is>
      </c>
    </row>
    <row r="193" ht="15" customHeight="1" s="162">
      <c r="A193" s="7" t="n">
        <v>192</v>
      </c>
      <c r="B193" t="inlineStr">
        <is>
          <t>1359900000500</t>
        </is>
      </c>
      <c r="C193" t="inlineStr">
        <is>
          <t>COMPRA DIRECTA ELECTRICOS/ELECTRONICOS</t>
        </is>
      </c>
      <c r="D193" t="inlineStr">
        <is>
          <t>1101812059</t>
        </is>
      </c>
      <c r="E193" t="inlineStr">
        <is>
          <t>1</t>
        </is>
      </c>
      <c r="F193" s="163" t="n">
        <v>45629</v>
      </c>
      <c r="G193" t="inlineStr"/>
      <c r="H193" t="inlineStr">
        <is>
          <t>4200589052</t>
        </is>
      </c>
      <c r="I193" t="inlineStr">
        <is>
          <t>60</t>
        </is>
      </c>
      <c r="J193" s="163" t="n">
        <v>45635</v>
      </c>
      <c r="K193" s="163" t="n">
        <v>45636</v>
      </c>
      <c r="L193" t="inlineStr"/>
      <c r="M193" s="163" t="n">
        <v>45653</v>
      </c>
      <c r="N193" s="164" t="n">
        <v>30</v>
      </c>
      <c r="O193" s="164" t="n">
        <v>8</v>
      </c>
      <c r="P193" t="inlineStr">
        <is>
          <t>Liberado</t>
        </is>
      </c>
      <c r="Q193" s="165" t="n">
        <v>1</v>
      </c>
      <c r="R193" s="165" t="n">
        <v>1</v>
      </c>
      <c r="S193" s="165" t="n">
        <v>1</v>
      </c>
      <c r="T193" s="165" t="n">
        <v>0</v>
      </c>
      <c r="U193" s="166" t="n">
        <v>0</v>
      </c>
      <c r="V193" s="166" t="n">
        <v>0</v>
      </c>
      <c r="W193" t="inlineStr">
        <is>
          <t>X</t>
        </is>
      </c>
      <c r="X193" t="inlineStr">
        <is>
          <t>0.00</t>
        </is>
      </c>
      <c r="Y193" t="inlineStr"/>
      <c r="Z193" t="inlineStr">
        <is>
          <t>SARVER S.L.</t>
        </is>
      </c>
      <c r="AA193" t="inlineStr">
        <is>
          <t>OTROS FABRICANTES</t>
        </is>
      </c>
      <c r="AB193" t="inlineStr">
        <is>
          <t>1359900000500</t>
        </is>
      </c>
      <c r="AC193" t="inlineStr"/>
      <c r="AD193" s="164" t="n">
        <v>0</v>
      </c>
      <c r="AE193" s="185" t="n">
        <v>0</v>
      </c>
      <c r="AG193" s="167" t="inlineStr">
        <is>
          <t>7218|JA2593_1001</t>
        </is>
      </c>
      <c r="AH193" s="46">
        <f>IF(M193=0,"-",M193-J193)</f>
        <v/>
      </c>
      <c r="AI193" s="46">
        <f>IF(AND(S193=0,M193&gt;0,L193=0),IF(AH193&gt;=120,"VERY HIGH",IF(AH193&gt;=90,"HIGH",IF(AH193&gt;=60,"MEDIUM",IF(AH193&lt;60,"LOW")))),"-")</f>
        <v/>
      </c>
      <c r="AJ193" s="12" t="n"/>
      <c r="AK193" s="41">
        <f>IF(AND(W193="X",M193&lt;=$AJ$2),"YES","")</f>
        <v/>
      </c>
      <c r="AL193" s="38">
        <f>IF(AND(W193="X",M193&lt;=$AJ$2),S193,"")</f>
        <v/>
      </c>
      <c r="AM193" s="26">
        <f>IF(AND(W193="X",M193&gt;$AJ$2),"YES","")</f>
        <v/>
      </c>
      <c r="AN193" s="89">
        <f>IF(AND(W193="X",M193&gt;$AJ$2),S193,"")</f>
        <v/>
      </c>
      <c r="AO193" s="35">
        <f>IF(AND(W193="",M193&gt;0,$AJ$2&gt;M193,L193=""),1,0)</f>
        <v/>
      </c>
      <c r="AP193" s="26">
        <f>IF(AND(AK193="YES",W193="X"),"X","")</f>
        <v/>
      </c>
      <c r="AQ193" s="28">
        <f>IF(AP193="X",100%,0%)</f>
        <v/>
      </c>
      <c r="AR193" s="25">
        <f>IF(AND(T193&gt;0,L193=""),H193,"")</f>
        <v/>
      </c>
      <c r="AS193" s="25">
        <f>IF(AND(D193&gt;0,H193=0,G193=""),1,"")</f>
        <v/>
      </c>
      <c r="AT193" s="25">
        <f>IF(G193="BLOQ",1,"")</f>
        <v/>
      </c>
      <c r="AU193" s="25">
        <f>IF(L193="BLOQ",1,"")</f>
        <v/>
      </c>
      <c r="AV193" s="25">
        <f>MONTH(F193)</f>
        <v/>
      </c>
      <c r="AW193" s="65">
        <f>IF(AP193="",100%,0%)</f>
        <v/>
      </c>
      <c r="AX193" s="23" t="n"/>
      <c r="AY193" s="24">
        <f>IF(M193=0,"",M193-$AX$2)</f>
        <v/>
      </c>
      <c r="AZ193" s="66">
        <f>IF(AND(W193="",AY193&gt;0,AY193&lt;15),1,0)</f>
        <v/>
      </c>
      <c r="BA193" s="24">
        <f>IF(AND(W193="",AY193&gt;0,AY193&lt;15),T193,"")</f>
        <v/>
      </c>
      <c r="BB193" s="87">
        <f>IF(R193&lt;Q193,"X","")</f>
        <v/>
      </c>
      <c r="BC193" s="190" t="inlineStr">
        <is>
          <t>NO</t>
        </is>
      </c>
      <c r="BD193" s="190" t="inlineStr">
        <is>
          <t>NO</t>
        </is>
      </c>
    </row>
    <row r="194" ht="15" customHeight="1" s="162">
      <c r="A194" s="7" t="n">
        <v>193</v>
      </c>
      <c r="B194" t="inlineStr">
        <is>
          <t>39121432</t>
        </is>
      </c>
      <c r="C194" t="inlineStr">
        <is>
          <t>Terminal de leng&amp;#252;eta hembra TE Conn</t>
        </is>
      </c>
      <c r="D194" t="inlineStr">
        <is>
          <t>1101812703</t>
        </is>
      </c>
      <c r="E194" t="inlineStr">
        <is>
          <t>1</t>
        </is>
      </c>
      <c r="F194" s="163" t="n">
        <v>45630</v>
      </c>
      <c r="G194" t="inlineStr"/>
      <c r="H194" t="inlineStr">
        <is>
          <t>4800002762</t>
        </is>
      </c>
      <c r="I194" t="inlineStr">
        <is>
          <t>1060</t>
        </is>
      </c>
      <c r="J194" s="163" t="n">
        <v>45629</v>
      </c>
      <c r="K194" s="163" t="inlineStr"/>
      <c r="L194" t="inlineStr"/>
      <c r="M194" s="163" t="n">
        <v>45631</v>
      </c>
      <c r="N194" s="164" t="n">
        <v>0</v>
      </c>
      <c r="O194" s="164" t="n">
        <v>0</v>
      </c>
      <c r="P194" t="inlineStr"/>
      <c r="Q194" s="165" t="n">
        <v>100</v>
      </c>
      <c r="R194" s="165" t="n">
        <v>100</v>
      </c>
      <c r="S194" s="165" t="n">
        <v>100</v>
      </c>
      <c r="T194" s="165" t="n">
        <v>0</v>
      </c>
      <c r="U194" s="166" t="n">
        <v>0</v>
      </c>
      <c r="V194" s="166" t="n">
        <v>0</v>
      </c>
      <c r="W194" t="inlineStr">
        <is>
          <t>X</t>
        </is>
      </c>
      <c r="X194" t="inlineStr">
        <is>
          <t>0.00</t>
        </is>
      </c>
      <c r="Y194" t="inlineStr"/>
      <c r="Z194" t="inlineStr">
        <is>
          <t>AMIDATA, S.A.</t>
        </is>
      </c>
      <c r="AA194" t="inlineStr"/>
      <c r="AB194" t="inlineStr">
        <is>
          <t>7197145</t>
        </is>
      </c>
      <c r="AC194" t="inlineStr"/>
      <c r="AD194" s="164" t="n">
        <v>0</v>
      </c>
      <c r="AE194" s="185" t="n">
        <v>0</v>
      </c>
      <c r="AG194" s="167" t="inlineStr">
        <is>
          <t>7218|JA2593_1001</t>
        </is>
      </c>
      <c r="AH194" s="46">
        <f>IF(M194=0,"-",M194-J194)</f>
        <v/>
      </c>
      <c r="AI194" s="46">
        <f>IF(AND(S194=0,M194&gt;0,L194=0),IF(AH194&gt;=120,"VERY HIGH",IF(AH194&gt;=90,"HIGH",IF(AH194&gt;=60,"MEDIUM",IF(AH194&lt;60,"LOW")))),"-")</f>
        <v/>
      </c>
      <c r="AJ194" s="12" t="n"/>
      <c r="AK194" s="41">
        <f>IF(AND(W194="X",M194&lt;=$AJ$2),"YES","")</f>
        <v/>
      </c>
      <c r="AL194" s="38">
        <f>IF(AND(W194="X",M194&lt;=$AJ$2),S194,"")</f>
        <v/>
      </c>
      <c r="AM194" s="26">
        <f>IF(AND(W194="X",M194&gt;$AJ$2),"YES","")</f>
        <v/>
      </c>
      <c r="AN194" s="89">
        <f>IF(AND(W194="X",M194&gt;$AJ$2),S194,"")</f>
        <v/>
      </c>
      <c r="AO194" s="35">
        <f>IF(AND(W194="",M194&gt;0,$AJ$2&gt;M194,L194=""),1,0)</f>
        <v/>
      </c>
      <c r="AP194" s="26">
        <f>IF(AND(AK194="YES",W194="X"),"X","")</f>
        <v/>
      </c>
      <c r="AQ194" s="28">
        <f>IF(AP194="X",100%,0%)</f>
        <v/>
      </c>
      <c r="AR194" s="25">
        <f>IF(AND(T194&gt;0,L194=""),H194,"")</f>
        <v/>
      </c>
      <c r="AS194" s="25">
        <f>IF(AND(D194&gt;0,H194=0,G194=""),1,"")</f>
        <v/>
      </c>
      <c r="AT194" s="25">
        <f>IF(G194="BLOQ",1,"")</f>
        <v/>
      </c>
      <c r="AU194" s="25">
        <f>IF(L194="BLOQ",1,"")</f>
        <v/>
      </c>
      <c r="AV194" s="25">
        <f>MONTH(F194)</f>
        <v/>
      </c>
      <c r="AW194" s="65">
        <f>IF(AP194="",100%,0%)</f>
        <v/>
      </c>
      <c r="AX194" s="23" t="n"/>
      <c r="AY194" s="24">
        <f>IF(M194=0,"",M194-$AX$2)</f>
        <v/>
      </c>
      <c r="AZ194" s="66">
        <f>IF(AND(W194="",AY194&gt;0,AY194&lt;15),1,0)</f>
        <v/>
      </c>
      <c r="BA194" s="24">
        <f>IF(AND(W194="",AY194&gt;0,AY194&lt;15),T194,"")</f>
        <v/>
      </c>
      <c r="BB194" s="87">
        <f>IF(R194&lt;Q194,"X","")</f>
        <v/>
      </c>
      <c r="BC194" s="190" t="inlineStr">
        <is>
          <t>NO</t>
        </is>
      </c>
      <c r="BD194" s="190" t="inlineStr">
        <is>
          <t>NO</t>
        </is>
      </c>
    </row>
    <row r="195" ht="15" customHeight="1" s="162">
      <c r="A195" s="7" t="n">
        <v>194</v>
      </c>
      <c r="B195" t="inlineStr">
        <is>
          <t>39121432</t>
        </is>
      </c>
      <c r="C195" t="inlineStr">
        <is>
          <t>Terminal de leng&amp;#252;eta hembra TE Conn</t>
        </is>
      </c>
      <c r="D195" t="inlineStr">
        <is>
          <t>1101812709</t>
        </is>
      </c>
      <c r="E195" t="inlineStr">
        <is>
          <t>1</t>
        </is>
      </c>
      <c r="F195" s="163" t="n">
        <v>45630</v>
      </c>
      <c r="G195" t="inlineStr"/>
      <c r="H195" t="inlineStr">
        <is>
          <t>4800002762</t>
        </is>
      </c>
      <c r="I195" t="inlineStr">
        <is>
          <t>1080</t>
        </is>
      </c>
      <c r="J195" s="163" t="n">
        <v>45629</v>
      </c>
      <c r="K195" s="163" t="inlineStr"/>
      <c r="L195" t="inlineStr"/>
      <c r="M195" s="163" t="n">
        <v>45631</v>
      </c>
      <c r="N195" s="164" t="n">
        <v>0</v>
      </c>
      <c r="O195" s="164" t="n">
        <v>0</v>
      </c>
      <c r="P195" t="inlineStr"/>
      <c r="Q195" s="165" t="n">
        <v>100</v>
      </c>
      <c r="R195" s="165" t="n">
        <v>100</v>
      </c>
      <c r="S195" s="165" t="n">
        <v>100</v>
      </c>
      <c r="T195" s="165" t="n">
        <v>0</v>
      </c>
      <c r="U195" s="166" t="n">
        <v>0</v>
      </c>
      <c r="V195" s="166" t="n">
        <v>0</v>
      </c>
      <c r="W195" t="inlineStr">
        <is>
          <t>X</t>
        </is>
      </c>
      <c r="X195" t="inlineStr">
        <is>
          <t>0.00</t>
        </is>
      </c>
      <c r="Y195" t="inlineStr"/>
      <c r="Z195" t="inlineStr">
        <is>
          <t>AMIDATA, S.A.</t>
        </is>
      </c>
      <c r="AA195" t="inlineStr"/>
      <c r="AB195" t="inlineStr">
        <is>
          <t>7197145</t>
        </is>
      </c>
      <c r="AC195" t="inlineStr"/>
      <c r="AD195" s="164" t="n">
        <v>0</v>
      </c>
      <c r="AE195" s="185" t="n">
        <v>0</v>
      </c>
      <c r="AG195" s="167" t="inlineStr">
        <is>
          <t>7218|JA2593_1001</t>
        </is>
      </c>
      <c r="AH195" s="46">
        <f>IF(M195=0,"-",M195-J195)</f>
        <v/>
      </c>
      <c r="AI195" s="46">
        <f>IF(AND(S195=0,M195&gt;0,L195=0),IF(AH195&gt;=120,"VERY HIGH",IF(AH195&gt;=90,"HIGH",IF(AH195&gt;=60,"MEDIUM",IF(AH195&lt;60,"LOW")))),"-")</f>
        <v/>
      </c>
      <c r="AJ195" s="12" t="n"/>
      <c r="AK195" s="41">
        <f>IF(AND(W195="X",M195&lt;=$AJ$2),"YES","")</f>
        <v/>
      </c>
      <c r="AL195" s="38">
        <f>IF(AND(W195="X",M195&lt;=$AJ$2),S195,"")</f>
        <v/>
      </c>
      <c r="AM195" s="26">
        <f>IF(AND(W195="X",M195&gt;$AJ$2),"YES","")</f>
        <v/>
      </c>
      <c r="AN195" s="89">
        <f>IF(AND(W195="X",M195&gt;$AJ$2),S195,"")</f>
        <v/>
      </c>
      <c r="AO195" s="35">
        <f>IF(AND(W195="",M195&gt;0,$AJ$2&gt;M195,L195=""),1,0)</f>
        <v/>
      </c>
      <c r="AP195" s="26">
        <f>IF(AND(AK195="YES",W195="X"),"X","")</f>
        <v/>
      </c>
      <c r="AQ195" s="28">
        <f>IF(AP195="X",100%,0%)</f>
        <v/>
      </c>
      <c r="AR195" s="25">
        <f>IF(AND(T195&gt;0,L195=""),H195,"")</f>
        <v/>
      </c>
      <c r="AS195" s="25">
        <f>IF(AND(D195&gt;0,H195=0,G195=""),1,"")</f>
        <v/>
      </c>
      <c r="AT195" s="25">
        <f>IF(G195="BLOQ",1,"")</f>
        <v/>
      </c>
      <c r="AU195" s="25">
        <f>IF(L195="BLOQ",1,"")</f>
        <v/>
      </c>
      <c r="AV195" s="25">
        <f>MONTH(F195)</f>
        <v/>
      </c>
      <c r="AW195" s="65">
        <f>IF(AP195="",100%,0%)</f>
        <v/>
      </c>
      <c r="AX195" s="23" t="n"/>
      <c r="AY195" s="24">
        <f>IF(M195=0,"",M195-$AX$2)</f>
        <v/>
      </c>
      <c r="AZ195" s="66">
        <f>IF(AND(W195="",AY195&gt;0,AY195&lt;15),1,0)</f>
        <v/>
      </c>
      <c r="BA195" s="24">
        <f>IF(AND(W195="",AY195&gt;0,AY195&lt;15),T195,"")</f>
        <v/>
      </c>
      <c r="BB195" s="87">
        <f>IF(R195&lt;Q195,"X","")</f>
        <v/>
      </c>
      <c r="BC195" s="190" t="inlineStr">
        <is>
          <t>NO</t>
        </is>
      </c>
      <c r="BD195" s="190" t="inlineStr">
        <is>
          <t>NO</t>
        </is>
      </c>
    </row>
    <row r="196" ht="15" customHeight="1" s="162">
      <c r="A196" s="7" t="n">
        <v>195</v>
      </c>
      <c r="B196" t="inlineStr">
        <is>
          <t>39121413</t>
        </is>
      </c>
      <c r="C196" t="inlineStr">
        <is>
          <t>Protecci&amp;#243;n contra tirones Plateado</t>
        </is>
      </c>
      <c r="D196" t="inlineStr">
        <is>
          <t>1101812778</t>
        </is>
      </c>
      <c r="E196" t="inlineStr">
        <is>
          <t>1</t>
        </is>
      </c>
      <c r="F196" s="163" t="n">
        <v>45630</v>
      </c>
      <c r="G196" t="inlineStr"/>
      <c r="H196" t="inlineStr">
        <is>
          <t>4800002769</t>
        </is>
      </c>
      <c r="I196" t="inlineStr">
        <is>
          <t>10</t>
        </is>
      </c>
      <c r="J196" s="163" t="n">
        <v>45630</v>
      </c>
      <c r="K196" s="163" t="inlineStr"/>
      <c r="L196" t="inlineStr"/>
      <c r="M196" s="163" t="n">
        <v>45631</v>
      </c>
      <c r="N196" s="164" t="n">
        <v>0</v>
      </c>
      <c r="O196" s="164" t="n">
        <v>0</v>
      </c>
      <c r="P196" t="inlineStr"/>
      <c r="Q196" s="165" t="n">
        <v>9</v>
      </c>
      <c r="R196" s="165" t="n">
        <v>9</v>
      </c>
      <c r="S196" s="165" t="n">
        <v>9</v>
      </c>
      <c r="T196" s="165" t="n">
        <v>0</v>
      </c>
      <c r="U196" s="166" t="n">
        <v>0</v>
      </c>
      <c r="V196" s="166" t="n">
        <v>0</v>
      </c>
      <c r="W196" t="inlineStr">
        <is>
          <t>X</t>
        </is>
      </c>
      <c r="X196" t="inlineStr">
        <is>
          <t>0.00</t>
        </is>
      </c>
      <c r="Y196" t="inlineStr"/>
      <c r="Z196" t="inlineStr">
        <is>
          <t>AMIDATA, S.A.</t>
        </is>
      </c>
      <c r="AA196" t="inlineStr"/>
      <c r="AB196" t="inlineStr">
        <is>
          <t>2614993</t>
        </is>
      </c>
      <c r="AC196" t="inlineStr"/>
      <c r="AD196" s="164" t="n">
        <v>0</v>
      </c>
      <c r="AE196" s="185" t="n">
        <v>0</v>
      </c>
      <c r="AG196" s="167" t="inlineStr">
        <is>
          <t>7218|JA2593_1001</t>
        </is>
      </c>
      <c r="AH196" s="46">
        <f>IF(M196=0,"-",M196-J196)</f>
        <v/>
      </c>
      <c r="AI196" s="46">
        <f>IF(AND(S196=0,M196&gt;0,L196=0),IF(AH196&gt;=120,"VERY HIGH",IF(AH196&gt;=90,"HIGH",IF(AH196&gt;=60,"MEDIUM",IF(AH196&lt;60,"LOW")))),"-")</f>
        <v/>
      </c>
      <c r="AJ196" s="12" t="n"/>
      <c r="AK196" s="41">
        <f>IF(AND(W196="X",M196&lt;=$AJ$2),"YES","")</f>
        <v/>
      </c>
      <c r="AL196" s="38">
        <f>IF(AND(W196="X",M196&lt;=$AJ$2),S196,"")</f>
        <v/>
      </c>
      <c r="AM196" s="26">
        <f>IF(AND(W196="X",M196&gt;$AJ$2),"YES","")</f>
        <v/>
      </c>
      <c r="AN196" s="89">
        <f>IF(AND(W196="X",M196&gt;$AJ$2),S196,"")</f>
        <v/>
      </c>
      <c r="AO196" s="35">
        <f>IF(AND(W196="",M196&gt;0,$AJ$2&gt;M196,L196=""),1,0)</f>
        <v/>
      </c>
      <c r="AP196" s="26">
        <f>IF(AND(AK196="YES",W196="X"),"X","")</f>
        <v/>
      </c>
      <c r="AQ196" s="28">
        <f>IF(AP196="X",100%,0%)</f>
        <v/>
      </c>
      <c r="AR196" s="25">
        <f>IF(AND(T196&gt;0,L196=""),H196,"")</f>
        <v/>
      </c>
      <c r="AS196" s="25">
        <f>IF(AND(D196&gt;0,H196=0,G196=""),1,"")</f>
        <v/>
      </c>
      <c r="AT196" s="25">
        <f>IF(G196="BLOQ",1,"")</f>
        <v/>
      </c>
      <c r="AU196" s="25">
        <f>IF(L196="BLOQ",1,"")</f>
        <v/>
      </c>
      <c r="AV196" s="25">
        <f>MONTH(F196)</f>
        <v/>
      </c>
      <c r="AW196" s="65">
        <f>IF(AP196="",100%,0%)</f>
        <v/>
      </c>
      <c r="AX196" s="23" t="n"/>
      <c r="AY196" s="24">
        <f>IF(M196=0,"",M196-$AX$2)</f>
        <v/>
      </c>
      <c r="AZ196" s="66">
        <f>IF(AND(W196="",AY196&gt;0,AY196&lt;15),1,0)</f>
        <v/>
      </c>
      <c r="BA196" s="24">
        <f>IF(AND(W196="",AY196&gt;0,AY196&lt;15),T196,"")</f>
        <v/>
      </c>
      <c r="BB196" s="87">
        <f>IF(R196&lt;Q196,"X","")</f>
        <v/>
      </c>
      <c r="BC196" s="190" t="inlineStr">
        <is>
          <t>NO</t>
        </is>
      </c>
      <c r="BD196" s="190" t="inlineStr">
        <is>
          <t>NO</t>
        </is>
      </c>
    </row>
    <row r="197" ht="15" customHeight="1" s="162">
      <c r="A197" s="7" t="n">
        <v>196</v>
      </c>
      <c r="B197" t="inlineStr">
        <is>
          <t>1359900000500</t>
        </is>
      </c>
      <c r="C197" t="inlineStr">
        <is>
          <t>COMPRA DIRECTA ELECTRICOS/ELECTRONICOS</t>
        </is>
      </c>
      <c r="D197" t="inlineStr">
        <is>
          <t>1101812930</t>
        </is>
      </c>
      <c r="E197" t="inlineStr">
        <is>
          <t>1</t>
        </is>
      </c>
      <c r="F197" s="163" t="n">
        <v>45630</v>
      </c>
      <c r="G197" t="inlineStr"/>
      <c r="H197" t="inlineStr">
        <is>
          <t>4200589452</t>
        </is>
      </c>
      <c r="I197" t="inlineStr">
        <is>
          <t>20</t>
        </is>
      </c>
      <c r="J197" s="163" t="n">
        <v>45636</v>
      </c>
      <c r="K197" s="163" t="n">
        <v>45637</v>
      </c>
      <c r="L197" t="inlineStr"/>
      <c r="M197" s="163" t="n">
        <v>45649</v>
      </c>
      <c r="N197" s="164" t="n">
        <v>30</v>
      </c>
      <c r="O197" s="164" t="n">
        <v>8</v>
      </c>
      <c r="P197" t="inlineStr">
        <is>
          <t>Liberado</t>
        </is>
      </c>
      <c r="Q197" s="165" t="n">
        <v>1</v>
      </c>
      <c r="R197" s="165" t="n">
        <v>1</v>
      </c>
      <c r="S197" s="165" t="n">
        <v>1</v>
      </c>
      <c r="T197" s="165" t="n">
        <v>0</v>
      </c>
      <c r="U197" s="166" t="n">
        <v>0</v>
      </c>
      <c r="V197" s="166" t="n">
        <v>0</v>
      </c>
      <c r="W197" t="inlineStr">
        <is>
          <t>X</t>
        </is>
      </c>
      <c r="X197" t="inlineStr">
        <is>
          <t>0.00</t>
        </is>
      </c>
      <c r="Y197" t="inlineStr"/>
      <c r="Z197" t="inlineStr">
        <is>
          <t>SARVER S.L.</t>
        </is>
      </c>
      <c r="AA197" t="inlineStr">
        <is>
          <t>OTROS FABRICANTES</t>
        </is>
      </c>
      <c r="AB197" t="inlineStr">
        <is>
          <t>1359900000500</t>
        </is>
      </c>
      <c r="AC197" t="inlineStr"/>
      <c r="AD197" s="164" t="n">
        <v>0</v>
      </c>
      <c r="AE197" s="185" t="n">
        <v>0</v>
      </c>
      <c r="AG197" s="167" t="inlineStr">
        <is>
          <t>7218|JA2593_1001</t>
        </is>
      </c>
      <c r="AH197" s="46">
        <f>IF(M197=0,"-",M197-J197)</f>
        <v/>
      </c>
      <c r="AI197" s="46">
        <f>IF(AND(S197=0,M197&gt;0,L197=0),IF(AH197&gt;=120,"VERY HIGH",IF(AH197&gt;=90,"HIGH",IF(AH197&gt;=60,"MEDIUM",IF(AH197&lt;60,"LOW")))),"-")</f>
        <v/>
      </c>
      <c r="AJ197" s="12" t="n"/>
      <c r="AK197" s="41">
        <f>IF(AND(W197="X",M197&lt;=$AJ$2),"YES","")</f>
        <v/>
      </c>
      <c r="AL197" s="38">
        <f>IF(AND(W197="X",M197&lt;=$AJ$2),S197,"")</f>
        <v/>
      </c>
      <c r="AM197" s="26">
        <f>IF(AND(W197="X",M197&gt;$AJ$2),"YES","")</f>
        <v/>
      </c>
      <c r="AN197" s="89">
        <f>IF(AND(W197="X",M197&gt;$AJ$2),S197,"")</f>
        <v/>
      </c>
      <c r="AO197" s="35">
        <f>IF(AND(W197="",M197&gt;0,$AJ$2&gt;M197,L197=""),1,0)</f>
        <v/>
      </c>
      <c r="AP197" s="26">
        <f>IF(AND(AK197="YES",W197="X"),"X","")</f>
        <v/>
      </c>
      <c r="AQ197" s="28">
        <f>IF(AP197="X",100%,0%)</f>
        <v/>
      </c>
      <c r="AR197" s="25">
        <f>IF(AND(T197&gt;0,L197=""),H197,"")</f>
        <v/>
      </c>
      <c r="AS197" s="25">
        <f>IF(AND(D197&gt;0,H197=0,G197=""),1,"")</f>
        <v/>
      </c>
      <c r="AT197" s="25">
        <f>IF(G197="BLOQ",1,"")</f>
        <v/>
      </c>
      <c r="AU197" s="25">
        <f>IF(L197="BLOQ",1,"")</f>
        <v/>
      </c>
      <c r="AV197" s="25">
        <f>MONTH(F197)</f>
        <v/>
      </c>
      <c r="AW197" s="65">
        <f>IF(AP197="",100%,0%)</f>
        <v/>
      </c>
      <c r="AX197" s="23" t="n"/>
      <c r="AY197" s="24">
        <f>IF(M197=0,"",M197-$AX$2)</f>
        <v/>
      </c>
      <c r="AZ197" s="66">
        <f>IF(AND(W197="",AY197&gt;0,AY197&lt;15),1,0)</f>
        <v/>
      </c>
      <c r="BA197" s="24">
        <f>IF(AND(W197="",AY197&gt;0,AY197&lt;15),T197,"")</f>
        <v/>
      </c>
      <c r="BB197" s="87">
        <f>IF(R197&lt;Q197,"X","")</f>
        <v/>
      </c>
      <c r="BC197" s="190" t="inlineStr">
        <is>
          <t>NO</t>
        </is>
      </c>
      <c r="BD197" s="190" t="inlineStr">
        <is>
          <t>NO</t>
        </is>
      </c>
    </row>
    <row r="198" ht="15" customHeight="1" s="162">
      <c r="A198" s="7" t="n">
        <v>197</v>
      </c>
      <c r="B198" t="inlineStr">
        <is>
          <t>1359900000500</t>
        </is>
      </c>
      <c r="C198" t="inlineStr">
        <is>
          <t>COMPRA DIRECTA ELECTRICOS/ELECTRONICOS</t>
        </is>
      </c>
      <c r="D198" t="inlineStr">
        <is>
          <t>1101813294</t>
        </is>
      </c>
      <c r="E198" t="inlineStr">
        <is>
          <t>1</t>
        </is>
      </c>
      <c r="F198" s="163" t="n">
        <v>45631</v>
      </c>
      <c r="G198" t="inlineStr"/>
      <c r="H198" t="inlineStr">
        <is>
          <t>4200589622</t>
        </is>
      </c>
      <c r="I198" t="inlineStr">
        <is>
          <t>10</t>
        </is>
      </c>
      <c r="J198" s="163" t="n">
        <v>45637</v>
      </c>
      <c r="K198" s="163" t="n">
        <v>45638</v>
      </c>
      <c r="L198" t="inlineStr"/>
      <c r="M198" s="163" t="n">
        <v>45653</v>
      </c>
      <c r="N198" s="164" t="n">
        <v>30</v>
      </c>
      <c r="O198" s="164" t="n">
        <v>8</v>
      </c>
      <c r="P198" t="inlineStr">
        <is>
          <t>Liberado</t>
        </is>
      </c>
      <c r="Q198" s="165" t="n">
        <v>1</v>
      </c>
      <c r="R198" s="165" t="n">
        <v>1</v>
      </c>
      <c r="S198" s="165" t="n">
        <v>1</v>
      </c>
      <c r="T198" s="165" t="n">
        <v>0</v>
      </c>
      <c r="U198" s="166" t="n">
        <v>0</v>
      </c>
      <c r="V198" s="166" t="n">
        <v>0</v>
      </c>
      <c r="W198" t="inlineStr">
        <is>
          <t>X</t>
        </is>
      </c>
      <c r="X198" t="inlineStr">
        <is>
          <t>0.00</t>
        </is>
      </c>
      <c r="Y198" t="inlineStr"/>
      <c r="Z198" t="inlineStr">
        <is>
          <t>SARVER S.L.</t>
        </is>
      </c>
      <c r="AA198" t="inlineStr">
        <is>
          <t>OTROS FABRICANTES</t>
        </is>
      </c>
      <c r="AB198" t="inlineStr">
        <is>
          <t>1359900000500</t>
        </is>
      </c>
      <c r="AC198" t="inlineStr"/>
      <c r="AD198" s="164" t="n">
        <v>0</v>
      </c>
      <c r="AE198" s="185" t="n">
        <v>0</v>
      </c>
      <c r="AG198" s="167" t="inlineStr">
        <is>
          <t>7218|JA2593_1001</t>
        </is>
      </c>
      <c r="AH198" s="46">
        <f>IF(M198=0,"-",M198-J198)</f>
        <v/>
      </c>
      <c r="AI198" s="46">
        <f>IF(AND(S198=0,M198&gt;0,L198=0),IF(AH198&gt;=120,"VERY HIGH",IF(AH198&gt;=90,"HIGH",IF(AH198&gt;=60,"MEDIUM",IF(AH198&lt;60,"LOW")))),"-")</f>
        <v/>
      </c>
      <c r="AJ198" s="12" t="n"/>
      <c r="AK198" s="41">
        <f>IF(AND(W198="X",M198&lt;=$AJ$2),"YES","")</f>
        <v/>
      </c>
      <c r="AL198" s="38">
        <f>IF(AND(W198="X",M198&lt;=$AJ$2),S198,"")</f>
        <v/>
      </c>
      <c r="AM198" s="26">
        <f>IF(AND(W198="X",M198&gt;$AJ$2),"YES","")</f>
        <v/>
      </c>
      <c r="AN198" s="89">
        <f>IF(AND(W198="X",M198&gt;$AJ$2),S198,"")</f>
        <v/>
      </c>
      <c r="AO198" s="35">
        <f>IF(AND(W198="",M198&gt;0,$AJ$2&gt;M198,L198=""),1,0)</f>
        <v/>
      </c>
      <c r="AP198" s="26">
        <f>IF(AND(AK198="YES",W198="X"),"X","")</f>
        <v/>
      </c>
      <c r="AQ198" s="28">
        <f>IF(AP198="X",100%,0%)</f>
        <v/>
      </c>
      <c r="AR198" s="25">
        <f>IF(AND(T198&gt;0,L198=""),H198,"")</f>
        <v/>
      </c>
      <c r="AS198" s="25">
        <f>IF(AND(D198&gt;0,H198=0,G198=""),1,"")</f>
        <v/>
      </c>
      <c r="AT198" s="25">
        <f>IF(G198="BLOQ",1,"")</f>
        <v/>
      </c>
      <c r="AU198" s="25">
        <f>IF(L198="BLOQ",1,"")</f>
        <v/>
      </c>
      <c r="AV198" s="25">
        <f>MONTH(F198)</f>
        <v/>
      </c>
      <c r="AW198" s="65">
        <f>IF(AP198="",100%,0%)</f>
        <v/>
      </c>
      <c r="AX198" s="23" t="n"/>
      <c r="AY198" s="24">
        <f>IF(M198=0,"",M198-$AX$2)</f>
        <v/>
      </c>
      <c r="AZ198" s="66">
        <f>IF(AND(W198="",AY198&gt;0,AY198&lt;15),1,0)</f>
        <v/>
      </c>
      <c r="BA198" s="24">
        <f>IF(AND(W198="",AY198&gt;0,AY198&lt;15),T198,"")</f>
        <v/>
      </c>
      <c r="BB198" s="87">
        <f>IF(R198&lt;Q198,"X","")</f>
        <v/>
      </c>
      <c r="BC198" s="190" t="inlineStr">
        <is>
          <t>NO</t>
        </is>
      </c>
      <c r="BD198" s="190" t="inlineStr">
        <is>
          <t>NO</t>
        </is>
      </c>
    </row>
    <row r="199" ht="15" customHeight="1" s="162">
      <c r="A199" s="7" t="n">
        <v>198</v>
      </c>
      <c r="B199" t="inlineStr">
        <is>
          <t>1359900000500</t>
        </is>
      </c>
      <c r="C199" t="inlineStr">
        <is>
          <t>COMPRA DIRECTA ELECTRICOS/ELECTRONICOS</t>
        </is>
      </c>
      <c r="D199" t="inlineStr">
        <is>
          <t>1101813297</t>
        </is>
      </c>
      <c r="E199" t="inlineStr">
        <is>
          <t>1</t>
        </is>
      </c>
      <c r="F199" s="163" t="n">
        <v>45631</v>
      </c>
      <c r="G199" t="inlineStr"/>
      <c r="H199" t="inlineStr">
        <is>
          <t>4200589622</t>
        </is>
      </c>
      <c r="I199" t="inlineStr">
        <is>
          <t>20</t>
        </is>
      </c>
      <c r="J199" s="163" t="n">
        <v>45637</v>
      </c>
      <c r="K199" s="163" t="n">
        <v>45638</v>
      </c>
      <c r="L199" t="inlineStr"/>
      <c r="M199" s="163" t="n">
        <v>45653</v>
      </c>
      <c r="N199" s="164" t="n">
        <v>30</v>
      </c>
      <c r="O199" s="164" t="n">
        <v>8</v>
      </c>
      <c r="P199" t="inlineStr">
        <is>
          <t>Liberado</t>
        </is>
      </c>
      <c r="Q199" s="165" t="n">
        <v>1</v>
      </c>
      <c r="R199" s="165" t="n">
        <v>1</v>
      </c>
      <c r="S199" s="165" t="n">
        <v>1</v>
      </c>
      <c r="T199" s="165" t="n">
        <v>0</v>
      </c>
      <c r="U199" s="166" t="n">
        <v>0</v>
      </c>
      <c r="V199" s="166" t="n">
        <v>0</v>
      </c>
      <c r="W199" t="inlineStr">
        <is>
          <t>X</t>
        </is>
      </c>
      <c r="X199" t="inlineStr">
        <is>
          <t>0.00</t>
        </is>
      </c>
      <c r="Y199" t="inlineStr"/>
      <c r="Z199" t="inlineStr">
        <is>
          <t>SARVER S.L.</t>
        </is>
      </c>
      <c r="AA199" t="inlineStr">
        <is>
          <t>OTROS FABRICANTES</t>
        </is>
      </c>
      <c r="AB199" t="inlineStr">
        <is>
          <t>1359900000500</t>
        </is>
      </c>
      <c r="AC199" t="inlineStr"/>
      <c r="AD199" s="164" t="n">
        <v>0</v>
      </c>
      <c r="AE199" s="185" t="n">
        <v>0</v>
      </c>
      <c r="AG199" s="167" t="inlineStr">
        <is>
          <t>7218|JA2593_1001</t>
        </is>
      </c>
      <c r="AH199" s="46">
        <f>IF(M199=0,"-",M199-J199)</f>
        <v/>
      </c>
      <c r="AI199" s="46">
        <f>IF(AND(S199=0,M199&gt;0,L199=0),IF(AH199&gt;=120,"VERY HIGH",IF(AH199&gt;=90,"HIGH",IF(AH199&gt;=60,"MEDIUM",IF(AH199&lt;60,"LOW")))),"-")</f>
        <v/>
      </c>
      <c r="AJ199" s="12" t="n"/>
      <c r="AK199" s="41">
        <f>IF(AND(W199="X",M199&lt;=$AJ$2),"YES","")</f>
        <v/>
      </c>
      <c r="AL199" s="38">
        <f>IF(AND(W199="X",M199&lt;=$AJ$2),S199,"")</f>
        <v/>
      </c>
      <c r="AM199" s="26">
        <f>IF(AND(W199="X",M199&gt;$AJ$2),"YES","")</f>
        <v/>
      </c>
      <c r="AN199" s="89">
        <f>IF(AND(W199="X",M199&gt;$AJ$2),S199,"")</f>
        <v/>
      </c>
      <c r="AO199" s="35">
        <f>IF(AND(W199="",M199&gt;0,$AJ$2&gt;M199,L199=""),1,0)</f>
        <v/>
      </c>
      <c r="AP199" s="26">
        <f>IF(AND(AK199="YES",W199="X"),"X","")</f>
        <v/>
      </c>
      <c r="AQ199" s="28">
        <f>IF(AP199="X",100%,0%)</f>
        <v/>
      </c>
      <c r="AR199" s="25">
        <f>IF(AND(T199&gt;0,L199=""),H199,"")</f>
        <v/>
      </c>
      <c r="AS199" s="25">
        <f>IF(AND(D199&gt;0,H199=0,G199=""),1,"")</f>
        <v/>
      </c>
      <c r="AT199" s="25">
        <f>IF(G199="BLOQ",1,"")</f>
        <v/>
      </c>
      <c r="AU199" s="25">
        <f>IF(L199="BLOQ",1,"")</f>
        <v/>
      </c>
      <c r="AV199" s="25">
        <f>MONTH(F199)</f>
        <v/>
      </c>
      <c r="AW199" s="65">
        <f>IF(AP199="",100%,0%)</f>
        <v/>
      </c>
      <c r="AX199" s="23" t="n"/>
      <c r="AY199" s="24">
        <f>IF(M199=0,"",M199-$AX$2)</f>
        <v/>
      </c>
      <c r="AZ199" s="66">
        <f>IF(AND(W199="",AY199&gt;0,AY199&lt;15),1,0)</f>
        <v/>
      </c>
      <c r="BA199" s="24">
        <f>IF(AND(W199="",AY199&gt;0,AY199&lt;15),T199,"")</f>
        <v/>
      </c>
      <c r="BB199" s="87">
        <f>IF(R199&lt;Q199,"X","")</f>
        <v/>
      </c>
      <c r="BC199" s="190" t="inlineStr">
        <is>
          <t>NO</t>
        </is>
      </c>
      <c r="BD199" s="190" t="inlineStr">
        <is>
          <t>NO</t>
        </is>
      </c>
    </row>
    <row r="200" ht="15" customHeight="1" s="162">
      <c r="A200" s="7" t="n">
        <v>199</v>
      </c>
      <c r="B200" t="inlineStr">
        <is>
          <t>1359900000500</t>
        </is>
      </c>
      <c r="C200" t="inlineStr">
        <is>
          <t>COMPRA DIRECTA ELECTRICOS/ELECTRONICOS</t>
        </is>
      </c>
      <c r="D200" t="inlineStr">
        <is>
          <t>1101813301</t>
        </is>
      </c>
      <c r="E200" t="inlineStr">
        <is>
          <t>1</t>
        </is>
      </c>
      <c r="F200" s="163" t="n">
        <v>45631</v>
      </c>
      <c r="G200" t="inlineStr"/>
      <c r="H200" t="inlineStr">
        <is>
          <t>4200589622</t>
        </is>
      </c>
      <c r="I200" t="inlineStr">
        <is>
          <t>30</t>
        </is>
      </c>
      <c r="J200" s="163" t="n">
        <v>45637</v>
      </c>
      <c r="K200" s="163" t="n">
        <v>45638</v>
      </c>
      <c r="L200" t="inlineStr"/>
      <c r="M200" s="163" t="n">
        <v>45653</v>
      </c>
      <c r="N200" s="164" t="n">
        <v>30</v>
      </c>
      <c r="O200" s="164" t="n">
        <v>8</v>
      </c>
      <c r="P200" t="inlineStr">
        <is>
          <t>Liberado</t>
        </is>
      </c>
      <c r="Q200" s="165" t="n">
        <v>1</v>
      </c>
      <c r="R200" s="165" t="n">
        <v>1</v>
      </c>
      <c r="S200" s="165" t="n">
        <v>1</v>
      </c>
      <c r="T200" s="165" t="n">
        <v>0</v>
      </c>
      <c r="U200" s="166" t="n">
        <v>0</v>
      </c>
      <c r="V200" s="166" t="n">
        <v>0</v>
      </c>
      <c r="W200" t="inlineStr">
        <is>
          <t>X</t>
        </is>
      </c>
      <c r="X200" t="inlineStr">
        <is>
          <t>0.00</t>
        </is>
      </c>
      <c r="Y200" t="inlineStr"/>
      <c r="Z200" t="inlineStr">
        <is>
          <t>SARVER S.L.</t>
        </is>
      </c>
      <c r="AA200" t="inlineStr">
        <is>
          <t>OTROS FABRICANTES</t>
        </is>
      </c>
      <c r="AB200" t="inlineStr">
        <is>
          <t>1359900000500</t>
        </is>
      </c>
      <c r="AC200" t="inlineStr"/>
      <c r="AD200" s="164" t="n">
        <v>0</v>
      </c>
      <c r="AE200" s="185" t="n">
        <v>0</v>
      </c>
      <c r="AG200" s="167" t="inlineStr">
        <is>
          <t>7218|JA2593_1001</t>
        </is>
      </c>
      <c r="AH200" s="46">
        <f>IF(M200=0,"-",M200-J200)</f>
        <v/>
      </c>
      <c r="AI200" s="46">
        <f>IF(AND(S200=0,M200&gt;0,L200=0),IF(AH200&gt;=120,"VERY HIGH",IF(AH200&gt;=90,"HIGH",IF(AH200&gt;=60,"MEDIUM",IF(AH200&lt;60,"LOW")))),"-")</f>
        <v/>
      </c>
      <c r="AJ200" s="12" t="n"/>
      <c r="AK200" s="41">
        <f>IF(AND(W200="X",M200&lt;=$AJ$2),"YES","")</f>
        <v/>
      </c>
      <c r="AL200" s="38">
        <f>IF(AND(W200="X",M200&lt;=$AJ$2),S200,"")</f>
        <v/>
      </c>
      <c r="AM200" s="26">
        <f>IF(AND(W200="X",M200&gt;$AJ$2),"YES","")</f>
        <v/>
      </c>
      <c r="AN200" s="89">
        <f>IF(AND(W200="X",M200&gt;$AJ$2),S200,"")</f>
        <v/>
      </c>
      <c r="AO200" s="35">
        <f>IF(AND(W200="",M200&gt;0,$AJ$2&gt;M200,L200=""),1,0)</f>
        <v/>
      </c>
      <c r="AP200" s="26">
        <f>IF(AND(AK200="YES",W200="X"),"X","")</f>
        <v/>
      </c>
      <c r="AQ200" s="28">
        <f>IF(AP200="X",100%,0%)</f>
        <v/>
      </c>
      <c r="AR200" s="25">
        <f>IF(AND(T200&gt;0,L200=""),H200,"")</f>
        <v/>
      </c>
      <c r="AS200" s="25">
        <f>IF(AND(D200&gt;0,H200=0,G200=""),1,"")</f>
        <v/>
      </c>
      <c r="AT200" s="25">
        <f>IF(G200="BLOQ",1,"")</f>
        <v/>
      </c>
      <c r="AU200" s="25">
        <f>IF(L200="BLOQ",1,"")</f>
        <v/>
      </c>
      <c r="AV200" s="25">
        <f>MONTH(F200)</f>
        <v/>
      </c>
      <c r="AW200" s="65">
        <f>IF(AP200="",100%,0%)</f>
        <v/>
      </c>
      <c r="AX200" s="23" t="n"/>
      <c r="AY200" s="24">
        <f>IF(M200=0,"",M200-$AX$2)</f>
        <v/>
      </c>
      <c r="AZ200" s="66">
        <f>IF(AND(W200="",AY200&gt;0,AY200&lt;15),1,0)</f>
        <v/>
      </c>
      <c r="BA200" s="24">
        <f>IF(AND(W200="",AY200&gt;0,AY200&lt;15),T200,"")</f>
        <v/>
      </c>
      <c r="BB200" s="87">
        <f>IF(R200&lt;Q200,"X","")</f>
        <v/>
      </c>
      <c r="BC200" s="190" t="inlineStr">
        <is>
          <t>NO</t>
        </is>
      </c>
      <c r="BD200" s="190" t="inlineStr">
        <is>
          <t>NO</t>
        </is>
      </c>
    </row>
    <row r="201" ht="15" customHeight="1" s="162">
      <c r="A201" s="7" t="n">
        <v>200</v>
      </c>
      <c r="B201" t="inlineStr">
        <is>
          <t>55121612</t>
        </is>
      </c>
      <c r="C201" t="inlineStr">
        <is>
          <t>PK20 ETQ POLIEST 210X297 BCO APLI 1228</t>
        </is>
      </c>
      <c r="D201" t="inlineStr">
        <is>
          <t>1101813317</t>
        </is>
      </c>
      <c r="E201" t="inlineStr">
        <is>
          <t>1</t>
        </is>
      </c>
      <c r="F201" s="163" t="n">
        <v>45631</v>
      </c>
      <c r="G201" t="inlineStr"/>
      <c r="H201" t="inlineStr">
        <is>
          <t>4800002758</t>
        </is>
      </c>
      <c r="I201" t="inlineStr">
        <is>
          <t>490</t>
        </is>
      </c>
      <c r="J201" s="163" t="n">
        <v>45628</v>
      </c>
      <c r="K201" s="163" t="inlineStr"/>
      <c r="L201" t="inlineStr"/>
      <c r="M201" s="163" t="n">
        <v>45632</v>
      </c>
      <c r="N201" s="164" t="n">
        <v>0</v>
      </c>
      <c r="O201" s="164" t="n">
        <v>0</v>
      </c>
      <c r="P201" t="inlineStr"/>
      <c r="Q201" s="165" t="n">
        <v>4</v>
      </c>
      <c r="R201" s="165" t="n">
        <v>4</v>
      </c>
      <c r="S201" s="165" t="n">
        <v>4</v>
      </c>
      <c r="T201" s="165" t="n">
        <v>0</v>
      </c>
      <c r="U201" s="166" t="n">
        <v>0</v>
      </c>
      <c r="V201" s="166" t="n">
        <v>0</v>
      </c>
      <c r="W201" t="inlineStr">
        <is>
          <t>X</t>
        </is>
      </c>
      <c r="X201" t="inlineStr">
        <is>
          <t>0.00</t>
        </is>
      </c>
      <c r="Y201" t="inlineStr"/>
      <c r="Z201" t="inlineStr">
        <is>
          <t>FUNDACION JUAN XXIII-RONCALLI DISC.</t>
        </is>
      </c>
      <c r="AA201" t="inlineStr"/>
      <c r="AB201" t="inlineStr">
        <is>
          <t>993226</t>
        </is>
      </c>
      <c r="AC201" t="inlineStr"/>
      <c r="AD201" s="164" t="n">
        <v>0</v>
      </c>
      <c r="AE201" s="185" t="n">
        <v>0</v>
      </c>
      <c r="AG201" s="167" t="inlineStr">
        <is>
          <t>7218|S24B05_S1076</t>
        </is>
      </c>
      <c r="AH201" s="46">
        <f>IF(M201=0,"-",M201-J201)</f>
        <v/>
      </c>
      <c r="AI201" s="46">
        <f>IF(AND(S201=0,M201&gt;0,L201=0),IF(AH201&gt;=120,"VERY HIGH",IF(AH201&gt;=90,"HIGH",IF(AH201&gt;=60,"MEDIUM",IF(AH201&lt;60,"LOW")))),"-")</f>
        <v/>
      </c>
      <c r="AJ201" s="12" t="n"/>
      <c r="AK201" s="41">
        <f>IF(AND(W201="X",M201&lt;=$AJ$2),"YES","")</f>
        <v/>
      </c>
      <c r="AL201" s="38">
        <f>IF(AND(W201="X",M201&lt;=$AJ$2),S201,"")</f>
        <v/>
      </c>
      <c r="AM201" s="26">
        <f>IF(AND(W201="X",M201&gt;$AJ$2),"YES","")</f>
        <v/>
      </c>
      <c r="AN201" s="89">
        <f>IF(AND(W201="X",M201&gt;$AJ$2),S201,"")</f>
        <v/>
      </c>
      <c r="AO201" s="35">
        <f>IF(AND(W201="",M201&gt;0,$AJ$2&gt;M201,L201=""),1,0)</f>
        <v/>
      </c>
      <c r="AP201" s="26">
        <f>IF(AND(AK201="YES",W201="X"),"X","")</f>
        <v/>
      </c>
      <c r="AQ201" s="28">
        <f>IF(AP201="X",100%,0%)</f>
        <v/>
      </c>
      <c r="AR201" s="25">
        <f>IF(AND(T201&gt;0,L201=""),H201,"")</f>
        <v/>
      </c>
      <c r="AS201" s="25">
        <f>IF(AND(D201&gt;0,H201=0,G201=""),1,"")</f>
        <v/>
      </c>
      <c r="AT201" s="25">
        <f>IF(G201="BLOQ",1,"")</f>
        <v/>
      </c>
      <c r="AU201" s="25">
        <f>IF(L201="BLOQ",1,"")</f>
        <v/>
      </c>
      <c r="AV201" s="25">
        <f>MONTH(F201)</f>
        <v/>
      </c>
      <c r="AW201" s="65">
        <f>IF(AP201="",100%,0%)</f>
        <v/>
      </c>
      <c r="AX201" s="23" t="n"/>
      <c r="AY201" s="24">
        <f>IF(M201=0,"",M201-$AX$2)</f>
        <v/>
      </c>
      <c r="AZ201" s="66">
        <f>IF(AND(W201="",AY201&gt;0,AY201&lt;15),1,0)</f>
        <v/>
      </c>
      <c r="BA201" s="24">
        <f>IF(AND(W201="",AY201&gt;0,AY201&lt;15),T201,"")</f>
        <v/>
      </c>
      <c r="BB201" s="87">
        <f>IF(R201&lt;Q201,"X","")</f>
        <v/>
      </c>
      <c r="BC201" s="190" t="inlineStr">
        <is>
          <t>NO</t>
        </is>
      </c>
      <c r="BD201" s="190" t="inlineStr">
        <is>
          <t>NO</t>
        </is>
      </c>
    </row>
    <row r="202" ht="15" customHeight="1" s="162">
      <c r="A202" s="7" t="n">
        <v>201</v>
      </c>
      <c r="B202" t="inlineStr">
        <is>
          <t>39121404</t>
        </is>
      </c>
      <c r="C202" t="inlineStr">
        <is>
          <t>Manguitos de soldadura, TE Connectivity,</t>
        </is>
      </c>
      <c r="D202" t="inlineStr">
        <is>
          <t>1101813568</t>
        </is>
      </c>
      <c r="E202" t="inlineStr">
        <is>
          <t>1</t>
        </is>
      </c>
      <c r="F202" s="163" t="n">
        <v>45631</v>
      </c>
      <c r="G202" t="inlineStr"/>
      <c r="H202" t="inlineStr">
        <is>
          <t>4800002774</t>
        </is>
      </c>
      <c r="I202" t="inlineStr">
        <is>
          <t>90</t>
        </is>
      </c>
      <c r="J202" s="163" t="n">
        <v>45631</v>
      </c>
      <c r="K202" s="163" t="inlineStr"/>
      <c r="L202" t="inlineStr"/>
      <c r="M202" s="163" t="n">
        <v>45632</v>
      </c>
      <c r="N202" s="164" t="n">
        <v>0</v>
      </c>
      <c r="O202" s="164" t="n">
        <v>0</v>
      </c>
      <c r="P202" t="inlineStr"/>
      <c r="Q202" s="165" t="n">
        <v>2</v>
      </c>
      <c r="R202" s="165" t="n">
        <v>2</v>
      </c>
      <c r="S202" s="165" t="n">
        <v>2</v>
      </c>
      <c r="T202" s="165" t="n">
        <v>0</v>
      </c>
      <c r="U202" s="166" t="n">
        <v>0</v>
      </c>
      <c r="V202" s="166" t="n">
        <v>0</v>
      </c>
      <c r="W202" t="inlineStr">
        <is>
          <t>X</t>
        </is>
      </c>
      <c r="X202" t="inlineStr">
        <is>
          <t>0.00</t>
        </is>
      </c>
      <c r="Y202" t="inlineStr"/>
      <c r="Z202" t="inlineStr">
        <is>
          <t>AMIDATA, S.A.</t>
        </is>
      </c>
      <c r="AA202" t="inlineStr"/>
      <c r="AB202" t="inlineStr">
        <is>
          <t>2652726</t>
        </is>
      </c>
      <c r="AC202" t="inlineStr"/>
      <c r="AD202" s="164" t="n">
        <v>0</v>
      </c>
      <c r="AE202" s="185" t="n">
        <v>0</v>
      </c>
      <c r="AG202" s="167" t="inlineStr">
        <is>
          <t>7218|JA2585_1001</t>
        </is>
      </c>
      <c r="AH202" s="46">
        <f>IF(M202=0,"-",M202-J202)</f>
        <v/>
      </c>
      <c r="AI202" s="46">
        <f>IF(AND(S202=0,M202&gt;0,L202=0),IF(AH202&gt;=120,"VERY HIGH",IF(AH202&gt;=90,"HIGH",IF(AH202&gt;=60,"MEDIUM",IF(AH202&lt;60,"LOW")))),"-")</f>
        <v/>
      </c>
      <c r="AJ202" s="12" t="n"/>
      <c r="AK202" s="41">
        <f>IF(AND(W202="X",M202&lt;=$AJ$2),"YES","")</f>
        <v/>
      </c>
      <c r="AL202" s="38">
        <f>IF(AND(W202="X",M202&lt;=$AJ$2),S202,"")</f>
        <v/>
      </c>
      <c r="AM202" s="26">
        <f>IF(AND(W202="X",M202&gt;$AJ$2),"YES","")</f>
        <v/>
      </c>
      <c r="AN202" s="89">
        <f>IF(AND(W202="X",M202&gt;$AJ$2),S202,"")</f>
        <v/>
      </c>
      <c r="AO202" s="35">
        <f>IF(AND(W202="",M202&gt;0,$AJ$2&gt;M202,L202=""),1,0)</f>
        <v/>
      </c>
      <c r="AP202" s="26">
        <f>IF(AND(AK202="YES",W202="X"),"X","")</f>
        <v/>
      </c>
      <c r="AQ202" s="28">
        <f>IF(AP202="X",100%,0%)</f>
        <v/>
      </c>
      <c r="AR202" s="25">
        <f>IF(AND(T202&gt;0,L202=""),H202,"")</f>
        <v/>
      </c>
      <c r="AS202" s="25">
        <f>IF(AND(D202&gt;0,H202=0,G202=""),1,"")</f>
        <v/>
      </c>
      <c r="AT202" s="25">
        <f>IF(G202="BLOQ",1,"")</f>
        <v/>
      </c>
      <c r="AU202" s="25">
        <f>IF(L202="BLOQ",1,"")</f>
        <v/>
      </c>
      <c r="AV202" s="25">
        <f>MONTH(F202)</f>
        <v/>
      </c>
      <c r="AW202" s="65">
        <f>IF(AP202="",100%,0%)</f>
        <v/>
      </c>
      <c r="AX202" s="23" t="n"/>
      <c r="AY202" s="24">
        <f>IF(M202=0,"",M202-$AX$2)</f>
        <v/>
      </c>
      <c r="AZ202" s="66">
        <f>IF(AND(W202="",AY202&gt;0,AY202&lt;15),1,0)</f>
        <v/>
      </c>
      <c r="BA202" s="24">
        <f>IF(AND(W202="",AY202&gt;0,AY202&lt;15),T202,"")</f>
        <v/>
      </c>
      <c r="BB202" s="87">
        <f>IF(R202&lt;Q202,"X","")</f>
        <v/>
      </c>
      <c r="BC202" s="190" t="inlineStr">
        <is>
          <t>NO</t>
        </is>
      </c>
      <c r="BD202" s="190" t="inlineStr">
        <is>
          <t>NO</t>
        </is>
      </c>
    </row>
    <row r="203" ht="15" customHeight="1" s="162">
      <c r="A203" s="7" t="n">
        <v>202</v>
      </c>
      <c r="B203" t="inlineStr">
        <is>
          <t>1251000380100</t>
        </is>
      </c>
      <c r="C203" t="inlineStr">
        <is>
          <t>MICROFONO PRESION 1/2” 3.5HZ-20KHZ CCP</t>
        </is>
      </c>
      <c r="D203" t="inlineStr">
        <is>
          <t>1101813963</t>
        </is>
      </c>
      <c r="E203" t="inlineStr">
        <is>
          <t>1</t>
        </is>
      </c>
      <c r="F203" s="163" t="n">
        <v>45635</v>
      </c>
      <c r="G203" t="inlineStr"/>
      <c r="H203" t="inlineStr">
        <is>
          <t>4200590224</t>
        </is>
      </c>
      <c r="I203" t="inlineStr">
        <is>
          <t>20</t>
        </is>
      </c>
      <c r="J203" s="163" t="n">
        <v>45642</v>
      </c>
      <c r="K203" s="163" t="n">
        <v>45643</v>
      </c>
      <c r="L203" t="inlineStr"/>
      <c r="M203" s="163" t="n">
        <v>45664</v>
      </c>
      <c r="N203" s="164" t="n">
        <v>55</v>
      </c>
      <c r="O203" s="164" t="n">
        <v>8</v>
      </c>
      <c r="P203" t="inlineStr">
        <is>
          <t>Liberado</t>
        </is>
      </c>
      <c r="Q203" s="165" t="n">
        <v>1</v>
      </c>
      <c r="R203" s="165" t="n">
        <v>1</v>
      </c>
      <c r="S203" s="165" t="n">
        <v>1</v>
      </c>
      <c r="T203" s="165" t="n">
        <v>0</v>
      </c>
      <c r="U203" s="166" t="n">
        <v>1</v>
      </c>
      <c r="V203" s="166" t="n">
        <v>0</v>
      </c>
      <c r="W203" t="inlineStr">
        <is>
          <t>X</t>
        </is>
      </c>
      <c r="X203" t="inlineStr">
        <is>
          <t>0.00</t>
        </is>
      </c>
      <c r="Y203" t="inlineStr"/>
      <c r="Z203" t="inlineStr">
        <is>
          <t>SOUND OF NUMBERS SL</t>
        </is>
      </c>
      <c r="AA203" t="inlineStr">
        <is>
          <t>GRAS SOUND &amp; VIBRATI</t>
        </is>
      </c>
      <c r="AB203" t="inlineStr">
        <is>
          <t>46AO</t>
        </is>
      </c>
      <c r="AC203" t="inlineStr"/>
      <c r="AD203" s="164" t="n">
        <v>1</v>
      </c>
      <c r="AE203" s="185" t="n">
        <v>1</v>
      </c>
      <c r="AG203" s="167" t="inlineStr">
        <is>
          <t>7218|S24B05_S1077</t>
        </is>
      </c>
      <c r="AH203" s="46">
        <f>IF(M203=0,"-",M203-J203)</f>
        <v/>
      </c>
      <c r="AI203" s="46">
        <f>IF(AND(S203=0,M203&gt;0,L203=0),IF(AH203&gt;=120,"VERY HIGH",IF(AH203&gt;=90,"HIGH",IF(AH203&gt;=60,"MEDIUM",IF(AH203&lt;60,"LOW")))),"-")</f>
        <v/>
      </c>
      <c r="AJ203" s="12" t="n"/>
      <c r="AK203" s="41">
        <f>IF(AND(W203="X",M203&lt;=$AJ$2),"YES","")</f>
        <v/>
      </c>
      <c r="AL203" s="38">
        <f>IF(AND(W203="X",M203&lt;=$AJ$2),S203,"")</f>
        <v/>
      </c>
      <c r="AM203" s="26">
        <f>IF(AND(W203="X",M203&gt;$AJ$2),"YES","")</f>
        <v/>
      </c>
      <c r="AN203" s="89">
        <f>IF(AND(W203="X",M203&gt;$AJ$2),S203,"")</f>
        <v/>
      </c>
      <c r="AO203" s="35">
        <f>IF(AND(W203="",M203&gt;0,$AJ$2&gt;M203,L203=""),1,0)</f>
        <v/>
      </c>
      <c r="AP203" s="26">
        <f>IF(AND(AK203="YES",W203="X"),"X","")</f>
        <v/>
      </c>
      <c r="AQ203" s="28">
        <f>IF(AP203="X",100%,0%)</f>
        <v/>
      </c>
      <c r="AR203" s="25">
        <f>IF(AND(T203&gt;0,L203=""),H203,"")</f>
        <v/>
      </c>
      <c r="AS203" s="25">
        <f>IF(AND(D203&gt;0,H203=0,G203=""),1,"")</f>
        <v/>
      </c>
      <c r="AT203" s="25">
        <f>IF(G203="BLOQ",1,"")</f>
        <v/>
      </c>
      <c r="AU203" s="25">
        <f>IF(L203="BLOQ",1,"")</f>
        <v/>
      </c>
      <c r="AV203" s="25">
        <f>MONTH(F203)</f>
        <v/>
      </c>
      <c r="AW203" s="65">
        <f>IF(AP203="",100%,0%)</f>
        <v/>
      </c>
      <c r="AX203" s="23" t="n"/>
      <c r="AY203" s="24">
        <f>IF(M203=0,"",M203-$AX$2)</f>
        <v/>
      </c>
      <c r="AZ203" s="66">
        <f>IF(AND(W203="",AY203&gt;0,AY203&lt;15),1,0)</f>
        <v/>
      </c>
      <c r="BA203" s="24">
        <f>IF(AND(W203="",AY203&gt;0,AY203&lt;15),T203,"")</f>
        <v/>
      </c>
      <c r="BB203" s="87">
        <f>IF(R203&lt;Q203,"X","")</f>
        <v/>
      </c>
      <c r="BC203" s="190" t="inlineStr">
        <is>
          <t>NO</t>
        </is>
      </c>
      <c r="BD203" s="191" t="inlineStr">
        <is>
          <t>SI</t>
        </is>
      </c>
    </row>
    <row r="204" ht="15" customHeight="1" s="162">
      <c r="A204" s="7" t="n">
        <v>203</v>
      </c>
      <c r="B204" t="inlineStr">
        <is>
          <t>1263011992600</t>
        </is>
      </c>
      <c r="C204" t="inlineStr">
        <is>
          <t>F.A. CCP 2XAA/3-6VDC 28V 4MA BNC</t>
        </is>
      </c>
      <c r="D204" t="inlineStr">
        <is>
          <t>1101813963</t>
        </is>
      </c>
      <c r="E204" t="inlineStr">
        <is>
          <t>2</t>
        </is>
      </c>
      <c r="F204" s="163" t="n">
        <v>45635</v>
      </c>
      <c r="G204" t="inlineStr"/>
      <c r="H204" t="inlineStr">
        <is>
          <t>4200590458</t>
        </is>
      </c>
      <c r="I204" t="inlineStr">
        <is>
          <t>10</t>
        </is>
      </c>
      <c r="J204" s="163" t="n">
        <v>45643</v>
      </c>
      <c r="K204" s="163" t="n">
        <v>45643</v>
      </c>
      <c r="L204" t="inlineStr"/>
      <c r="M204" s="163" t="n">
        <v>45688</v>
      </c>
      <c r="N204" s="164" t="n">
        <v>55</v>
      </c>
      <c r="O204" s="164" t="n">
        <v>8</v>
      </c>
      <c r="P204" t="inlineStr">
        <is>
          <t>Liberado</t>
        </is>
      </c>
      <c r="Q204" s="165" t="n">
        <v>1</v>
      </c>
      <c r="R204" s="165" t="n">
        <v>1</v>
      </c>
      <c r="S204" s="165" t="n">
        <v>1</v>
      </c>
      <c r="T204" s="165" t="n">
        <v>0</v>
      </c>
      <c r="U204" s="166" t="n">
        <v>1</v>
      </c>
      <c r="V204" s="166" t="n">
        <v>0</v>
      </c>
      <c r="W204" t="inlineStr">
        <is>
          <t>X</t>
        </is>
      </c>
      <c r="X204" t="inlineStr">
        <is>
          <t>0.00</t>
        </is>
      </c>
      <c r="Y204" t="inlineStr"/>
      <c r="Z204" t="inlineStr">
        <is>
          <t>INFORMATICA CALCULO Y TECNICA, S.A.</t>
        </is>
      </c>
      <c r="AA204" t="inlineStr">
        <is>
          <t>GRAS SOUND &amp; VIBRATI</t>
        </is>
      </c>
      <c r="AB204" t="inlineStr">
        <is>
          <t>12AL</t>
        </is>
      </c>
      <c r="AC204" t="inlineStr"/>
      <c r="AD204" s="164" t="n">
        <v>1</v>
      </c>
      <c r="AE204" s="185" t="n">
        <v>0</v>
      </c>
      <c r="AG204" s="167" t="inlineStr">
        <is>
          <t>7218|S24B05_S1077</t>
        </is>
      </c>
      <c r="AH204" s="46">
        <f>IF(M204=0,"-",M204-J204)</f>
        <v/>
      </c>
      <c r="AI204" s="46">
        <f>IF(AND(S204=0,M204&gt;0,L204=0),IF(AH204&gt;=120,"VERY HIGH",IF(AH204&gt;=90,"HIGH",IF(AH204&gt;=60,"MEDIUM",IF(AH204&lt;60,"LOW")))),"-")</f>
        <v/>
      </c>
      <c r="AJ204" s="12" t="n"/>
      <c r="AK204" s="41">
        <f>IF(AND(W204="X",M204&lt;=$AJ$2),"YES","")</f>
        <v/>
      </c>
      <c r="AL204" s="38">
        <f>IF(AND(W204="X",M204&lt;=$AJ$2),S204,"")</f>
        <v/>
      </c>
      <c r="AM204" s="26">
        <f>IF(AND(W204="X",M204&gt;$AJ$2),"YES","")</f>
        <v/>
      </c>
      <c r="AN204" s="89">
        <f>IF(AND(W204="X",M204&gt;$AJ$2),S204,"")</f>
        <v/>
      </c>
      <c r="AO204" s="35">
        <f>IF(AND(W204="",M204&gt;0,$AJ$2&gt;M204,L204=""),1,0)</f>
        <v/>
      </c>
      <c r="AP204" s="26">
        <f>IF(AND(AK204="YES",W204="X"),"X","")</f>
        <v/>
      </c>
      <c r="AQ204" s="28">
        <f>IF(AP204="X",100%,0%)</f>
        <v/>
      </c>
      <c r="AR204" s="25">
        <f>IF(AND(T204&gt;0,L204=""),H204,"")</f>
        <v/>
      </c>
      <c r="AS204" s="25">
        <f>IF(AND(D204&gt;0,H204=0,G204=""),1,"")</f>
        <v/>
      </c>
      <c r="AT204" s="25">
        <f>IF(G204="BLOQ",1,"")</f>
        <v/>
      </c>
      <c r="AU204" s="25">
        <f>IF(L204="BLOQ",1,"")</f>
        <v/>
      </c>
      <c r="AV204" s="25">
        <f>MONTH(F204)</f>
        <v/>
      </c>
      <c r="AW204" s="65">
        <f>IF(AP204="",100%,0%)</f>
        <v/>
      </c>
      <c r="AX204" s="23" t="n"/>
      <c r="AY204" s="24">
        <f>IF(M204=0,"",M204-$AX$2)</f>
        <v/>
      </c>
      <c r="AZ204" s="66">
        <f>IF(AND(W204="",AY204&gt;0,AY204&lt;15),1,0)</f>
        <v/>
      </c>
      <c r="BA204" s="24">
        <f>IF(AND(W204="",AY204&gt;0,AY204&lt;15),T204,"")</f>
        <v/>
      </c>
      <c r="BB204" s="87">
        <f>IF(R204&lt;Q204,"X","")</f>
        <v/>
      </c>
      <c r="BC204" s="190" t="inlineStr">
        <is>
          <t>NO</t>
        </is>
      </c>
      <c r="BD204" s="191" t="inlineStr">
        <is>
          <t>SI</t>
        </is>
      </c>
    </row>
    <row r="205" ht="15" customHeight="1" s="162">
      <c r="A205" s="7" t="n">
        <v>204</v>
      </c>
      <c r="B205" t="inlineStr">
        <is>
          <t>1229502470000</t>
        </is>
      </c>
      <c r="C205" t="inlineStr">
        <is>
          <t>CBL EQ EXTENSION CCP BNC-BNC 50R L=3M</t>
        </is>
      </c>
      <c r="D205" t="inlineStr">
        <is>
          <t>1101813963</t>
        </is>
      </c>
      <c r="E205" t="inlineStr">
        <is>
          <t>3</t>
        </is>
      </c>
      <c r="F205" s="163" t="n">
        <v>45635</v>
      </c>
      <c r="G205" t="inlineStr"/>
      <c r="H205" t="inlineStr">
        <is>
          <t>4200590682</t>
        </is>
      </c>
      <c r="I205" t="inlineStr">
        <is>
          <t>30</t>
        </is>
      </c>
      <c r="J205" s="163" t="n">
        <v>45644</v>
      </c>
      <c r="K205" s="163" t="n">
        <v>45677</v>
      </c>
      <c r="L205" t="inlineStr"/>
      <c r="M205" s="163" t="n">
        <v>45677</v>
      </c>
      <c r="N205" s="164" t="n">
        <v>70</v>
      </c>
      <c r="O205" s="164" t="n">
        <v>8</v>
      </c>
      <c r="P205" t="inlineStr">
        <is>
          <t>Liberado</t>
        </is>
      </c>
      <c r="Q205" s="165" t="n">
        <v>2</v>
      </c>
      <c r="R205" s="165" t="n">
        <v>2</v>
      </c>
      <c r="S205" s="165" t="n">
        <v>2</v>
      </c>
      <c r="T205" s="165" t="n">
        <v>0</v>
      </c>
      <c r="U205" s="166" t="n">
        <v>2</v>
      </c>
      <c r="V205" s="166" t="n">
        <v>0</v>
      </c>
      <c r="W205" t="inlineStr">
        <is>
          <t>X</t>
        </is>
      </c>
      <c r="X205" t="inlineStr">
        <is>
          <t>0.00</t>
        </is>
      </c>
      <c r="Y205" t="inlineStr"/>
      <c r="Z205" t="inlineStr">
        <is>
          <t>REBOUND ELECTRONICS (UK) LTD</t>
        </is>
      </c>
      <c r="AA205" t="inlineStr">
        <is>
          <t>GRAS SOUND &amp; VIBRATI</t>
        </is>
      </c>
      <c r="AB205" t="inlineStr">
        <is>
          <t>AA0035</t>
        </is>
      </c>
      <c r="AC205" t="inlineStr"/>
      <c r="AD205" s="164" t="n">
        <v>0</v>
      </c>
      <c r="AE205" s="185" t="n">
        <v>0</v>
      </c>
      <c r="AG205" s="167" t="inlineStr">
        <is>
          <t>7218|S24B05_S1077</t>
        </is>
      </c>
      <c r="AH205" s="46">
        <f>IF(M205=0,"-",M205-J205)</f>
        <v/>
      </c>
      <c r="AI205" s="46">
        <f>IF(AND(S205=0,M205&gt;0,L205=0),IF(AH205&gt;=120,"VERY HIGH",IF(AH205&gt;=90,"HIGH",IF(AH205&gt;=60,"MEDIUM",IF(AH205&lt;60,"LOW")))),"-")</f>
        <v/>
      </c>
      <c r="AJ205" s="12" t="n"/>
      <c r="AK205" s="41">
        <f>IF(AND(W205="X",M205&lt;=$AJ$2),"YES","")</f>
        <v/>
      </c>
      <c r="AL205" s="38">
        <f>IF(AND(W205="X",M205&lt;=$AJ$2),S205,"")</f>
        <v/>
      </c>
      <c r="AM205" s="26">
        <f>IF(AND(W205="X",M205&gt;$AJ$2),"YES","")</f>
        <v/>
      </c>
      <c r="AN205" s="89">
        <f>IF(AND(W205="X",M205&gt;$AJ$2),S205,"")</f>
        <v/>
      </c>
      <c r="AO205" s="35">
        <f>IF(AND(W205="",M205&gt;0,$AJ$2&gt;M205,L205=""),1,0)</f>
        <v/>
      </c>
      <c r="AP205" s="26">
        <f>IF(AND(AK205="YES",W205="X"),"X","")</f>
        <v/>
      </c>
      <c r="AQ205" s="28">
        <f>IF(AP205="X",100%,0%)</f>
        <v/>
      </c>
      <c r="AR205" s="25">
        <f>IF(AND(T205&gt;0,L205=""),H205,"")</f>
        <v/>
      </c>
      <c r="AS205" s="25">
        <f>IF(AND(D205&gt;0,H205=0,G205=""),1,"")</f>
        <v/>
      </c>
      <c r="AT205" s="25">
        <f>IF(G205="BLOQ",1,"")</f>
        <v/>
      </c>
      <c r="AU205" s="25">
        <f>IF(L205="BLOQ",1,"")</f>
        <v/>
      </c>
      <c r="AV205" s="25">
        <f>MONTH(F205)</f>
        <v/>
      </c>
      <c r="AW205" s="65">
        <f>IF(AP205="",100%,0%)</f>
        <v/>
      </c>
      <c r="AX205" s="23" t="n"/>
      <c r="AY205" s="24">
        <f>IF(M205=0,"",M205-$AX$2)</f>
        <v/>
      </c>
      <c r="AZ205" s="66">
        <f>IF(AND(W205="",AY205&gt;0,AY205&lt;15),1,0)</f>
        <v/>
      </c>
      <c r="BA205" s="24">
        <f>IF(AND(W205="",AY205&gt;0,AY205&lt;15),T205,"")</f>
        <v/>
      </c>
      <c r="BB205" s="87">
        <f>IF(R205&lt;Q205,"X","")</f>
        <v/>
      </c>
      <c r="BC205" s="190" t="inlineStr">
        <is>
          <t>NO</t>
        </is>
      </c>
      <c r="BD205" s="191" t="inlineStr">
        <is>
          <t>SI</t>
        </is>
      </c>
    </row>
    <row r="206" ht="15" customHeight="1" s="162">
      <c r="A206" s="7" t="n">
        <v>205</v>
      </c>
      <c r="B206" t="inlineStr">
        <is>
          <t>7279902131200</t>
        </is>
      </c>
      <c r="C206" t="inlineStr">
        <is>
          <t>CALIBRADOR ACUSTICO 94-114DB 1KHZ</t>
        </is>
      </c>
      <c r="D206" t="inlineStr">
        <is>
          <t>1101813963</t>
        </is>
      </c>
      <c r="E206" t="inlineStr">
        <is>
          <t>4</t>
        </is>
      </c>
      <c r="F206" s="163" t="n">
        <v>45635</v>
      </c>
      <c r="G206" t="inlineStr"/>
      <c r="H206" t="inlineStr">
        <is>
          <t>4200589922</t>
        </is>
      </c>
      <c r="I206" t="inlineStr">
        <is>
          <t>10</t>
        </is>
      </c>
      <c r="J206" s="163" t="n">
        <v>45638</v>
      </c>
      <c r="K206" s="163" t="n">
        <v>45638</v>
      </c>
      <c r="L206" t="inlineStr"/>
      <c r="M206" s="163" t="n">
        <v>45672</v>
      </c>
      <c r="N206" s="164" t="n">
        <v>55</v>
      </c>
      <c r="O206" s="164" t="n">
        <v>8</v>
      </c>
      <c r="P206" t="inlineStr">
        <is>
          <t>Liberado</t>
        </is>
      </c>
      <c r="Q206" s="165" t="n">
        <v>1</v>
      </c>
      <c r="R206" s="165" t="n">
        <v>1</v>
      </c>
      <c r="S206" s="165" t="n">
        <v>1</v>
      </c>
      <c r="T206" s="165" t="n">
        <v>0</v>
      </c>
      <c r="U206" s="166" t="n">
        <v>1</v>
      </c>
      <c r="V206" s="166" t="n">
        <v>0</v>
      </c>
      <c r="W206" t="inlineStr">
        <is>
          <t>X</t>
        </is>
      </c>
      <c r="X206" t="inlineStr">
        <is>
          <t>0.00</t>
        </is>
      </c>
      <c r="Y206" t="inlineStr"/>
      <c r="Z206" t="inlineStr">
        <is>
          <t>INFORMATICA CALCULO Y TECNICA, S.A.</t>
        </is>
      </c>
      <c r="AA206" t="inlineStr">
        <is>
          <t>GRAS SOUND &amp; VIBRATI</t>
        </is>
      </c>
      <c r="AB206" t="inlineStr">
        <is>
          <t>42AG</t>
        </is>
      </c>
      <c r="AC206" t="inlineStr"/>
      <c r="AD206" s="164" t="n">
        <v>0</v>
      </c>
      <c r="AE206" s="185" t="n">
        <v>0</v>
      </c>
      <c r="AG206" s="167" t="inlineStr">
        <is>
          <t>7218|S24B05_S1077</t>
        </is>
      </c>
      <c r="AH206" s="46">
        <f>IF(M206=0,"-",M206-J206)</f>
        <v/>
      </c>
      <c r="AI206" s="46">
        <f>IF(AND(S206=0,M206&gt;0,L206=0),IF(AH206&gt;=120,"VERY HIGH",IF(AH206&gt;=90,"HIGH",IF(AH206&gt;=60,"MEDIUM",IF(AH206&lt;60,"LOW")))),"-")</f>
        <v/>
      </c>
      <c r="AJ206" s="12" t="n"/>
      <c r="AK206" s="41">
        <f>IF(AND(W206="X",M206&lt;=$AJ$2),"YES","")</f>
        <v/>
      </c>
      <c r="AL206" s="38">
        <f>IF(AND(W206="X",M206&lt;=$AJ$2),S206,"")</f>
        <v/>
      </c>
      <c r="AM206" s="26">
        <f>IF(AND(W206="X",M206&gt;$AJ$2),"YES","")</f>
        <v/>
      </c>
      <c r="AN206" s="89">
        <f>IF(AND(W206="X",M206&gt;$AJ$2),S206,"")</f>
        <v/>
      </c>
      <c r="AO206" s="35">
        <f>IF(AND(W206="",M206&gt;0,$AJ$2&gt;M206,L206=""),1,0)</f>
        <v/>
      </c>
      <c r="AP206" s="26">
        <f>IF(AND(AK206="YES",W206="X"),"X","")</f>
        <v/>
      </c>
      <c r="AQ206" s="28">
        <f>IF(AP206="X",100%,0%)</f>
        <v/>
      </c>
      <c r="AR206" s="25">
        <f>IF(AND(T206&gt;0,L206=""),H206,"")</f>
        <v/>
      </c>
      <c r="AS206" s="25">
        <f>IF(AND(D206&gt;0,H206=0,G206=""),1,"")</f>
        <v/>
      </c>
      <c r="AT206" s="25">
        <f>IF(G206="BLOQ",1,"")</f>
        <v/>
      </c>
      <c r="AU206" s="25">
        <f>IF(L206="BLOQ",1,"")</f>
        <v/>
      </c>
      <c r="AV206" s="25">
        <f>MONTH(F206)</f>
        <v/>
      </c>
      <c r="AW206" s="65">
        <f>IF(AP206="",100%,0%)</f>
        <v/>
      </c>
      <c r="AX206" s="23" t="n"/>
      <c r="AY206" s="24">
        <f>IF(M206=0,"",M206-$AX$2)</f>
        <v/>
      </c>
      <c r="AZ206" s="66">
        <f>IF(AND(W206="",AY206&gt;0,AY206&lt;15),1,0)</f>
        <v/>
      </c>
      <c r="BA206" s="24">
        <f>IF(AND(W206="",AY206&gt;0,AY206&lt;15),T206,"")</f>
        <v/>
      </c>
      <c r="BB206" s="87">
        <f>IF(R206&lt;Q206,"X","")</f>
        <v/>
      </c>
      <c r="BC206" s="190" t="inlineStr">
        <is>
          <t>NO</t>
        </is>
      </c>
      <c r="BD206" s="191" t="inlineStr">
        <is>
          <t>SI</t>
        </is>
      </c>
    </row>
    <row r="207" ht="15" customHeight="1" s="162">
      <c r="A207" s="7" t="n">
        <v>206</v>
      </c>
      <c r="B207" t="inlineStr">
        <is>
          <t>7279902131290</t>
        </is>
      </c>
      <c r="C207" t="inlineStr">
        <is>
          <t>ACC ADAPT CALIBRADOR/PREAMPLIFICADOR XLR</t>
        </is>
      </c>
      <c r="D207" t="inlineStr">
        <is>
          <t>1101813963</t>
        </is>
      </c>
      <c r="E207" t="inlineStr">
        <is>
          <t>5</t>
        </is>
      </c>
      <c r="F207" s="163" t="n">
        <v>45635</v>
      </c>
      <c r="G207" t="inlineStr"/>
      <c r="H207" t="inlineStr">
        <is>
          <t>4200589922</t>
        </is>
      </c>
      <c r="I207" t="inlineStr">
        <is>
          <t>20</t>
        </is>
      </c>
      <c r="J207" s="163" t="n">
        <v>45638</v>
      </c>
      <c r="K207" s="163" t="n">
        <v>45638</v>
      </c>
      <c r="L207" t="inlineStr"/>
      <c r="M207" s="163" t="n">
        <v>45672</v>
      </c>
      <c r="N207" s="164" t="n">
        <v>55</v>
      </c>
      <c r="O207" s="164" t="n">
        <v>8</v>
      </c>
      <c r="P207" t="inlineStr">
        <is>
          <t>Liberado</t>
        </is>
      </c>
      <c r="Q207" s="165" t="n">
        <v>1</v>
      </c>
      <c r="R207" s="165" t="n">
        <v>1</v>
      </c>
      <c r="S207" s="165" t="n">
        <v>1</v>
      </c>
      <c r="T207" s="165" t="n">
        <v>0</v>
      </c>
      <c r="U207" s="166" t="n">
        <v>1</v>
      </c>
      <c r="V207" s="166" t="n">
        <v>0</v>
      </c>
      <c r="W207" t="inlineStr">
        <is>
          <t>X</t>
        </is>
      </c>
      <c r="X207" t="inlineStr">
        <is>
          <t>0.00</t>
        </is>
      </c>
      <c r="Y207" t="inlineStr"/>
      <c r="Z207" t="inlineStr">
        <is>
          <t>INFORMATICA CALCULO Y TECNICA, S.A.</t>
        </is>
      </c>
      <c r="AA207" t="inlineStr">
        <is>
          <t>GRAS SOUND &amp; VIBRATI</t>
        </is>
      </c>
      <c r="AB207" t="inlineStr">
        <is>
          <t>AG0003</t>
        </is>
      </c>
      <c r="AC207" t="inlineStr"/>
      <c r="AD207" s="164" t="n">
        <v>0</v>
      </c>
      <c r="AE207" s="185" t="n">
        <v>0</v>
      </c>
      <c r="AG207" s="167" t="inlineStr">
        <is>
          <t>7218|S24B05_S1077</t>
        </is>
      </c>
      <c r="AH207" s="46">
        <f>IF(M207=0,"-",M207-J207)</f>
        <v/>
      </c>
      <c r="AI207" s="46">
        <f>IF(AND(S207=0,M207&gt;0,L207=0),IF(AH207&gt;=120,"VERY HIGH",IF(AH207&gt;=90,"HIGH",IF(AH207&gt;=60,"MEDIUM",IF(AH207&lt;60,"LOW")))),"-")</f>
        <v/>
      </c>
      <c r="AJ207" s="12" t="n"/>
      <c r="AK207" s="41">
        <f>IF(AND(W207="X",M207&lt;=$AJ$2),"YES","")</f>
        <v/>
      </c>
      <c r="AL207" s="38">
        <f>IF(AND(W207="X",M207&lt;=$AJ$2),S207,"")</f>
        <v/>
      </c>
      <c r="AM207" s="26">
        <f>IF(AND(W207="X",M207&gt;$AJ$2),"YES","")</f>
        <v/>
      </c>
      <c r="AN207" s="89">
        <f>IF(AND(W207="X",M207&gt;$AJ$2),S207,"")</f>
        <v/>
      </c>
      <c r="AO207" s="35">
        <f>IF(AND(W207="",M207&gt;0,$AJ$2&gt;M207,L207=""),1,0)</f>
        <v/>
      </c>
      <c r="AP207" s="26">
        <f>IF(AND(AK207="YES",W207="X"),"X","")</f>
        <v/>
      </c>
      <c r="AQ207" s="28">
        <f>IF(AP207="X",100%,0%)</f>
        <v/>
      </c>
      <c r="AR207" s="25">
        <f>IF(AND(T207&gt;0,L207=""),H207,"")</f>
        <v/>
      </c>
      <c r="AS207" s="25">
        <f>IF(AND(D207&gt;0,H207=0,G207=""),1,"")</f>
        <v/>
      </c>
      <c r="AT207" s="25">
        <f>IF(G207="BLOQ",1,"")</f>
        <v/>
      </c>
      <c r="AU207" s="25">
        <f>IF(L207="BLOQ",1,"")</f>
        <v/>
      </c>
      <c r="AV207" s="25">
        <f>MONTH(F207)</f>
        <v/>
      </c>
      <c r="AW207" s="65">
        <f>IF(AP207="",100%,0%)</f>
        <v/>
      </c>
      <c r="AX207" s="23" t="n"/>
      <c r="AY207" s="24">
        <f>IF(M207=0,"",M207-$AX$2)</f>
        <v/>
      </c>
      <c r="AZ207" s="66">
        <f>IF(AND(W207="",AY207&gt;0,AY207&lt;15),1,0)</f>
        <v/>
      </c>
      <c r="BA207" s="24">
        <f>IF(AND(W207="",AY207&gt;0,AY207&lt;15),T207,"")</f>
        <v/>
      </c>
      <c r="BB207" s="87">
        <f>IF(R207&lt;Q207,"X","")</f>
        <v/>
      </c>
      <c r="BC207" s="190" t="inlineStr">
        <is>
          <t>NO</t>
        </is>
      </c>
      <c r="BD207" s="191" t="inlineStr">
        <is>
          <t>SI</t>
        </is>
      </c>
    </row>
    <row r="208" ht="15" customHeight="1" s="162">
      <c r="A208" s="7" t="n">
        <v>207</v>
      </c>
      <c r="B208" t="inlineStr">
        <is>
          <t>1589903549000</t>
        </is>
      </c>
      <c r="C208" t="inlineStr">
        <is>
          <t>ADAPT P/MICRO 1/2-1/4 CAB GIR P/TRIP 1/4</t>
        </is>
      </c>
      <c r="D208" t="inlineStr">
        <is>
          <t>1101813963</t>
        </is>
      </c>
      <c r="E208" t="inlineStr">
        <is>
          <t>6</t>
        </is>
      </c>
      <c r="F208" s="163" t="n">
        <v>45635</v>
      </c>
      <c r="G208" t="inlineStr"/>
      <c r="H208" t="inlineStr">
        <is>
          <t>4200590228</t>
        </is>
      </c>
      <c r="I208" t="inlineStr">
        <is>
          <t>20</t>
        </is>
      </c>
      <c r="J208" s="163" t="n">
        <v>45642</v>
      </c>
      <c r="K208" s="163" t="n">
        <v>45643</v>
      </c>
      <c r="L208" t="inlineStr"/>
      <c r="M208" s="163" t="n">
        <v>45653</v>
      </c>
      <c r="N208" s="164" t="n">
        <v>55</v>
      </c>
      <c r="O208" s="164" t="n">
        <v>8</v>
      </c>
      <c r="P208" t="inlineStr">
        <is>
          <t>Liberado</t>
        </is>
      </c>
      <c r="Q208" s="165" t="n">
        <v>1</v>
      </c>
      <c r="R208" s="165" t="n">
        <v>1</v>
      </c>
      <c r="S208" s="165" t="n">
        <v>1</v>
      </c>
      <c r="T208" s="165" t="n">
        <v>0</v>
      </c>
      <c r="U208" s="166" t="n">
        <v>1</v>
      </c>
      <c r="V208" s="166" t="n">
        <v>0</v>
      </c>
      <c r="W208" t="inlineStr">
        <is>
          <t>X</t>
        </is>
      </c>
      <c r="X208" t="inlineStr">
        <is>
          <t>0.00</t>
        </is>
      </c>
      <c r="Y208" t="inlineStr"/>
      <c r="Z208" t="inlineStr">
        <is>
          <t>ICOMPPLUS ELECTRONICS S.L</t>
        </is>
      </c>
      <c r="AA208" t="inlineStr">
        <is>
          <t>GRAS SOUND &amp; VIBRATI</t>
        </is>
      </c>
      <c r="AB208" t="inlineStr">
        <is>
          <t>AL0003</t>
        </is>
      </c>
      <c r="AC208" t="inlineStr"/>
      <c r="AD208" s="164" t="n">
        <v>0</v>
      </c>
      <c r="AE208" s="185" t="n">
        <v>0</v>
      </c>
      <c r="AG208" s="167" t="inlineStr">
        <is>
          <t>7218|S24B05_S1077</t>
        </is>
      </c>
      <c r="AH208" s="46">
        <f>IF(M208=0,"-",M208-J208)</f>
        <v/>
      </c>
      <c r="AI208" s="46">
        <f>IF(AND(S208=0,M208&gt;0,L208=0),IF(AH208&gt;=120,"VERY HIGH",IF(AH208&gt;=90,"HIGH",IF(AH208&gt;=60,"MEDIUM",IF(AH208&lt;60,"LOW")))),"-")</f>
        <v/>
      </c>
      <c r="AJ208" s="12" t="n"/>
      <c r="AK208" s="41">
        <f>IF(AND(W208="X",M208&lt;=$AJ$2),"YES","")</f>
        <v/>
      </c>
      <c r="AL208" s="38">
        <f>IF(AND(W208="X",M208&lt;=$AJ$2),S208,"")</f>
        <v/>
      </c>
      <c r="AM208" s="26">
        <f>IF(AND(W208="X",M208&gt;$AJ$2),"YES","")</f>
        <v/>
      </c>
      <c r="AN208" s="89">
        <f>IF(AND(W208="X",M208&gt;$AJ$2),S208,"")</f>
        <v/>
      </c>
      <c r="AO208" s="35">
        <f>IF(AND(W208="",M208&gt;0,$AJ$2&gt;M208,L208=""),1,0)</f>
        <v/>
      </c>
      <c r="AP208" s="26">
        <f>IF(AND(AK208="YES",W208="X"),"X","")</f>
        <v/>
      </c>
      <c r="AQ208" s="28">
        <f>IF(AP208="X",100%,0%)</f>
        <v/>
      </c>
      <c r="AR208" s="25">
        <f>IF(AND(T208&gt;0,L208=""),H208,"")</f>
        <v/>
      </c>
      <c r="AS208" s="25">
        <f>IF(AND(D208&gt;0,H208=0,G208=""),1,"")</f>
        <v/>
      </c>
      <c r="AT208" s="25">
        <f>IF(G208="BLOQ",1,"")</f>
        <v/>
      </c>
      <c r="AU208" s="25">
        <f>IF(L208="BLOQ",1,"")</f>
        <v/>
      </c>
      <c r="AV208" s="25">
        <f>MONTH(F208)</f>
        <v/>
      </c>
      <c r="AW208" s="65">
        <f>IF(AP208="",100%,0%)</f>
        <v/>
      </c>
      <c r="AX208" s="23" t="n"/>
      <c r="AY208" s="24">
        <f>IF(M208=0,"",M208-$AX$2)</f>
        <v/>
      </c>
      <c r="AZ208" s="66">
        <f>IF(AND(W208="",AY208&gt;0,AY208&lt;15),1,0)</f>
        <v/>
      </c>
      <c r="BA208" s="24">
        <f>IF(AND(W208="",AY208&gt;0,AY208&lt;15),T208,"")</f>
        <v/>
      </c>
      <c r="BB208" s="87">
        <f>IF(R208&lt;Q208,"X","")</f>
        <v/>
      </c>
      <c r="BC208" s="190" t="inlineStr">
        <is>
          <t>NO</t>
        </is>
      </c>
      <c r="BD208" s="191" t="inlineStr">
        <is>
          <t>SI</t>
        </is>
      </c>
    </row>
    <row r="209" ht="15" customHeight="1" s="162">
      <c r="A209" s="7" t="n">
        <v>208</v>
      </c>
      <c r="B209" t="inlineStr">
        <is>
          <t>1589991012301</t>
        </is>
      </c>
      <c r="C209" t="inlineStr">
        <is>
          <t>ANCLAJE 16MM HEX M5 1/4" P/13-55MM NE</t>
        </is>
      </c>
      <c r="D209" t="inlineStr">
        <is>
          <t>1101813963</t>
        </is>
      </c>
      <c r="E209" t="inlineStr">
        <is>
          <t>7</t>
        </is>
      </c>
      <c r="F209" s="163" t="n">
        <v>45635</v>
      </c>
      <c r="G209" t="inlineStr"/>
      <c r="H209" t="inlineStr">
        <is>
          <t>4200590231</t>
        </is>
      </c>
      <c r="I209" t="inlineStr">
        <is>
          <t>20</t>
        </is>
      </c>
      <c r="J209" s="163" t="n">
        <v>45642</v>
      </c>
      <c r="K209" s="163" t="n">
        <v>45643</v>
      </c>
      <c r="L209" t="inlineStr"/>
      <c r="M209" s="163" t="n">
        <v>45649</v>
      </c>
      <c r="N209" s="164" t="n">
        <v>30</v>
      </c>
      <c r="O209" s="164" t="n">
        <v>8</v>
      </c>
      <c r="P209" t="inlineStr">
        <is>
          <t>Liberado</t>
        </is>
      </c>
      <c r="Q209" s="165" t="n">
        <v>1</v>
      </c>
      <c r="R209" s="165" t="n">
        <v>1</v>
      </c>
      <c r="S209" s="165" t="n">
        <v>1</v>
      </c>
      <c r="T209" s="165" t="n">
        <v>0</v>
      </c>
      <c r="U209" s="166" t="n">
        <v>1</v>
      </c>
      <c r="V209" s="166" t="n">
        <v>0</v>
      </c>
      <c r="W209" t="inlineStr">
        <is>
          <t>X</t>
        </is>
      </c>
      <c r="X209" t="inlineStr">
        <is>
          <t>0.00</t>
        </is>
      </c>
      <c r="Y209" t="inlineStr"/>
      <c r="Z209" t="inlineStr">
        <is>
          <t>INFORMATICA CALCULO Y TECNICA, S.A.</t>
        </is>
      </c>
      <c r="AA209" t="inlineStr">
        <is>
          <t>MANFROTTO</t>
        </is>
      </c>
      <c r="AB209" t="inlineStr">
        <is>
          <t>MAN035</t>
        </is>
      </c>
      <c r="AC209" t="inlineStr"/>
      <c r="AD209" s="164" t="n">
        <v>0</v>
      </c>
      <c r="AE209" s="185" t="n">
        <v>0</v>
      </c>
      <c r="AG209" s="167" t="inlineStr">
        <is>
          <t>7218|S24B05_S1077</t>
        </is>
      </c>
      <c r="AH209" s="46">
        <f>IF(M209=0,"-",M209-J209)</f>
        <v/>
      </c>
      <c r="AI209" s="46">
        <f>IF(AND(S209=0,M209&gt;0,L209=0),IF(AH209&gt;=120,"VERY HIGH",IF(AH209&gt;=90,"HIGH",IF(AH209&gt;=60,"MEDIUM",IF(AH209&lt;60,"LOW")))),"-")</f>
        <v/>
      </c>
      <c r="AJ209" s="12" t="n"/>
      <c r="AK209" s="41">
        <f>IF(AND(W209="X",M209&lt;=$AJ$2),"YES","")</f>
        <v/>
      </c>
      <c r="AL209" s="38">
        <f>IF(AND(W209="X",M209&lt;=$AJ$2),S209,"")</f>
        <v/>
      </c>
      <c r="AM209" s="26">
        <f>IF(AND(W209="X",M209&gt;$AJ$2),"YES","")</f>
        <v/>
      </c>
      <c r="AN209" s="89">
        <f>IF(AND(W209="X",M209&gt;$AJ$2),S209,"")</f>
        <v/>
      </c>
      <c r="AO209" s="35">
        <f>IF(AND(W209="",M209&gt;0,$AJ$2&gt;M209,L209=""),1,0)</f>
        <v/>
      </c>
      <c r="AP209" s="26">
        <f>IF(AND(AK209="YES",W209="X"),"X","")</f>
        <v/>
      </c>
      <c r="AQ209" s="28">
        <f>IF(AP209="X",100%,0%)</f>
        <v/>
      </c>
      <c r="AR209" s="25">
        <f>IF(AND(T209&gt;0,L209=""),H209,"")</f>
        <v/>
      </c>
      <c r="AS209" s="25">
        <f>IF(AND(D209&gt;0,H209=0,G209=""),1,"")</f>
        <v/>
      </c>
      <c r="AT209" s="25">
        <f>IF(G209="BLOQ",1,"")</f>
        <v/>
      </c>
      <c r="AU209" s="25">
        <f>IF(L209="BLOQ",1,"")</f>
        <v/>
      </c>
      <c r="AV209" s="25">
        <f>MONTH(F209)</f>
        <v/>
      </c>
      <c r="AW209" s="65">
        <f>IF(AP209="",100%,0%)</f>
        <v/>
      </c>
      <c r="AX209" s="23" t="n"/>
      <c r="AY209" s="24">
        <f>IF(M209=0,"",M209-$AX$2)</f>
        <v/>
      </c>
      <c r="AZ209" s="66">
        <f>IF(AND(W209="",AY209&gt;0,AY209&lt;15),1,0)</f>
        <v/>
      </c>
      <c r="BA209" s="24">
        <f>IF(AND(W209="",AY209&gt;0,AY209&lt;15),T209,"")</f>
        <v/>
      </c>
      <c r="BB209" s="87">
        <f>IF(R209&lt;Q209,"X","")</f>
        <v/>
      </c>
      <c r="BC209" s="190" t="inlineStr">
        <is>
          <t>NO</t>
        </is>
      </c>
      <c r="BD209" s="191" t="inlineStr">
        <is>
          <t>SI</t>
        </is>
      </c>
    </row>
    <row r="210" ht="15" customHeight="1" s="162">
      <c r="A210" s="7" t="n">
        <v>209</v>
      </c>
      <c r="B210" t="inlineStr">
        <is>
          <t>1589991012400</t>
        </is>
      </c>
      <c r="C210" t="inlineStr">
        <is>
          <t>PASADOR CORTO REV M/M 3/8"-1/4" BRONCE</t>
        </is>
      </c>
      <c r="D210" t="inlineStr">
        <is>
          <t>1101813963</t>
        </is>
      </c>
      <c r="E210" t="inlineStr">
        <is>
          <t>8</t>
        </is>
      </c>
      <c r="F210" s="163" t="n">
        <v>45635</v>
      </c>
      <c r="G210" t="inlineStr"/>
      <c r="H210" t="inlineStr">
        <is>
          <t>4200590231</t>
        </is>
      </c>
      <c r="I210" t="inlineStr">
        <is>
          <t>40</t>
        </is>
      </c>
      <c r="J210" s="163" t="n">
        <v>45642</v>
      </c>
      <c r="K210" s="163" t="n">
        <v>45643</v>
      </c>
      <c r="L210" t="inlineStr"/>
      <c r="M210" s="163" t="n">
        <v>45649</v>
      </c>
      <c r="N210" s="164" t="n">
        <v>30</v>
      </c>
      <c r="O210" s="164" t="n">
        <v>8</v>
      </c>
      <c r="P210" t="inlineStr">
        <is>
          <t>Liberado</t>
        </is>
      </c>
      <c r="Q210" s="165" t="n">
        <v>1</v>
      </c>
      <c r="R210" s="165" t="n">
        <v>1</v>
      </c>
      <c r="S210" s="165" t="n">
        <v>1</v>
      </c>
      <c r="T210" s="165" t="n">
        <v>0</v>
      </c>
      <c r="U210" s="166" t="n">
        <v>1</v>
      </c>
      <c r="V210" s="166" t="n">
        <v>0</v>
      </c>
      <c r="W210" t="inlineStr">
        <is>
          <t>X</t>
        </is>
      </c>
      <c r="X210" t="inlineStr">
        <is>
          <t>0.00</t>
        </is>
      </c>
      <c r="Y210" t="inlineStr"/>
      <c r="Z210" t="inlineStr">
        <is>
          <t>INFORMATICA CALCULO Y TECNICA, S.A.</t>
        </is>
      </c>
      <c r="AA210" t="inlineStr">
        <is>
          <t>MANFROTTO</t>
        </is>
      </c>
      <c r="AB210" t="inlineStr">
        <is>
          <t>MAN037</t>
        </is>
      </c>
      <c r="AC210" t="inlineStr"/>
      <c r="AD210" s="164" t="n">
        <v>0</v>
      </c>
      <c r="AE210" s="185" t="n">
        <v>0</v>
      </c>
      <c r="AG210" s="167" t="inlineStr">
        <is>
          <t>7218|S24B05_S1077</t>
        </is>
      </c>
      <c r="AH210" s="46">
        <f>IF(M210=0,"-",M210-J210)</f>
        <v/>
      </c>
      <c r="AI210" s="46">
        <f>IF(AND(S210=0,M210&gt;0,L210=0),IF(AH210&gt;=120,"VERY HIGH",IF(AH210&gt;=90,"HIGH",IF(AH210&gt;=60,"MEDIUM",IF(AH210&lt;60,"LOW")))),"-")</f>
        <v/>
      </c>
      <c r="AJ210" s="12" t="n"/>
      <c r="AK210" s="41">
        <f>IF(AND(W210="X",M210&lt;=$AJ$2),"YES","")</f>
        <v/>
      </c>
      <c r="AL210" s="38">
        <f>IF(AND(W210="X",M210&lt;=$AJ$2),S210,"")</f>
        <v/>
      </c>
      <c r="AM210" s="26">
        <f>IF(AND(W210="X",M210&gt;$AJ$2),"YES","")</f>
        <v/>
      </c>
      <c r="AN210" s="89">
        <f>IF(AND(W210="X",M210&gt;$AJ$2),S210,"")</f>
        <v/>
      </c>
      <c r="AO210" s="35">
        <f>IF(AND(W210="",M210&gt;0,$AJ$2&gt;M210,L210=""),1,0)</f>
        <v/>
      </c>
      <c r="AP210" s="26">
        <f>IF(AND(AK210="YES",W210="X"),"X","")</f>
        <v/>
      </c>
      <c r="AQ210" s="28">
        <f>IF(AP210="X",100%,0%)</f>
        <v/>
      </c>
      <c r="AR210" s="25">
        <f>IF(AND(T210&gt;0,L210=""),H210,"")</f>
        <v/>
      </c>
      <c r="AS210" s="25">
        <f>IF(AND(D210&gt;0,H210=0,G210=""),1,"")</f>
        <v/>
      </c>
      <c r="AT210" s="25">
        <f>IF(G210="BLOQ",1,"")</f>
        <v/>
      </c>
      <c r="AU210" s="25">
        <f>IF(L210="BLOQ",1,"")</f>
        <v/>
      </c>
      <c r="AV210" s="25">
        <f>MONTH(F210)</f>
        <v/>
      </c>
      <c r="AW210" s="65">
        <f>IF(AP210="",100%,0%)</f>
        <v/>
      </c>
      <c r="AX210" s="23" t="n"/>
      <c r="AY210" s="24">
        <f>IF(M210=0,"",M210-$AX$2)</f>
        <v/>
      </c>
      <c r="AZ210" s="66">
        <f>IF(AND(W210="",AY210&gt;0,AY210&lt;15),1,0)</f>
        <v/>
      </c>
      <c r="BA210" s="24">
        <f>IF(AND(W210="",AY210&gt;0,AY210&lt;15),T210,"")</f>
        <v/>
      </c>
      <c r="BB210" s="87">
        <f>IF(R210&lt;Q210,"X","")</f>
        <v/>
      </c>
      <c r="BC210" s="190" t="inlineStr">
        <is>
          <t>NO</t>
        </is>
      </c>
      <c r="BD210" s="191" t="inlineStr">
        <is>
          <t>SI</t>
        </is>
      </c>
    </row>
    <row r="211" ht="15" customHeight="1" s="162">
      <c r="A211" s="7" t="n">
        <v>210</v>
      </c>
      <c r="B211" t="inlineStr">
        <is>
          <t>39121410</t>
        </is>
      </c>
      <c r="C211" t="inlineStr">
        <is>
          <t>Borne de conexi&amp;#243;n HellermannTyton d</t>
        </is>
      </c>
      <c r="D211" t="inlineStr">
        <is>
          <t>1101814995</t>
        </is>
      </c>
      <c r="E211" t="inlineStr">
        <is>
          <t>1</t>
        </is>
      </c>
      <c r="F211" s="163" t="n">
        <v>45637</v>
      </c>
      <c r="G211" t="inlineStr"/>
      <c r="H211" t="inlineStr">
        <is>
          <t>4800002778</t>
        </is>
      </c>
      <c r="I211" t="inlineStr">
        <is>
          <t>490</t>
        </is>
      </c>
      <c r="J211" s="163" t="n">
        <v>45636</v>
      </c>
      <c r="K211" s="163" t="inlineStr"/>
      <c r="L211" t="inlineStr"/>
      <c r="M211" s="163" t="n">
        <v>45638</v>
      </c>
      <c r="N211" s="164" t="n">
        <v>0</v>
      </c>
      <c r="O211" s="164" t="n">
        <v>0</v>
      </c>
      <c r="P211" t="inlineStr"/>
      <c r="Q211" s="165" t="n">
        <v>20</v>
      </c>
      <c r="R211" s="165" t="n">
        <v>20</v>
      </c>
      <c r="S211" s="165" t="n">
        <v>20</v>
      </c>
      <c r="T211" s="165" t="n">
        <v>0</v>
      </c>
      <c r="U211" s="166" t="n">
        <v>0</v>
      </c>
      <c r="V211" s="166" t="n">
        <v>0</v>
      </c>
      <c r="W211" t="inlineStr">
        <is>
          <t>X</t>
        </is>
      </c>
      <c r="X211" t="inlineStr">
        <is>
          <t>0.00</t>
        </is>
      </c>
      <c r="Y211" t="inlineStr"/>
      <c r="Z211" t="inlineStr">
        <is>
          <t>AMIDATA, S.A.</t>
        </is>
      </c>
      <c r="AA211" t="inlineStr"/>
      <c r="AB211" t="inlineStr">
        <is>
          <t>2517660</t>
        </is>
      </c>
      <c r="AC211" t="inlineStr"/>
      <c r="AD211" s="164" t="n">
        <v>0</v>
      </c>
      <c r="AE211" s="185" t="n">
        <v>0</v>
      </c>
      <c r="AG211" s="167" t="inlineStr">
        <is>
          <t>7218|JA2582_1001</t>
        </is>
      </c>
      <c r="AH211" s="46">
        <f>IF(M211=0,"-",M211-J211)</f>
        <v/>
      </c>
      <c r="AI211" s="46">
        <f>IF(AND(S211=0,M211&gt;0,L211=0),IF(AH211&gt;=120,"VERY HIGH",IF(AH211&gt;=90,"HIGH",IF(AH211&gt;=60,"MEDIUM",IF(AH211&lt;60,"LOW")))),"-")</f>
        <v/>
      </c>
      <c r="AJ211" s="12" t="n"/>
      <c r="AK211" s="41">
        <f>IF(AND(W211="X",M211&lt;=$AJ$2),"YES","")</f>
        <v/>
      </c>
      <c r="AL211" s="38">
        <f>IF(AND(W211="X",M211&lt;=$AJ$2),S211,"")</f>
        <v/>
      </c>
      <c r="AM211" s="26">
        <f>IF(AND(W211="X",M211&gt;$AJ$2),"YES","")</f>
        <v/>
      </c>
      <c r="AN211" s="89">
        <f>IF(AND(W211="X",M211&gt;$AJ$2),S211,"")</f>
        <v/>
      </c>
      <c r="AO211" s="35">
        <f>IF(AND(W211="",M211&gt;0,$AJ$2&gt;M211,L211=""),1,0)</f>
        <v/>
      </c>
      <c r="AP211" s="26">
        <f>IF(AND(AK211="YES",W211="X"),"X","")</f>
        <v/>
      </c>
      <c r="AQ211" s="28">
        <f>IF(AP211="X",100%,0%)</f>
        <v/>
      </c>
      <c r="AR211" s="25">
        <f>IF(AND(T211&gt;0,L211=""),H211,"")</f>
        <v/>
      </c>
      <c r="AS211" s="25">
        <f>IF(AND(D211&gt;0,H211=0,G211=""),1,"")</f>
        <v/>
      </c>
      <c r="AT211" s="25">
        <f>IF(G211="BLOQ",1,"")</f>
        <v/>
      </c>
      <c r="AU211" s="25">
        <f>IF(L211="BLOQ",1,"")</f>
        <v/>
      </c>
      <c r="AV211" s="25">
        <f>MONTH(F211)</f>
        <v/>
      </c>
      <c r="AW211" s="65">
        <f>IF(AP211="",100%,0%)</f>
        <v/>
      </c>
      <c r="AX211" s="23" t="n"/>
      <c r="AY211" s="24">
        <f>IF(M211=0,"",M211-$AX$2)</f>
        <v/>
      </c>
      <c r="AZ211" s="66">
        <f>IF(AND(W211="",AY211&gt;0,AY211&lt;15),1,0)</f>
        <v/>
      </c>
      <c r="BA211" s="24">
        <f>IF(AND(W211="",AY211&gt;0,AY211&lt;15),T211,"")</f>
        <v/>
      </c>
      <c r="BB211" s="87">
        <f>IF(R211&lt;Q211,"X","")</f>
        <v/>
      </c>
      <c r="BC211" s="190" t="inlineStr">
        <is>
          <t>NO</t>
        </is>
      </c>
      <c r="BD211" s="190" t="inlineStr">
        <is>
          <t>NO</t>
        </is>
      </c>
    </row>
    <row r="212" ht="15" customHeight="1" s="162">
      <c r="A212" s="7" t="n">
        <v>211</v>
      </c>
      <c r="B212" t="inlineStr">
        <is>
          <t>39121400</t>
        </is>
      </c>
      <c r="C212" t="inlineStr">
        <is>
          <t>Conector XLR Macho de 3 pines Neutrik, c</t>
        </is>
      </c>
      <c r="D212" t="inlineStr">
        <is>
          <t>1101814997</t>
        </is>
      </c>
      <c r="E212" t="inlineStr">
        <is>
          <t>1</t>
        </is>
      </c>
      <c r="F212" s="163" t="n">
        <v>45637</v>
      </c>
      <c r="G212" t="inlineStr"/>
      <c r="H212" t="inlineStr">
        <is>
          <t>4800002778</t>
        </is>
      </c>
      <c r="I212" t="inlineStr">
        <is>
          <t>500</t>
        </is>
      </c>
      <c r="J212" s="163" t="n">
        <v>45636</v>
      </c>
      <c r="K212" s="163" t="inlineStr"/>
      <c r="L212" t="inlineStr"/>
      <c r="M212" s="163" t="n">
        <v>45638</v>
      </c>
      <c r="N212" s="164" t="n">
        <v>0</v>
      </c>
      <c r="O212" s="164" t="n">
        <v>0</v>
      </c>
      <c r="P212" t="inlineStr"/>
      <c r="Q212" s="165" t="n">
        <v>2</v>
      </c>
      <c r="R212" s="165" t="n">
        <v>2</v>
      </c>
      <c r="S212" s="165" t="n">
        <v>2</v>
      </c>
      <c r="T212" s="165" t="n">
        <v>0</v>
      </c>
      <c r="U212" s="166" t="n">
        <v>0</v>
      </c>
      <c r="V212" s="166" t="n">
        <v>0</v>
      </c>
      <c r="W212" t="inlineStr">
        <is>
          <t>X</t>
        </is>
      </c>
      <c r="X212" t="inlineStr">
        <is>
          <t>0.00</t>
        </is>
      </c>
      <c r="Y212" t="inlineStr"/>
      <c r="Z212" t="inlineStr">
        <is>
          <t>AMIDATA, S.A.</t>
        </is>
      </c>
      <c r="AA212" t="inlineStr"/>
      <c r="AB212" t="inlineStr">
        <is>
          <t>0405607</t>
        </is>
      </c>
      <c r="AC212" t="inlineStr"/>
      <c r="AD212" s="164" t="n">
        <v>0</v>
      </c>
      <c r="AE212" s="185" t="n">
        <v>0</v>
      </c>
      <c r="AG212" s="167" t="inlineStr">
        <is>
          <t>7218|JA2584_1001</t>
        </is>
      </c>
      <c r="AH212" s="46">
        <f>IF(M212=0,"-",M212-J212)</f>
        <v/>
      </c>
      <c r="AI212" s="46">
        <f>IF(AND(S212=0,M212&gt;0,L212=0),IF(AH212&gt;=120,"VERY HIGH",IF(AH212&gt;=90,"HIGH",IF(AH212&gt;=60,"MEDIUM",IF(AH212&lt;60,"LOW")))),"-")</f>
        <v/>
      </c>
      <c r="AJ212" s="12" t="n"/>
      <c r="AK212" s="41">
        <f>IF(AND(W212="X",M212&lt;=$AJ$2),"YES","")</f>
        <v/>
      </c>
      <c r="AL212" s="38">
        <f>IF(AND(W212="X",M212&lt;=$AJ$2),S212,"")</f>
        <v/>
      </c>
      <c r="AM212" s="26">
        <f>IF(AND(W212="X",M212&gt;$AJ$2),"YES","")</f>
        <v/>
      </c>
      <c r="AN212" s="89">
        <f>IF(AND(W212="X",M212&gt;$AJ$2),S212,"")</f>
        <v/>
      </c>
      <c r="AO212" s="35">
        <f>IF(AND(W212="",M212&gt;0,$AJ$2&gt;M212,L212=""),1,0)</f>
        <v/>
      </c>
      <c r="AP212" s="26">
        <f>IF(AND(AK212="YES",W212="X"),"X","")</f>
        <v/>
      </c>
      <c r="AQ212" s="28">
        <f>IF(AP212="X",100%,0%)</f>
        <v/>
      </c>
      <c r="AR212" s="25">
        <f>IF(AND(T212&gt;0,L212=""),H212,"")</f>
        <v/>
      </c>
      <c r="AS212" s="25">
        <f>IF(AND(D212&gt;0,H212=0,G212=""),1,"")</f>
        <v/>
      </c>
      <c r="AT212" s="25">
        <f>IF(G212="BLOQ",1,"")</f>
        <v/>
      </c>
      <c r="AU212" s="25">
        <f>IF(L212="BLOQ",1,"")</f>
        <v/>
      </c>
      <c r="AV212" s="25">
        <f>MONTH(F212)</f>
        <v/>
      </c>
      <c r="AW212" s="65">
        <f>IF(AP212="",100%,0%)</f>
        <v/>
      </c>
      <c r="AX212" s="23" t="n"/>
      <c r="AY212" s="24">
        <f>IF(M212=0,"",M212-$AX$2)</f>
        <v/>
      </c>
      <c r="AZ212" s="66">
        <f>IF(AND(W212="",AY212&gt;0,AY212&lt;15),1,0)</f>
        <v/>
      </c>
      <c r="BA212" s="24">
        <f>IF(AND(W212="",AY212&gt;0,AY212&lt;15),T212,"")</f>
        <v/>
      </c>
      <c r="BB212" s="87">
        <f>IF(R212&lt;Q212,"X","")</f>
        <v/>
      </c>
      <c r="BC212" s="190" t="inlineStr">
        <is>
          <t>NO</t>
        </is>
      </c>
      <c r="BD212" s="190" t="inlineStr">
        <is>
          <t>NO</t>
        </is>
      </c>
    </row>
    <row r="213" ht="15" customHeight="1" s="162">
      <c r="A213" s="7" t="n">
        <v>212</v>
      </c>
      <c r="B213" t="inlineStr">
        <is>
          <t>39121410</t>
        </is>
      </c>
      <c r="C213" t="inlineStr">
        <is>
          <t>Soporte final RS PRO, para usar con CDK,</t>
        </is>
      </c>
      <c r="D213" t="inlineStr">
        <is>
          <t>1101814998</t>
        </is>
      </c>
      <c r="E213" t="inlineStr">
        <is>
          <t>1</t>
        </is>
      </c>
      <c r="F213" s="163" t="n">
        <v>45637</v>
      </c>
      <c r="G213" t="inlineStr"/>
      <c r="H213" t="inlineStr">
        <is>
          <t>4800002778</t>
        </is>
      </c>
      <c r="I213" t="inlineStr">
        <is>
          <t>510</t>
        </is>
      </c>
      <c r="J213" s="163" t="n">
        <v>45636</v>
      </c>
      <c r="K213" s="163" t="inlineStr"/>
      <c r="L213" t="inlineStr"/>
      <c r="M213" s="163" t="n">
        <v>45638</v>
      </c>
      <c r="N213" s="164" t="n">
        <v>0</v>
      </c>
      <c r="O213" s="164" t="n">
        <v>0</v>
      </c>
      <c r="P213" t="inlineStr"/>
      <c r="Q213" s="165" t="n">
        <v>30</v>
      </c>
      <c r="R213" s="165" t="n">
        <v>30</v>
      </c>
      <c r="S213" s="165" t="n">
        <v>30</v>
      </c>
      <c r="T213" s="165" t="n">
        <v>0</v>
      </c>
      <c r="U213" s="166" t="n">
        <v>0</v>
      </c>
      <c r="V213" s="166" t="n">
        <v>0</v>
      </c>
      <c r="W213" t="inlineStr">
        <is>
          <t>X</t>
        </is>
      </c>
      <c r="X213" t="inlineStr">
        <is>
          <t>0.00</t>
        </is>
      </c>
      <c r="Y213" t="inlineStr"/>
      <c r="Z213" t="inlineStr">
        <is>
          <t>AMIDATA, S.A.</t>
        </is>
      </c>
      <c r="AA213" t="inlineStr"/>
      <c r="AB213" t="inlineStr">
        <is>
          <t>8787556</t>
        </is>
      </c>
      <c r="AC213" t="inlineStr"/>
      <c r="AD213" s="164" t="n">
        <v>0</v>
      </c>
      <c r="AE213" s="185" t="n">
        <v>0</v>
      </c>
      <c r="AG213" s="167" t="inlineStr">
        <is>
          <t>7218|JA2588_1001</t>
        </is>
      </c>
      <c r="AH213" s="46">
        <f>IF(M213=0,"-",M213-J213)</f>
        <v/>
      </c>
      <c r="AI213" s="46">
        <f>IF(AND(S213=0,M213&gt;0,L213=0),IF(AH213&gt;=120,"VERY HIGH",IF(AH213&gt;=90,"HIGH",IF(AH213&gt;=60,"MEDIUM",IF(AH213&lt;60,"LOW")))),"-")</f>
        <v/>
      </c>
      <c r="AJ213" s="12" t="n"/>
      <c r="AK213" s="41">
        <f>IF(AND(W213="X",M213&lt;=$AJ$2),"YES","")</f>
        <v/>
      </c>
      <c r="AL213" s="38">
        <f>IF(AND(W213="X",M213&lt;=$AJ$2),S213,"")</f>
        <v/>
      </c>
      <c r="AM213" s="26">
        <f>IF(AND(W213="X",M213&gt;$AJ$2),"YES","")</f>
        <v/>
      </c>
      <c r="AN213" s="89">
        <f>IF(AND(W213="X",M213&gt;$AJ$2),S213,"")</f>
        <v/>
      </c>
      <c r="AO213" s="35">
        <f>IF(AND(W213="",M213&gt;0,$AJ$2&gt;M213,L213=""),1,0)</f>
        <v/>
      </c>
      <c r="AP213" s="26">
        <f>IF(AND(AK213="YES",W213="X"),"X","")</f>
        <v/>
      </c>
      <c r="AQ213" s="28">
        <f>IF(AP213="X",100%,0%)</f>
        <v/>
      </c>
      <c r="AR213" s="25">
        <f>IF(AND(T213&gt;0,L213=""),H213,"")</f>
        <v/>
      </c>
      <c r="AS213" s="25">
        <f>IF(AND(D213&gt;0,H213=0,G213=""),1,"")</f>
        <v/>
      </c>
      <c r="AT213" s="25">
        <f>IF(G213="BLOQ",1,"")</f>
        <v/>
      </c>
      <c r="AU213" s="25">
        <f>IF(L213="BLOQ",1,"")</f>
        <v/>
      </c>
      <c r="AV213" s="25">
        <f>MONTH(F213)</f>
        <v/>
      </c>
      <c r="AW213" s="65">
        <f>IF(AP213="",100%,0%)</f>
        <v/>
      </c>
      <c r="AX213" s="23" t="n"/>
      <c r="AY213" s="24">
        <f>IF(M213=0,"",M213-$AX$2)</f>
        <v/>
      </c>
      <c r="AZ213" s="66">
        <f>IF(AND(W213="",AY213&gt;0,AY213&lt;15),1,0)</f>
        <v/>
      </c>
      <c r="BA213" s="24">
        <f>IF(AND(W213="",AY213&gt;0,AY213&lt;15),T213,"")</f>
        <v/>
      </c>
      <c r="BB213" s="87">
        <f>IF(R213&lt;Q213,"X","")</f>
        <v/>
      </c>
      <c r="BC213" s="190" t="inlineStr">
        <is>
          <t>NO</t>
        </is>
      </c>
      <c r="BD213" s="190" t="inlineStr">
        <is>
          <t>NO</t>
        </is>
      </c>
    </row>
    <row r="214" ht="15" customHeight="1" s="162">
      <c r="A214" s="7" t="n">
        <v>213</v>
      </c>
      <c r="B214" t="inlineStr">
        <is>
          <t>1359900000500</t>
        </is>
      </c>
      <c r="C214" t="inlineStr">
        <is>
          <t>COMPRA DIRECTA ELECTRICOS/ELECTRONICOS</t>
        </is>
      </c>
      <c r="D214" t="inlineStr">
        <is>
          <t>1101815034</t>
        </is>
      </c>
      <c r="E214" t="inlineStr">
        <is>
          <t>1</t>
        </is>
      </c>
      <c r="F214" s="163" t="n">
        <v>45637</v>
      </c>
      <c r="G214" t="inlineStr"/>
      <c r="H214" t="inlineStr">
        <is>
          <t>4200590773</t>
        </is>
      </c>
      <c r="I214" t="inlineStr">
        <is>
          <t>20</t>
        </is>
      </c>
      <c r="J214" s="163" t="n">
        <v>45644</v>
      </c>
      <c r="K214" s="163" t="n">
        <v>45645</v>
      </c>
      <c r="L214" t="inlineStr"/>
      <c r="M214" s="163" t="n">
        <v>45657</v>
      </c>
      <c r="N214" s="164" t="n">
        <v>30</v>
      </c>
      <c r="O214" s="164" t="n">
        <v>8</v>
      </c>
      <c r="P214" t="inlineStr">
        <is>
          <t>Liberado</t>
        </is>
      </c>
      <c r="Q214" s="165" t="n">
        <v>1</v>
      </c>
      <c r="R214" s="165" t="n">
        <v>1</v>
      </c>
      <c r="S214" s="165" t="n">
        <v>1</v>
      </c>
      <c r="T214" s="165" t="n">
        <v>0</v>
      </c>
      <c r="U214" s="166" t="n">
        <v>0</v>
      </c>
      <c r="V214" s="166" t="n">
        <v>0</v>
      </c>
      <c r="W214" t="inlineStr">
        <is>
          <t>X</t>
        </is>
      </c>
      <c r="X214" t="inlineStr">
        <is>
          <t>0.00</t>
        </is>
      </c>
      <c r="Y214" t="inlineStr"/>
      <c r="Z214" t="inlineStr">
        <is>
          <t>SARVER S.L.</t>
        </is>
      </c>
      <c r="AA214" t="inlineStr">
        <is>
          <t>OTROS FABRICANTES</t>
        </is>
      </c>
      <c r="AB214" t="inlineStr">
        <is>
          <t>1359900000500</t>
        </is>
      </c>
      <c r="AC214" t="inlineStr"/>
      <c r="AD214" s="164" t="n">
        <v>0</v>
      </c>
      <c r="AE214" s="185" t="n">
        <v>0</v>
      </c>
      <c r="AG214" s="167" t="inlineStr">
        <is>
          <t>7218|JA2593_1001</t>
        </is>
      </c>
      <c r="AH214" s="46">
        <f>IF(M214=0,"-",M214-J214)</f>
        <v/>
      </c>
      <c r="AI214" s="46">
        <f>IF(AND(S214=0,M214&gt;0,L214=0),IF(AH214&gt;=120,"VERY HIGH",IF(AH214&gt;=90,"HIGH",IF(AH214&gt;=60,"MEDIUM",IF(AH214&lt;60,"LOW")))),"-")</f>
        <v/>
      </c>
      <c r="AJ214" s="12" t="n"/>
      <c r="AK214" s="41">
        <f>IF(AND(W214="X",M214&lt;=$AJ$2),"YES","")</f>
        <v/>
      </c>
      <c r="AL214" s="38">
        <f>IF(AND(W214="X",M214&lt;=$AJ$2),S214,"")</f>
        <v/>
      </c>
      <c r="AM214" s="26">
        <f>IF(AND(W214="X",M214&gt;$AJ$2),"YES","")</f>
        <v/>
      </c>
      <c r="AN214" s="89">
        <f>IF(AND(W214="X",M214&gt;$AJ$2),S214,"")</f>
        <v/>
      </c>
      <c r="AO214" s="35">
        <f>IF(AND(W214="",M214&gt;0,$AJ$2&gt;M214,L214=""),1,0)</f>
        <v/>
      </c>
      <c r="AP214" s="26">
        <f>IF(AND(AK214="YES",W214="X"),"X","")</f>
        <v/>
      </c>
      <c r="AQ214" s="28">
        <f>IF(AP214="X",100%,0%)</f>
        <v/>
      </c>
      <c r="AR214" s="25">
        <f>IF(AND(T214&gt;0,L214=""),H214,"")</f>
        <v/>
      </c>
      <c r="AS214" s="25">
        <f>IF(AND(D214&gt;0,H214=0,G214=""),1,"")</f>
        <v/>
      </c>
      <c r="AT214" s="25">
        <f>IF(G214="BLOQ",1,"")</f>
        <v/>
      </c>
      <c r="AU214" s="25">
        <f>IF(L214="BLOQ",1,"")</f>
        <v/>
      </c>
      <c r="AV214" s="25">
        <f>MONTH(F214)</f>
        <v/>
      </c>
      <c r="AW214" s="65">
        <f>IF(AP214="",100%,0%)</f>
        <v/>
      </c>
      <c r="AX214" s="23" t="n"/>
      <c r="AY214" s="24">
        <f>IF(M214=0,"",M214-$AX$2)</f>
        <v/>
      </c>
      <c r="AZ214" s="66">
        <f>IF(AND(W214="",AY214&gt;0,AY214&lt;15),1,0)</f>
        <v/>
      </c>
      <c r="BA214" s="24">
        <f>IF(AND(W214="",AY214&gt;0,AY214&lt;15),T214,"")</f>
        <v/>
      </c>
      <c r="BB214" s="87">
        <f>IF(R214&lt;Q214,"X","")</f>
        <v/>
      </c>
      <c r="BC214" s="190" t="inlineStr">
        <is>
          <t>NO</t>
        </is>
      </c>
      <c r="BD214" s="190" t="inlineStr">
        <is>
          <t>NO</t>
        </is>
      </c>
    </row>
    <row r="215" ht="15" customHeight="1" s="162">
      <c r="A215" s="7" t="n">
        <v>214</v>
      </c>
      <c r="B215" t="inlineStr">
        <is>
          <t>39121412</t>
        </is>
      </c>
      <c r="C215" t="inlineStr">
        <is>
          <t>Carcasa de conector circular Amphenol Li</t>
        </is>
      </c>
      <c r="D215" t="inlineStr">
        <is>
          <t>1101815999</t>
        </is>
      </c>
      <c r="E215" t="inlineStr">
        <is>
          <t>1</t>
        </is>
      </c>
      <c r="F215" s="163" t="n">
        <v>45638</v>
      </c>
      <c r="G215" t="inlineStr"/>
      <c r="H215" t="inlineStr">
        <is>
          <t>4800002780</t>
        </is>
      </c>
      <c r="I215" t="inlineStr">
        <is>
          <t>210</t>
        </is>
      </c>
      <c r="J215" s="163" t="n">
        <v>45637</v>
      </c>
      <c r="K215" s="163" t="inlineStr"/>
      <c r="L215" t="inlineStr"/>
      <c r="M215" s="163" t="n">
        <v>45639</v>
      </c>
      <c r="N215" s="164" t="n">
        <v>0</v>
      </c>
      <c r="O215" s="164" t="n">
        <v>0</v>
      </c>
      <c r="P215" t="inlineStr"/>
      <c r="Q215" s="165" t="n">
        <v>2</v>
      </c>
      <c r="R215" s="165" t="n">
        <v>2</v>
      </c>
      <c r="S215" s="165" t="n">
        <v>2</v>
      </c>
      <c r="T215" s="165" t="n">
        <v>0</v>
      </c>
      <c r="U215" s="166" t="n">
        <v>0</v>
      </c>
      <c r="V215" s="166" t="n">
        <v>0</v>
      </c>
      <c r="W215" t="inlineStr">
        <is>
          <t>X</t>
        </is>
      </c>
      <c r="X215" t="inlineStr">
        <is>
          <t>0.00</t>
        </is>
      </c>
      <c r="Y215" t="inlineStr"/>
      <c r="Z215" t="inlineStr">
        <is>
          <t>AMIDATA, S.A.</t>
        </is>
      </c>
      <c r="AA215" t="inlineStr"/>
      <c r="AB215" t="inlineStr">
        <is>
          <t>2259365</t>
        </is>
      </c>
      <c r="AC215" t="inlineStr"/>
      <c r="AD215" s="164" t="n">
        <v>0</v>
      </c>
      <c r="AE215" s="185" t="n">
        <v>0</v>
      </c>
      <c r="AG215" s="167" t="inlineStr">
        <is>
          <t>7218|JA2582_1001</t>
        </is>
      </c>
      <c r="AH215" s="46">
        <f>IF(M215=0,"-",M215-J215)</f>
        <v/>
      </c>
      <c r="AI215" s="46">
        <f>IF(AND(S215=0,M215&gt;0,L215=0),IF(AH215&gt;=120,"VERY HIGH",IF(AH215&gt;=90,"HIGH",IF(AH215&gt;=60,"MEDIUM",IF(AH215&lt;60,"LOW")))),"-")</f>
        <v/>
      </c>
      <c r="AJ215" s="12" t="n"/>
      <c r="AK215" s="41">
        <f>IF(AND(W215="X",M215&lt;=$AJ$2),"YES","")</f>
        <v/>
      </c>
      <c r="AL215" s="38">
        <f>IF(AND(W215="X",M215&lt;=$AJ$2),S215,"")</f>
        <v/>
      </c>
      <c r="AM215" s="26">
        <f>IF(AND(W215="X",M215&gt;$AJ$2),"YES","")</f>
        <v/>
      </c>
      <c r="AN215" s="89">
        <f>IF(AND(W215="X",M215&gt;$AJ$2),S215,"")</f>
        <v/>
      </c>
      <c r="AO215" s="35">
        <f>IF(AND(W215="",M215&gt;0,$AJ$2&gt;M215,L215=""),1,0)</f>
        <v/>
      </c>
      <c r="AP215" s="26">
        <f>IF(AND(AK215="YES",W215="X"),"X","")</f>
        <v/>
      </c>
      <c r="AQ215" s="28">
        <f>IF(AP215="X",100%,0%)</f>
        <v/>
      </c>
      <c r="AR215" s="25">
        <f>IF(AND(T215&gt;0,L215=""),H215,"")</f>
        <v/>
      </c>
      <c r="AS215" s="25">
        <f>IF(AND(D215&gt;0,H215=0,G215=""),1,"")</f>
        <v/>
      </c>
      <c r="AT215" s="25">
        <f>IF(G215="BLOQ",1,"")</f>
        <v/>
      </c>
      <c r="AU215" s="25">
        <f>IF(L215="BLOQ",1,"")</f>
        <v/>
      </c>
      <c r="AV215" s="25">
        <f>MONTH(F215)</f>
        <v/>
      </c>
      <c r="AW215" s="65">
        <f>IF(AP215="",100%,0%)</f>
        <v/>
      </c>
      <c r="AX215" s="23" t="n"/>
      <c r="AY215" s="24">
        <f>IF(M215=0,"",M215-$AX$2)</f>
        <v/>
      </c>
      <c r="AZ215" s="66">
        <f>IF(AND(W215="",AY215&gt;0,AY215&lt;15),1,0)</f>
        <v/>
      </c>
      <c r="BA215" s="24">
        <f>IF(AND(W215="",AY215&gt;0,AY215&lt;15),T215,"")</f>
        <v/>
      </c>
      <c r="BB215" s="87">
        <f>IF(R215&lt;Q215,"X","")</f>
        <v/>
      </c>
      <c r="BC215" s="190" t="inlineStr">
        <is>
          <t>NO</t>
        </is>
      </c>
      <c r="BD215" s="190" t="inlineStr">
        <is>
          <t>NO</t>
        </is>
      </c>
    </row>
    <row r="216" ht="15" customHeight="1" s="162">
      <c r="A216" s="7" t="n">
        <v>215</v>
      </c>
      <c r="B216" t="inlineStr">
        <is>
          <t>39121412</t>
        </is>
      </c>
      <c r="C216" t="inlineStr">
        <is>
          <t>Carcasa de conector circular Amphenol Li</t>
        </is>
      </c>
      <c r="D216" t="inlineStr">
        <is>
          <t>1101815999</t>
        </is>
      </c>
      <c r="E216" t="inlineStr">
        <is>
          <t>2</t>
        </is>
      </c>
      <c r="F216" s="163" t="n">
        <v>45638</v>
      </c>
      <c r="G216" t="inlineStr"/>
      <c r="H216" t="inlineStr">
        <is>
          <t>4800002780</t>
        </is>
      </c>
      <c r="I216" t="inlineStr">
        <is>
          <t>220</t>
        </is>
      </c>
      <c r="J216" s="163" t="n">
        <v>45637</v>
      </c>
      <c r="K216" s="163" t="inlineStr"/>
      <c r="L216" t="inlineStr"/>
      <c r="M216" s="163" t="n">
        <v>45639</v>
      </c>
      <c r="N216" s="164" t="n">
        <v>0</v>
      </c>
      <c r="O216" s="164" t="n">
        <v>0</v>
      </c>
      <c r="P216" t="inlineStr"/>
      <c r="Q216" s="165" t="n">
        <v>1</v>
      </c>
      <c r="R216" s="165" t="n">
        <v>1</v>
      </c>
      <c r="S216" s="165" t="n">
        <v>1</v>
      </c>
      <c r="T216" s="165" t="n">
        <v>0</v>
      </c>
      <c r="U216" s="166" t="n">
        <v>0</v>
      </c>
      <c r="V216" s="166" t="n">
        <v>0</v>
      </c>
      <c r="W216" t="inlineStr">
        <is>
          <t>X</t>
        </is>
      </c>
      <c r="X216" t="inlineStr">
        <is>
          <t>0.00</t>
        </is>
      </c>
      <c r="Y216" t="inlineStr"/>
      <c r="Z216" t="inlineStr">
        <is>
          <t>AMIDATA, S.A.</t>
        </is>
      </c>
      <c r="AA216" t="inlineStr"/>
      <c r="AB216" t="inlineStr">
        <is>
          <t>2067529</t>
        </is>
      </c>
      <c r="AC216" t="inlineStr"/>
      <c r="AD216" s="164" t="n">
        <v>0</v>
      </c>
      <c r="AE216" s="185" t="n">
        <v>0</v>
      </c>
      <c r="AG216" s="167" t="inlineStr">
        <is>
          <t>7218|JA2582_1001</t>
        </is>
      </c>
      <c r="AH216" s="46">
        <f>IF(M216=0,"-",M216-J216)</f>
        <v/>
      </c>
      <c r="AI216" s="46">
        <f>IF(AND(S216=0,M216&gt;0,L216=0),IF(AH216&gt;=120,"VERY HIGH",IF(AH216&gt;=90,"HIGH",IF(AH216&gt;=60,"MEDIUM",IF(AH216&lt;60,"LOW")))),"-")</f>
        <v/>
      </c>
      <c r="AJ216" s="12" t="n"/>
      <c r="AK216" s="41">
        <f>IF(AND(W216="X",M216&lt;=$AJ$2),"YES","")</f>
        <v/>
      </c>
      <c r="AL216" s="38">
        <f>IF(AND(W216="X",M216&lt;=$AJ$2),S216,"")</f>
        <v/>
      </c>
      <c r="AM216" s="26">
        <f>IF(AND(W216="X",M216&gt;$AJ$2),"YES","")</f>
        <v/>
      </c>
      <c r="AN216" s="89">
        <f>IF(AND(W216="X",M216&gt;$AJ$2),S216,"")</f>
        <v/>
      </c>
      <c r="AO216" s="35">
        <f>IF(AND(W216="",M216&gt;0,$AJ$2&gt;M216,L216=""),1,0)</f>
        <v/>
      </c>
      <c r="AP216" s="26">
        <f>IF(AND(AK216="YES",W216="X"),"X","")</f>
        <v/>
      </c>
      <c r="AQ216" s="28">
        <f>IF(AP216="X",100%,0%)</f>
        <v/>
      </c>
      <c r="AR216" s="25">
        <f>IF(AND(T216&gt;0,L216=""),H216,"")</f>
        <v/>
      </c>
      <c r="AS216" s="25">
        <f>IF(AND(D216&gt;0,H216=0,G216=""),1,"")</f>
        <v/>
      </c>
      <c r="AT216" s="25">
        <f>IF(G216="BLOQ",1,"")</f>
        <v/>
      </c>
      <c r="AU216" s="25">
        <f>IF(L216="BLOQ",1,"")</f>
        <v/>
      </c>
      <c r="AV216" s="25">
        <f>MONTH(F216)</f>
        <v/>
      </c>
      <c r="AW216" s="65">
        <f>IF(AP216="",100%,0%)</f>
        <v/>
      </c>
      <c r="AX216" s="23" t="n"/>
      <c r="AY216" s="24">
        <f>IF(M216=0,"",M216-$AX$2)</f>
        <v/>
      </c>
      <c r="AZ216" s="66">
        <f>IF(AND(W216="",AY216&gt;0,AY216&lt;15),1,0)</f>
        <v/>
      </c>
      <c r="BA216" s="24">
        <f>IF(AND(W216="",AY216&gt;0,AY216&lt;15),T216,"")</f>
        <v/>
      </c>
      <c r="BB216" s="87">
        <f>IF(R216&lt;Q216,"X","")</f>
        <v/>
      </c>
      <c r="BC216" s="190" t="inlineStr">
        <is>
          <t>NO</t>
        </is>
      </c>
      <c r="BD216" s="190" t="inlineStr">
        <is>
          <t>NO</t>
        </is>
      </c>
    </row>
    <row r="217" ht="15" customHeight="1" s="162">
      <c r="A217" s="7" t="n">
        <v>216</v>
      </c>
      <c r="B217" t="inlineStr">
        <is>
          <t>39121413</t>
        </is>
      </c>
      <c r="C217" t="inlineStr">
        <is>
          <t>Conector circular Amphenol Limited Conec</t>
        </is>
      </c>
      <c r="D217" t="inlineStr">
        <is>
          <t>1101815999</t>
        </is>
      </c>
      <c r="E217" t="inlineStr">
        <is>
          <t>3</t>
        </is>
      </c>
      <c r="F217" s="163" t="n">
        <v>45638</v>
      </c>
      <c r="G217" t="inlineStr"/>
      <c r="H217" t="inlineStr">
        <is>
          <t>4800002780</t>
        </is>
      </c>
      <c r="I217" t="inlineStr">
        <is>
          <t>230</t>
        </is>
      </c>
      <c r="J217" s="163" t="n">
        <v>45637</v>
      </c>
      <c r="K217" s="163" t="inlineStr"/>
      <c r="L217" t="inlineStr"/>
      <c r="M217" s="163" t="n">
        <v>45639</v>
      </c>
      <c r="N217" s="164" t="n">
        <v>0</v>
      </c>
      <c r="O217" s="164" t="n">
        <v>0</v>
      </c>
      <c r="P217" t="inlineStr"/>
      <c r="Q217" s="165" t="n">
        <v>1</v>
      </c>
      <c r="R217" s="165" t="n">
        <v>1</v>
      </c>
      <c r="S217" s="165" t="n">
        <v>1</v>
      </c>
      <c r="T217" s="165" t="n">
        <v>0</v>
      </c>
      <c r="U217" s="166" t="n">
        <v>0</v>
      </c>
      <c r="V217" s="166" t="n">
        <v>0</v>
      </c>
      <c r="W217" t="inlineStr">
        <is>
          <t>X</t>
        </is>
      </c>
      <c r="X217" t="inlineStr">
        <is>
          <t>0.00</t>
        </is>
      </c>
      <c r="Y217" t="inlineStr"/>
      <c r="Z217" t="inlineStr">
        <is>
          <t>AMIDATA, S.A.</t>
        </is>
      </c>
      <c r="AA217" t="inlineStr"/>
      <c r="AB217" t="inlineStr">
        <is>
          <t>2368090</t>
        </is>
      </c>
      <c r="AC217" t="inlineStr"/>
      <c r="AD217" s="164" t="n">
        <v>0</v>
      </c>
      <c r="AE217" s="185" t="n">
        <v>0</v>
      </c>
      <c r="AG217" s="167" t="inlineStr">
        <is>
          <t>7218|JA2582_1001</t>
        </is>
      </c>
      <c r="AH217" s="46">
        <f>IF(M217=0,"-",M217-J217)</f>
        <v/>
      </c>
      <c r="AI217" s="46">
        <f>IF(AND(S217=0,M217&gt;0,L217=0),IF(AH217&gt;=120,"VERY HIGH",IF(AH217&gt;=90,"HIGH",IF(AH217&gt;=60,"MEDIUM",IF(AH217&lt;60,"LOW")))),"-")</f>
        <v/>
      </c>
      <c r="AJ217" s="12" t="n"/>
      <c r="AK217" s="41">
        <f>IF(AND(W217="X",M217&lt;=$AJ$2),"YES","")</f>
        <v/>
      </c>
      <c r="AL217" s="38">
        <f>IF(AND(W217="X",M217&lt;=$AJ$2),S217,"")</f>
        <v/>
      </c>
      <c r="AM217" s="26">
        <f>IF(AND(W217="X",M217&gt;$AJ$2),"YES","")</f>
        <v/>
      </c>
      <c r="AN217" s="89">
        <f>IF(AND(W217="X",M217&gt;$AJ$2),S217,"")</f>
        <v/>
      </c>
      <c r="AO217" s="35">
        <f>IF(AND(W217="",M217&gt;0,$AJ$2&gt;M217,L217=""),1,0)</f>
        <v/>
      </c>
      <c r="AP217" s="26">
        <f>IF(AND(AK217="YES",W217="X"),"X","")</f>
        <v/>
      </c>
      <c r="AQ217" s="28">
        <f>IF(AP217="X",100%,0%)</f>
        <v/>
      </c>
      <c r="AR217" s="25">
        <f>IF(AND(T217&gt;0,L217=""),H217,"")</f>
        <v/>
      </c>
      <c r="AS217" s="25">
        <f>IF(AND(D217&gt;0,H217=0,G217=""),1,"")</f>
        <v/>
      </c>
      <c r="AT217" s="25">
        <f>IF(G217="BLOQ",1,"")</f>
        <v/>
      </c>
      <c r="AU217" s="25">
        <f>IF(L217="BLOQ",1,"")</f>
        <v/>
      </c>
      <c r="AV217" s="25">
        <f>MONTH(F217)</f>
        <v/>
      </c>
      <c r="AW217" s="65">
        <f>IF(AP217="",100%,0%)</f>
        <v/>
      </c>
      <c r="AX217" s="23" t="n"/>
      <c r="AY217" s="24">
        <f>IF(M217=0,"",M217-$AX$2)</f>
        <v/>
      </c>
      <c r="AZ217" s="66">
        <f>IF(AND(W217="",AY217&gt;0,AY217&lt;15),1,0)</f>
        <v/>
      </c>
      <c r="BA217" s="24">
        <f>IF(AND(W217="",AY217&gt;0,AY217&lt;15),T217,"")</f>
        <v/>
      </c>
      <c r="BB217" s="87">
        <f>IF(R217&lt;Q217,"X","")</f>
        <v/>
      </c>
      <c r="BC217" s="190" t="inlineStr">
        <is>
          <t>NO</t>
        </is>
      </c>
      <c r="BD217" s="190" t="inlineStr">
        <is>
          <t>NO</t>
        </is>
      </c>
    </row>
    <row r="218" ht="15" customHeight="1" s="162">
      <c r="A218" s="7" t="n">
        <v>217</v>
      </c>
      <c r="B218" t="inlineStr">
        <is>
          <t>39121017</t>
        </is>
      </c>
      <c r="C218" t="inlineStr">
        <is>
          <t>Unidad de distribuci&amp;#243;n de potencia</t>
        </is>
      </c>
      <c r="D218" t="inlineStr">
        <is>
          <t>1101816002</t>
        </is>
      </c>
      <c r="E218" t="inlineStr">
        <is>
          <t>1</t>
        </is>
      </c>
      <c r="F218" s="163" t="n">
        <v>45638</v>
      </c>
      <c r="G218" t="inlineStr"/>
      <c r="H218" t="inlineStr">
        <is>
          <t>4800002780</t>
        </is>
      </c>
      <c r="I218" t="inlineStr">
        <is>
          <t>240</t>
        </is>
      </c>
      <c r="J218" s="163" t="n">
        <v>45637</v>
      </c>
      <c r="K218" s="163" t="inlineStr"/>
      <c r="L218" t="inlineStr"/>
      <c r="M218" s="163" t="n">
        <v>45639</v>
      </c>
      <c r="N218" s="164" t="n">
        <v>0</v>
      </c>
      <c r="O218" s="164" t="n">
        <v>0</v>
      </c>
      <c r="P218" t="inlineStr"/>
      <c r="Q218" s="165" t="n">
        <v>2</v>
      </c>
      <c r="R218" s="165" t="n">
        <v>2</v>
      </c>
      <c r="S218" s="165" t="n">
        <v>2</v>
      </c>
      <c r="T218" s="165" t="n">
        <v>0</v>
      </c>
      <c r="U218" s="166" t="n">
        <v>0</v>
      </c>
      <c r="V218" s="166" t="n">
        <v>0</v>
      </c>
      <c r="W218" t="inlineStr">
        <is>
          <t>X</t>
        </is>
      </c>
      <c r="X218" t="inlineStr">
        <is>
          <t>0.00</t>
        </is>
      </c>
      <c r="Y218" t="inlineStr"/>
      <c r="Z218" t="inlineStr">
        <is>
          <t>AMIDATA, S.A.</t>
        </is>
      </c>
      <c r="AA218" t="inlineStr"/>
      <c r="AB218" t="inlineStr">
        <is>
          <t>1237430</t>
        </is>
      </c>
      <c r="AC218" t="inlineStr"/>
      <c r="AD218" s="164" t="n">
        <v>0</v>
      </c>
      <c r="AE218" s="185" t="n">
        <v>0</v>
      </c>
      <c r="AG218" s="167" t="inlineStr">
        <is>
          <t>7218|JA2580_1001</t>
        </is>
      </c>
      <c r="AH218" s="46">
        <f>IF(M218=0,"-",M218-J218)</f>
        <v/>
      </c>
      <c r="AI218" s="46">
        <f>IF(AND(S218=0,M218&gt;0,L218=0),IF(AH218&gt;=120,"VERY HIGH",IF(AH218&gt;=90,"HIGH",IF(AH218&gt;=60,"MEDIUM",IF(AH218&lt;60,"LOW")))),"-")</f>
        <v/>
      </c>
      <c r="AJ218" s="12" t="n"/>
      <c r="AK218" s="41">
        <f>IF(AND(W218="X",M218&lt;=$AJ$2),"YES","")</f>
        <v/>
      </c>
      <c r="AL218" s="38">
        <f>IF(AND(W218="X",M218&lt;=$AJ$2),S218,"")</f>
        <v/>
      </c>
      <c r="AM218" s="26">
        <f>IF(AND(W218="X",M218&gt;$AJ$2),"YES","")</f>
        <v/>
      </c>
      <c r="AN218" s="89">
        <f>IF(AND(W218="X",M218&gt;$AJ$2),S218,"")</f>
        <v/>
      </c>
      <c r="AO218" s="35">
        <f>IF(AND(W218="",M218&gt;0,$AJ$2&gt;M218,L218=""),1,0)</f>
        <v/>
      </c>
      <c r="AP218" s="26">
        <f>IF(AND(AK218="YES",W218="X"),"X","")</f>
        <v/>
      </c>
      <c r="AQ218" s="28">
        <f>IF(AP218="X",100%,0%)</f>
        <v/>
      </c>
      <c r="AR218" s="25">
        <f>IF(AND(T218&gt;0,L218=""),H218,"")</f>
        <v/>
      </c>
      <c r="AS218" s="25">
        <f>IF(AND(D218&gt;0,H218=0,G218=""),1,"")</f>
        <v/>
      </c>
      <c r="AT218" s="25">
        <f>IF(G218="BLOQ",1,"")</f>
        <v/>
      </c>
      <c r="AU218" s="25">
        <f>IF(L218="BLOQ",1,"")</f>
        <v/>
      </c>
      <c r="AV218" s="25">
        <f>MONTH(F218)</f>
        <v/>
      </c>
      <c r="AW218" s="65">
        <f>IF(AP218="",100%,0%)</f>
        <v/>
      </c>
      <c r="AX218" s="23" t="n"/>
      <c r="AY218" s="24">
        <f>IF(M218=0,"",M218-$AX$2)</f>
        <v/>
      </c>
      <c r="AZ218" s="66">
        <f>IF(AND(W218="",AY218&gt;0,AY218&lt;15),1,0)</f>
        <v/>
      </c>
      <c r="BA218" s="24">
        <f>IF(AND(W218="",AY218&gt;0,AY218&lt;15),T218,"")</f>
        <v/>
      </c>
      <c r="BB218" s="87">
        <f>IF(R218&lt;Q218,"X","")</f>
        <v/>
      </c>
      <c r="BC218" s="190" t="inlineStr">
        <is>
          <t>NO</t>
        </is>
      </c>
      <c r="BD218" s="190" t="inlineStr">
        <is>
          <t>NO</t>
        </is>
      </c>
    </row>
    <row r="219" ht="15" customHeight="1" s="162">
      <c r="A219" s="7" t="n">
        <v>218</v>
      </c>
      <c r="B219" t="inlineStr">
        <is>
          <t>31161816</t>
        </is>
      </c>
      <c r="C219" t="inlineStr">
        <is>
          <t>Separador roscado hexagonal Macho/Hembra</t>
        </is>
      </c>
      <c r="D219" t="inlineStr">
        <is>
          <t>1101816005</t>
        </is>
      </c>
      <c r="E219" t="inlineStr">
        <is>
          <t>1</t>
        </is>
      </c>
      <c r="F219" s="163" t="n">
        <v>45638</v>
      </c>
      <c r="G219" t="inlineStr"/>
      <c r="H219" t="inlineStr">
        <is>
          <t>4800002780</t>
        </is>
      </c>
      <c r="I219" t="inlineStr">
        <is>
          <t>260</t>
        </is>
      </c>
      <c r="J219" s="163" t="n">
        <v>45637</v>
      </c>
      <c r="K219" s="163" t="inlineStr"/>
      <c r="L219" t="inlineStr"/>
      <c r="M219" s="163" t="n">
        <v>45639</v>
      </c>
      <c r="N219" s="164" t="n">
        <v>0</v>
      </c>
      <c r="O219" s="164" t="n">
        <v>0</v>
      </c>
      <c r="P219" t="inlineStr"/>
      <c r="Q219" s="165" t="n">
        <v>400</v>
      </c>
      <c r="R219" s="165" t="n">
        <v>400</v>
      </c>
      <c r="S219" s="165" t="n">
        <v>400</v>
      </c>
      <c r="T219" s="165" t="n">
        <v>0</v>
      </c>
      <c r="U219" s="166" t="n">
        <v>0</v>
      </c>
      <c r="V219" s="166" t="n">
        <v>0</v>
      </c>
      <c r="W219" t="inlineStr">
        <is>
          <t>X</t>
        </is>
      </c>
      <c r="X219" t="inlineStr">
        <is>
          <t>0.00</t>
        </is>
      </c>
      <c r="Y219" t="inlineStr"/>
      <c r="Z219" t="inlineStr">
        <is>
          <t>AMIDATA, S.A.</t>
        </is>
      </c>
      <c r="AA219" t="inlineStr"/>
      <c r="AB219" t="inlineStr">
        <is>
          <t>2808985</t>
        </is>
      </c>
      <c r="AC219" t="inlineStr"/>
      <c r="AD219" s="164" t="n">
        <v>0</v>
      </c>
      <c r="AE219" s="185" t="n">
        <v>0</v>
      </c>
      <c r="AG219" s="167" t="inlineStr">
        <is>
          <t>7218|JA2583_1001</t>
        </is>
      </c>
      <c r="AH219" s="46">
        <f>IF(M219=0,"-",M219-J219)</f>
        <v/>
      </c>
      <c r="AI219" s="46">
        <f>IF(AND(S219=0,M219&gt;0,L219=0),IF(AH219&gt;=120,"VERY HIGH",IF(AH219&gt;=90,"HIGH",IF(AH219&gt;=60,"MEDIUM",IF(AH219&lt;60,"LOW")))),"-")</f>
        <v/>
      </c>
      <c r="AJ219" s="12" t="n"/>
      <c r="AK219" s="41">
        <f>IF(AND(W219="X",M219&lt;=$AJ$2),"YES","")</f>
        <v/>
      </c>
      <c r="AL219" s="38">
        <f>IF(AND(W219="X",M219&lt;=$AJ$2),S219,"")</f>
        <v/>
      </c>
      <c r="AM219" s="26">
        <f>IF(AND(W219="X",M219&gt;$AJ$2),"YES","")</f>
        <v/>
      </c>
      <c r="AN219" s="89">
        <f>IF(AND(W219="X",M219&gt;$AJ$2),S219,"")</f>
        <v/>
      </c>
      <c r="AO219" s="35">
        <f>IF(AND(W219="",M219&gt;0,$AJ$2&gt;M219,L219=""),1,0)</f>
        <v/>
      </c>
      <c r="AP219" s="26">
        <f>IF(AND(AK219="YES",W219="X"),"X","")</f>
        <v/>
      </c>
      <c r="AQ219" s="28">
        <f>IF(AP219="X",100%,0%)</f>
        <v/>
      </c>
      <c r="AR219" s="25">
        <f>IF(AND(T219&gt;0,L219=""),H219,"")</f>
        <v/>
      </c>
      <c r="AS219" s="25">
        <f>IF(AND(D219&gt;0,H219=0,G219=""),1,"")</f>
        <v/>
      </c>
      <c r="AT219" s="25">
        <f>IF(G219="BLOQ",1,"")</f>
        <v/>
      </c>
      <c r="AU219" s="25">
        <f>IF(L219="BLOQ",1,"")</f>
        <v/>
      </c>
      <c r="AV219" s="25">
        <f>MONTH(F219)</f>
        <v/>
      </c>
      <c r="AW219" s="65">
        <f>IF(AP219="",100%,0%)</f>
        <v/>
      </c>
      <c r="AX219" s="23" t="n"/>
      <c r="AY219" s="24">
        <f>IF(M219=0,"",M219-$AX$2)</f>
        <v/>
      </c>
      <c r="AZ219" s="66">
        <f>IF(AND(W219="",AY219&gt;0,AY219&lt;15),1,0)</f>
        <v/>
      </c>
      <c r="BA219" s="24">
        <f>IF(AND(W219="",AY219&gt;0,AY219&lt;15),T219,"")</f>
        <v/>
      </c>
      <c r="BB219" s="87">
        <f>IF(R219&lt;Q219,"X","")</f>
        <v/>
      </c>
      <c r="BC219" s="190" t="inlineStr">
        <is>
          <t>NO</t>
        </is>
      </c>
      <c r="BD219" s="190" t="inlineStr">
        <is>
          <t>NO</t>
        </is>
      </c>
    </row>
    <row r="220" ht="15" customHeight="1" s="162">
      <c r="A220" s="7" t="n">
        <v>219</v>
      </c>
      <c r="B220" t="inlineStr">
        <is>
          <t>39121321</t>
        </is>
      </c>
      <c r="C220" t="inlineStr">
        <is>
          <t>Tuerca en jaula Rittal 2094200 Acero M6</t>
        </is>
      </c>
      <c r="D220" t="inlineStr">
        <is>
          <t>1101816005</t>
        </is>
      </c>
      <c r="E220" t="inlineStr">
        <is>
          <t>2</t>
        </is>
      </c>
      <c r="F220" s="163" t="n">
        <v>45638</v>
      </c>
      <c r="G220" t="inlineStr"/>
      <c r="H220" t="inlineStr">
        <is>
          <t>4800002780</t>
        </is>
      </c>
      <c r="I220" t="inlineStr">
        <is>
          <t>270</t>
        </is>
      </c>
      <c r="J220" s="163" t="n">
        <v>45637</v>
      </c>
      <c r="K220" s="163" t="inlineStr"/>
      <c r="L220" t="inlineStr"/>
      <c r="M220" s="163" t="n">
        <v>45639</v>
      </c>
      <c r="N220" s="164" t="n">
        <v>0</v>
      </c>
      <c r="O220" s="164" t="n">
        <v>0</v>
      </c>
      <c r="P220" t="inlineStr"/>
      <c r="Q220" s="165" t="n">
        <v>150</v>
      </c>
      <c r="R220" s="165" t="n">
        <v>150</v>
      </c>
      <c r="S220" s="165" t="n">
        <v>150</v>
      </c>
      <c r="T220" s="165" t="n">
        <v>0</v>
      </c>
      <c r="U220" s="166" t="n">
        <v>0</v>
      </c>
      <c r="V220" s="166" t="n">
        <v>0</v>
      </c>
      <c r="W220" t="inlineStr">
        <is>
          <t>X</t>
        </is>
      </c>
      <c r="X220" t="inlineStr">
        <is>
          <t>0.00</t>
        </is>
      </c>
      <c r="Y220" t="inlineStr"/>
      <c r="Z220" t="inlineStr">
        <is>
          <t>AMIDATA, S.A.</t>
        </is>
      </c>
      <c r="AA220" t="inlineStr"/>
      <c r="AB220" t="inlineStr">
        <is>
          <t>8262906</t>
        </is>
      </c>
      <c r="AC220" t="inlineStr"/>
      <c r="AD220" s="164" t="n">
        <v>0</v>
      </c>
      <c r="AE220" s="185" t="n">
        <v>0</v>
      </c>
      <c r="AG220" s="167" t="inlineStr">
        <is>
          <t>7218|JA2583_1001</t>
        </is>
      </c>
      <c r="AH220" s="46">
        <f>IF(M220=0,"-",M220-J220)</f>
        <v/>
      </c>
      <c r="AI220" s="46">
        <f>IF(AND(S220=0,M220&gt;0,L220=0),IF(AH220&gt;=120,"VERY HIGH",IF(AH220&gt;=90,"HIGH",IF(AH220&gt;=60,"MEDIUM",IF(AH220&lt;60,"LOW")))),"-")</f>
        <v/>
      </c>
      <c r="AJ220" s="12" t="n"/>
      <c r="AK220" s="41">
        <f>IF(AND(W220="X",M220&lt;=$AJ$2),"YES","")</f>
        <v/>
      </c>
      <c r="AL220" s="38">
        <f>IF(AND(W220="X",M220&lt;=$AJ$2),S220,"")</f>
        <v/>
      </c>
      <c r="AM220" s="26">
        <f>IF(AND(W220="X",M220&gt;$AJ$2),"YES","")</f>
        <v/>
      </c>
      <c r="AN220" s="89">
        <f>IF(AND(W220="X",M220&gt;$AJ$2),S220,"")</f>
        <v/>
      </c>
      <c r="AO220" s="35">
        <f>IF(AND(W220="",M220&gt;0,$AJ$2&gt;M220,L220=""),1,0)</f>
        <v/>
      </c>
      <c r="AP220" s="26">
        <f>IF(AND(AK220="YES",W220="X"),"X","")</f>
        <v/>
      </c>
      <c r="AQ220" s="28">
        <f>IF(AP220="X",100%,0%)</f>
        <v/>
      </c>
      <c r="AR220" s="25">
        <f>IF(AND(T220&gt;0,L220=""),H220,"")</f>
        <v/>
      </c>
      <c r="AS220" s="25">
        <f>IF(AND(D220&gt;0,H220=0,G220=""),1,"")</f>
        <v/>
      </c>
      <c r="AT220" s="25">
        <f>IF(G220="BLOQ",1,"")</f>
        <v/>
      </c>
      <c r="AU220" s="25">
        <f>IF(L220="BLOQ",1,"")</f>
        <v/>
      </c>
      <c r="AV220" s="25">
        <f>MONTH(F220)</f>
        <v/>
      </c>
      <c r="AW220" s="65">
        <f>IF(AP220="",100%,0%)</f>
        <v/>
      </c>
      <c r="AX220" s="23" t="n"/>
      <c r="AY220" s="24">
        <f>IF(M220=0,"",M220-$AX$2)</f>
        <v/>
      </c>
      <c r="AZ220" s="66">
        <f>IF(AND(W220="",AY220&gt;0,AY220&lt;15),1,0)</f>
        <v/>
      </c>
      <c r="BA220" s="24">
        <f>IF(AND(W220="",AY220&gt;0,AY220&lt;15),T220,"")</f>
        <v/>
      </c>
      <c r="BB220" s="87">
        <f>IF(R220&lt;Q220,"X","")</f>
        <v/>
      </c>
      <c r="BC220" s="190" t="inlineStr">
        <is>
          <t>NO</t>
        </is>
      </c>
      <c r="BD220" s="190" t="inlineStr">
        <is>
          <t>NO</t>
        </is>
      </c>
    </row>
    <row r="221" ht="15" customHeight="1" s="162">
      <c r="A221" s="7" t="n">
        <v>220</v>
      </c>
      <c r="B221" t="inlineStr">
        <is>
          <t>39121412</t>
        </is>
      </c>
      <c r="C221" t="inlineStr">
        <is>
          <t>Carcasa de conector circular Amphenol Li</t>
        </is>
      </c>
      <c r="D221" t="inlineStr">
        <is>
          <t>1101816014</t>
        </is>
      </c>
      <c r="E221" t="inlineStr">
        <is>
          <t>1</t>
        </is>
      </c>
      <c r="F221" s="163" t="n">
        <v>45638</v>
      </c>
      <c r="G221" t="inlineStr"/>
      <c r="H221" t="inlineStr">
        <is>
          <t>4800002780</t>
        </is>
      </c>
      <c r="I221" t="inlineStr">
        <is>
          <t>330</t>
        </is>
      </c>
      <c r="J221" s="163" t="n">
        <v>45637</v>
      </c>
      <c r="K221" s="163" t="inlineStr"/>
      <c r="L221" t="inlineStr"/>
      <c r="M221" s="163" t="n">
        <v>45639</v>
      </c>
      <c r="N221" s="164" t="n">
        <v>0</v>
      </c>
      <c r="O221" s="164" t="n">
        <v>0</v>
      </c>
      <c r="P221" t="inlineStr"/>
      <c r="Q221" s="165" t="n">
        <v>3</v>
      </c>
      <c r="R221" s="165" t="n">
        <v>3</v>
      </c>
      <c r="S221" s="165" t="n">
        <v>3</v>
      </c>
      <c r="T221" s="165" t="n">
        <v>0</v>
      </c>
      <c r="U221" s="166" t="n">
        <v>0</v>
      </c>
      <c r="V221" s="166" t="n">
        <v>0</v>
      </c>
      <c r="W221" t="inlineStr">
        <is>
          <t>X</t>
        </is>
      </c>
      <c r="X221" t="inlineStr">
        <is>
          <t>0.00</t>
        </is>
      </c>
      <c r="Y221" t="inlineStr"/>
      <c r="Z221" t="inlineStr">
        <is>
          <t>AMIDATA, S.A.</t>
        </is>
      </c>
      <c r="AA221" t="inlineStr"/>
      <c r="AB221" t="inlineStr">
        <is>
          <t>2259358</t>
        </is>
      </c>
      <c r="AC221" t="inlineStr"/>
      <c r="AD221" s="164" t="n">
        <v>0</v>
      </c>
      <c r="AE221" s="185" t="n">
        <v>0</v>
      </c>
      <c r="AG221" s="167" t="inlineStr">
        <is>
          <t>7218|JA2585_1001</t>
        </is>
      </c>
      <c r="AH221" s="46">
        <f>IF(M221=0,"-",M221-J221)</f>
        <v/>
      </c>
      <c r="AI221" s="46">
        <f>IF(AND(S221=0,M221&gt;0,L221=0),IF(AH221&gt;=120,"VERY HIGH",IF(AH221&gt;=90,"HIGH",IF(AH221&gt;=60,"MEDIUM",IF(AH221&lt;60,"LOW")))),"-")</f>
        <v/>
      </c>
      <c r="AJ221" s="12" t="n"/>
      <c r="AK221" s="41">
        <f>IF(AND(W221="X",M221&lt;=$AJ$2),"YES","")</f>
        <v/>
      </c>
      <c r="AL221" s="38">
        <f>IF(AND(W221="X",M221&lt;=$AJ$2),S221,"")</f>
        <v/>
      </c>
      <c r="AM221" s="26">
        <f>IF(AND(W221="X",M221&gt;$AJ$2),"YES","")</f>
        <v/>
      </c>
      <c r="AN221" s="89">
        <f>IF(AND(W221="X",M221&gt;$AJ$2),S221,"")</f>
        <v/>
      </c>
      <c r="AO221" s="35">
        <f>IF(AND(W221="",M221&gt;0,$AJ$2&gt;M221,L221=""),1,0)</f>
        <v/>
      </c>
      <c r="AP221" s="26">
        <f>IF(AND(AK221="YES",W221="X"),"X","")</f>
        <v/>
      </c>
      <c r="AQ221" s="28">
        <f>IF(AP221="X",100%,0%)</f>
        <v/>
      </c>
      <c r="AR221" s="25">
        <f>IF(AND(T221&gt;0,L221=""),H221,"")</f>
        <v/>
      </c>
      <c r="AS221" s="25">
        <f>IF(AND(D221&gt;0,H221=0,G221=""),1,"")</f>
        <v/>
      </c>
      <c r="AT221" s="25">
        <f>IF(G221="BLOQ",1,"")</f>
        <v/>
      </c>
      <c r="AU221" s="25">
        <f>IF(L221="BLOQ",1,"")</f>
        <v/>
      </c>
      <c r="AV221" s="25">
        <f>MONTH(F221)</f>
        <v/>
      </c>
      <c r="AW221" s="65">
        <f>IF(AP221="",100%,0%)</f>
        <v/>
      </c>
      <c r="AX221" s="23" t="n"/>
      <c r="AY221" s="24">
        <f>IF(M221=0,"",M221-$AX$2)</f>
        <v/>
      </c>
      <c r="AZ221" s="66">
        <f>IF(AND(W221="",AY221&gt;0,AY221&lt;15),1,0)</f>
        <v/>
      </c>
      <c r="BA221" s="24">
        <f>IF(AND(W221="",AY221&gt;0,AY221&lt;15),T221,"")</f>
        <v/>
      </c>
      <c r="BB221" s="87">
        <f>IF(R221&lt;Q221,"X","")</f>
        <v/>
      </c>
      <c r="BC221" s="190" t="inlineStr">
        <is>
          <t>NO</t>
        </is>
      </c>
      <c r="BD221" s="190" t="inlineStr">
        <is>
          <t>NO</t>
        </is>
      </c>
    </row>
    <row r="222" ht="15" customHeight="1" s="162">
      <c r="A222" s="7" t="n">
        <v>221</v>
      </c>
      <c r="B222" t="inlineStr">
        <is>
          <t>1359900000500</t>
        </is>
      </c>
      <c r="C222" t="inlineStr">
        <is>
          <t>COMPRA DIRECTA ELECTRICOS/ELECTRONICOS</t>
        </is>
      </c>
      <c r="D222" t="inlineStr">
        <is>
          <t>1101816196</t>
        </is>
      </c>
      <c r="E222" t="inlineStr">
        <is>
          <t>1</t>
        </is>
      </c>
      <c r="F222" s="163" t="n">
        <v>45638</v>
      </c>
      <c r="G222" t="inlineStr"/>
      <c r="H222" t="inlineStr">
        <is>
          <t>4200591157</t>
        </is>
      </c>
      <c r="I222" t="inlineStr">
        <is>
          <t>40</t>
        </is>
      </c>
      <c r="J222" s="163" t="n">
        <v>45645</v>
      </c>
      <c r="K222" s="163" t="n">
        <v>45645</v>
      </c>
      <c r="L222" t="inlineStr"/>
      <c r="M222" s="163" t="n">
        <v>45672</v>
      </c>
      <c r="N222" s="164" t="n">
        <v>30</v>
      </c>
      <c r="O222" s="164" t="n">
        <v>8</v>
      </c>
      <c r="P222" t="inlineStr">
        <is>
          <t>Liberado</t>
        </is>
      </c>
      <c r="Q222" s="165" t="n">
        <v>1</v>
      </c>
      <c r="R222" s="165" t="n">
        <v>1</v>
      </c>
      <c r="S222" s="165" t="n">
        <v>1</v>
      </c>
      <c r="T222" s="165" t="n">
        <v>0</v>
      </c>
      <c r="U222" s="166" t="n">
        <v>0</v>
      </c>
      <c r="V222" s="166" t="n">
        <v>0</v>
      </c>
      <c r="W222" t="inlineStr">
        <is>
          <t>X</t>
        </is>
      </c>
      <c r="X222" t="inlineStr">
        <is>
          <t>0.00</t>
        </is>
      </c>
      <c r="Y222" t="inlineStr"/>
      <c r="Z222" t="inlineStr">
        <is>
          <t>SARVER S.L.</t>
        </is>
      </c>
      <c r="AA222" t="inlineStr">
        <is>
          <t>OTROS FABRICANTES</t>
        </is>
      </c>
      <c r="AB222" t="inlineStr">
        <is>
          <t>1359900000500</t>
        </is>
      </c>
      <c r="AC222" t="inlineStr"/>
      <c r="AD222" s="164" t="n">
        <v>0</v>
      </c>
      <c r="AE222" s="185" t="n">
        <v>0</v>
      </c>
      <c r="AG222" s="167" t="inlineStr">
        <is>
          <t>7218|JA2593_1001</t>
        </is>
      </c>
      <c r="AH222" s="46">
        <f>IF(M222=0,"-",M222-J222)</f>
        <v/>
      </c>
      <c r="AI222" s="46">
        <f>IF(AND(S222=0,M222&gt;0,L222=0),IF(AH222&gt;=120,"VERY HIGH",IF(AH222&gt;=90,"HIGH",IF(AH222&gt;=60,"MEDIUM",IF(AH222&lt;60,"LOW")))),"-")</f>
        <v/>
      </c>
      <c r="AJ222" s="12" t="n"/>
      <c r="AK222" s="41">
        <f>IF(AND(W222="X",M222&lt;=$AJ$2),"YES","")</f>
        <v/>
      </c>
      <c r="AL222" s="38">
        <f>IF(AND(W222="X",M222&lt;=$AJ$2),S222,"")</f>
        <v/>
      </c>
      <c r="AM222" s="26">
        <f>IF(AND(W222="X",M222&gt;$AJ$2),"YES","")</f>
        <v/>
      </c>
      <c r="AN222" s="89">
        <f>IF(AND(W222="X",M222&gt;$AJ$2),S222,"")</f>
        <v/>
      </c>
      <c r="AO222" s="35">
        <f>IF(AND(W222="",M222&gt;0,$AJ$2&gt;M222,L222=""),1,0)</f>
        <v/>
      </c>
      <c r="AP222" s="26">
        <f>IF(AND(AK222="YES",W222="X"),"X","")</f>
        <v/>
      </c>
      <c r="AQ222" s="28">
        <f>IF(AP222="X",100%,0%)</f>
        <v/>
      </c>
      <c r="AR222" s="25">
        <f>IF(AND(T222&gt;0,L222=""),H222,"")</f>
        <v/>
      </c>
      <c r="AS222" s="25">
        <f>IF(AND(D222&gt;0,H222=0,G222=""),1,"")</f>
        <v/>
      </c>
      <c r="AT222" s="25">
        <f>IF(G222="BLOQ",1,"")</f>
        <v/>
      </c>
      <c r="AU222" s="25">
        <f>IF(L222="BLOQ",1,"")</f>
        <v/>
      </c>
      <c r="AV222" s="25">
        <f>MONTH(F222)</f>
        <v/>
      </c>
      <c r="AW222" s="65">
        <f>IF(AP222="",100%,0%)</f>
        <v/>
      </c>
      <c r="AX222" s="23" t="n"/>
      <c r="AY222" s="24">
        <f>IF(M222=0,"",M222-$AX$2)</f>
        <v/>
      </c>
      <c r="AZ222" s="66">
        <f>IF(AND(W222="",AY222&gt;0,AY222&lt;15),1,0)</f>
        <v/>
      </c>
      <c r="BA222" s="24">
        <f>IF(AND(W222="",AY222&gt;0,AY222&lt;15),T222,"")</f>
        <v/>
      </c>
      <c r="BB222" s="87">
        <f>IF(R222&lt;Q222,"X","")</f>
        <v/>
      </c>
      <c r="BC222" s="190" t="inlineStr">
        <is>
          <t>NO</t>
        </is>
      </c>
      <c r="BD222" s="190" t="inlineStr">
        <is>
          <t>NO</t>
        </is>
      </c>
    </row>
    <row r="223" ht="15" customHeight="1" s="162">
      <c r="A223" s="7" t="n">
        <v>222</v>
      </c>
      <c r="B223" t="inlineStr">
        <is>
          <t>26121636</t>
        </is>
      </c>
      <c r="C223" t="inlineStr">
        <is>
          <t>Cable de alimentaci&amp;#243;n RS PRO Negro</t>
        </is>
      </c>
      <c r="D223" t="inlineStr">
        <is>
          <t>1101816380</t>
        </is>
      </c>
      <c r="E223" t="inlineStr">
        <is>
          <t>1</t>
        </is>
      </c>
      <c r="F223" s="163" t="n">
        <v>45638</v>
      </c>
      <c r="G223" t="inlineStr"/>
      <c r="H223" t="inlineStr">
        <is>
          <t>4800002782</t>
        </is>
      </c>
      <c r="I223" t="inlineStr">
        <is>
          <t>220</t>
        </is>
      </c>
      <c r="J223" s="163" t="n">
        <v>45638</v>
      </c>
      <c r="K223" s="163" t="inlineStr"/>
      <c r="L223" t="inlineStr"/>
      <c r="M223" s="163" t="n">
        <v>45639</v>
      </c>
      <c r="N223" s="164" t="n">
        <v>0</v>
      </c>
      <c r="O223" s="164" t="n">
        <v>0</v>
      </c>
      <c r="P223" t="inlineStr"/>
      <c r="Q223" s="165" t="n">
        <v>15</v>
      </c>
      <c r="R223" s="165" t="n">
        <v>15</v>
      </c>
      <c r="S223" s="165" t="n">
        <v>15</v>
      </c>
      <c r="T223" s="165" t="n">
        <v>0</v>
      </c>
      <c r="U223" s="166" t="n">
        <v>0</v>
      </c>
      <c r="V223" s="166" t="n">
        <v>0</v>
      </c>
      <c r="W223" t="inlineStr">
        <is>
          <t>X</t>
        </is>
      </c>
      <c r="X223" t="inlineStr">
        <is>
          <t>0.00</t>
        </is>
      </c>
      <c r="Y223" t="inlineStr"/>
      <c r="Z223" t="inlineStr">
        <is>
          <t>AMIDATA, S.A.</t>
        </is>
      </c>
      <c r="AA223" t="inlineStr"/>
      <c r="AB223" t="inlineStr">
        <is>
          <t>1789806</t>
        </is>
      </c>
      <c r="AC223" t="inlineStr"/>
      <c r="AD223" s="164" t="n">
        <v>0</v>
      </c>
      <c r="AE223" s="185" t="n">
        <v>0</v>
      </c>
      <c r="AG223" s="167" t="inlineStr">
        <is>
          <t>7218|JA2585_1001</t>
        </is>
      </c>
      <c r="AH223" s="46">
        <f>IF(M223=0,"-",M223-J223)</f>
        <v/>
      </c>
      <c r="AI223" s="46">
        <f>IF(AND(S223=0,M223&gt;0,L223=0),IF(AH223&gt;=120,"VERY HIGH",IF(AH223&gt;=90,"HIGH",IF(AH223&gt;=60,"MEDIUM",IF(AH223&lt;60,"LOW")))),"-")</f>
        <v/>
      </c>
      <c r="AJ223" s="12" t="n"/>
      <c r="AK223" s="41">
        <f>IF(AND(W223="X",M223&lt;=$AJ$2),"YES","")</f>
        <v/>
      </c>
      <c r="AL223" s="38">
        <f>IF(AND(W223="X",M223&lt;=$AJ$2),S223,"")</f>
        <v/>
      </c>
      <c r="AM223" s="26">
        <f>IF(AND(W223="X",M223&gt;$AJ$2),"YES","")</f>
        <v/>
      </c>
      <c r="AN223" s="89">
        <f>IF(AND(W223="X",M223&gt;$AJ$2),S223,"")</f>
        <v/>
      </c>
      <c r="AO223" s="35">
        <f>IF(AND(W223="",M223&gt;0,$AJ$2&gt;M223,L223=""),1,0)</f>
        <v/>
      </c>
      <c r="AP223" s="26">
        <f>IF(AND(AK223="YES",W223="X"),"X","")</f>
        <v/>
      </c>
      <c r="AQ223" s="28">
        <f>IF(AP223="X",100%,0%)</f>
        <v/>
      </c>
      <c r="AR223" s="25">
        <f>IF(AND(T223&gt;0,L223=""),H223,"")</f>
        <v/>
      </c>
      <c r="AS223" s="25">
        <f>IF(AND(D223&gt;0,H223=0,G223=""),1,"")</f>
        <v/>
      </c>
      <c r="AT223" s="25">
        <f>IF(G223="BLOQ",1,"")</f>
        <v/>
      </c>
      <c r="AU223" s="25">
        <f>IF(L223="BLOQ",1,"")</f>
        <v/>
      </c>
      <c r="AV223" s="25">
        <f>MONTH(F223)</f>
        <v/>
      </c>
      <c r="AW223" s="65">
        <f>IF(AP223="",100%,0%)</f>
        <v/>
      </c>
      <c r="AX223" s="23" t="n"/>
      <c r="AY223" s="24">
        <f>IF(M223=0,"",M223-$AX$2)</f>
        <v/>
      </c>
      <c r="AZ223" s="66">
        <f>IF(AND(W223="",AY223&gt;0,AY223&lt;15),1,0)</f>
        <v/>
      </c>
      <c r="BA223" s="24">
        <f>IF(AND(W223="",AY223&gt;0,AY223&lt;15),T223,"")</f>
        <v/>
      </c>
      <c r="BB223" s="87">
        <f>IF(R223&lt;Q223,"X","")</f>
        <v/>
      </c>
      <c r="BC223" s="190" t="inlineStr">
        <is>
          <t>NO</t>
        </is>
      </c>
      <c r="BD223" s="190" t="inlineStr">
        <is>
          <t>NO</t>
        </is>
      </c>
    </row>
    <row r="224" ht="15" customHeight="1" s="162">
      <c r="A224" s="7" t="n">
        <v>223</v>
      </c>
      <c r="B224" t="inlineStr">
        <is>
          <t>39121412</t>
        </is>
      </c>
      <c r="C224" t="inlineStr">
        <is>
          <t>Carcasa de conector circular Amphenol Li</t>
        </is>
      </c>
      <c r="D224" t="inlineStr">
        <is>
          <t>1101816438</t>
        </is>
      </c>
      <c r="E224" t="inlineStr">
        <is>
          <t>1</t>
        </is>
      </c>
      <c r="F224" s="163" t="n">
        <v>45638</v>
      </c>
      <c r="G224" t="inlineStr"/>
      <c r="H224" t="inlineStr">
        <is>
          <t>4800002783</t>
        </is>
      </c>
      <c r="I224" t="inlineStr">
        <is>
          <t>180</t>
        </is>
      </c>
      <c r="J224" s="163" t="n">
        <v>45638</v>
      </c>
      <c r="K224" s="163" t="inlineStr"/>
      <c r="L224" t="inlineStr"/>
      <c r="M224" s="163" t="n">
        <v>45639</v>
      </c>
      <c r="N224" s="164" t="n">
        <v>0</v>
      </c>
      <c r="O224" s="164" t="n">
        <v>0</v>
      </c>
      <c r="P224" t="inlineStr"/>
      <c r="Q224" s="165" t="n">
        <v>1</v>
      </c>
      <c r="R224" s="165" t="n">
        <v>1</v>
      </c>
      <c r="S224" s="165" t="n">
        <v>1</v>
      </c>
      <c r="T224" s="165" t="n">
        <v>0</v>
      </c>
      <c r="U224" s="166" t="n">
        <v>0</v>
      </c>
      <c r="V224" s="166" t="n">
        <v>0</v>
      </c>
      <c r="W224" t="inlineStr">
        <is>
          <t>X</t>
        </is>
      </c>
      <c r="X224" t="inlineStr">
        <is>
          <t>0.00</t>
        </is>
      </c>
      <c r="Y224" t="inlineStr"/>
      <c r="Z224" t="inlineStr">
        <is>
          <t>AMIDATA, S.A.</t>
        </is>
      </c>
      <c r="AA224" t="inlineStr"/>
      <c r="AB224" t="inlineStr">
        <is>
          <t>2067523</t>
        </is>
      </c>
      <c r="AC224" t="inlineStr"/>
      <c r="AD224" s="164" t="n">
        <v>0</v>
      </c>
      <c r="AE224" s="185" t="n">
        <v>0</v>
      </c>
      <c r="AG224" s="167" t="inlineStr">
        <is>
          <t>7218|JA2593_1001</t>
        </is>
      </c>
      <c r="AH224" s="46">
        <f>IF(M224=0,"-",M224-J224)</f>
        <v/>
      </c>
      <c r="AI224" s="46">
        <f>IF(AND(S224=0,M224&gt;0,L224=0),IF(AH224&gt;=120,"VERY HIGH",IF(AH224&gt;=90,"HIGH",IF(AH224&gt;=60,"MEDIUM",IF(AH224&lt;60,"LOW")))),"-")</f>
        <v/>
      </c>
      <c r="AJ224" s="12" t="n"/>
      <c r="AK224" s="41">
        <f>IF(AND(W224="X",M224&lt;=$AJ$2),"YES","")</f>
        <v/>
      </c>
      <c r="AL224" s="38">
        <f>IF(AND(W224="X",M224&lt;=$AJ$2),S224,"")</f>
        <v/>
      </c>
      <c r="AM224" s="26">
        <f>IF(AND(W224="X",M224&gt;$AJ$2),"YES","")</f>
        <v/>
      </c>
      <c r="AN224" s="89">
        <f>IF(AND(W224="X",M224&gt;$AJ$2),S224,"")</f>
        <v/>
      </c>
      <c r="AO224" s="35">
        <f>IF(AND(W224="",M224&gt;0,$AJ$2&gt;M224,L224=""),1,0)</f>
        <v/>
      </c>
      <c r="AP224" s="26">
        <f>IF(AND(AK224="YES",W224="X"),"X","")</f>
        <v/>
      </c>
      <c r="AQ224" s="28">
        <f>IF(AP224="X",100%,0%)</f>
        <v/>
      </c>
      <c r="AR224" s="25">
        <f>IF(AND(T224&gt;0,L224=""),H224,"")</f>
        <v/>
      </c>
      <c r="AS224" s="25">
        <f>IF(AND(D224&gt;0,H224=0,G224=""),1,"")</f>
        <v/>
      </c>
      <c r="AT224" s="25">
        <f>IF(G224="BLOQ",1,"")</f>
        <v/>
      </c>
      <c r="AU224" s="25">
        <f>IF(L224="BLOQ",1,"")</f>
        <v/>
      </c>
      <c r="AV224" s="25">
        <f>MONTH(F224)</f>
        <v/>
      </c>
      <c r="AW224" s="65">
        <f>IF(AP224="",100%,0%)</f>
        <v/>
      </c>
      <c r="AX224" s="23" t="n"/>
      <c r="AY224" s="24">
        <f>IF(M224=0,"",M224-$AX$2)</f>
        <v/>
      </c>
      <c r="AZ224" s="66">
        <f>IF(AND(W224="",AY224&gt;0,AY224&lt;15),1,0)</f>
        <v/>
      </c>
      <c r="BA224" s="24">
        <f>IF(AND(W224="",AY224&gt;0,AY224&lt;15),T224,"")</f>
        <v/>
      </c>
      <c r="BB224" s="87">
        <f>IF(R224&lt;Q224,"X","")</f>
        <v/>
      </c>
      <c r="BC224" s="190" t="inlineStr">
        <is>
          <t>NO</t>
        </is>
      </c>
      <c r="BD224" s="190" t="inlineStr">
        <is>
          <t>NO</t>
        </is>
      </c>
    </row>
    <row r="225" ht="15" customHeight="1" s="162">
      <c r="A225" s="7" t="n">
        <v>224</v>
      </c>
      <c r="B225" t="inlineStr">
        <is>
          <t>39121402</t>
        </is>
      </c>
      <c r="C225" t="inlineStr">
        <is>
          <t>Toma Kopp de 2P de color Negro, para Eur</t>
        </is>
      </c>
      <c r="D225" t="inlineStr">
        <is>
          <t>1101816438</t>
        </is>
      </c>
      <c r="E225" t="inlineStr">
        <is>
          <t>2</t>
        </is>
      </c>
      <c r="F225" s="163" t="n">
        <v>45638</v>
      </c>
      <c r="G225" t="inlineStr"/>
      <c r="H225" t="inlineStr">
        <is>
          <t>4800002783</t>
        </is>
      </c>
      <c r="I225" t="inlineStr">
        <is>
          <t>190</t>
        </is>
      </c>
      <c r="J225" s="163" t="n">
        <v>45638</v>
      </c>
      <c r="K225" s="163" t="inlineStr"/>
      <c r="L225" t="inlineStr"/>
      <c r="M225" s="163" t="n">
        <v>45639</v>
      </c>
      <c r="N225" s="164" t="n">
        <v>0</v>
      </c>
      <c r="O225" s="164" t="n">
        <v>0</v>
      </c>
      <c r="P225" t="inlineStr"/>
      <c r="Q225" s="165" t="n">
        <v>3</v>
      </c>
      <c r="R225" s="165" t="n">
        <v>3</v>
      </c>
      <c r="S225" s="165" t="n">
        <v>3</v>
      </c>
      <c r="T225" s="165" t="n">
        <v>0</v>
      </c>
      <c r="U225" s="166" t="n">
        <v>0</v>
      </c>
      <c r="V225" s="166" t="n">
        <v>0</v>
      </c>
      <c r="W225" t="inlineStr">
        <is>
          <t>X</t>
        </is>
      </c>
      <c r="X225" t="inlineStr">
        <is>
          <t>0.00</t>
        </is>
      </c>
      <c r="Y225" t="inlineStr"/>
      <c r="Z225" t="inlineStr">
        <is>
          <t>AMIDATA, S.A.</t>
        </is>
      </c>
      <c r="AA225" t="inlineStr"/>
      <c r="AB225" t="inlineStr">
        <is>
          <t>2425811</t>
        </is>
      </c>
      <c r="AC225" t="inlineStr"/>
      <c r="AD225" s="164" t="n">
        <v>0</v>
      </c>
      <c r="AE225" s="185" t="n">
        <v>0</v>
      </c>
      <c r="AG225" s="167" t="inlineStr">
        <is>
          <t>7218|JA2593_1001</t>
        </is>
      </c>
      <c r="AH225" s="46">
        <f>IF(M225=0,"-",M225-J225)</f>
        <v/>
      </c>
      <c r="AI225" s="46">
        <f>IF(AND(S225=0,M225&gt;0,L225=0),IF(AH225&gt;=120,"VERY HIGH",IF(AH225&gt;=90,"HIGH",IF(AH225&gt;=60,"MEDIUM",IF(AH225&lt;60,"LOW")))),"-")</f>
        <v/>
      </c>
      <c r="AJ225" s="12" t="n"/>
      <c r="AK225" s="41">
        <f>IF(AND(W225="X",M225&lt;=$AJ$2),"YES","")</f>
        <v/>
      </c>
      <c r="AL225" s="38">
        <f>IF(AND(W225="X",M225&lt;=$AJ$2),S225,"")</f>
        <v/>
      </c>
      <c r="AM225" s="26">
        <f>IF(AND(W225="X",M225&gt;$AJ$2),"YES","")</f>
        <v/>
      </c>
      <c r="AN225" s="89">
        <f>IF(AND(W225="X",M225&gt;$AJ$2),S225,"")</f>
        <v/>
      </c>
      <c r="AO225" s="35">
        <f>IF(AND(W225="",M225&gt;0,$AJ$2&gt;M225,L225=""),1,0)</f>
        <v/>
      </c>
      <c r="AP225" s="26">
        <f>IF(AND(AK225="YES",W225="X"),"X","")</f>
        <v/>
      </c>
      <c r="AQ225" s="28">
        <f>IF(AP225="X",100%,0%)</f>
        <v/>
      </c>
      <c r="AR225" s="25">
        <f>IF(AND(T225&gt;0,L225=""),H225,"")</f>
        <v/>
      </c>
      <c r="AS225" s="25">
        <f>IF(AND(D225&gt;0,H225=0,G225=""),1,"")</f>
        <v/>
      </c>
      <c r="AT225" s="25">
        <f>IF(G225="BLOQ",1,"")</f>
        <v/>
      </c>
      <c r="AU225" s="25">
        <f>IF(L225="BLOQ",1,"")</f>
        <v/>
      </c>
      <c r="AV225" s="25">
        <f>MONTH(F225)</f>
        <v/>
      </c>
      <c r="AW225" s="65">
        <f>IF(AP225="",100%,0%)</f>
        <v/>
      </c>
      <c r="AX225" s="23" t="n"/>
      <c r="AY225" s="24">
        <f>IF(M225=0,"",M225-$AX$2)</f>
        <v/>
      </c>
      <c r="AZ225" s="66">
        <f>IF(AND(W225="",AY225&gt;0,AY225&lt;15),1,0)</f>
        <v/>
      </c>
      <c r="BA225" s="24">
        <f>IF(AND(W225="",AY225&gt;0,AY225&lt;15),T225,"")</f>
        <v/>
      </c>
      <c r="BB225" s="87">
        <f>IF(R225&lt;Q225,"X","")</f>
        <v/>
      </c>
      <c r="BC225" s="190" t="inlineStr">
        <is>
          <t>NO</t>
        </is>
      </c>
      <c r="BD225" s="190" t="inlineStr">
        <is>
          <t>NO</t>
        </is>
      </c>
    </row>
    <row r="226" ht="15" customHeight="1" s="162">
      <c r="A226" s="7" t="n">
        <v>225</v>
      </c>
      <c r="B226" t="inlineStr">
        <is>
          <t>39121432</t>
        </is>
      </c>
      <c r="C226" t="inlineStr">
        <is>
          <t>Contacto del conector circular Amphenol</t>
        </is>
      </c>
      <c r="D226" t="inlineStr">
        <is>
          <t>1101816438</t>
        </is>
      </c>
      <c r="E226" t="inlineStr">
        <is>
          <t>3</t>
        </is>
      </c>
      <c r="F226" s="163" t="n">
        <v>45638</v>
      </c>
      <c r="G226" t="inlineStr"/>
      <c r="H226" t="inlineStr">
        <is>
          <t>4800002783</t>
        </is>
      </c>
      <c r="I226" t="inlineStr">
        <is>
          <t>200</t>
        </is>
      </c>
      <c r="J226" s="163" t="n">
        <v>45638</v>
      </c>
      <c r="K226" s="163" t="inlineStr"/>
      <c r="L226" t="inlineStr"/>
      <c r="M226" s="163" t="n">
        <v>45639</v>
      </c>
      <c r="N226" s="164" t="n">
        <v>0</v>
      </c>
      <c r="O226" s="164" t="n">
        <v>0</v>
      </c>
      <c r="P226" t="inlineStr"/>
      <c r="Q226" s="165" t="n">
        <v>400</v>
      </c>
      <c r="R226" s="165" t="n">
        <v>400</v>
      </c>
      <c r="S226" s="165" t="n">
        <v>400</v>
      </c>
      <c r="T226" s="165" t="n">
        <v>0</v>
      </c>
      <c r="U226" s="166" t="n">
        <v>0</v>
      </c>
      <c r="V226" s="166" t="n">
        <v>0</v>
      </c>
      <c r="W226" t="inlineStr">
        <is>
          <t>X</t>
        </is>
      </c>
      <c r="X226" t="inlineStr">
        <is>
          <t>0.00</t>
        </is>
      </c>
      <c r="Y226" t="inlineStr"/>
      <c r="Z226" t="inlineStr">
        <is>
          <t>AMIDATA, S.A.</t>
        </is>
      </c>
      <c r="AA226" t="inlineStr"/>
      <c r="AB226" t="inlineStr">
        <is>
          <t>6918897</t>
        </is>
      </c>
      <c r="AC226" t="inlineStr"/>
      <c r="AD226" s="164" t="n">
        <v>0</v>
      </c>
      <c r="AE226" s="185" t="n">
        <v>0</v>
      </c>
      <c r="AG226" s="167" t="inlineStr">
        <is>
          <t>7218|JA2593_1001</t>
        </is>
      </c>
      <c r="AH226" s="46">
        <f>IF(M226=0,"-",M226-J226)</f>
        <v/>
      </c>
      <c r="AI226" s="46">
        <f>IF(AND(S226=0,M226&gt;0,L226=0),IF(AH226&gt;=120,"VERY HIGH",IF(AH226&gt;=90,"HIGH",IF(AH226&gt;=60,"MEDIUM",IF(AH226&lt;60,"LOW")))),"-")</f>
        <v/>
      </c>
      <c r="AJ226" s="12" t="n"/>
      <c r="AK226" s="41">
        <f>IF(AND(W226="X",M226&lt;=$AJ$2),"YES","")</f>
        <v/>
      </c>
      <c r="AL226" s="38">
        <f>IF(AND(W226="X",M226&lt;=$AJ$2),S226,"")</f>
        <v/>
      </c>
      <c r="AM226" s="26">
        <f>IF(AND(W226="X",M226&gt;$AJ$2),"YES","")</f>
        <v/>
      </c>
      <c r="AN226" s="89">
        <f>IF(AND(W226="X",M226&gt;$AJ$2),S226,"")</f>
        <v/>
      </c>
      <c r="AO226" s="35">
        <f>IF(AND(W226="",M226&gt;0,$AJ$2&gt;M226,L226=""),1,0)</f>
        <v/>
      </c>
      <c r="AP226" s="26">
        <f>IF(AND(AK226="YES",W226="X"),"X","")</f>
        <v/>
      </c>
      <c r="AQ226" s="28">
        <f>IF(AP226="X",100%,0%)</f>
        <v/>
      </c>
      <c r="AR226" s="25">
        <f>IF(AND(T226&gt;0,L226=""),H226,"")</f>
        <v/>
      </c>
      <c r="AS226" s="25">
        <f>IF(AND(D226&gt;0,H226=0,G226=""),1,"")</f>
        <v/>
      </c>
      <c r="AT226" s="25">
        <f>IF(G226="BLOQ",1,"")</f>
        <v/>
      </c>
      <c r="AU226" s="25">
        <f>IF(L226="BLOQ",1,"")</f>
        <v/>
      </c>
      <c r="AV226" s="25">
        <f>MONTH(F226)</f>
        <v/>
      </c>
      <c r="AW226" s="65">
        <f>IF(AP226="",100%,0%)</f>
        <v/>
      </c>
      <c r="AX226" s="23" t="n"/>
      <c r="AY226" s="24">
        <f>IF(M226=0,"",M226-$AX$2)</f>
        <v/>
      </c>
      <c r="AZ226" s="66">
        <f>IF(AND(W226="",AY226&gt;0,AY226&lt;15),1,0)</f>
        <v/>
      </c>
      <c r="BA226" s="24">
        <f>IF(AND(W226="",AY226&gt;0,AY226&lt;15),T226,"")</f>
        <v/>
      </c>
      <c r="BB226" s="87">
        <f>IF(R226&lt;Q226,"X","")</f>
        <v/>
      </c>
      <c r="BC226" s="190" t="inlineStr">
        <is>
          <t>NO</t>
        </is>
      </c>
      <c r="BD226" s="190" t="inlineStr">
        <is>
          <t>NO</t>
        </is>
      </c>
    </row>
    <row r="227" ht="15" customHeight="1" s="162">
      <c r="A227" s="7" t="n">
        <v>226</v>
      </c>
      <c r="B227" t="inlineStr">
        <is>
          <t>39121432</t>
        </is>
      </c>
      <c r="C227" t="inlineStr">
        <is>
          <t>Terminal de leng&amp;#252;eta hembra TE Conn</t>
        </is>
      </c>
      <c r="D227" t="inlineStr">
        <is>
          <t>1101816438</t>
        </is>
      </c>
      <c r="E227" t="inlineStr">
        <is>
          <t>4</t>
        </is>
      </c>
      <c r="F227" s="163" t="n">
        <v>45638</v>
      </c>
      <c r="G227" t="inlineStr"/>
      <c r="H227" t="inlineStr">
        <is>
          <t>4800002783</t>
        </is>
      </c>
      <c r="I227" t="inlineStr">
        <is>
          <t>210</t>
        </is>
      </c>
      <c r="J227" s="163" t="n">
        <v>45638</v>
      </c>
      <c r="K227" s="163" t="inlineStr"/>
      <c r="L227" t="inlineStr"/>
      <c r="M227" s="163" t="n">
        <v>45639</v>
      </c>
      <c r="N227" s="164" t="n">
        <v>0</v>
      </c>
      <c r="O227" s="164" t="n">
        <v>0</v>
      </c>
      <c r="P227" t="inlineStr"/>
      <c r="Q227" s="165" t="n">
        <v>200</v>
      </c>
      <c r="R227" s="165" t="n">
        <v>200</v>
      </c>
      <c r="S227" s="165" t="n">
        <v>200</v>
      </c>
      <c r="T227" s="165" t="n">
        <v>0</v>
      </c>
      <c r="U227" s="166" t="n">
        <v>0</v>
      </c>
      <c r="V227" s="166" t="n">
        <v>0</v>
      </c>
      <c r="W227" t="inlineStr">
        <is>
          <t>X</t>
        </is>
      </c>
      <c r="X227" t="inlineStr">
        <is>
          <t>0.00</t>
        </is>
      </c>
      <c r="Y227" t="inlineStr"/>
      <c r="Z227" t="inlineStr">
        <is>
          <t>AMIDATA, S.A.</t>
        </is>
      </c>
      <c r="AA227" t="inlineStr"/>
      <c r="AB227" t="inlineStr">
        <is>
          <t>7197145</t>
        </is>
      </c>
      <c r="AC227" t="inlineStr"/>
      <c r="AD227" s="164" t="n">
        <v>0</v>
      </c>
      <c r="AE227" s="185" t="n">
        <v>0</v>
      </c>
      <c r="AG227" s="167" t="inlineStr">
        <is>
          <t>7218|JA2593_1001</t>
        </is>
      </c>
      <c r="AH227" s="46">
        <f>IF(M227=0,"-",M227-J227)</f>
        <v/>
      </c>
      <c r="AI227" s="46">
        <f>IF(AND(S227=0,M227&gt;0,L227=0),IF(AH227&gt;=120,"VERY HIGH",IF(AH227&gt;=90,"HIGH",IF(AH227&gt;=60,"MEDIUM",IF(AH227&lt;60,"LOW")))),"-")</f>
        <v/>
      </c>
      <c r="AJ227" s="12" t="n"/>
      <c r="AK227" s="41">
        <f>IF(AND(W227="X",M227&lt;=$AJ$2),"YES","")</f>
        <v/>
      </c>
      <c r="AL227" s="38">
        <f>IF(AND(W227="X",M227&lt;=$AJ$2),S227,"")</f>
        <v/>
      </c>
      <c r="AM227" s="26">
        <f>IF(AND(W227="X",M227&gt;$AJ$2),"YES","")</f>
        <v/>
      </c>
      <c r="AN227" s="89">
        <f>IF(AND(W227="X",M227&gt;$AJ$2),S227,"")</f>
        <v/>
      </c>
      <c r="AO227" s="35">
        <f>IF(AND(W227="",M227&gt;0,$AJ$2&gt;M227,L227=""),1,0)</f>
        <v/>
      </c>
      <c r="AP227" s="26">
        <f>IF(AND(AK227="YES",W227="X"),"X","")</f>
        <v/>
      </c>
      <c r="AQ227" s="28">
        <f>IF(AP227="X",100%,0%)</f>
        <v/>
      </c>
      <c r="AR227" s="25">
        <f>IF(AND(T227&gt;0,L227=""),H227,"")</f>
        <v/>
      </c>
      <c r="AS227" s="25">
        <f>IF(AND(D227&gt;0,H227=0,G227=""),1,"")</f>
        <v/>
      </c>
      <c r="AT227" s="25">
        <f>IF(G227="BLOQ",1,"")</f>
        <v/>
      </c>
      <c r="AU227" s="25">
        <f>IF(L227="BLOQ",1,"")</f>
        <v/>
      </c>
      <c r="AV227" s="25">
        <f>MONTH(F227)</f>
        <v/>
      </c>
      <c r="AW227" s="65">
        <f>IF(AP227="",100%,0%)</f>
        <v/>
      </c>
      <c r="AX227" s="23" t="n"/>
      <c r="AY227" s="24">
        <f>IF(M227=0,"",M227-$AX$2)</f>
        <v/>
      </c>
      <c r="AZ227" s="66">
        <f>IF(AND(W227="",AY227&gt;0,AY227&lt;15),1,0)</f>
        <v/>
      </c>
      <c r="BA227" s="24">
        <f>IF(AND(W227="",AY227&gt;0,AY227&lt;15),T227,"")</f>
        <v/>
      </c>
      <c r="BB227" s="87">
        <f>IF(R227&lt;Q227,"X","")</f>
        <v/>
      </c>
      <c r="BC227" s="190" t="inlineStr">
        <is>
          <t>NO</t>
        </is>
      </c>
      <c r="BD227" s="190" t="inlineStr">
        <is>
          <t>NO</t>
        </is>
      </c>
    </row>
    <row r="228" ht="15" customHeight="1" s="162">
      <c r="A228" s="7" t="n">
        <v>227</v>
      </c>
      <c r="B228" t="inlineStr">
        <is>
          <t>39121413</t>
        </is>
      </c>
      <c r="C228" t="inlineStr">
        <is>
          <t>Conector circular Amphenol Limited Conec</t>
        </is>
      </c>
      <c r="D228" t="inlineStr">
        <is>
          <t>1101816944</t>
        </is>
      </c>
      <c r="E228" t="inlineStr">
        <is>
          <t>1</t>
        </is>
      </c>
      <c r="F228" s="163" t="n">
        <v>45639</v>
      </c>
      <c r="G228" t="inlineStr"/>
      <c r="H228" t="inlineStr">
        <is>
          <t>4800002784</t>
        </is>
      </c>
      <c r="I228" t="inlineStr">
        <is>
          <t>450</t>
        </is>
      </c>
      <c r="J228" s="163" t="n">
        <v>45638</v>
      </c>
      <c r="K228" s="163" t="inlineStr"/>
      <c r="L228" t="inlineStr"/>
      <c r="M228" s="163" t="n">
        <v>45640</v>
      </c>
      <c r="N228" s="164" t="n">
        <v>0</v>
      </c>
      <c r="O228" s="164" t="n">
        <v>0</v>
      </c>
      <c r="P228" t="inlineStr"/>
      <c r="Q228" s="165" t="n">
        <v>1</v>
      </c>
      <c r="R228" s="165" t="n">
        <v>1</v>
      </c>
      <c r="S228" s="165" t="n">
        <v>1</v>
      </c>
      <c r="T228" s="165" t="n">
        <v>0</v>
      </c>
      <c r="U228" s="166" t="n">
        <v>0</v>
      </c>
      <c r="V228" s="166" t="n">
        <v>0</v>
      </c>
      <c r="W228" t="inlineStr">
        <is>
          <t>X</t>
        </is>
      </c>
      <c r="X228" t="inlineStr">
        <is>
          <t>0.00</t>
        </is>
      </c>
      <c r="Y228" t="inlineStr"/>
      <c r="Z228" t="inlineStr">
        <is>
          <t>AMIDATA, S.A.</t>
        </is>
      </c>
      <c r="AA228" t="inlineStr"/>
      <c r="AB228" t="inlineStr">
        <is>
          <t>2368158</t>
        </is>
      </c>
      <c r="AC228" t="inlineStr"/>
      <c r="AD228" s="164" t="n">
        <v>0</v>
      </c>
      <c r="AE228" s="185" t="n">
        <v>0</v>
      </c>
      <c r="AG228" s="167" t="inlineStr">
        <is>
          <t>7218|JA2593_1001</t>
        </is>
      </c>
      <c r="AH228" s="46">
        <f>IF(M228=0,"-",M228-J228)</f>
        <v/>
      </c>
      <c r="AI228" s="46">
        <f>IF(AND(S228=0,M228&gt;0,L228=0),IF(AH228&gt;=120,"VERY HIGH",IF(AH228&gt;=90,"HIGH",IF(AH228&gt;=60,"MEDIUM",IF(AH228&lt;60,"LOW")))),"-")</f>
        <v/>
      </c>
      <c r="AJ228" s="12" t="n"/>
      <c r="AK228" s="41">
        <f>IF(AND(W228="X",M228&lt;=$AJ$2),"YES","")</f>
        <v/>
      </c>
      <c r="AL228" s="38">
        <f>IF(AND(W228="X",M228&lt;=$AJ$2),S228,"")</f>
        <v/>
      </c>
      <c r="AM228" s="26">
        <f>IF(AND(W228="X",M228&gt;$AJ$2),"YES","")</f>
        <v/>
      </c>
      <c r="AN228" s="89">
        <f>IF(AND(W228="X",M228&gt;$AJ$2),S228,"")</f>
        <v/>
      </c>
      <c r="AO228" s="35">
        <f>IF(AND(W228="",M228&gt;0,$AJ$2&gt;M228,L228=""),1,0)</f>
        <v/>
      </c>
      <c r="AP228" s="26">
        <f>IF(AND(AK228="YES",W228="X"),"X","")</f>
        <v/>
      </c>
      <c r="AQ228" s="28">
        <f>IF(AP228="X",100%,0%)</f>
        <v/>
      </c>
      <c r="AR228" s="25">
        <f>IF(AND(T228&gt;0,L228=""),H228,"")</f>
        <v/>
      </c>
      <c r="AS228" s="25">
        <f>IF(AND(D228&gt;0,H228=0,G228=""),1,"")</f>
        <v/>
      </c>
      <c r="AT228" s="25">
        <f>IF(G228="BLOQ",1,"")</f>
        <v/>
      </c>
      <c r="AU228" s="25">
        <f>IF(L228="BLOQ",1,"")</f>
        <v/>
      </c>
      <c r="AV228" s="25">
        <f>MONTH(F228)</f>
        <v/>
      </c>
      <c r="AW228" s="65">
        <f>IF(AP228="",100%,0%)</f>
        <v/>
      </c>
      <c r="AX228" s="23" t="n"/>
      <c r="AY228" s="24">
        <f>IF(M228=0,"",M228-$AX$2)</f>
        <v/>
      </c>
      <c r="AZ228" s="66">
        <f>IF(AND(W228="",AY228&gt;0,AY228&lt;15),1,0)</f>
        <v/>
      </c>
      <c r="BA228" s="24">
        <f>IF(AND(W228="",AY228&gt;0,AY228&lt;15),T228,"")</f>
        <v/>
      </c>
      <c r="BB228" s="87">
        <f>IF(R228&lt;Q228,"X","")</f>
        <v/>
      </c>
      <c r="BC228" s="190" t="inlineStr">
        <is>
          <t>NO</t>
        </is>
      </c>
      <c r="BD228" s="190" t="inlineStr">
        <is>
          <t>NO</t>
        </is>
      </c>
    </row>
    <row r="229" ht="15" customHeight="1" s="162">
      <c r="A229" s="7" t="n">
        <v>228</v>
      </c>
      <c r="B229" t="inlineStr">
        <is>
          <t>1709800000500</t>
        </is>
      </c>
      <c r="C229" t="inlineStr">
        <is>
          <t>COMPRA DIRECTA FERRETERIA Y HERRAMIENTAS</t>
        </is>
      </c>
      <c r="D229" t="inlineStr">
        <is>
          <t>1101817454</t>
        </is>
      </c>
      <c r="E229" t="inlineStr">
        <is>
          <t>1</t>
        </is>
      </c>
      <c r="F229" s="163" t="n">
        <v>45642</v>
      </c>
      <c r="G229" t="inlineStr"/>
      <c r="H229" t="inlineStr">
        <is>
          <t>4200591887</t>
        </is>
      </c>
      <c r="I229" t="inlineStr">
        <is>
          <t>20</t>
        </is>
      </c>
      <c r="J229" s="163" t="n">
        <v>45659</v>
      </c>
      <c r="K229" s="163" t="n">
        <v>45665</v>
      </c>
      <c r="L229" t="inlineStr"/>
      <c r="M229" s="163" t="n">
        <v>45674</v>
      </c>
      <c r="N229" s="164" t="n">
        <v>30</v>
      </c>
      <c r="O229" s="164" t="n">
        <v>8</v>
      </c>
      <c r="P229" t="inlineStr">
        <is>
          <t>Liberado</t>
        </is>
      </c>
      <c r="Q229" s="165" t="n">
        <v>1</v>
      </c>
      <c r="R229" s="165" t="n">
        <v>1</v>
      </c>
      <c r="S229" s="165" t="n">
        <v>1</v>
      </c>
      <c r="T229" s="165" t="n">
        <v>0</v>
      </c>
      <c r="U229" s="166" t="n">
        <v>0</v>
      </c>
      <c r="V229" s="166" t="n">
        <v>0</v>
      </c>
      <c r="W229" t="inlineStr">
        <is>
          <t>X</t>
        </is>
      </c>
      <c r="X229" t="inlineStr">
        <is>
          <t>0.00</t>
        </is>
      </c>
      <c r="Y229" t="inlineStr"/>
      <c r="Z229" t="inlineStr">
        <is>
          <t>FELIPE DE MARCO, S.A.</t>
        </is>
      </c>
      <c r="AA229" t="inlineStr">
        <is>
          <t>OTROS FABRICANTES</t>
        </is>
      </c>
      <c r="AB229" t="inlineStr">
        <is>
          <t>1709800000500</t>
        </is>
      </c>
      <c r="AC229" t="inlineStr"/>
      <c r="AD229" s="164" t="n">
        <v>0</v>
      </c>
      <c r="AE229" s="185" t="n">
        <v>0</v>
      </c>
      <c r="AG229" s="167" t="inlineStr">
        <is>
          <t>7218|JA2593_1001</t>
        </is>
      </c>
      <c r="AH229" s="46">
        <f>IF(M229=0,"-",M229-J229)</f>
        <v/>
      </c>
      <c r="AI229" s="46">
        <f>IF(AND(S229=0,M229&gt;0,L229=0),IF(AH229&gt;=120,"VERY HIGH",IF(AH229&gt;=90,"HIGH",IF(AH229&gt;=60,"MEDIUM",IF(AH229&lt;60,"LOW")))),"-")</f>
        <v/>
      </c>
      <c r="AJ229" s="12" t="n"/>
      <c r="AK229" s="41">
        <f>IF(AND(W229="X",M229&lt;=$AJ$2),"YES","")</f>
        <v/>
      </c>
      <c r="AL229" s="38">
        <f>IF(AND(W229="X",M229&lt;=$AJ$2),S229,"")</f>
        <v/>
      </c>
      <c r="AM229" s="26">
        <f>IF(AND(W229="X",M229&gt;$AJ$2),"YES","")</f>
        <v/>
      </c>
      <c r="AN229" s="89">
        <f>IF(AND(W229="X",M229&gt;$AJ$2),S229,"")</f>
        <v/>
      </c>
      <c r="AO229" s="35">
        <f>IF(AND(W229="",M229&gt;0,$AJ$2&gt;M229,L229=""),1,0)</f>
        <v/>
      </c>
      <c r="AP229" s="26">
        <f>IF(AND(AK229="YES",W229="X"),"X","")</f>
        <v/>
      </c>
      <c r="AQ229" s="28">
        <f>IF(AP229="X",100%,0%)</f>
        <v/>
      </c>
      <c r="AR229" s="25">
        <f>IF(AND(T229&gt;0,L229=""),H229,"")</f>
        <v/>
      </c>
      <c r="AS229" s="25">
        <f>IF(AND(D229&gt;0,H229=0,G229=""),1,"")</f>
        <v/>
      </c>
      <c r="AT229" s="25">
        <f>IF(G229="BLOQ",1,"")</f>
        <v/>
      </c>
      <c r="AU229" s="25">
        <f>IF(L229="BLOQ",1,"")</f>
        <v/>
      </c>
      <c r="AV229" s="25">
        <f>MONTH(F229)</f>
        <v/>
      </c>
      <c r="AW229" s="65">
        <f>IF(AP229="",100%,0%)</f>
        <v/>
      </c>
      <c r="AX229" s="23" t="n"/>
      <c r="AY229" s="24">
        <f>IF(M229=0,"",M229-$AX$2)</f>
        <v/>
      </c>
      <c r="AZ229" s="66">
        <f>IF(AND(W229="",AY229&gt;0,AY229&lt;15),1,0)</f>
        <v/>
      </c>
      <c r="BA229" s="24">
        <f>IF(AND(W229="",AY229&gt;0,AY229&lt;15),T229,"")</f>
        <v/>
      </c>
      <c r="BB229" s="87">
        <f>IF(R229&lt;Q229,"X","")</f>
        <v/>
      </c>
      <c r="BC229" s="190" t="inlineStr">
        <is>
          <t>NO</t>
        </is>
      </c>
      <c r="BD229" s="190" t="inlineStr">
        <is>
          <t>NO</t>
        </is>
      </c>
    </row>
    <row r="230" ht="15" customHeight="1" s="162">
      <c r="A230" s="7" t="n">
        <v>229</v>
      </c>
      <c r="B230" t="inlineStr">
        <is>
          <t>43211609</t>
        </is>
      </c>
      <c r="C230" t="inlineStr">
        <is>
          <t>USB C to DisplayPort Adapter - 8K/5K/4K</t>
        </is>
      </c>
      <c r="D230" t="inlineStr">
        <is>
          <t>1101817910</t>
        </is>
      </c>
      <c r="E230" t="inlineStr">
        <is>
          <t>1</t>
        </is>
      </c>
      <c r="F230" s="163" t="n">
        <v>45643</v>
      </c>
      <c r="G230" t="inlineStr"/>
      <c r="H230" t="inlineStr">
        <is>
          <t>4800002788</t>
        </is>
      </c>
      <c r="I230" t="inlineStr">
        <is>
          <t>40</t>
        </is>
      </c>
      <c r="J230" s="163" t="n">
        <v>45643</v>
      </c>
      <c r="K230" s="163" t="inlineStr"/>
      <c r="L230" t="inlineStr"/>
      <c r="M230" s="163" t="n">
        <v>45644</v>
      </c>
      <c r="N230" s="164" t="n">
        <v>0</v>
      </c>
      <c r="O230" s="164" t="n">
        <v>0</v>
      </c>
      <c r="P230" t="inlineStr"/>
      <c r="Q230" s="165" t="n">
        <v>4</v>
      </c>
      <c r="R230" s="165" t="n">
        <v>4</v>
      </c>
      <c r="S230" s="165" t="n">
        <v>4</v>
      </c>
      <c r="T230" s="165" t="n">
        <v>0</v>
      </c>
      <c r="U230" s="166" t="n">
        <v>0</v>
      </c>
      <c r="V230" s="166" t="n">
        <v>0</v>
      </c>
      <c r="W230" t="inlineStr">
        <is>
          <t>X</t>
        </is>
      </c>
      <c r="X230" t="inlineStr">
        <is>
          <t>0.00</t>
        </is>
      </c>
      <c r="Y230" t="inlineStr"/>
      <c r="Z230" t="inlineStr">
        <is>
          <t>AMIDATA, S.A.</t>
        </is>
      </c>
      <c r="AA230" t="inlineStr"/>
      <c r="AB230" t="inlineStr">
        <is>
          <t>2133167</t>
        </is>
      </c>
      <c r="AC230" t="inlineStr"/>
      <c r="AD230" s="164" t="n">
        <v>0</v>
      </c>
      <c r="AE230" s="185" t="n">
        <v>0</v>
      </c>
      <c r="AG230" s="167" t="inlineStr">
        <is>
          <t>7218|JA2585_1001</t>
        </is>
      </c>
      <c r="AH230" s="46">
        <f>IF(M230=0,"-",M230-J230)</f>
        <v/>
      </c>
      <c r="AI230" s="46">
        <f>IF(AND(S230=0,M230&gt;0,L230=0),IF(AH230&gt;=120,"VERY HIGH",IF(AH230&gt;=90,"HIGH",IF(AH230&gt;=60,"MEDIUM",IF(AH230&lt;60,"LOW")))),"-")</f>
        <v/>
      </c>
      <c r="AJ230" s="12" t="n"/>
      <c r="AK230" s="41">
        <f>IF(AND(W230="X",M230&lt;=$AJ$2),"YES","")</f>
        <v/>
      </c>
      <c r="AL230" s="38">
        <f>IF(AND(W230="X",M230&lt;=$AJ$2),S230,"")</f>
        <v/>
      </c>
      <c r="AM230" s="26">
        <f>IF(AND(W230="X",M230&gt;$AJ$2),"YES","")</f>
        <v/>
      </c>
      <c r="AN230" s="89">
        <f>IF(AND(W230="X",M230&gt;$AJ$2),S230,"")</f>
        <v/>
      </c>
      <c r="AO230" s="35">
        <f>IF(AND(W230="",M230&gt;0,$AJ$2&gt;M230,L230=""),1,0)</f>
        <v/>
      </c>
      <c r="AP230" s="26">
        <f>IF(AND(AK230="YES",W230="X"),"X","")</f>
        <v/>
      </c>
      <c r="AQ230" s="28">
        <f>IF(AP230="X",100%,0%)</f>
        <v/>
      </c>
      <c r="AR230" s="25">
        <f>IF(AND(T230&gt;0,L230=""),H230,"")</f>
        <v/>
      </c>
      <c r="AS230" s="25">
        <f>IF(AND(D230&gt;0,H230=0,G230=""),1,"")</f>
        <v/>
      </c>
      <c r="AT230" s="25">
        <f>IF(G230="BLOQ",1,"")</f>
        <v/>
      </c>
      <c r="AU230" s="25">
        <f>IF(L230="BLOQ",1,"")</f>
        <v/>
      </c>
      <c r="AV230" s="25">
        <f>MONTH(F230)</f>
        <v/>
      </c>
      <c r="AW230" s="65">
        <f>IF(AP230="",100%,0%)</f>
        <v/>
      </c>
      <c r="AX230" s="23" t="n"/>
      <c r="AY230" s="24">
        <f>IF(M230=0,"",M230-$AX$2)</f>
        <v/>
      </c>
      <c r="AZ230" s="66">
        <f>IF(AND(W230="",AY230&gt;0,AY230&lt;15),1,0)</f>
        <v/>
      </c>
      <c r="BA230" s="24">
        <f>IF(AND(W230="",AY230&gt;0,AY230&lt;15),T230,"")</f>
        <v/>
      </c>
      <c r="BB230" s="87">
        <f>IF(R230&lt;Q230,"X","")</f>
        <v/>
      </c>
      <c r="BC230" s="190" t="inlineStr">
        <is>
          <t>NO</t>
        </is>
      </c>
      <c r="BD230" s="190" t="inlineStr">
        <is>
          <t>NO</t>
        </is>
      </c>
    </row>
    <row r="231" ht="15" customHeight="1" s="162">
      <c r="A231" s="7" t="n">
        <v>230</v>
      </c>
      <c r="B231" t="inlineStr">
        <is>
          <t>26121522</t>
        </is>
      </c>
      <c r="C231" t="inlineStr">
        <is>
          <t>Cable para Entornos Hostiles TE Connecti</t>
        </is>
      </c>
      <c r="D231" t="inlineStr">
        <is>
          <t>1101817997</t>
        </is>
      </c>
      <c r="E231" t="inlineStr">
        <is>
          <t>1</t>
        </is>
      </c>
      <c r="F231" s="163" t="n">
        <v>45643</v>
      </c>
      <c r="G231" t="inlineStr"/>
      <c r="H231" t="inlineStr">
        <is>
          <t>4800002788</t>
        </is>
      </c>
      <c r="I231" t="inlineStr">
        <is>
          <t>200</t>
        </is>
      </c>
      <c r="J231" s="163" t="n">
        <v>45643</v>
      </c>
      <c r="K231" s="163" t="inlineStr"/>
      <c r="L231" t="inlineStr"/>
      <c r="M231" s="163" t="n">
        <v>45644</v>
      </c>
      <c r="N231" s="164" t="n">
        <v>0</v>
      </c>
      <c r="O231" s="164" t="n">
        <v>0</v>
      </c>
      <c r="P231" t="inlineStr"/>
      <c r="Q231" s="165" t="n">
        <v>3</v>
      </c>
      <c r="R231" s="165" t="n">
        <v>3</v>
      </c>
      <c r="S231" s="165" t="n">
        <v>3</v>
      </c>
      <c r="T231" s="165" t="n">
        <v>0</v>
      </c>
      <c r="U231" s="166" t="n">
        <v>0</v>
      </c>
      <c r="V231" s="166" t="n">
        <v>0</v>
      </c>
      <c r="W231" t="inlineStr">
        <is>
          <t>X</t>
        </is>
      </c>
      <c r="X231" t="inlineStr">
        <is>
          <t>0.00</t>
        </is>
      </c>
      <c r="Y231" t="inlineStr"/>
      <c r="Z231" t="inlineStr">
        <is>
          <t>AMIDATA, S.A.</t>
        </is>
      </c>
      <c r="AA231" t="inlineStr"/>
      <c r="AB231" t="inlineStr">
        <is>
          <t>2291422</t>
        </is>
      </c>
      <c r="AC231" t="inlineStr"/>
      <c r="AD231" s="164" t="n">
        <v>0</v>
      </c>
      <c r="AE231" s="185" t="n">
        <v>0</v>
      </c>
      <c r="AG231" s="167" t="inlineStr">
        <is>
          <t>7218|JA2593_1001</t>
        </is>
      </c>
      <c r="AH231" s="46">
        <f>IF(M231=0,"-",M231-J231)</f>
        <v/>
      </c>
      <c r="AI231" s="46">
        <f>IF(AND(S231=0,M231&gt;0,L231=0),IF(AH231&gt;=120,"VERY HIGH",IF(AH231&gt;=90,"HIGH",IF(AH231&gt;=60,"MEDIUM",IF(AH231&lt;60,"LOW")))),"-")</f>
        <v/>
      </c>
      <c r="AJ231" s="12" t="n"/>
      <c r="AK231" s="41">
        <f>IF(AND(W231="X",M231&lt;=$AJ$2),"YES","")</f>
        <v/>
      </c>
      <c r="AL231" s="38">
        <f>IF(AND(W231="X",M231&lt;=$AJ$2),S231,"")</f>
        <v/>
      </c>
      <c r="AM231" s="26">
        <f>IF(AND(W231="X",M231&gt;$AJ$2),"YES","")</f>
        <v/>
      </c>
      <c r="AN231" s="89">
        <f>IF(AND(W231="X",M231&gt;$AJ$2),S231,"")</f>
        <v/>
      </c>
      <c r="AO231" s="35">
        <f>IF(AND(W231="",M231&gt;0,$AJ$2&gt;M231,L231=""),1,0)</f>
        <v/>
      </c>
      <c r="AP231" s="26">
        <f>IF(AND(AK231="YES",W231="X"),"X","")</f>
        <v/>
      </c>
      <c r="AQ231" s="28">
        <f>IF(AP231="X",100%,0%)</f>
        <v/>
      </c>
      <c r="AR231" s="25">
        <f>IF(AND(T231&gt;0,L231=""),H231,"")</f>
        <v/>
      </c>
      <c r="AS231" s="25">
        <f>IF(AND(D231&gt;0,H231=0,G231=""),1,"")</f>
        <v/>
      </c>
      <c r="AT231" s="25">
        <f>IF(G231="BLOQ",1,"")</f>
        <v/>
      </c>
      <c r="AU231" s="25">
        <f>IF(L231="BLOQ",1,"")</f>
        <v/>
      </c>
      <c r="AV231" s="25">
        <f>MONTH(F231)</f>
        <v/>
      </c>
      <c r="AW231" s="65">
        <f>IF(AP231="",100%,0%)</f>
        <v/>
      </c>
      <c r="AX231" s="23" t="n"/>
      <c r="AY231" s="24">
        <f>IF(M231=0,"",M231-$AX$2)</f>
        <v/>
      </c>
      <c r="AZ231" s="66">
        <f>IF(AND(W231="",AY231&gt;0,AY231&lt;15),1,0)</f>
        <v/>
      </c>
      <c r="BA231" s="24">
        <f>IF(AND(W231="",AY231&gt;0,AY231&lt;15),T231,"")</f>
        <v/>
      </c>
      <c r="BB231" s="87">
        <f>IF(R231&lt;Q231,"X","")</f>
        <v/>
      </c>
      <c r="BC231" s="190" t="inlineStr">
        <is>
          <t>NO</t>
        </is>
      </c>
      <c r="BD231" s="190" t="inlineStr">
        <is>
          <t>NO</t>
        </is>
      </c>
    </row>
    <row r="232" ht="15" customHeight="1" s="162">
      <c r="A232" s="7" t="n">
        <v>231</v>
      </c>
      <c r="B232" t="inlineStr">
        <is>
          <t>1359900000500</t>
        </is>
      </c>
      <c r="C232" t="inlineStr">
        <is>
          <t>COMPRA DIRECTA ELECTRICOS/ELECTRONICOS</t>
        </is>
      </c>
      <c r="D232" t="inlineStr">
        <is>
          <t>1101818117</t>
        </is>
      </c>
      <c r="E232" t="inlineStr">
        <is>
          <t>1</t>
        </is>
      </c>
      <c r="F232" s="163" t="n">
        <v>45643</v>
      </c>
      <c r="G232" t="inlineStr"/>
      <c r="H232" t="inlineStr">
        <is>
          <t>4200591966</t>
        </is>
      </c>
      <c r="I232" t="inlineStr">
        <is>
          <t>10</t>
        </is>
      </c>
      <c r="J232" s="163" t="n">
        <v>45660</v>
      </c>
      <c r="K232" s="163" t="n">
        <v>45667</v>
      </c>
      <c r="L232" t="inlineStr"/>
      <c r="M232" s="163" t="n">
        <v>45674</v>
      </c>
      <c r="N232" s="164" t="n">
        <v>30</v>
      </c>
      <c r="O232" s="164" t="n">
        <v>8</v>
      </c>
      <c r="P232" t="inlineStr">
        <is>
          <t>Liberado</t>
        </is>
      </c>
      <c r="Q232" s="165" t="n">
        <v>1</v>
      </c>
      <c r="R232" s="165" t="n">
        <v>1</v>
      </c>
      <c r="S232" s="165" t="n">
        <v>1</v>
      </c>
      <c r="T232" s="165" t="n">
        <v>0</v>
      </c>
      <c r="U232" s="166" t="n">
        <v>0</v>
      </c>
      <c r="V232" s="166" t="n">
        <v>0</v>
      </c>
      <c r="W232" t="inlineStr">
        <is>
          <t>X</t>
        </is>
      </c>
      <c r="X232" t="inlineStr">
        <is>
          <t>0.00</t>
        </is>
      </c>
      <c r="Y232" t="inlineStr"/>
      <c r="Z232" t="inlineStr">
        <is>
          <t>(AEMSA)ALMACENES ELECTRICOS MADRILE</t>
        </is>
      </c>
      <c r="AA232" t="inlineStr">
        <is>
          <t>OTROS FABRICANTES</t>
        </is>
      </c>
      <c r="AB232" t="inlineStr">
        <is>
          <t>1359900000500</t>
        </is>
      </c>
      <c r="AC232" t="inlineStr"/>
      <c r="AD232" s="164" t="n">
        <v>0</v>
      </c>
      <c r="AE232" s="185" t="n">
        <v>0</v>
      </c>
      <c r="AG232" s="167" t="inlineStr">
        <is>
          <t>7218|JA2593_1001</t>
        </is>
      </c>
      <c r="AH232" s="46">
        <f>IF(M232=0,"-",M232-J232)</f>
        <v/>
      </c>
      <c r="AI232" s="46">
        <f>IF(AND(S232=0,M232&gt;0,L232=0),IF(AH232&gt;=120,"VERY HIGH",IF(AH232&gt;=90,"HIGH",IF(AH232&gt;=60,"MEDIUM",IF(AH232&lt;60,"LOW")))),"-")</f>
        <v/>
      </c>
      <c r="AJ232" s="12" t="n"/>
      <c r="AK232" s="41">
        <f>IF(AND(W232="X",M232&lt;=$AJ$2),"YES","")</f>
        <v/>
      </c>
      <c r="AL232" s="38">
        <f>IF(AND(W232="X",M232&lt;=$AJ$2),S232,"")</f>
        <v/>
      </c>
      <c r="AM232" s="26">
        <f>IF(AND(W232="X",M232&gt;$AJ$2),"YES","")</f>
        <v/>
      </c>
      <c r="AN232" s="89">
        <f>IF(AND(W232="X",M232&gt;$AJ$2),S232,"")</f>
        <v/>
      </c>
      <c r="AO232" s="35">
        <f>IF(AND(W232="",M232&gt;0,$AJ$2&gt;M232,L232=""),1,0)</f>
        <v/>
      </c>
      <c r="AP232" s="26">
        <f>IF(AND(AK232="YES",W232="X"),"X","")</f>
        <v/>
      </c>
      <c r="AQ232" s="28">
        <f>IF(AP232="X",100%,0%)</f>
        <v/>
      </c>
      <c r="AR232" s="25">
        <f>IF(AND(T232&gt;0,L232=""),H232,"")</f>
        <v/>
      </c>
      <c r="AS232" s="25">
        <f>IF(AND(D232&gt;0,H232=0,G232=""),1,"")</f>
        <v/>
      </c>
      <c r="AT232" s="25">
        <f>IF(G232="BLOQ",1,"")</f>
        <v/>
      </c>
      <c r="AU232" s="25">
        <f>IF(L232="BLOQ",1,"")</f>
        <v/>
      </c>
      <c r="AV232" s="25">
        <f>MONTH(F232)</f>
        <v/>
      </c>
      <c r="AW232" s="65">
        <f>IF(AP232="",100%,0%)</f>
        <v/>
      </c>
      <c r="AX232" s="23" t="n"/>
      <c r="AY232" s="24">
        <f>IF(M232=0,"",M232-$AX$2)</f>
        <v/>
      </c>
      <c r="AZ232" s="66">
        <f>IF(AND(W232="",AY232&gt;0,AY232&lt;15),1,0)</f>
        <v/>
      </c>
      <c r="BA232" s="24">
        <f>IF(AND(W232="",AY232&gt;0,AY232&lt;15),T232,"")</f>
        <v/>
      </c>
      <c r="BB232" s="87">
        <f>IF(R232&lt;Q232,"X","")</f>
        <v/>
      </c>
      <c r="BC232" s="190" t="inlineStr">
        <is>
          <t>NO</t>
        </is>
      </c>
      <c r="BD232" s="190" t="inlineStr">
        <is>
          <t>NO</t>
        </is>
      </c>
    </row>
    <row r="233" ht="15" customHeight="1" s="162">
      <c r="A233" s="7" t="n">
        <v>232</v>
      </c>
      <c r="B233" t="inlineStr">
        <is>
          <t>1359900000500</t>
        </is>
      </c>
      <c r="C233" t="inlineStr">
        <is>
          <t>COMPRA DIRECTA ELECTRICOS/ELECTRONICOS</t>
        </is>
      </c>
      <c r="D233" t="inlineStr">
        <is>
          <t>1101818117</t>
        </is>
      </c>
      <c r="E233" t="inlineStr">
        <is>
          <t>2</t>
        </is>
      </c>
      <c r="F233" s="163" t="n">
        <v>45643</v>
      </c>
      <c r="G233" t="inlineStr"/>
      <c r="H233" t="inlineStr">
        <is>
          <t>4200591966</t>
        </is>
      </c>
      <c r="I233" t="inlineStr">
        <is>
          <t>20</t>
        </is>
      </c>
      <c r="J233" s="163" t="n">
        <v>45660</v>
      </c>
      <c r="K233" s="163" t="n">
        <v>45667</v>
      </c>
      <c r="L233" t="inlineStr"/>
      <c r="M233" s="163" t="n">
        <v>45674</v>
      </c>
      <c r="N233" s="164" t="n">
        <v>30</v>
      </c>
      <c r="O233" s="164" t="n">
        <v>8</v>
      </c>
      <c r="P233" t="inlineStr">
        <is>
          <t>Liberado</t>
        </is>
      </c>
      <c r="Q233" s="165" t="n">
        <v>1</v>
      </c>
      <c r="R233" s="165" t="n">
        <v>1</v>
      </c>
      <c r="S233" s="165" t="n">
        <v>1</v>
      </c>
      <c r="T233" s="165" t="n">
        <v>0</v>
      </c>
      <c r="U233" s="166" t="n">
        <v>0</v>
      </c>
      <c r="V233" s="166" t="n">
        <v>0</v>
      </c>
      <c r="W233" t="inlineStr">
        <is>
          <t>X</t>
        </is>
      </c>
      <c r="X233" t="inlineStr">
        <is>
          <t>0.00</t>
        </is>
      </c>
      <c r="Y233" t="inlineStr"/>
      <c r="Z233" t="inlineStr">
        <is>
          <t>(AEMSA)ALMACENES ELECTRICOS MADRILE</t>
        </is>
      </c>
      <c r="AA233" t="inlineStr">
        <is>
          <t>OTROS FABRICANTES</t>
        </is>
      </c>
      <c r="AB233" t="inlineStr">
        <is>
          <t>1359900000500</t>
        </is>
      </c>
      <c r="AC233" t="inlineStr"/>
      <c r="AD233" s="164" t="n">
        <v>0</v>
      </c>
      <c r="AE233" s="185" t="n">
        <v>0</v>
      </c>
      <c r="AG233" s="167" t="inlineStr">
        <is>
          <t>7218|JA2593_1001</t>
        </is>
      </c>
      <c r="AH233" s="46">
        <f>IF(M233=0,"-",M233-J233)</f>
        <v/>
      </c>
      <c r="AI233" s="46">
        <f>IF(AND(S233=0,M233&gt;0,L233=0),IF(AH233&gt;=120,"VERY HIGH",IF(AH233&gt;=90,"HIGH",IF(AH233&gt;=60,"MEDIUM",IF(AH233&lt;60,"LOW")))),"-")</f>
        <v/>
      </c>
      <c r="AJ233" s="12" t="n"/>
      <c r="AK233" s="41">
        <f>IF(AND(W233="X",M233&lt;=$AJ$2),"YES","")</f>
        <v/>
      </c>
      <c r="AL233" s="38">
        <f>IF(AND(W233="X",M233&lt;=$AJ$2),S233,"")</f>
        <v/>
      </c>
      <c r="AM233" s="26">
        <f>IF(AND(W233="X",M233&gt;$AJ$2),"YES","")</f>
        <v/>
      </c>
      <c r="AN233" s="89">
        <f>IF(AND(W233="X",M233&gt;$AJ$2),S233,"")</f>
        <v/>
      </c>
      <c r="AO233" s="35">
        <f>IF(AND(W233="",M233&gt;0,$AJ$2&gt;M233,L233=""),1,0)</f>
        <v/>
      </c>
      <c r="AP233" s="26">
        <f>IF(AND(AK233="YES",W233="X"),"X","")</f>
        <v/>
      </c>
      <c r="AQ233" s="28">
        <f>IF(AP233="X",100%,0%)</f>
        <v/>
      </c>
      <c r="AR233" s="25">
        <f>IF(AND(T233&gt;0,L233=""),H233,"")</f>
        <v/>
      </c>
      <c r="AS233" s="25">
        <f>IF(AND(D233&gt;0,H233=0,G233=""),1,"")</f>
        <v/>
      </c>
      <c r="AT233" s="25">
        <f>IF(G233="BLOQ",1,"")</f>
        <v/>
      </c>
      <c r="AU233" s="25">
        <f>IF(L233="BLOQ",1,"")</f>
        <v/>
      </c>
      <c r="AV233" s="25">
        <f>MONTH(F233)</f>
        <v/>
      </c>
      <c r="AW233" s="65">
        <f>IF(AP233="",100%,0%)</f>
        <v/>
      </c>
      <c r="AX233" s="23" t="n"/>
      <c r="AY233" s="24">
        <f>IF(M233=0,"",M233-$AX$2)</f>
        <v/>
      </c>
      <c r="AZ233" s="66">
        <f>IF(AND(W233="",AY233&gt;0,AY233&lt;15),1,0)</f>
        <v/>
      </c>
      <c r="BA233" s="24">
        <f>IF(AND(W233="",AY233&gt;0,AY233&lt;15),T233,"")</f>
        <v/>
      </c>
      <c r="BB233" s="87">
        <f>IF(R233&lt;Q233,"X","")</f>
        <v/>
      </c>
      <c r="BC233" s="190" t="inlineStr">
        <is>
          <t>NO</t>
        </is>
      </c>
      <c r="BD233" s="190" t="inlineStr">
        <is>
          <t>NO</t>
        </is>
      </c>
    </row>
    <row r="234" ht="15" customHeight="1" s="162">
      <c r="A234" s="7" t="n">
        <v>233</v>
      </c>
      <c r="B234" t="inlineStr">
        <is>
          <t>1359900000500</t>
        </is>
      </c>
      <c r="C234" t="inlineStr">
        <is>
          <t>COMPRA DIRECTA ELECTRICOS/ELECTRONICOS</t>
        </is>
      </c>
      <c r="D234" t="inlineStr">
        <is>
          <t>1101818117</t>
        </is>
      </c>
      <c r="E234" t="inlineStr">
        <is>
          <t>3</t>
        </is>
      </c>
      <c r="F234" s="163" t="n">
        <v>45643</v>
      </c>
      <c r="G234" t="inlineStr"/>
      <c r="H234" t="inlineStr">
        <is>
          <t>4200591966</t>
        </is>
      </c>
      <c r="I234" t="inlineStr">
        <is>
          <t>30</t>
        </is>
      </c>
      <c r="J234" s="163" t="n">
        <v>45660</v>
      </c>
      <c r="K234" s="163" t="n">
        <v>45667</v>
      </c>
      <c r="L234" t="inlineStr"/>
      <c r="M234" s="163" t="n">
        <v>45674</v>
      </c>
      <c r="N234" s="164" t="n">
        <v>30</v>
      </c>
      <c r="O234" s="164" t="n">
        <v>8</v>
      </c>
      <c r="P234" t="inlineStr">
        <is>
          <t>Liberado</t>
        </is>
      </c>
      <c r="Q234" s="165" t="n">
        <v>1</v>
      </c>
      <c r="R234" s="165" t="n">
        <v>1</v>
      </c>
      <c r="S234" s="165" t="n">
        <v>1</v>
      </c>
      <c r="T234" s="165" t="n">
        <v>0</v>
      </c>
      <c r="U234" s="166" t="n">
        <v>0</v>
      </c>
      <c r="V234" s="166" t="n">
        <v>0</v>
      </c>
      <c r="W234" t="inlineStr">
        <is>
          <t>X</t>
        </is>
      </c>
      <c r="X234" t="inlineStr">
        <is>
          <t>0.00</t>
        </is>
      </c>
      <c r="Y234" t="inlineStr"/>
      <c r="Z234" t="inlineStr">
        <is>
          <t>(AEMSA)ALMACENES ELECTRICOS MADRILE</t>
        </is>
      </c>
      <c r="AA234" t="inlineStr">
        <is>
          <t>OTROS FABRICANTES</t>
        </is>
      </c>
      <c r="AB234" t="inlineStr">
        <is>
          <t>1359900000500</t>
        </is>
      </c>
      <c r="AC234" t="inlineStr"/>
      <c r="AD234" s="164" t="n">
        <v>0</v>
      </c>
      <c r="AE234" s="185" t="n">
        <v>0</v>
      </c>
      <c r="AG234" s="167" t="inlineStr">
        <is>
          <t>7218|JA2593_1001</t>
        </is>
      </c>
      <c r="AH234" s="46">
        <f>IF(M234=0,"-",M234-J234)</f>
        <v/>
      </c>
      <c r="AI234" s="46">
        <f>IF(AND(S234=0,M234&gt;0,L234=0),IF(AH234&gt;=120,"VERY HIGH",IF(AH234&gt;=90,"HIGH",IF(AH234&gt;=60,"MEDIUM",IF(AH234&lt;60,"LOW")))),"-")</f>
        <v/>
      </c>
      <c r="AJ234" s="12" t="n"/>
      <c r="AK234" s="41">
        <f>IF(AND(W234="X",M234&lt;=$AJ$2),"YES","")</f>
        <v/>
      </c>
      <c r="AL234" s="38">
        <f>IF(AND(W234="X",M234&lt;=$AJ$2),S234,"")</f>
        <v/>
      </c>
      <c r="AM234" s="26">
        <f>IF(AND(W234="X",M234&gt;$AJ$2),"YES","")</f>
        <v/>
      </c>
      <c r="AN234" s="89">
        <f>IF(AND(W234="X",M234&gt;$AJ$2),S234,"")</f>
        <v/>
      </c>
      <c r="AO234" s="35">
        <f>IF(AND(W234="",M234&gt;0,$AJ$2&gt;M234,L234=""),1,0)</f>
        <v/>
      </c>
      <c r="AP234" s="26">
        <f>IF(AND(AK234="YES",W234="X"),"X","")</f>
        <v/>
      </c>
      <c r="AQ234" s="28">
        <f>IF(AP234="X",100%,0%)</f>
        <v/>
      </c>
      <c r="AR234" s="25">
        <f>IF(AND(T234&gt;0,L234=""),H234,"")</f>
        <v/>
      </c>
      <c r="AS234" s="25">
        <f>IF(AND(D234&gt;0,H234=0,G234=""),1,"")</f>
        <v/>
      </c>
      <c r="AT234" s="25">
        <f>IF(G234="BLOQ",1,"")</f>
        <v/>
      </c>
      <c r="AU234" s="25">
        <f>IF(L234="BLOQ",1,"")</f>
        <v/>
      </c>
      <c r="AV234" s="25">
        <f>MONTH(F234)</f>
        <v/>
      </c>
      <c r="AW234" s="65">
        <f>IF(AP234="",100%,0%)</f>
        <v/>
      </c>
      <c r="AX234" s="23" t="n"/>
      <c r="AY234" s="24">
        <f>IF(M234=0,"",M234-$AX$2)</f>
        <v/>
      </c>
      <c r="AZ234" s="66">
        <f>IF(AND(W234="",AY234&gt;0,AY234&lt;15),1,0)</f>
        <v/>
      </c>
      <c r="BA234" s="24">
        <f>IF(AND(W234="",AY234&gt;0,AY234&lt;15),T234,"")</f>
        <v/>
      </c>
      <c r="BB234" s="87">
        <f>IF(R234&lt;Q234,"X","")</f>
        <v/>
      </c>
      <c r="BC234" s="190" t="inlineStr">
        <is>
          <t>NO</t>
        </is>
      </c>
      <c r="BD234" s="190" t="inlineStr">
        <is>
          <t>NO</t>
        </is>
      </c>
    </row>
    <row r="235" ht="15" customHeight="1" s="162">
      <c r="A235" s="7" t="n">
        <v>234</v>
      </c>
      <c r="B235" t="inlineStr">
        <is>
          <t>39121431</t>
        </is>
      </c>
      <c r="C235" t="inlineStr">
        <is>
          <t>Tap&amp;#243;n ciego para prensaestopas RS P</t>
        </is>
      </c>
      <c r="D235" t="inlineStr">
        <is>
          <t>1101818562</t>
        </is>
      </c>
      <c r="E235" t="inlineStr">
        <is>
          <t>1</t>
        </is>
      </c>
      <c r="F235" s="163" t="n">
        <v>45644</v>
      </c>
      <c r="G235" t="inlineStr"/>
      <c r="H235" t="inlineStr">
        <is>
          <t>4800002788</t>
        </is>
      </c>
      <c r="I235" t="inlineStr">
        <is>
          <t>770</t>
        </is>
      </c>
      <c r="J235" s="163" t="n">
        <v>45643</v>
      </c>
      <c r="K235" s="163" t="inlineStr"/>
      <c r="L235" t="inlineStr"/>
      <c r="M235" s="163" t="n">
        <v>45645</v>
      </c>
      <c r="N235" s="164" t="n">
        <v>0</v>
      </c>
      <c r="O235" s="164" t="n">
        <v>0</v>
      </c>
      <c r="P235" t="inlineStr"/>
      <c r="Q235" s="165" t="n">
        <v>4</v>
      </c>
      <c r="R235" s="165" t="n">
        <v>4</v>
      </c>
      <c r="S235" s="165" t="n">
        <v>4</v>
      </c>
      <c r="T235" s="165" t="n">
        <v>0</v>
      </c>
      <c r="U235" s="166" t="n">
        <v>0</v>
      </c>
      <c r="V235" s="166" t="n">
        <v>0</v>
      </c>
      <c r="W235" t="inlineStr">
        <is>
          <t>X</t>
        </is>
      </c>
      <c r="X235" t="inlineStr">
        <is>
          <t>0.00</t>
        </is>
      </c>
      <c r="Y235" t="inlineStr"/>
      <c r="Z235" t="inlineStr">
        <is>
          <t>AMIDATA, S.A.</t>
        </is>
      </c>
      <c r="AA235" t="inlineStr"/>
      <c r="AB235" t="inlineStr">
        <is>
          <t>8178855</t>
        </is>
      </c>
      <c r="AC235" t="inlineStr"/>
      <c r="AD235" s="164" t="n">
        <v>0</v>
      </c>
      <c r="AE235" s="185" t="n">
        <v>0</v>
      </c>
      <c r="AG235" s="167" t="inlineStr">
        <is>
          <t>7218|JA2582_1001</t>
        </is>
      </c>
      <c r="AH235" s="46">
        <f>IF(M235=0,"-",M235-J235)</f>
        <v/>
      </c>
      <c r="AI235" s="46">
        <f>IF(AND(S235=0,M235&gt;0,L235=0),IF(AH235&gt;=120,"VERY HIGH",IF(AH235&gt;=90,"HIGH",IF(AH235&gt;=60,"MEDIUM",IF(AH235&lt;60,"LOW")))),"-")</f>
        <v/>
      </c>
      <c r="AJ235" s="12" t="n"/>
      <c r="AK235" s="41">
        <f>IF(AND(W235="X",M235&lt;=$AJ$2),"YES","")</f>
        <v/>
      </c>
      <c r="AL235" s="38">
        <f>IF(AND(W235="X",M235&lt;=$AJ$2),S235,"")</f>
        <v/>
      </c>
      <c r="AM235" s="26">
        <f>IF(AND(W235="X",M235&gt;$AJ$2),"YES","")</f>
        <v/>
      </c>
      <c r="AN235" s="89">
        <f>IF(AND(W235="X",M235&gt;$AJ$2),S235,"")</f>
        <v/>
      </c>
      <c r="AO235" s="35">
        <f>IF(AND(W235="",M235&gt;0,$AJ$2&gt;M235,L235=""),1,0)</f>
        <v/>
      </c>
      <c r="AP235" s="26">
        <f>IF(AND(AK235="YES",W235="X"),"X","")</f>
        <v/>
      </c>
      <c r="AQ235" s="28">
        <f>IF(AP235="X",100%,0%)</f>
        <v/>
      </c>
      <c r="AR235" s="25">
        <f>IF(AND(T235&gt;0,L235=""),H235,"")</f>
        <v/>
      </c>
      <c r="AS235" s="25">
        <f>IF(AND(D235&gt;0,H235=0,G235=""),1,"")</f>
        <v/>
      </c>
      <c r="AT235" s="25">
        <f>IF(G235="BLOQ",1,"")</f>
        <v/>
      </c>
      <c r="AU235" s="25">
        <f>IF(L235="BLOQ",1,"")</f>
        <v/>
      </c>
      <c r="AV235" s="25">
        <f>MONTH(F235)</f>
        <v/>
      </c>
      <c r="AW235" s="65">
        <f>IF(AP235="",100%,0%)</f>
        <v/>
      </c>
      <c r="AX235" s="23" t="n"/>
      <c r="AY235" s="24">
        <f>IF(M235=0,"",M235-$AX$2)</f>
        <v/>
      </c>
      <c r="AZ235" s="66">
        <f>IF(AND(W235="",AY235&gt;0,AY235&lt;15),1,0)</f>
        <v/>
      </c>
      <c r="BA235" s="24">
        <f>IF(AND(W235="",AY235&gt;0,AY235&lt;15),T235,"")</f>
        <v/>
      </c>
      <c r="BB235" s="87">
        <f>IF(R235&lt;Q235,"X","")</f>
        <v/>
      </c>
      <c r="BC235" s="190" t="inlineStr">
        <is>
          <t>NO</t>
        </is>
      </c>
      <c r="BD235" s="190" t="inlineStr">
        <is>
          <t>NO</t>
        </is>
      </c>
    </row>
    <row r="236" ht="15" customHeight="1" s="162">
      <c r="A236" s="7" t="n">
        <v>235</v>
      </c>
      <c r="B236" t="inlineStr">
        <is>
          <t>39121029</t>
        </is>
      </c>
      <c r="C236" t="inlineStr">
        <is>
          <t>Transformador de montaje en chasis RS PR</t>
        </is>
      </c>
      <c r="D236" t="inlineStr">
        <is>
          <t>1101818562</t>
        </is>
      </c>
      <c r="E236" t="inlineStr">
        <is>
          <t>2</t>
        </is>
      </c>
      <c r="F236" s="163" t="n">
        <v>45644</v>
      </c>
      <c r="G236" t="inlineStr"/>
      <c r="H236" t="inlineStr">
        <is>
          <t>4800002788</t>
        </is>
      </c>
      <c r="I236" t="inlineStr">
        <is>
          <t>780</t>
        </is>
      </c>
      <c r="J236" s="163" t="n">
        <v>45643</v>
      </c>
      <c r="K236" s="163" t="inlineStr"/>
      <c r="L236" t="inlineStr"/>
      <c r="M236" s="163" t="n">
        <v>45645</v>
      </c>
      <c r="N236" s="164" t="n">
        <v>0</v>
      </c>
      <c r="O236" s="164" t="n">
        <v>0</v>
      </c>
      <c r="P236" t="inlineStr"/>
      <c r="Q236" s="165" t="n">
        <v>1</v>
      </c>
      <c r="R236" s="165" t="n">
        <v>1</v>
      </c>
      <c r="S236" s="165" t="n">
        <v>1</v>
      </c>
      <c r="T236" s="165" t="n">
        <v>0</v>
      </c>
      <c r="U236" s="166" t="n">
        <v>0</v>
      </c>
      <c r="V236" s="166" t="n">
        <v>0</v>
      </c>
      <c r="W236" t="inlineStr">
        <is>
          <t>X</t>
        </is>
      </c>
      <c r="X236" t="inlineStr">
        <is>
          <t>0.00</t>
        </is>
      </c>
      <c r="Y236" t="inlineStr"/>
      <c r="Z236" t="inlineStr">
        <is>
          <t>AMIDATA, S.A.</t>
        </is>
      </c>
      <c r="AA236" t="inlineStr"/>
      <c r="AB236" t="inlineStr">
        <is>
          <t>0504313</t>
        </is>
      </c>
      <c r="AC236" t="inlineStr"/>
      <c r="AD236" s="164" t="n">
        <v>0</v>
      </c>
      <c r="AE236" s="185" t="n">
        <v>0</v>
      </c>
      <c r="AG236" s="167" t="inlineStr">
        <is>
          <t>7218|JA2582_1001</t>
        </is>
      </c>
      <c r="AH236" s="46">
        <f>IF(M236=0,"-",M236-J236)</f>
        <v/>
      </c>
      <c r="AI236" s="46">
        <f>IF(AND(S236=0,M236&gt;0,L236=0),IF(AH236&gt;=120,"VERY HIGH",IF(AH236&gt;=90,"HIGH",IF(AH236&gt;=60,"MEDIUM",IF(AH236&lt;60,"LOW")))),"-")</f>
        <v/>
      </c>
      <c r="AJ236" s="12" t="n"/>
      <c r="AK236" s="41">
        <f>IF(AND(W236="X",M236&lt;=$AJ$2),"YES","")</f>
        <v/>
      </c>
      <c r="AL236" s="38">
        <f>IF(AND(W236="X",M236&lt;=$AJ$2),S236,"")</f>
        <v/>
      </c>
      <c r="AM236" s="26">
        <f>IF(AND(W236="X",M236&gt;$AJ$2),"YES","")</f>
        <v/>
      </c>
      <c r="AN236" s="89">
        <f>IF(AND(W236="X",M236&gt;$AJ$2),S236,"")</f>
        <v/>
      </c>
      <c r="AO236" s="35">
        <f>IF(AND(W236="",M236&gt;0,$AJ$2&gt;M236,L236=""),1,0)</f>
        <v/>
      </c>
      <c r="AP236" s="26">
        <f>IF(AND(AK236="YES",W236="X"),"X","")</f>
        <v/>
      </c>
      <c r="AQ236" s="28">
        <f>IF(AP236="X",100%,0%)</f>
        <v/>
      </c>
      <c r="AR236" s="25">
        <f>IF(AND(T236&gt;0,L236=""),H236,"")</f>
        <v/>
      </c>
      <c r="AS236" s="25">
        <f>IF(AND(D236&gt;0,H236=0,G236=""),1,"")</f>
        <v/>
      </c>
      <c r="AT236" s="25">
        <f>IF(G236="BLOQ",1,"")</f>
        <v/>
      </c>
      <c r="AU236" s="25">
        <f>IF(L236="BLOQ",1,"")</f>
        <v/>
      </c>
      <c r="AV236" s="25">
        <f>MONTH(F236)</f>
        <v/>
      </c>
      <c r="AW236" s="65">
        <f>IF(AP236="",100%,0%)</f>
        <v/>
      </c>
      <c r="AX236" s="23" t="n"/>
      <c r="AY236" s="24">
        <f>IF(M236=0,"",M236-$AX$2)</f>
        <v/>
      </c>
      <c r="AZ236" s="66">
        <f>IF(AND(W236="",AY236&gt;0,AY236&lt;15),1,0)</f>
        <v/>
      </c>
      <c r="BA236" s="24">
        <f>IF(AND(W236="",AY236&gt;0,AY236&lt;15),T236,"")</f>
        <v/>
      </c>
      <c r="BB236" s="87">
        <f>IF(R236&lt;Q236,"X","")</f>
        <v/>
      </c>
      <c r="BC236" s="190" t="inlineStr">
        <is>
          <t>NO</t>
        </is>
      </c>
      <c r="BD236" s="190" t="inlineStr">
        <is>
          <t>NO</t>
        </is>
      </c>
    </row>
    <row r="237" ht="15" customHeight="1" s="162">
      <c r="A237" s="7" t="n">
        <v>236</v>
      </c>
      <c r="B237" t="inlineStr">
        <is>
          <t>26121636</t>
        </is>
      </c>
      <c r="C237" t="inlineStr">
        <is>
          <t>Cable de alimentaci&amp;#243;n RS PRO Negro</t>
        </is>
      </c>
      <c r="D237" t="inlineStr">
        <is>
          <t>1101818684</t>
        </is>
      </c>
      <c r="E237" t="inlineStr">
        <is>
          <t>1</t>
        </is>
      </c>
      <c r="F237" s="163" t="n">
        <v>45644</v>
      </c>
      <c r="G237" t="inlineStr"/>
      <c r="H237" t="inlineStr">
        <is>
          <t>4800002790</t>
        </is>
      </c>
      <c r="I237" t="inlineStr">
        <is>
          <t>10</t>
        </is>
      </c>
      <c r="J237" s="163" t="n">
        <v>45644</v>
      </c>
      <c r="K237" s="163" t="inlineStr"/>
      <c r="L237" t="inlineStr"/>
      <c r="M237" s="163" t="n">
        <v>45645</v>
      </c>
      <c r="N237" s="164" t="n">
        <v>0</v>
      </c>
      <c r="O237" s="164" t="n">
        <v>0</v>
      </c>
      <c r="P237" t="inlineStr"/>
      <c r="Q237" s="165" t="n">
        <v>15</v>
      </c>
      <c r="R237" s="165" t="n">
        <v>15</v>
      </c>
      <c r="S237" s="165" t="n">
        <v>15</v>
      </c>
      <c r="T237" s="165" t="n">
        <v>0</v>
      </c>
      <c r="U237" s="166" t="n">
        <v>0</v>
      </c>
      <c r="V237" s="166" t="n">
        <v>0</v>
      </c>
      <c r="W237" t="inlineStr">
        <is>
          <t>X</t>
        </is>
      </c>
      <c r="X237" t="inlineStr">
        <is>
          <t>0.00</t>
        </is>
      </c>
      <c r="Y237" t="inlineStr"/>
      <c r="Z237" t="inlineStr">
        <is>
          <t>AMIDATA, S.A.</t>
        </is>
      </c>
      <c r="AA237" t="inlineStr"/>
      <c r="AB237" t="inlineStr">
        <is>
          <t>1789806</t>
        </is>
      </c>
      <c r="AC237" t="inlineStr"/>
      <c r="AD237" s="164" t="n">
        <v>0</v>
      </c>
      <c r="AE237" s="185" t="n">
        <v>0</v>
      </c>
      <c r="AG237" s="167" t="inlineStr">
        <is>
          <t>7218|JA2585_1001</t>
        </is>
      </c>
      <c r="AH237" s="46">
        <f>IF(M237=0,"-",M237-J237)</f>
        <v/>
      </c>
      <c r="AI237" s="46">
        <f>IF(AND(S237=0,M237&gt;0,L237=0),IF(AH237&gt;=120,"VERY HIGH",IF(AH237&gt;=90,"HIGH",IF(AH237&gt;=60,"MEDIUM",IF(AH237&lt;60,"LOW")))),"-")</f>
        <v/>
      </c>
      <c r="AJ237" s="12" t="n"/>
      <c r="AK237" s="41">
        <f>IF(AND(W237="X",M237&lt;=$AJ$2),"YES","")</f>
        <v/>
      </c>
      <c r="AL237" s="38">
        <f>IF(AND(W237="X",M237&lt;=$AJ$2),S237,"")</f>
        <v/>
      </c>
      <c r="AM237" s="26">
        <f>IF(AND(W237="X",M237&gt;$AJ$2),"YES","")</f>
        <v/>
      </c>
      <c r="AN237" s="89">
        <f>IF(AND(W237="X",M237&gt;$AJ$2),S237,"")</f>
        <v/>
      </c>
      <c r="AO237" s="35">
        <f>IF(AND(W237="",M237&gt;0,$AJ$2&gt;M237,L237=""),1,0)</f>
        <v/>
      </c>
      <c r="AP237" s="26">
        <f>IF(AND(AK237="YES",W237="X"),"X","")</f>
        <v/>
      </c>
      <c r="AQ237" s="28">
        <f>IF(AP237="X",100%,0%)</f>
        <v/>
      </c>
      <c r="AR237" s="25">
        <f>IF(AND(T237&gt;0,L237=""),H237,"")</f>
        <v/>
      </c>
      <c r="AS237" s="25">
        <f>IF(AND(D237&gt;0,H237=0,G237=""),1,"")</f>
        <v/>
      </c>
      <c r="AT237" s="25">
        <f>IF(G237="BLOQ",1,"")</f>
        <v/>
      </c>
      <c r="AU237" s="25">
        <f>IF(L237="BLOQ",1,"")</f>
        <v/>
      </c>
      <c r="AV237" s="25">
        <f>MONTH(F237)</f>
        <v/>
      </c>
      <c r="AW237" s="65">
        <f>IF(AP237="",100%,0%)</f>
        <v/>
      </c>
      <c r="AX237" s="23" t="n"/>
      <c r="AY237" s="24">
        <f>IF(M237=0,"",M237-$AX$2)</f>
        <v/>
      </c>
      <c r="AZ237" s="66">
        <f>IF(AND(W237="",AY237&gt;0,AY237&lt;15),1,0)</f>
        <v/>
      </c>
      <c r="BA237" s="24">
        <f>IF(AND(W237="",AY237&gt;0,AY237&lt;15),T237,"")</f>
        <v/>
      </c>
      <c r="BB237" s="87">
        <f>IF(R237&lt;Q237,"X","")</f>
        <v/>
      </c>
      <c r="BC237" s="190" t="inlineStr">
        <is>
          <t>NO</t>
        </is>
      </c>
      <c r="BD237" s="190" t="inlineStr">
        <is>
          <t>NO</t>
        </is>
      </c>
    </row>
    <row r="238" ht="15" customHeight="1" s="162">
      <c r="A238" s="7" t="n">
        <v>237</v>
      </c>
      <c r="B238" t="inlineStr">
        <is>
          <t>27113204</t>
        </is>
      </c>
      <c r="C238" t="inlineStr">
        <is>
          <t>Herramienta de extracci&amp;#243;n Molex 11-</t>
        </is>
      </c>
      <c r="D238" t="inlineStr">
        <is>
          <t>1101818694</t>
        </is>
      </c>
      <c r="E238" t="inlineStr">
        <is>
          <t>1</t>
        </is>
      </c>
      <c r="F238" s="163" t="n">
        <v>45644</v>
      </c>
      <c r="G238" t="inlineStr"/>
      <c r="H238" t="inlineStr">
        <is>
          <t>4800002790</t>
        </is>
      </c>
      <c r="I238" t="inlineStr">
        <is>
          <t>20</t>
        </is>
      </c>
      <c r="J238" s="163" t="n">
        <v>45644</v>
      </c>
      <c r="K238" s="163" t="inlineStr"/>
      <c r="L238" t="inlineStr"/>
      <c r="M238" s="163" t="n">
        <v>45645</v>
      </c>
      <c r="N238" s="164" t="n">
        <v>0</v>
      </c>
      <c r="O238" s="164" t="n">
        <v>0</v>
      </c>
      <c r="P238" t="inlineStr"/>
      <c r="Q238" s="165" t="n">
        <v>2</v>
      </c>
      <c r="R238" s="165" t="n">
        <v>2</v>
      </c>
      <c r="S238" s="165" t="n">
        <v>2</v>
      </c>
      <c r="T238" s="165" t="n">
        <v>0</v>
      </c>
      <c r="U238" s="166" t="n">
        <v>0</v>
      </c>
      <c r="V238" s="166" t="n">
        <v>0</v>
      </c>
      <c r="W238" t="inlineStr">
        <is>
          <t>X</t>
        </is>
      </c>
      <c r="X238" t="inlineStr">
        <is>
          <t>0.00</t>
        </is>
      </c>
      <c r="Y238" t="inlineStr"/>
      <c r="Z238" t="inlineStr">
        <is>
          <t>AMIDATA, S.A.</t>
        </is>
      </c>
      <c r="AA238" t="inlineStr"/>
      <c r="AB238" t="inlineStr">
        <is>
          <t>2155900</t>
        </is>
      </c>
      <c r="AC238" t="inlineStr"/>
      <c r="AD238" s="164" t="n">
        <v>0</v>
      </c>
      <c r="AE238" s="185" t="n">
        <v>0</v>
      </c>
      <c r="AG238" s="167" t="inlineStr">
        <is>
          <t>7218|JA2592_1001</t>
        </is>
      </c>
      <c r="AH238" s="46">
        <f>IF(M238=0,"-",M238-J238)</f>
        <v/>
      </c>
      <c r="AI238" s="46">
        <f>IF(AND(S238=0,M238&gt;0,L238=0),IF(AH238&gt;=120,"VERY HIGH",IF(AH238&gt;=90,"HIGH",IF(AH238&gt;=60,"MEDIUM",IF(AH238&lt;60,"LOW")))),"-")</f>
        <v/>
      </c>
      <c r="AJ238" s="12" t="n"/>
      <c r="AK238" s="41">
        <f>IF(AND(W238="X",M238&lt;=$AJ$2),"YES","")</f>
        <v/>
      </c>
      <c r="AL238" s="38">
        <f>IF(AND(W238="X",M238&lt;=$AJ$2),S238,"")</f>
        <v/>
      </c>
      <c r="AM238" s="26">
        <f>IF(AND(W238="X",M238&gt;$AJ$2),"YES","")</f>
        <v/>
      </c>
      <c r="AN238" s="89">
        <f>IF(AND(W238="X",M238&gt;$AJ$2),S238,"")</f>
        <v/>
      </c>
      <c r="AO238" s="35">
        <f>IF(AND(W238="",M238&gt;0,$AJ$2&gt;M238,L238=""),1,0)</f>
        <v/>
      </c>
      <c r="AP238" s="26">
        <f>IF(AND(AK238="YES",W238="X"),"X","")</f>
        <v/>
      </c>
      <c r="AQ238" s="28">
        <f>IF(AP238="X",100%,0%)</f>
        <v/>
      </c>
      <c r="AR238" s="25">
        <f>IF(AND(T238&gt;0,L238=""),H238,"")</f>
        <v/>
      </c>
      <c r="AS238" s="25">
        <f>IF(AND(D238&gt;0,H238=0,G238=""),1,"")</f>
        <v/>
      </c>
      <c r="AT238" s="25">
        <f>IF(G238="BLOQ",1,"")</f>
        <v/>
      </c>
      <c r="AU238" s="25">
        <f>IF(L238="BLOQ",1,"")</f>
        <v/>
      </c>
      <c r="AV238" s="25">
        <f>MONTH(F238)</f>
        <v/>
      </c>
      <c r="AW238" s="65">
        <f>IF(AP238="",100%,0%)</f>
        <v/>
      </c>
      <c r="AX238" s="23" t="n"/>
      <c r="AY238" s="24">
        <f>IF(M238=0,"",M238-$AX$2)</f>
        <v/>
      </c>
      <c r="AZ238" s="66">
        <f>IF(AND(W238="",AY238&gt;0,AY238&lt;15),1,0)</f>
        <v/>
      </c>
      <c r="BA238" s="24">
        <f>IF(AND(W238="",AY238&gt;0,AY238&lt;15),T238,"")</f>
        <v/>
      </c>
      <c r="BB238" s="87">
        <f>IF(R238&lt;Q238,"X","")</f>
        <v/>
      </c>
      <c r="BC238" s="190" t="inlineStr">
        <is>
          <t>NO</t>
        </is>
      </c>
      <c r="BD238" s="190" t="inlineStr">
        <is>
          <t>NO</t>
        </is>
      </c>
    </row>
    <row r="239" ht="15" customHeight="1" s="162">
      <c r="A239" s="7" t="n">
        <v>238</v>
      </c>
      <c r="B239" t="inlineStr">
        <is>
          <t>39121413</t>
        </is>
      </c>
      <c r="C239" t="inlineStr">
        <is>
          <t>Conector circular Amphenol Limited Conec</t>
        </is>
      </c>
      <c r="D239" t="inlineStr">
        <is>
          <t>1101818821</t>
        </is>
      </c>
      <c r="E239" t="inlineStr">
        <is>
          <t>1</t>
        </is>
      </c>
      <c r="F239" s="163" t="n">
        <v>45644</v>
      </c>
      <c r="G239" t="inlineStr"/>
      <c r="H239" t="inlineStr">
        <is>
          <t>4800002790</t>
        </is>
      </c>
      <c r="I239" t="inlineStr">
        <is>
          <t>150</t>
        </is>
      </c>
      <c r="J239" s="163" t="n">
        <v>45644</v>
      </c>
      <c r="K239" s="163" t="inlineStr"/>
      <c r="L239" t="inlineStr"/>
      <c r="M239" s="163" t="n">
        <v>45645</v>
      </c>
      <c r="N239" s="164" t="n">
        <v>0</v>
      </c>
      <c r="O239" s="164" t="n">
        <v>0</v>
      </c>
      <c r="P239" t="inlineStr"/>
      <c r="Q239" s="165" t="n">
        <v>1</v>
      </c>
      <c r="R239" s="165" t="n">
        <v>1</v>
      </c>
      <c r="S239" s="165" t="n">
        <v>1</v>
      </c>
      <c r="T239" s="165" t="n">
        <v>0</v>
      </c>
      <c r="U239" s="166" t="n">
        <v>0</v>
      </c>
      <c r="V239" s="166" t="n">
        <v>0</v>
      </c>
      <c r="W239" t="inlineStr">
        <is>
          <t>X</t>
        </is>
      </c>
      <c r="X239" t="inlineStr">
        <is>
          <t>0.00</t>
        </is>
      </c>
      <c r="Y239" t="inlineStr"/>
      <c r="Z239" t="inlineStr">
        <is>
          <t>AMIDATA, S.A.</t>
        </is>
      </c>
      <c r="AA239" t="inlineStr"/>
      <c r="AB239" t="inlineStr">
        <is>
          <t>2368090</t>
        </is>
      </c>
      <c r="AC239" t="inlineStr"/>
      <c r="AD239" s="164" t="n">
        <v>0</v>
      </c>
      <c r="AE239" s="185" t="n">
        <v>0</v>
      </c>
      <c r="AG239" s="167" t="inlineStr">
        <is>
          <t>7218|JA2593_1001</t>
        </is>
      </c>
      <c r="AH239" s="46">
        <f>IF(M239=0,"-",M239-J239)</f>
        <v/>
      </c>
      <c r="AI239" s="46">
        <f>IF(AND(S239=0,M239&gt;0,L239=0),IF(AH239&gt;=120,"VERY HIGH",IF(AH239&gt;=90,"HIGH",IF(AH239&gt;=60,"MEDIUM",IF(AH239&lt;60,"LOW")))),"-")</f>
        <v/>
      </c>
      <c r="AJ239" s="12" t="n"/>
      <c r="AK239" s="41">
        <f>IF(AND(W239="X",M239&lt;=$AJ$2),"YES","")</f>
        <v/>
      </c>
      <c r="AL239" s="38">
        <f>IF(AND(W239="X",M239&lt;=$AJ$2),S239,"")</f>
        <v/>
      </c>
      <c r="AM239" s="26">
        <f>IF(AND(W239="X",M239&gt;$AJ$2),"YES","")</f>
        <v/>
      </c>
      <c r="AN239" s="89">
        <f>IF(AND(W239="X",M239&gt;$AJ$2),S239,"")</f>
        <v/>
      </c>
      <c r="AO239" s="35">
        <f>IF(AND(W239="",M239&gt;0,$AJ$2&gt;M239,L239=""),1,0)</f>
        <v/>
      </c>
      <c r="AP239" s="26">
        <f>IF(AND(AK239="YES",W239="X"),"X","")</f>
        <v/>
      </c>
      <c r="AQ239" s="28">
        <f>IF(AP239="X",100%,0%)</f>
        <v/>
      </c>
      <c r="AR239" s="25">
        <f>IF(AND(T239&gt;0,L239=""),H239,"")</f>
        <v/>
      </c>
      <c r="AS239" s="25">
        <f>IF(AND(D239&gt;0,H239=0,G239=""),1,"")</f>
        <v/>
      </c>
      <c r="AT239" s="25">
        <f>IF(G239="BLOQ",1,"")</f>
        <v/>
      </c>
      <c r="AU239" s="25">
        <f>IF(L239="BLOQ",1,"")</f>
        <v/>
      </c>
      <c r="AV239" s="25">
        <f>MONTH(F239)</f>
        <v/>
      </c>
      <c r="AW239" s="65">
        <f>IF(AP239="",100%,0%)</f>
        <v/>
      </c>
      <c r="AX239" s="23" t="n"/>
      <c r="AY239" s="24">
        <f>IF(M239=0,"",M239-$AX$2)</f>
        <v/>
      </c>
      <c r="AZ239" s="66">
        <f>IF(AND(W239="",AY239&gt;0,AY239&lt;15),1,0)</f>
        <v/>
      </c>
      <c r="BA239" s="24">
        <f>IF(AND(W239="",AY239&gt;0,AY239&lt;15),T239,"")</f>
        <v/>
      </c>
      <c r="BB239" s="87">
        <f>IF(R239&lt;Q239,"X","")</f>
        <v/>
      </c>
      <c r="BC239" s="190" t="inlineStr">
        <is>
          <t>NO</t>
        </is>
      </c>
      <c r="BD239" s="190" t="inlineStr">
        <is>
          <t>NO</t>
        </is>
      </c>
    </row>
    <row r="240" ht="15" customHeight="1" s="162">
      <c r="A240" s="7" t="n">
        <v>239</v>
      </c>
      <c r="B240" t="inlineStr">
        <is>
          <t>31161816</t>
        </is>
      </c>
      <c r="C240" t="inlineStr">
        <is>
          <t>Separador roscado hexagonal Macho/Hembra</t>
        </is>
      </c>
      <c r="D240" t="inlineStr">
        <is>
          <t>1101818821</t>
        </is>
      </c>
      <c r="E240" t="inlineStr">
        <is>
          <t>2</t>
        </is>
      </c>
      <c r="F240" s="163" t="n">
        <v>45644</v>
      </c>
      <c r="G240" t="inlineStr"/>
      <c r="H240" t="inlineStr">
        <is>
          <t>4800002790</t>
        </is>
      </c>
      <c r="I240" t="inlineStr">
        <is>
          <t>160</t>
        </is>
      </c>
      <c r="J240" s="163" t="n">
        <v>45644</v>
      </c>
      <c r="K240" s="163" t="inlineStr"/>
      <c r="L240" t="inlineStr"/>
      <c r="M240" s="163" t="n">
        <v>45645</v>
      </c>
      <c r="N240" s="164" t="n">
        <v>0</v>
      </c>
      <c r="O240" s="164" t="n">
        <v>0</v>
      </c>
      <c r="P240" t="inlineStr"/>
      <c r="Q240" s="165" t="n">
        <v>100</v>
      </c>
      <c r="R240" s="165" t="n">
        <v>100</v>
      </c>
      <c r="S240" s="165" t="n">
        <v>100</v>
      </c>
      <c r="T240" s="165" t="n">
        <v>0</v>
      </c>
      <c r="U240" s="166" t="n">
        <v>0</v>
      </c>
      <c r="V240" s="166" t="n">
        <v>0</v>
      </c>
      <c r="W240" t="inlineStr">
        <is>
          <t>X</t>
        </is>
      </c>
      <c r="X240" t="inlineStr">
        <is>
          <t>0.00</t>
        </is>
      </c>
      <c r="Y240" t="inlineStr"/>
      <c r="Z240" t="inlineStr">
        <is>
          <t>AMIDATA, S.A.</t>
        </is>
      </c>
      <c r="AA240" t="inlineStr"/>
      <c r="AB240" t="inlineStr">
        <is>
          <t>2808985</t>
        </is>
      </c>
      <c r="AC240" t="inlineStr"/>
      <c r="AD240" s="164" t="n">
        <v>0</v>
      </c>
      <c r="AE240" s="185" t="n">
        <v>0</v>
      </c>
      <c r="AG240" s="167" t="inlineStr">
        <is>
          <t>7218|JA2593_1001</t>
        </is>
      </c>
      <c r="AH240" s="46">
        <f>IF(M240=0,"-",M240-J240)</f>
        <v/>
      </c>
      <c r="AI240" s="46">
        <f>IF(AND(S240=0,M240&gt;0,L240=0),IF(AH240&gt;=120,"VERY HIGH",IF(AH240&gt;=90,"HIGH",IF(AH240&gt;=60,"MEDIUM",IF(AH240&lt;60,"LOW")))),"-")</f>
        <v/>
      </c>
      <c r="AJ240" s="12" t="n"/>
      <c r="AK240" s="41">
        <f>IF(AND(W240="X",M240&lt;=$AJ$2),"YES","")</f>
        <v/>
      </c>
      <c r="AL240" s="38">
        <f>IF(AND(W240="X",M240&lt;=$AJ$2),S240,"")</f>
        <v/>
      </c>
      <c r="AM240" s="26">
        <f>IF(AND(W240="X",M240&gt;$AJ$2),"YES","")</f>
        <v/>
      </c>
      <c r="AN240" s="89">
        <f>IF(AND(W240="X",M240&gt;$AJ$2),S240,"")</f>
        <v/>
      </c>
      <c r="AO240" s="35">
        <f>IF(AND(W240="",M240&gt;0,$AJ$2&gt;M240,L240=""),1,0)</f>
        <v/>
      </c>
      <c r="AP240" s="26">
        <f>IF(AND(AK240="YES",W240="X"),"X","")</f>
        <v/>
      </c>
      <c r="AQ240" s="28">
        <f>IF(AP240="X",100%,0%)</f>
        <v/>
      </c>
      <c r="AR240" s="25">
        <f>IF(AND(T240&gt;0,L240=""),H240,"")</f>
        <v/>
      </c>
      <c r="AS240" s="25">
        <f>IF(AND(D240&gt;0,H240=0,G240=""),1,"")</f>
        <v/>
      </c>
      <c r="AT240" s="25">
        <f>IF(G240="BLOQ",1,"")</f>
        <v/>
      </c>
      <c r="AU240" s="25">
        <f>IF(L240="BLOQ",1,"")</f>
        <v/>
      </c>
      <c r="AV240" s="25">
        <f>MONTH(F240)</f>
        <v/>
      </c>
      <c r="AW240" s="65">
        <f>IF(AP240="",100%,0%)</f>
        <v/>
      </c>
      <c r="AX240" s="23" t="n"/>
      <c r="AY240" s="24">
        <f>IF(M240=0,"",M240-$AX$2)</f>
        <v/>
      </c>
      <c r="AZ240" s="66">
        <f>IF(AND(W240="",AY240&gt;0,AY240&lt;15),1,0)</f>
        <v/>
      </c>
      <c r="BA240" s="24">
        <f>IF(AND(W240="",AY240&gt;0,AY240&lt;15),T240,"")</f>
        <v/>
      </c>
      <c r="BB240" s="87">
        <f>IF(R240&lt;Q240,"X","")</f>
        <v/>
      </c>
      <c r="BC240" s="190" t="inlineStr">
        <is>
          <t>NO</t>
        </is>
      </c>
      <c r="BD240" s="190" t="inlineStr">
        <is>
          <t>NO</t>
        </is>
      </c>
    </row>
    <row r="241" ht="15" customHeight="1" s="162">
      <c r="A241" s="7" t="n">
        <v>240</v>
      </c>
      <c r="B241" t="inlineStr">
        <is>
          <t>39121412</t>
        </is>
      </c>
      <c r="C241" t="inlineStr">
        <is>
          <t>Carcasa de conector circular Amphenol Li</t>
        </is>
      </c>
      <c r="D241" t="inlineStr">
        <is>
          <t>1101818821</t>
        </is>
      </c>
      <c r="E241" t="inlineStr">
        <is>
          <t>3</t>
        </is>
      </c>
      <c r="F241" s="163" t="n">
        <v>45644</v>
      </c>
      <c r="G241" t="inlineStr"/>
      <c r="H241" t="inlineStr">
        <is>
          <t>4800002790</t>
        </is>
      </c>
      <c r="I241" t="inlineStr">
        <is>
          <t>170</t>
        </is>
      </c>
      <c r="J241" s="163" t="n">
        <v>45644</v>
      </c>
      <c r="K241" s="163" t="inlineStr"/>
      <c r="L241" t="inlineStr"/>
      <c r="M241" s="163" t="n">
        <v>45645</v>
      </c>
      <c r="N241" s="164" t="n">
        <v>0</v>
      </c>
      <c r="O241" s="164" t="n">
        <v>0</v>
      </c>
      <c r="P241" t="inlineStr"/>
      <c r="Q241" s="165" t="n">
        <v>1</v>
      </c>
      <c r="R241" s="165" t="n">
        <v>1</v>
      </c>
      <c r="S241" s="165" t="n">
        <v>1</v>
      </c>
      <c r="T241" s="165" t="n">
        <v>0</v>
      </c>
      <c r="U241" s="166" t="n">
        <v>0</v>
      </c>
      <c r="V241" s="166" t="n">
        <v>0</v>
      </c>
      <c r="W241" t="inlineStr">
        <is>
          <t>X</t>
        </is>
      </c>
      <c r="X241" t="inlineStr">
        <is>
          <t>0.00</t>
        </is>
      </c>
      <c r="Y241" t="inlineStr"/>
      <c r="Z241" t="inlineStr">
        <is>
          <t>AMIDATA, S.A.</t>
        </is>
      </c>
      <c r="AA241" t="inlineStr"/>
      <c r="AB241" t="inlineStr">
        <is>
          <t>2067529</t>
        </is>
      </c>
      <c r="AC241" t="inlineStr"/>
      <c r="AD241" s="164" t="n">
        <v>0</v>
      </c>
      <c r="AE241" s="185" t="n">
        <v>0</v>
      </c>
      <c r="AG241" s="167" t="inlineStr">
        <is>
          <t>7218|JA2593_1001</t>
        </is>
      </c>
      <c r="AH241" s="46">
        <f>IF(M241=0,"-",M241-J241)</f>
        <v/>
      </c>
      <c r="AI241" s="46">
        <f>IF(AND(S241=0,M241&gt;0,L241=0),IF(AH241&gt;=120,"VERY HIGH",IF(AH241&gt;=90,"HIGH",IF(AH241&gt;=60,"MEDIUM",IF(AH241&lt;60,"LOW")))),"-")</f>
        <v/>
      </c>
      <c r="AJ241" s="12" t="n"/>
      <c r="AK241" s="41">
        <f>IF(AND(W241="X",M241&lt;=$AJ$2),"YES","")</f>
        <v/>
      </c>
      <c r="AL241" s="38">
        <f>IF(AND(W241="X",M241&lt;=$AJ$2),S241,"")</f>
        <v/>
      </c>
      <c r="AM241" s="26">
        <f>IF(AND(W241="X",M241&gt;$AJ$2),"YES","")</f>
        <v/>
      </c>
      <c r="AN241" s="89">
        <f>IF(AND(W241="X",M241&gt;$AJ$2),S241,"")</f>
        <v/>
      </c>
      <c r="AO241" s="35">
        <f>IF(AND(W241="",M241&gt;0,$AJ$2&gt;M241,L241=""),1,0)</f>
        <v/>
      </c>
      <c r="AP241" s="26">
        <f>IF(AND(AK241="YES",W241="X"),"X","")</f>
        <v/>
      </c>
      <c r="AQ241" s="28">
        <f>IF(AP241="X",100%,0%)</f>
        <v/>
      </c>
      <c r="AR241" s="25">
        <f>IF(AND(T241&gt;0,L241=""),H241,"")</f>
        <v/>
      </c>
      <c r="AS241" s="25">
        <f>IF(AND(D241&gt;0,H241=0,G241=""),1,"")</f>
        <v/>
      </c>
      <c r="AT241" s="25">
        <f>IF(G241="BLOQ",1,"")</f>
        <v/>
      </c>
      <c r="AU241" s="25">
        <f>IF(L241="BLOQ",1,"")</f>
        <v/>
      </c>
      <c r="AV241" s="25">
        <f>MONTH(F241)</f>
        <v/>
      </c>
      <c r="AW241" s="65">
        <f>IF(AP241="",100%,0%)</f>
        <v/>
      </c>
      <c r="AX241" s="23" t="n"/>
      <c r="AY241" s="24">
        <f>IF(M241=0,"",M241-$AX$2)</f>
        <v/>
      </c>
      <c r="AZ241" s="66">
        <f>IF(AND(W241="",AY241&gt;0,AY241&lt;15),1,0)</f>
        <v/>
      </c>
      <c r="BA241" s="24">
        <f>IF(AND(W241="",AY241&gt;0,AY241&lt;15),T241,"")</f>
        <v/>
      </c>
      <c r="BB241" s="87">
        <f>IF(R241&lt;Q241,"X","")</f>
        <v/>
      </c>
      <c r="BC241" s="190" t="inlineStr">
        <is>
          <t>NO</t>
        </is>
      </c>
      <c r="BD241" s="190" t="inlineStr">
        <is>
          <t>NO</t>
        </is>
      </c>
    </row>
    <row r="242" ht="15" customHeight="1" s="162">
      <c r="A242" s="7" t="n">
        <v>241</v>
      </c>
      <c r="B242" t="inlineStr">
        <is>
          <t>39121708</t>
        </is>
      </c>
      <c r="C242" t="inlineStr">
        <is>
          <t>Carril DIN Sin perforar de Acero Phoenix</t>
        </is>
      </c>
      <c r="D242" t="inlineStr">
        <is>
          <t>1101819705</t>
        </is>
      </c>
      <c r="E242" t="inlineStr">
        <is>
          <t>1</t>
        </is>
      </c>
      <c r="F242" s="163" t="n">
        <v>45646</v>
      </c>
      <c r="G242" t="inlineStr"/>
      <c r="H242" t="inlineStr">
        <is>
          <t>4800002796</t>
        </is>
      </c>
      <c r="I242" t="inlineStr">
        <is>
          <t>70</t>
        </is>
      </c>
      <c r="J242" s="163" t="n">
        <v>45645</v>
      </c>
      <c r="K242" s="163" t="inlineStr"/>
      <c r="L242" t="inlineStr"/>
      <c r="M242" s="163" t="n">
        <v>45647</v>
      </c>
      <c r="N242" s="164" t="n">
        <v>0</v>
      </c>
      <c r="O242" s="164" t="n">
        <v>0</v>
      </c>
      <c r="P242" t="inlineStr"/>
      <c r="Q242" s="165" t="n">
        <v>1</v>
      </c>
      <c r="R242" s="165" t="n">
        <v>1</v>
      </c>
      <c r="S242" s="165" t="n">
        <v>1</v>
      </c>
      <c r="T242" s="165" t="n">
        <v>0</v>
      </c>
      <c r="U242" s="166" t="n">
        <v>0</v>
      </c>
      <c r="V242" s="166" t="n">
        <v>0</v>
      </c>
      <c r="W242" t="inlineStr">
        <is>
          <t>X</t>
        </is>
      </c>
      <c r="X242" t="inlineStr">
        <is>
          <t>0.00</t>
        </is>
      </c>
      <c r="Y242" t="inlineStr"/>
      <c r="Z242" t="inlineStr">
        <is>
          <t>AMIDATA, S.A.</t>
        </is>
      </c>
      <c r="AA242" t="inlineStr"/>
      <c r="AB242" t="inlineStr">
        <is>
          <t>8039609</t>
        </is>
      </c>
      <c r="AC242" t="inlineStr"/>
      <c r="AD242" s="164" t="n">
        <v>0</v>
      </c>
      <c r="AE242" s="185" t="n">
        <v>0</v>
      </c>
      <c r="AG242" s="167" t="inlineStr">
        <is>
          <t>7218|JA2582_1001</t>
        </is>
      </c>
      <c r="AH242" s="46">
        <f>IF(M242=0,"-",M242-J242)</f>
        <v/>
      </c>
      <c r="AI242" s="46">
        <f>IF(AND(S242=0,M242&gt;0,L242=0),IF(AH242&gt;=120,"VERY HIGH",IF(AH242&gt;=90,"HIGH",IF(AH242&gt;=60,"MEDIUM",IF(AH242&lt;60,"LOW")))),"-")</f>
        <v/>
      </c>
      <c r="AJ242" s="12" t="n"/>
      <c r="AK242" s="41">
        <f>IF(AND(W242="X",M242&lt;=$AJ$2),"YES","")</f>
        <v/>
      </c>
      <c r="AL242" s="38">
        <f>IF(AND(W242="X",M242&lt;=$AJ$2),S242,"")</f>
        <v/>
      </c>
      <c r="AM242" s="26">
        <f>IF(AND(W242="X",M242&gt;$AJ$2),"YES","")</f>
        <v/>
      </c>
      <c r="AN242" s="89">
        <f>IF(AND(W242="X",M242&gt;$AJ$2),S242,"")</f>
        <v/>
      </c>
      <c r="AO242" s="35">
        <f>IF(AND(W242="",M242&gt;0,$AJ$2&gt;M242,L242=""),1,0)</f>
        <v/>
      </c>
      <c r="AP242" s="26">
        <f>IF(AND(AK242="YES",W242="X"),"X","")</f>
        <v/>
      </c>
      <c r="AQ242" s="28">
        <f>IF(AP242="X",100%,0%)</f>
        <v/>
      </c>
      <c r="AR242" s="25">
        <f>IF(AND(T242&gt;0,L242=""),H242,"")</f>
        <v/>
      </c>
      <c r="AS242" s="25">
        <f>IF(AND(D242&gt;0,H242=0,G242=""),1,"")</f>
        <v/>
      </c>
      <c r="AT242" s="25">
        <f>IF(G242="BLOQ",1,"")</f>
        <v/>
      </c>
      <c r="AU242" s="25">
        <f>IF(L242="BLOQ",1,"")</f>
        <v/>
      </c>
      <c r="AV242" s="25">
        <f>MONTH(F242)</f>
        <v/>
      </c>
      <c r="AW242" s="65">
        <f>IF(AP242="",100%,0%)</f>
        <v/>
      </c>
      <c r="AX242" s="23" t="n"/>
      <c r="AY242" s="24">
        <f>IF(M242=0,"",M242-$AX$2)</f>
        <v/>
      </c>
      <c r="AZ242" s="66">
        <f>IF(AND(W242="",AY242&gt;0,AY242&lt;15),1,0)</f>
        <v/>
      </c>
      <c r="BA242" s="24">
        <f>IF(AND(W242="",AY242&gt;0,AY242&lt;15),T242,"")</f>
        <v/>
      </c>
      <c r="BB242" s="87">
        <f>IF(R242&lt;Q242,"X","")</f>
        <v/>
      </c>
      <c r="BC242" s="190" t="inlineStr">
        <is>
          <t>NO</t>
        </is>
      </c>
      <c r="BD242" s="190" t="inlineStr">
        <is>
          <t>NO</t>
        </is>
      </c>
    </row>
    <row r="243" ht="15" customHeight="1" s="162">
      <c r="A243" s="7" t="n">
        <v>242</v>
      </c>
      <c r="B243" t="inlineStr">
        <is>
          <t>1359900000500</t>
        </is>
      </c>
      <c r="C243" t="inlineStr">
        <is>
          <t>COMPRA DIRECTA ELECTRICOS/ELECTRONICOS</t>
        </is>
      </c>
      <c r="D243" t="inlineStr">
        <is>
          <t>1101819790</t>
        </is>
      </c>
      <c r="E243" t="inlineStr">
        <is>
          <t>1</t>
        </is>
      </c>
      <c r="F243" s="163" t="n">
        <v>45646</v>
      </c>
      <c r="G243" t="inlineStr"/>
      <c r="H243" t="inlineStr">
        <is>
          <t>4200592399</t>
        </is>
      </c>
      <c r="I243" t="inlineStr">
        <is>
          <t>10</t>
        </is>
      </c>
      <c r="J243" s="163" t="n">
        <v>45666</v>
      </c>
      <c r="K243" s="163" t="n">
        <v>45667</v>
      </c>
      <c r="L243" t="inlineStr"/>
      <c r="M243" s="163" t="n">
        <v>45681</v>
      </c>
      <c r="N243" s="164" t="n">
        <v>30</v>
      </c>
      <c r="O243" s="164" t="n">
        <v>8</v>
      </c>
      <c r="P243" t="inlineStr">
        <is>
          <t>Liberado</t>
        </is>
      </c>
      <c r="Q243" s="165" t="n">
        <v>1</v>
      </c>
      <c r="R243" s="165" t="n">
        <v>1</v>
      </c>
      <c r="S243" s="165" t="n">
        <v>1</v>
      </c>
      <c r="T243" s="165" t="n">
        <v>0</v>
      </c>
      <c r="U243" s="166" t="n">
        <v>0</v>
      </c>
      <c r="V243" s="166" t="n">
        <v>0</v>
      </c>
      <c r="W243" t="inlineStr">
        <is>
          <t>X</t>
        </is>
      </c>
      <c r="X243" t="inlineStr">
        <is>
          <t>0.00</t>
        </is>
      </c>
      <c r="Y243" t="inlineStr"/>
      <c r="Z243" t="inlineStr">
        <is>
          <t>(AEMSA)ALMACENES ELECTRICOS MADRILE</t>
        </is>
      </c>
      <c r="AA243" t="inlineStr">
        <is>
          <t>OTROS FABRICANTES</t>
        </is>
      </c>
      <c r="AB243" t="inlineStr">
        <is>
          <t>1359900000500</t>
        </is>
      </c>
      <c r="AC243" t="inlineStr"/>
      <c r="AD243" s="164" t="n">
        <v>0</v>
      </c>
      <c r="AE243" s="185" t="n">
        <v>0</v>
      </c>
      <c r="AG243" s="167" t="inlineStr">
        <is>
          <t>7218|JA2593_1001</t>
        </is>
      </c>
      <c r="AH243" s="46">
        <f>IF(M243=0,"-",M243-J243)</f>
        <v/>
      </c>
      <c r="AI243" s="46">
        <f>IF(AND(S243=0,M243&gt;0,L243=0),IF(AH243&gt;=120,"VERY HIGH",IF(AH243&gt;=90,"HIGH",IF(AH243&gt;=60,"MEDIUM",IF(AH243&lt;60,"LOW")))),"-")</f>
        <v/>
      </c>
      <c r="AJ243" s="12" t="n"/>
      <c r="AK243" s="41">
        <f>IF(AND(W243="X",M243&lt;=$AJ$2),"YES","")</f>
        <v/>
      </c>
      <c r="AL243" s="38">
        <f>IF(AND(W243="X",M243&lt;=$AJ$2),S243,"")</f>
        <v/>
      </c>
      <c r="AM243" s="26">
        <f>IF(AND(W243="X",M243&gt;$AJ$2),"YES","")</f>
        <v/>
      </c>
      <c r="AN243" s="89">
        <f>IF(AND(W243="X",M243&gt;$AJ$2),S243,"")</f>
        <v/>
      </c>
      <c r="AO243" s="35">
        <f>IF(AND(W243="",M243&gt;0,$AJ$2&gt;M243,L243=""),1,0)</f>
        <v/>
      </c>
      <c r="AP243" s="26">
        <f>IF(AND(AK243="YES",W243="X"),"X","")</f>
        <v/>
      </c>
      <c r="AQ243" s="28">
        <f>IF(AP243="X",100%,0%)</f>
        <v/>
      </c>
      <c r="AR243" s="25">
        <f>IF(AND(T243&gt;0,L243=""),H243,"")</f>
        <v/>
      </c>
      <c r="AS243" s="25">
        <f>IF(AND(D243&gt;0,H243=0,G243=""),1,"")</f>
        <v/>
      </c>
      <c r="AT243" s="25">
        <f>IF(G243="BLOQ",1,"")</f>
        <v/>
      </c>
      <c r="AU243" s="25">
        <f>IF(L243="BLOQ",1,"")</f>
        <v/>
      </c>
      <c r="AV243" s="25">
        <f>MONTH(F243)</f>
        <v/>
      </c>
      <c r="AW243" s="65">
        <f>IF(AP243="",100%,0%)</f>
        <v/>
      </c>
      <c r="AX243" s="23" t="n"/>
      <c r="AY243" s="24">
        <f>IF(M243=0,"",M243-$AX$2)</f>
        <v/>
      </c>
      <c r="AZ243" s="66">
        <f>IF(AND(W243="",AY243&gt;0,AY243&lt;15),1,0)</f>
        <v/>
      </c>
      <c r="BA243" s="24">
        <f>IF(AND(W243="",AY243&gt;0,AY243&lt;15),T243,"")</f>
        <v/>
      </c>
      <c r="BB243" s="87">
        <f>IF(R243&lt;Q243,"X","")</f>
        <v/>
      </c>
      <c r="BC243" s="190" t="inlineStr">
        <is>
          <t>NO</t>
        </is>
      </c>
      <c r="BD243" s="190" t="inlineStr">
        <is>
          <t>NO</t>
        </is>
      </c>
    </row>
    <row r="244" ht="15" customHeight="1" s="162">
      <c r="A244" s="7" t="n">
        <v>243</v>
      </c>
      <c r="B244" t="inlineStr"/>
      <c r="C244" t="inlineStr">
        <is>
          <t>AMPLIACIÓN DDP_03-DISEÑO Y SIM.MECÁNICA</t>
        </is>
      </c>
      <c r="D244" t="inlineStr">
        <is>
          <t>1101821545</t>
        </is>
      </c>
      <c r="E244" t="inlineStr">
        <is>
          <t>1</t>
        </is>
      </c>
      <c r="F244" s="163" t="n">
        <v>45664</v>
      </c>
      <c r="G244" t="inlineStr"/>
      <c r="H244" t="inlineStr">
        <is>
          <t>4300338740</t>
        </is>
      </c>
      <c r="I244" t="inlineStr">
        <is>
          <t>10</t>
        </is>
      </c>
      <c r="J244" s="163" t="n">
        <v>45673</v>
      </c>
      <c r="K244" s="163" t="n">
        <v>45744</v>
      </c>
      <c r="L244" t="inlineStr"/>
      <c r="M244" s="163" t="n">
        <v>45899</v>
      </c>
      <c r="N244" s="164" t="n">
        <v>0</v>
      </c>
      <c r="O244" s="164" t="n">
        <v>0</v>
      </c>
      <c r="P244" t="inlineStr">
        <is>
          <t>Liberado</t>
        </is>
      </c>
      <c r="Q244" s="166" t="n">
        <v>1</v>
      </c>
      <c r="R244" s="164" t="n">
        <v>1</v>
      </c>
      <c r="S244" s="164" t="n">
        <v>0</v>
      </c>
      <c r="T244" s="164" t="n">
        <v>0</v>
      </c>
      <c r="U244" s="166" t="n">
        <v>0</v>
      </c>
      <c r="V244" s="166" t="n">
        <v>0</v>
      </c>
      <c r="W244" t="inlineStr">
        <is>
          <t>X</t>
        </is>
      </c>
      <c r="X244" t="inlineStr">
        <is>
          <t>3566.08</t>
        </is>
      </c>
      <c r="Y244" t="inlineStr"/>
      <c r="Z244" t="inlineStr">
        <is>
          <t>RDT INGENIEROS MADRID, S.L.</t>
        </is>
      </c>
      <c r="AA244" t="inlineStr"/>
      <c r="AB244" t="inlineStr"/>
      <c r="AC244" t="inlineStr"/>
      <c r="AD244" s="164" t="n">
        <v>1</v>
      </c>
      <c r="AE244" s="185" t="n">
        <v>1</v>
      </c>
      <c r="AG244" s="167" t="inlineStr">
        <is>
          <t>7218|S24B05_P10261</t>
        </is>
      </c>
      <c r="AH244" s="46">
        <f>IF(M244=0,"-",M244-J244)</f>
        <v/>
      </c>
      <c r="AI244" s="46">
        <f>IF(AND(S244=0,M244&gt;0,L244=0),IF(AH244&gt;=120,"VERY HIGH",IF(AH244&gt;=90,"HIGH",IF(AH244&gt;=60,"MEDIUM",IF(AH244&lt;60,"LOW")))),"-")</f>
        <v/>
      </c>
      <c r="AJ244" s="12" t="n"/>
      <c r="AK244" s="41">
        <f>IF(AND(W244="X",M244&lt;=$AJ$2),"YES","")</f>
        <v/>
      </c>
      <c r="AL244" s="38">
        <f>IF(AND(W244="X",M244&lt;=$AJ$2),S244,"")</f>
        <v/>
      </c>
      <c r="AM244" s="26">
        <f>IF(AND(W244="X",M244&gt;$AJ$2),"YES","")</f>
        <v/>
      </c>
      <c r="AN244" s="89">
        <f>IF(AND(W244="X",M244&gt;$AJ$2),S244,"")</f>
        <v/>
      </c>
      <c r="AO244" s="35">
        <f>IF(AND(W244="",M244&gt;0,$AJ$2&gt;M244,L244=""),1,0)</f>
        <v/>
      </c>
      <c r="AP244" s="26">
        <f>IF(AND(AK244="YES",W244="X"),"X","")</f>
        <v/>
      </c>
      <c r="AQ244" s="28">
        <f>IF(AP244="X",100%,0%)</f>
        <v/>
      </c>
      <c r="AR244" s="25">
        <f>IF(AND(T244&gt;0,L244=""),H244,"")</f>
        <v/>
      </c>
      <c r="AS244" s="25">
        <f>IF(AND(D244&gt;0,H244=0,G244=""),1,"")</f>
        <v/>
      </c>
      <c r="AT244" s="25">
        <f>IF(G244="BLOQ",1,"")</f>
        <v/>
      </c>
      <c r="AU244" s="25">
        <f>IF(L244="BLOQ",1,"")</f>
        <v/>
      </c>
      <c r="AV244" s="25">
        <f>MONTH(F244)</f>
        <v/>
      </c>
      <c r="AW244" s="65">
        <f>IF(AP244="",100%,0%)</f>
        <v/>
      </c>
      <c r="AX244" s="23" t="n"/>
      <c r="AY244" s="24">
        <f>IF(M244=0,"",M244-$AX$2)</f>
        <v/>
      </c>
      <c r="AZ244" s="66">
        <f>IF(AND(W244="",AY244&gt;0,AY244&lt;15),1,0)</f>
        <v/>
      </c>
      <c r="BA244" s="24">
        <f>IF(AND(W244="",AY244&gt;0,AY244&lt;15),T244,"")</f>
        <v/>
      </c>
      <c r="BB244" s="87">
        <f>IF(R244&lt;Q244,"X","")</f>
        <v/>
      </c>
      <c r="BC244" s="190" t="inlineStr">
        <is>
          <t>NO</t>
        </is>
      </c>
      <c r="BD244" s="190" t="inlineStr">
        <is>
          <t>NO</t>
        </is>
      </c>
    </row>
    <row r="245" ht="15" customHeight="1" s="162">
      <c r="A245" s="7" t="n">
        <v>244</v>
      </c>
      <c r="B245" t="inlineStr"/>
      <c r="C245" t="inlineStr">
        <is>
          <t>MONTAJE SIMULADOR A320</t>
        </is>
      </c>
      <c r="D245" t="inlineStr">
        <is>
          <t>1101821694</t>
        </is>
      </c>
      <c r="E245" t="inlineStr">
        <is>
          <t>1</t>
        </is>
      </c>
      <c r="F245" s="163" t="n">
        <v>45664</v>
      </c>
      <c r="G245" t="inlineStr"/>
      <c r="H245" t="inlineStr">
        <is>
          <t>4300338521</t>
        </is>
      </c>
      <c r="I245" t="inlineStr">
        <is>
          <t>20</t>
        </is>
      </c>
      <c r="J245" s="163" t="n">
        <v>45670</v>
      </c>
      <c r="K245" s="163" t="n">
        <v>45673</v>
      </c>
      <c r="L245" t="inlineStr"/>
      <c r="M245" s="163" t="n">
        <v>45687</v>
      </c>
      <c r="N245" s="164" t="n">
        <v>0</v>
      </c>
      <c r="O245" s="164" t="n">
        <v>0</v>
      </c>
      <c r="P245" t="inlineStr">
        <is>
          <t>Liberado</t>
        </is>
      </c>
      <c r="Q245" s="166" t="n">
        <v>1</v>
      </c>
      <c r="R245" s="164" t="n">
        <v>1</v>
      </c>
      <c r="S245" s="164" t="n">
        <v>0</v>
      </c>
      <c r="T245" s="164" t="n">
        <v>0</v>
      </c>
      <c r="U245" s="166" t="n">
        <v>0</v>
      </c>
      <c r="V245" s="166" t="n">
        <v>0</v>
      </c>
      <c r="W245" t="inlineStr">
        <is>
          <t>X</t>
        </is>
      </c>
      <c r="X245" t="inlineStr">
        <is>
          <t>0.00</t>
        </is>
      </c>
      <c r="Y245" t="inlineStr"/>
      <c r="Z245" t="inlineStr">
        <is>
          <t>AUXITEL, S.L.</t>
        </is>
      </c>
      <c r="AA245" t="inlineStr"/>
      <c r="AB245" t="inlineStr"/>
      <c r="AC245" t="inlineStr"/>
      <c r="AD245" s="164" t="n">
        <v>0</v>
      </c>
      <c r="AE245" s="185" t="n">
        <v>0</v>
      </c>
      <c r="AG245" s="167" t="inlineStr">
        <is>
          <t>7218|JA2593_1001</t>
        </is>
      </c>
      <c r="AH245" s="46">
        <f>IF(M245=0,"-",M245-J245)</f>
        <v/>
      </c>
      <c r="AI245" s="46">
        <f>IF(AND(S245=0,M245&gt;0,L245=0),IF(AH245&gt;=120,"VERY HIGH",IF(AH245&gt;=90,"HIGH",IF(AH245&gt;=60,"MEDIUM",IF(AH245&lt;60,"LOW")))),"-")</f>
        <v/>
      </c>
      <c r="AJ245" s="12" t="n"/>
      <c r="AK245" s="41">
        <f>IF(AND(W245="X",M245&lt;=$AJ$2),"YES","")</f>
        <v/>
      </c>
      <c r="AL245" s="38">
        <f>IF(AND(W245="X",M245&lt;=$AJ$2),S245,"")</f>
        <v/>
      </c>
      <c r="AM245" s="26">
        <f>IF(AND(W245="X",M245&gt;$AJ$2),"YES","")</f>
        <v/>
      </c>
      <c r="AN245" s="89">
        <f>IF(AND(W245="X",M245&gt;$AJ$2),S245,"")</f>
        <v/>
      </c>
      <c r="AO245" s="35">
        <f>IF(AND(W245="",M245&gt;0,$AJ$2&gt;M245,L245=""),1,0)</f>
        <v/>
      </c>
      <c r="AP245" s="26">
        <f>IF(AND(AK245="YES",W245="X"),"X","")</f>
        <v/>
      </c>
      <c r="AQ245" s="28">
        <f>IF(AP245="X",100%,0%)</f>
        <v/>
      </c>
      <c r="AR245" s="25">
        <f>IF(AND(T245&gt;0,L245=""),H245,"")</f>
        <v/>
      </c>
      <c r="AS245" s="25">
        <f>IF(AND(D245&gt;0,H245=0,G245=""),1,"")</f>
        <v/>
      </c>
      <c r="AT245" s="25">
        <f>IF(G245="BLOQ",1,"")</f>
        <v/>
      </c>
      <c r="AU245" s="25">
        <f>IF(L245="BLOQ",1,"")</f>
        <v/>
      </c>
      <c r="AV245" s="25">
        <f>MONTH(F245)</f>
        <v/>
      </c>
      <c r="AW245" s="65">
        <f>IF(AP245="",100%,0%)</f>
        <v/>
      </c>
      <c r="AX245" s="23" t="n"/>
      <c r="AY245" s="24">
        <f>IF(M245=0,"",M245-$AX$2)</f>
        <v/>
      </c>
      <c r="AZ245" s="66">
        <f>IF(AND(W245="",AY245&gt;0,AY245&lt;15),1,0)</f>
        <v/>
      </c>
      <c r="BA245" s="24">
        <f>IF(AND(W245="",AY245&gt;0,AY245&lt;15),T245,"")</f>
        <v/>
      </c>
      <c r="BB245" s="87">
        <f>IF(R245&lt;Q245,"X","")</f>
        <v/>
      </c>
      <c r="BC245" s="190" t="inlineStr">
        <is>
          <t>NO</t>
        </is>
      </c>
      <c r="BD245" s="190" t="inlineStr">
        <is>
          <t>NO</t>
        </is>
      </c>
    </row>
    <row r="246" ht="15" customHeight="1" s="162">
      <c r="A246" s="7" t="n">
        <v>245</v>
      </c>
      <c r="B246" t="inlineStr"/>
      <c r="C246" t="inlineStr">
        <is>
          <t>MONTAJE SIMULADOR A320</t>
        </is>
      </c>
      <c r="D246" t="inlineStr">
        <is>
          <t>1101821698</t>
        </is>
      </c>
      <c r="E246" t="inlineStr">
        <is>
          <t>1</t>
        </is>
      </c>
      <c r="F246" s="163" t="n">
        <v>45664</v>
      </c>
      <c r="G246" t="inlineStr"/>
      <c r="H246" t="inlineStr">
        <is>
          <t>4300338521</t>
        </is>
      </c>
      <c r="I246" t="inlineStr">
        <is>
          <t>30</t>
        </is>
      </c>
      <c r="J246" s="163" t="n">
        <v>45670</v>
      </c>
      <c r="K246" s="163" t="n">
        <v>45673</v>
      </c>
      <c r="L246" t="inlineStr"/>
      <c r="M246" s="163" t="n">
        <v>45687</v>
      </c>
      <c r="N246" s="164" t="n">
        <v>0</v>
      </c>
      <c r="O246" s="164" t="n">
        <v>0</v>
      </c>
      <c r="P246" t="inlineStr">
        <is>
          <t>Liberado</t>
        </is>
      </c>
      <c r="Q246" s="166" t="n">
        <v>1</v>
      </c>
      <c r="R246" s="164" t="n">
        <v>1</v>
      </c>
      <c r="S246" s="164" t="n">
        <v>0</v>
      </c>
      <c r="T246" s="164" t="n">
        <v>0</v>
      </c>
      <c r="U246" s="166" t="n">
        <v>0</v>
      </c>
      <c r="V246" s="166" t="n">
        <v>0</v>
      </c>
      <c r="W246" t="inlineStr">
        <is>
          <t>X</t>
        </is>
      </c>
      <c r="X246" t="inlineStr">
        <is>
          <t>0.00</t>
        </is>
      </c>
      <c r="Y246" t="inlineStr"/>
      <c r="Z246" t="inlineStr">
        <is>
          <t>AUXITEL, S.L.</t>
        </is>
      </c>
      <c r="AA246" t="inlineStr"/>
      <c r="AB246" t="inlineStr"/>
      <c r="AC246" t="inlineStr"/>
      <c r="AD246" s="164" t="n">
        <v>0</v>
      </c>
      <c r="AE246" s="185" t="n">
        <v>0</v>
      </c>
      <c r="AG246" s="167" t="inlineStr">
        <is>
          <t>7218|JA2593_1001</t>
        </is>
      </c>
      <c r="AH246" s="46">
        <f>IF(M246=0,"-",M246-J246)</f>
        <v/>
      </c>
      <c r="AI246" s="46">
        <f>IF(AND(S246=0,M246&gt;0,L246=0),IF(AH246&gt;=120,"VERY HIGH",IF(AH246&gt;=90,"HIGH",IF(AH246&gt;=60,"MEDIUM",IF(AH246&lt;60,"LOW")))),"-")</f>
        <v/>
      </c>
      <c r="AJ246" s="12" t="n"/>
      <c r="AK246" s="41">
        <f>IF(AND(W246="X",M246&lt;=$AJ$2),"YES","")</f>
        <v/>
      </c>
      <c r="AL246" s="38">
        <f>IF(AND(W246="X",M246&lt;=$AJ$2),S246,"")</f>
        <v/>
      </c>
      <c r="AM246" s="26">
        <f>IF(AND(W246="X",M246&gt;$AJ$2),"YES","")</f>
        <v/>
      </c>
      <c r="AN246" s="89">
        <f>IF(AND(W246="X",M246&gt;$AJ$2),S246,"")</f>
        <v/>
      </c>
      <c r="AO246" s="35">
        <f>IF(AND(W246="",M246&gt;0,$AJ$2&gt;M246,L246=""),1,0)</f>
        <v/>
      </c>
      <c r="AP246" s="26">
        <f>IF(AND(AK246="YES",W246="X"),"X","")</f>
        <v/>
      </c>
      <c r="AQ246" s="28">
        <f>IF(AP246="X",100%,0%)</f>
        <v/>
      </c>
      <c r="AR246" s="25">
        <f>IF(AND(T246&gt;0,L246=""),H246,"")</f>
        <v/>
      </c>
      <c r="AS246" s="25">
        <f>IF(AND(D246&gt;0,H246=0,G246=""),1,"")</f>
        <v/>
      </c>
      <c r="AT246" s="25">
        <f>IF(G246="BLOQ",1,"")</f>
        <v/>
      </c>
      <c r="AU246" s="25">
        <f>IF(L246="BLOQ",1,"")</f>
        <v/>
      </c>
      <c r="AV246" s="25">
        <f>MONTH(F246)</f>
        <v/>
      </c>
      <c r="AW246" s="65">
        <f>IF(AP246="",100%,0%)</f>
        <v/>
      </c>
      <c r="AX246" s="23" t="n"/>
      <c r="AY246" s="24">
        <f>IF(M246=0,"",M246-$AX$2)</f>
        <v/>
      </c>
      <c r="AZ246" s="66">
        <f>IF(AND(W246="",AY246&gt;0,AY246&lt;15),1,0)</f>
        <v/>
      </c>
      <c r="BA246" s="24">
        <f>IF(AND(W246="",AY246&gt;0,AY246&lt;15),T246,"")</f>
        <v/>
      </c>
      <c r="BB246" s="87">
        <f>IF(R246&lt;Q246,"X","")</f>
        <v/>
      </c>
      <c r="BC246" s="190" t="inlineStr">
        <is>
          <t>NO</t>
        </is>
      </c>
      <c r="BD246" s="190" t="inlineStr">
        <is>
          <t>NO</t>
        </is>
      </c>
    </row>
    <row r="247" ht="15" customHeight="1" s="162">
      <c r="A247" s="7" t="n">
        <v>246</v>
      </c>
      <c r="B247" t="inlineStr"/>
      <c r="C247" t="inlineStr">
        <is>
          <t>COSLADA MONTAJE SIMULADOR A320</t>
        </is>
      </c>
      <c r="D247" t="inlineStr">
        <is>
          <t>1101821730</t>
        </is>
      </c>
      <c r="E247" t="inlineStr">
        <is>
          <t>1</t>
        </is>
      </c>
      <c r="F247" s="163" t="n">
        <v>45664</v>
      </c>
      <c r="G247" t="inlineStr"/>
      <c r="H247" t="inlineStr">
        <is>
          <t>4300338537</t>
        </is>
      </c>
      <c r="I247" t="inlineStr">
        <is>
          <t>20</t>
        </is>
      </c>
      <c r="J247" s="163" t="n">
        <v>45670</v>
      </c>
      <c r="K247" s="163" t="n">
        <v>45677</v>
      </c>
      <c r="L247" t="inlineStr"/>
      <c r="M247" s="163" t="n">
        <v>45687</v>
      </c>
      <c r="N247" s="164" t="n">
        <v>0</v>
      </c>
      <c r="O247" s="164" t="n">
        <v>0</v>
      </c>
      <c r="P247" t="inlineStr">
        <is>
          <t>Liberado</t>
        </is>
      </c>
      <c r="Q247" s="166" t="n">
        <v>1</v>
      </c>
      <c r="R247" s="164" t="n">
        <v>1</v>
      </c>
      <c r="S247" s="164" t="n">
        <v>0</v>
      </c>
      <c r="T247" s="164" t="n">
        <v>0</v>
      </c>
      <c r="U247" s="166" t="n">
        <v>0</v>
      </c>
      <c r="V247" s="166" t="n">
        <v>0</v>
      </c>
      <c r="W247" t="inlineStr">
        <is>
          <t>X</t>
        </is>
      </c>
      <c r="X247" t="inlineStr">
        <is>
          <t>0.00</t>
        </is>
      </c>
      <c r="Y247" t="inlineStr"/>
      <c r="Z247" t="inlineStr">
        <is>
          <t>ISC Instalaciones y Servicios de</t>
        </is>
      </c>
      <c r="AA247" t="inlineStr"/>
      <c r="AB247" t="inlineStr"/>
      <c r="AC247" t="inlineStr"/>
      <c r="AD247" s="164" t="n">
        <v>0</v>
      </c>
      <c r="AE247" s="185" t="n">
        <v>0</v>
      </c>
      <c r="AG247" s="167" t="inlineStr">
        <is>
          <t>7218|JA2593_1001</t>
        </is>
      </c>
      <c r="AH247" s="46">
        <f>IF(M247=0,"-",M247-J247)</f>
        <v/>
      </c>
      <c r="AI247" s="46">
        <f>IF(AND(S247=0,M247&gt;0,L247=0),IF(AH247&gt;=120,"VERY HIGH",IF(AH247&gt;=90,"HIGH",IF(AH247&gt;=60,"MEDIUM",IF(AH247&lt;60,"LOW")))),"-")</f>
        <v/>
      </c>
      <c r="AJ247" s="12" t="n"/>
      <c r="AK247" s="41">
        <f>IF(AND(W247="X",M247&lt;=$AJ$2),"YES","")</f>
        <v/>
      </c>
      <c r="AL247" s="38">
        <f>IF(AND(W247="X",M247&lt;=$AJ$2),S247,"")</f>
        <v/>
      </c>
      <c r="AM247" s="26">
        <f>IF(AND(W247="X",M247&gt;$AJ$2),"YES","")</f>
        <v/>
      </c>
      <c r="AN247" s="89">
        <f>IF(AND(W247="X",M247&gt;$AJ$2),S247,"")</f>
        <v/>
      </c>
      <c r="AO247" s="35">
        <f>IF(AND(W247="",M247&gt;0,$AJ$2&gt;M247,L247=""),1,0)</f>
        <v/>
      </c>
      <c r="AP247" s="26">
        <f>IF(AND(AK247="YES",W247="X"),"X","")</f>
        <v/>
      </c>
      <c r="AQ247" s="28">
        <f>IF(AP247="X",100%,0%)</f>
        <v/>
      </c>
      <c r="AR247" s="25">
        <f>IF(AND(T247&gt;0,L247=""),H247,"")</f>
        <v/>
      </c>
      <c r="AS247" s="25">
        <f>IF(AND(D247&gt;0,H247=0,G247=""),1,"")</f>
        <v/>
      </c>
      <c r="AT247" s="25">
        <f>IF(G247="BLOQ",1,"")</f>
        <v/>
      </c>
      <c r="AU247" s="25">
        <f>IF(L247="BLOQ",1,"")</f>
        <v/>
      </c>
      <c r="AV247" s="25">
        <f>MONTH(F247)</f>
        <v/>
      </c>
      <c r="AW247" s="65">
        <f>IF(AP247="",100%,0%)</f>
        <v/>
      </c>
      <c r="AX247" s="23" t="n"/>
      <c r="AY247" s="24">
        <f>IF(M247=0,"",M247-$AX$2)</f>
        <v/>
      </c>
      <c r="AZ247" s="66">
        <f>IF(AND(W247="",AY247&gt;0,AY247&lt;15),1,0)</f>
        <v/>
      </c>
      <c r="BA247" s="24">
        <f>IF(AND(W247="",AY247&gt;0,AY247&lt;15),T247,"")</f>
        <v/>
      </c>
      <c r="BB247" s="87">
        <f>IF(R247&lt;Q247,"X","")</f>
        <v/>
      </c>
      <c r="BC247" s="190" t="inlineStr">
        <is>
          <t>NO</t>
        </is>
      </c>
      <c r="BD247" s="190" t="inlineStr">
        <is>
          <t>NO</t>
        </is>
      </c>
    </row>
    <row r="248" ht="15" customHeight="1" s="162">
      <c r="A248" s="7" t="n">
        <v>247</v>
      </c>
      <c r="B248" t="inlineStr"/>
      <c r="C248" t="inlineStr">
        <is>
          <t>MONTAJE SIMULADOR A320</t>
        </is>
      </c>
      <c r="D248" t="inlineStr">
        <is>
          <t>1101821760</t>
        </is>
      </c>
      <c r="E248" t="inlineStr">
        <is>
          <t>1</t>
        </is>
      </c>
      <c r="F248" s="163" t="n">
        <v>45664</v>
      </c>
      <c r="G248" t="inlineStr"/>
      <c r="H248" t="inlineStr">
        <is>
          <t>4300338520</t>
        </is>
      </c>
      <c r="I248" t="inlineStr">
        <is>
          <t>30</t>
        </is>
      </c>
      <c r="J248" s="163" t="n">
        <v>45670</v>
      </c>
      <c r="K248" s="163" t="n">
        <v>45670</v>
      </c>
      <c r="L248" t="inlineStr"/>
      <c r="M248" s="163" t="n">
        <v>45687</v>
      </c>
      <c r="N248" s="164" t="n">
        <v>0</v>
      </c>
      <c r="O248" s="164" t="n">
        <v>0</v>
      </c>
      <c r="P248" t="inlineStr">
        <is>
          <t>Liberado</t>
        </is>
      </c>
      <c r="Q248" s="166" t="n">
        <v>1</v>
      </c>
      <c r="R248" s="164" t="n">
        <v>1</v>
      </c>
      <c r="S248" s="164" t="n">
        <v>0</v>
      </c>
      <c r="T248" s="164" t="n">
        <v>0</v>
      </c>
      <c r="U248" s="166" t="n">
        <v>0</v>
      </c>
      <c r="V248" s="166" t="n">
        <v>0</v>
      </c>
      <c r="W248" t="inlineStr">
        <is>
          <t>X</t>
        </is>
      </c>
      <c r="X248" t="inlineStr">
        <is>
          <t>0.00</t>
        </is>
      </c>
      <c r="Y248" t="inlineStr"/>
      <c r="Z248" t="inlineStr">
        <is>
          <t>TALLERES SANTIAGO DATO, S.L.U.</t>
        </is>
      </c>
      <c r="AA248" t="inlineStr"/>
      <c r="AB248" t="inlineStr"/>
      <c r="AC248" t="inlineStr"/>
      <c r="AD248" s="164" t="n">
        <v>0</v>
      </c>
      <c r="AE248" s="185" t="n">
        <v>0</v>
      </c>
      <c r="AG248" s="167" t="inlineStr">
        <is>
          <t>7218|JA2594_1001</t>
        </is>
      </c>
      <c r="AH248" s="46">
        <f>IF(M248=0,"-",M248-J248)</f>
        <v/>
      </c>
      <c r="AI248" s="46">
        <f>IF(AND(S248=0,M248&gt;0,L248=0),IF(AH248&gt;=120,"VERY HIGH",IF(AH248&gt;=90,"HIGH",IF(AH248&gt;=60,"MEDIUM",IF(AH248&lt;60,"LOW")))),"-")</f>
        <v/>
      </c>
      <c r="AJ248" s="12" t="n"/>
      <c r="AK248" s="41">
        <f>IF(AND(W248="X",M248&lt;=$AJ$2),"YES","")</f>
        <v/>
      </c>
      <c r="AL248" s="38">
        <f>IF(AND(W248="X",M248&lt;=$AJ$2),S248,"")</f>
        <v/>
      </c>
      <c r="AM248" s="26">
        <f>IF(AND(W248="X",M248&gt;$AJ$2),"YES","")</f>
        <v/>
      </c>
      <c r="AN248" s="89">
        <f>IF(AND(W248="X",M248&gt;$AJ$2),S248,"")</f>
        <v/>
      </c>
      <c r="AO248" s="35">
        <f>IF(AND(W248="",M248&gt;0,$AJ$2&gt;M248,L248=""),1,0)</f>
        <v/>
      </c>
      <c r="AP248" s="26">
        <f>IF(AND(AK248="YES",W248="X"),"X","")</f>
        <v/>
      </c>
      <c r="AQ248" s="28">
        <f>IF(AP248="X",100%,0%)</f>
        <v/>
      </c>
      <c r="AR248" s="25">
        <f>IF(AND(T248&gt;0,L248=""),H248,"")</f>
        <v/>
      </c>
      <c r="AS248" s="25">
        <f>IF(AND(D248&gt;0,H248=0,G248=""),1,"")</f>
        <v/>
      </c>
      <c r="AT248" s="25">
        <f>IF(G248="BLOQ",1,"")</f>
        <v/>
      </c>
      <c r="AU248" s="25">
        <f>IF(L248="BLOQ",1,"")</f>
        <v/>
      </c>
      <c r="AV248" s="25">
        <f>MONTH(F248)</f>
        <v/>
      </c>
      <c r="AW248" s="65">
        <f>IF(AP248="",100%,0%)</f>
        <v/>
      </c>
      <c r="AX248" s="23" t="n"/>
      <c r="AY248" s="24">
        <f>IF(M248=0,"",M248-$AX$2)</f>
        <v/>
      </c>
      <c r="AZ248" s="66">
        <f>IF(AND(W248="",AY248&gt;0,AY248&lt;15),1,0)</f>
        <v/>
      </c>
      <c r="BA248" s="24">
        <f>IF(AND(W248="",AY248&gt;0,AY248&lt;15),T248,"")</f>
        <v/>
      </c>
      <c r="BB248" s="87">
        <f>IF(R248&lt;Q248,"X","")</f>
        <v/>
      </c>
      <c r="BC248" s="190" t="inlineStr">
        <is>
          <t>NO</t>
        </is>
      </c>
      <c r="BD248" s="190" t="inlineStr">
        <is>
          <t>NO</t>
        </is>
      </c>
    </row>
    <row r="249" ht="15" customHeight="1" s="162">
      <c r="A249" s="7" t="n">
        <v>248</v>
      </c>
      <c r="B249" t="inlineStr">
        <is>
          <t>39121708</t>
        </is>
      </c>
      <c r="C249" t="inlineStr">
        <is>
          <t>Carril DIN Perforado RS PRO, dim. 2m x 3</t>
        </is>
      </c>
      <c r="D249" t="inlineStr">
        <is>
          <t>1101822039</t>
        </is>
      </c>
      <c r="E249" t="inlineStr">
        <is>
          <t>1</t>
        </is>
      </c>
      <c r="F249" s="163" t="n">
        <v>45665</v>
      </c>
      <c r="G249" t="inlineStr"/>
      <c r="H249" t="inlineStr">
        <is>
          <t>4800002802</t>
        </is>
      </c>
      <c r="I249" t="inlineStr">
        <is>
          <t>380</t>
        </is>
      </c>
      <c r="J249" s="163" t="n">
        <v>45664</v>
      </c>
      <c r="K249" s="163" t="inlineStr"/>
      <c r="L249" t="inlineStr"/>
      <c r="M249" s="163" t="n">
        <v>45666</v>
      </c>
      <c r="N249" s="164" t="n">
        <v>0</v>
      </c>
      <c r="O249" s="164" t="n">
        <v>0</v>
      </c>
      <c r="P249" t="inlineStr"/>
      <c r="Q249" s="165" t="n">
        <v>1</v>
      </c>
      <c r="R249" s="165" t="n">
        <v>1</v>
      </c>
      <c r="S249" s="165" t="n">
        <v>1</v>
      </c>
      <c r="T249" s="165" t="n">
        <v>0</v>
      </c>
      <c r="U249" s="166" t="n">
        <v>0</v>
      </c>
      <c r="V249" s="166" t="n">
        <v>0</v>
      </c>
      <c r="W249" t="inlineStr">
        <is>
          <t>X</t>
        </is>
      </c>
      <c r="X249" t="inlineStr">
        <is>
          <t>0.00</t>
        </is>
      </c>
      <c r="Y249" t="inlineStr"/>
      <c r="Z249" t="inlineStr">
        <is>
          <t>AMIDATA, S.A.</t>
        </is>
      </c>
      <c r="AA249" t="inlineStr"/>
      <c r="AB249" t="inlineStr">
        <is>
          <t>2258315</t>
        </is>
      </c>
      <c r="AC249" t="inlineStr"/>
      <c r="AD249" s="164" t="n">
        <v>0</v>
      </c>
      <c r="AE249" s="185" t="n">
        <v>0</v>
      </c>
      <c r="AG249" s="167" t="inlineStr">
        <is>
          <t>7218|JA2593_1001</t>
        </is>
      </c>
      <c r="AH249" s="46">
        <f>IF(M249=0,"-",M249-J249)</f>
        <v/>
      </c>
      <c r="AI249" s="46">
        <f>IF(AND(S249=0,M249&gt;0,L249=0),IF(AH249&gt;=120,"VERY HIGH",IF(AH249&gt;=90,"HIGH",IF(AH249&gt;=60,"MEDIUM",IF(AH249&lt;60,"LOW")))),"-")</f>
        <v/>
      </c>
      <c r="AJ249" s="12" t="n"/>
      <c r="AK249" s="41">
        <f>IF(AND(W249="X",M249&lt;=$AJ$2),"YES","")</f>
        <v/>
      </c>
      <c r="AL249" s="38">
        <f>IF(AND(W249="X",M249&lt;=$AJ$2),S249,"")</f>
        <v/>
      </c>
      <c r="AM249" s="26">
        <f>IF(AND(W249="X",M249&gt;$AJ$2),"YES","")</f>
        <v/>
      </c>
      <c r="AN249" s="89">
        <f>IF(AND(W249="X",M249&gt;$AJ$2),S249,"")</f>
        <v/>
      </c>
      <c r="AO249" s="35">
        <f>IF(AND(W249="",M249&gt;0,$AJ$2&gt;M249,L249=""),1,0)</f>
        <v/>
      </c>
      <c r="AP249" s="26">
        <f>IF(AND(AK249="YES",W249="X"),"X","")</f>
        <v/>
      </c>
      <c r="AQ249" s="28">
        <f>IF(AP249="X",100%,0%)</f>
        <v/>
      </c>
      <c r="AR249" s="25">
        <f>IF(AND(T249&gt;0,L249=""),H249,"")</f>
        <v/>
      </c>
      <c r="AS249" s="25">
        <f>IF(AND(D249&gt;0,H249=0,G249=""),1,"")</f>
        <v/>
      </c>
      <c r="AT249" s="25">
        <f>IF(G249="BLOQ",1,"")</f>
        <v/>
      </c>
      <c r="AU249" s="25">
        <f>IF(L249="BLOQ",1,"")</f>
        <v/>
      </c>
      <c r="AV249" s="25">
        <f>MONTH(F249)</f>
        <v/>
      </c>
      <c r="AW249" s="65">
        <f>IF(AP249="",100%,0%)</f>
        <v/>
      </c>
      <c r="AX249" s="23" t="n"/>
      <c r="AY249" s="24">
        <f>IF(M249=0,"",M249-$AX$2)</f>
        <v/>
      </c>
      <c r="AZ249" s="66">
        <f>IF(AND(W249="",AY249&gt;0,AY249&lt;15),1,0)</f>
        <v/>
      </c>
      <c r="BA249" s="24">
        <f>IF(AND(W249="",AY249&gt;0,AY249&lt;15),T249,"")</f>
        <v/>
      </c>
      <c r="BB249" s="87">
        <f>IF(R249&lt;Q249,"X","")</f>
        <v/>
      </c>
      <c r="BC249" s="190" t="inlineStr">
        <is>
          <t>NO</t>
        </is>
      </c>
      <c r="BD249" s="190" t="inlineStr">
        <is>
          <t>NO</t>
        </is>
      </c>
    </row>
    <row r="250" ht="15" customHeight="1" s="162">
      <c r="A250" s="7" t="n">
        <v>249</v>
      </c>
      <c r="B250" t="inlineStr">
        <is>
          <t>39121708</t>
        </is>
      </c>
      <c r="C250" t="inlineStr">
        <is>
          <t>Tapa Phoenix Contact serie D-ST, para us</t>
        </is>
      </c>
      <c r="D250" t="inlineStr">
        <is>
          <t>1101823384</t>
        </is>
      </c>
      <c r="E250" t="inlineStr">
        <is>
          <t>1</t>
        </is>
      </c>
      <c r="F250" s="163" t="n">
        <v>45670</v>
      </c>
      <c r="G250" t="inlineStr"/>
      <c r="H250" t="inlineStr">
        <is>
          <t>4800002813</t>
        </is>
      </c>
      <c r="I250" t="inlineStr">
        <is>
          <t>60</t>
        </is>
      </c>
      <c r="J250" s="163" t="n">
        <v>45668</v>
      </c>
      <c r="K250" s="163" t="inlineStr"/>
      <c r="L250" t="inlineStr"/>
      <c r="M250" s="163" t="n">
        <v>45671</v>
      </c>
      <c r="N250" s="164" t="n">
        <v>0</v>
      </c>
      <c r="O250" s="164" t="n">
        <v>0</v>
      </c>
      <c r="P250" t="inlineStr"/>
      <c r="Q250" s="165" t="n">
        <v>5</v>
      </c>
      <c r="R250" s="165" t="n">
        <v>5</v>
      </c>
      <c r="S250" s="165" t="n">
        <v>5</v>
      </c>
      <c r="T250" s="165" t="n">
        <v>0</v>
      </c>
      <c r="U250" s="166" t="n">
        <v>0</v>
      </c>
      <c r="V250" s="166" t="n">
        <v>0</v>
      </c>
      <c r="W250" t="inlineStr">
        <is>
          <t>X</t>
        </is>
      </c>
      <c r="X250" t="inlineStr">
        <is>
          <t>0.00</t>
        </is>
      </c>
      <c r="Y250" t="inlineStr"/>
      <c r="Z250" t="inlineStr">
        <is>
          <t>AMIDATA, S.A.</t>
        </is>
      </c>
      <c r="AA250" t="inlineStr"/>
      <c r="AB250" t="inlineStr">
        <is>
          <t>3884637</t>
        </is>
      </c>
      <c r="AC250" t="inlineStr"/>
      <c r="AD250" s="164" t="n">
        <v>0</v>
      </c>
      <c r="AE250" s="185" t="n">
        <v>0</v>
      </c>
      <c r="AG250" s="167" t="inlineStr">
        <is>
          <t>7218|JA2582_1001</t>
        </is>
      </c>
      <c r="AH250" s="46">
        <f>IF(M250=0,"-",M250-J250)</f>
        <v/>
      </c>
      <c r="AI250" s="46">
        <f>IF(AND(S250=0,M250&gt;0,L250=0),IF(AH250&gt;=120,"VERY HIGH",IF(AH250&gt;=90,"HIGH",IF(AH250&gt;=60,"MEDIUM",IF(AH250&lt;60,"LOW")))),"-")</f>
        <v/>
      </c>
      <c r="AJ250" s="12" t="n"/>
      <c r="AK250" s="41">
        <f>IF(AND(W250="X",M250&lt;=$AJ$2),"YES","")</f>
        <v/>
      </c>
      <c r="AL250" s="38">
        <f>IF(AND(W250="X",M250&lt;=$AJ$2),S250,"")</f>
        <v/>
      </c>
      <c r="AM250" s="26">
        <f>IF(AND(W250="X",M250&gt;$AJ$2),"YES","")</f>
        <v/>
      </c>
      <c r="AN250" s="89">
        <f>IF(AND(W250="X",M250&gt;$AJ$2),S250,"")</f>
        <v/>
      </c>
      <c r="AO250" s="35">
        <f>IF(AND(W250="",M250&gt;0,$AJ$2&gt;M250,L250=""),1,0)</f>
        <v/>
      </c>
      <c r="AP250" s="26">
        <f>IF(AND(AK250="YES",W250="X"),"X","")</f>
        <v/>
      </c>
      <c r="AQ250" s="28">
        <f>IF(AP250="X",100%,0%)</f>
        <v/>
      </c>
      <c r="AR250" s="25">
        <f>IF(AND(T250&gt;0,L250=""),H250,"")</f>
        <v/>
      </c>
      <c r="AS250" s="25">
        <f>IF(AND(D250&gt;0,H250=0,G250=""),1,"")</f>
        <v/>
      </c>
      <c r="AT250" s="25">
        <f>IF(G250="BLOQ",1,"")</f>
        <v/>
      </c>
      <c r="AU250" s="25">
        <f>IF(L250="BLOQ",1,"")</f>
        <v/>
      </c>
      <c r="AV250" s="25">
        <f>MONTH(F250)</f>
        <v/>
      </c>
      <c r="AW250" s="65">
        <f>IF(AP250="",100%,0%)</f>
        <v/>
      </c>
      <c r="AX250" s="23" t="n"/>
      <c r="AY250" s="24">
        <f>IF(M250=0,"",M250-$AX$2)</f>
        <v/>
      </c>
      <c r="AZ250" s="66">
        <f>IF(AND(W250="",AY250&gt;0,AY250&lt;15),1,0)</f>
        <v/>
      </c>
      <c r="BA250" s="24">
        <f>IF(AND(W250="",AY250&gt;0,AY250&lt;15),T250,"")</f>
        <v/>
      </c>
      <c r="BB250" s="87">
        <f>IF(R250&lt;Q250,"X","")</f>
        <v/>
      </c>
      <c r="BC250" s="190" t="inlineStr">
        <is>
          <t>NO</t>
        </is>
      </c>
      <c r="BD250" s="190" t="inlineStr">
        <is>
          <t>NO</t>
        </is>
      </c>
    </row>
    <row r="251" ht="15" customHeight="1" s="162">
      <c r="A251" s="7" t="n">
        <v>250</v>
      </c>
      <c r="B251" t="inlineStr">
        <is>
          <t>26121616</t>
        </is>
      </c>
      <c r="C251" t="inlineStr">
        <is>
          <t>Cable telef&amp;#243;nico Decelect, 2 pares,</t>
        </is>
      </c>
      <c r="D251" t="inlineStr">
        <is>
          <t>1101823384</t>
        </is>
      </c>
      <c r="E251" t="inlineStr">
        <is>
          <t>2</t>
        </is>
      </c>
      <c r="F251" s="163" t="n">
        <v>45670</v>
      </c>
      <c r="G251" t="inlineStr"/>
      <c r="H251" t="inlineStr">
        <is>
          <t>4800002813</t>
        </is>
      </c>
      <c r="I251" t="inlineStr">
        <is>
          <t>70</t>
        </is>
      </c>
      <c r="J251" s="163" t="n">
        <v>45668</v>
      </c>
      <c r="K251" s="163" t="inlineStr"/>
      <c r="L251" t="inlineStr"/>
      <c r="M251" s="163" t="n">
        <v>45671</v>
      </c>
      <c r="N251" s="164" t="n">
        <v>0</v>
      </c>
      <c r="O251" s="164" t="n">
        <v>0</v>
      </c>
      <c r="P251" t="inlineStr"/>
      <c r="Q251" s="165" t="n">
        <v>1</v>
      </c>
      <c r="R251" s="165" t="n">
        <v>1</v>
      </c>
      <c r="S251" s="165" t="n">
        <v>1</v>
      </c>
      <c r="T251" s="165" t="n">
        <v>0</v>
      </c>
      <c r="U251" s="166" t="n">
        <v>0</v>
      </c>
      <c r="V251" s="166" t="n">
        <v>0</v>
      </c>
      <c r="W251" t="inlineStr">
        <is>
          <t>X</t>
        </is>
      </c>
      <c r="X251" t="inlineStr">
        <is>
          <t>0.00</t>
        </is>
      </c>
      <c r="Y251" t="inlineStr"/>
      <c r="Z251" t="inlineStr">
        <is>
          <t>AMIDATA, S.A.</t>
        </is>
      </c>
      <c r="AA251" t="inlineStr"/>
      <c r="AB251" t="inlineStr">
        <is>
          <t>5185667</t>
        </is>
      </c>
      <c r="AC251" t="inlineStr"/>
      <c r="AD251" s="164" t="n">
        <v>0</v>
      </c>
      <c r="AE251" s="185" t="n">
        <v>0</v>
      </c>
      <c r="AG251" s="167" t="inlineStr">
        <is>
          <t>7218|JA2582_1001</t>
        </is>
      </c>
      <c r="AH251" s="46">
        <f>IF(M251=0,"-",M251-J251)</f>
        <v/>
      </c>
      <c r="AI251" s="46">
        <f>IF(AND(S251=0,M251&gt;0,L251=0),IF(AH251&gt;=120,"VERY HIGH",IF(AH251&gt;=90,"HIGH",IF(AH251&gt;=60,"MEDIUM",IF(AH251&lt;60,"LOW")))),"-")</f>
        <v/>
      </c>
      <c r="AJ251" s="12" t="n"/>
      <c r="AK251" s="41">
        <f>IF(AND(W251="X",M251&lt;=$AJ$2),"YES","")</f>
        <v/>
      </c>
      <c r="AL251" s="38">
        <f>IF(AND(W251="X",M251&lt;=$AJ$2),S251,"")</f>
        <v/>
      </c>
      <c r="AM251" s="26">
        <f>IF(AND(W251="X",M251&gt;$AJ$2),"YES","")</f>
        <v/>
      </c>
      <c r="AN251" s="89">
        <f>IF(AND(W251="X",M251&gt;$AJ$2),S251,"")</f>
        <v/>
      </c>
      <c r="AO251" s="35">
        <f>IF(AND(W251="",M251&gt;0,$AJ$2&gt;M251,L251=""),1,0)</f>
        <v/>
      </c>
      <c r="AP251" s="26">
        <f>IF(AND(AK251="YES",W251="X"),"X","")</f>
        <v/>
      </c>
      <c r="AQ251" s="28">
        <f>IF(AP251="X",100%,0%)</f>
        <v/>
      </c>
      <c r="AR251" s="25">
        <f>IF(AND(T251&gt;0,L251=""),H251,"")</f>
        <v/>
      </c>
      <c r="AS251" s="25">
        <f>IF(AND(D251&gt;0,H251=0,G251=""),1,"")</f>
        <v/>
      </c>
      <c r="AT251" s="25">
        <f>IF(G251="BLOQ",1,"")</f>
        <v/>
      </c>
      <c r="AU251" s="25">
        <f>IF(L251="BLOQ",1,"")</f>
        <v/>
      </c>
      <c r="AV251" s="25">
        <f>MONTH(F251)</f>
        <v/>
      </c>
      <c r="AW251" s="65">
        <f>IF(AP251="",100%,0%)</f>
        <v/>
      </c>
      <c r="AX251" s="23" t="n"/>
      <c r="AY251" s="24">
        <f>IF(M251=0,"",M251-$AX$2)</f>
        <v/>
      </c>
      <c r="AZ251" s="66">
        <f>IF(AND(W251="",AY251&gt;0,AY251&lt;15),1,0)</f>
        <v/>
      </c>
      <c r="BA251" s="24">
        <f>IF(AND(W251="",AY251&gt;0,AY251&lt;15),T251,"")</f>
        <v/>
      </c>
      <c r="BB251" s="87">
        <f>IF(R251&lt;Q251,"X","")</f>
        <v/>
      </c>
      <c r="BC251" s="190" t="inlineStr">
        <is>
          <t>NO</t>
        </is>
      </c>
      <c r="BD251" s="190" t="inlineStr">
        <is>
          <t>NO</t>
        </is>
      </c>
    </row>
    <row r="252" ht="15" customHeight="1" s="162">
      <c r="A252" s="7" t="n">
        <v>251</v>
      </c>
      <c r="B252" t="inlineStr">
        <is>
          <t>39121432</t>
        </is>
      </c>
      <c r="C252" t="inlineStr">
        <is>
          <t>Terminal redondo aislado de Cobre TE Con</t>
        </is>
      </c>
      <c r="D252" t="inlineStr">
        <is>
          <t>1101823384</t>
        </is>
      </c>
      <c r="E252" t="inlineStr">
        <is>
          <t>3</t>
        </is>
      </c>
      <c r="F252" s="163" t="n">
        <v>45670</v>
      </c>
      <c r="G252" t="inlineStr"/>
      <c r="H252" t="inlineStr">
        <is>
          <t>4800002813</t>
        </is>
      </c>
      <c r="I252" t="inlineStr">
        <is>
          <t>80</t>
        </is>
      </c>
      <c r="J252" s="163" t="n">
        <v>45668</v>
      </c>
      <c r="K252" s="163" t="inlineStr"/>
      <c r="L252" t="inlineStr"/>
      <c r="M252" s="163" t="n">
        <v>45671</v>
      </c>
      <c r="N252" s="164" t="n">
        <v>0</v>
      </c>
      <c r="O252" s="164" t="n">
        <v>0</v>
      </c>
      <c r="P252" t="inlineStr"/>
      <c r="Q252" s="165" t="n">
        <v>100</v>
      </c>
      <c r="R252" s="165" t="n">
        <v>100</v>
      </c>
      <c r="S252" s="165" t="n">
        <v>100</v>
      </c>
      <c r="T252" s="165" t="n">
        <v>0</v>
      </c>
      <c r="U252" s="166" t="n">
        <v>0</v>
      </c>
      <c r="V252" s="166" t="n">
        <v>0</v>
      </c>
      <c r="W252" t="inlineStr">
        <is>
          <t>X</t>
        </is>
      </c>
      <c r="X252" t="inlineStr">
        <is>
          <t>0.00</t>
        </is>
      </c>
      <c r="Y252" t="inlineStr"/>
      <c r="Z252" t="inlineStr">
        <is>
          <t>AMIDATA, S.A.</t>
        </is>
      </c>
      <c r="AA252" t="inlineStr"/>
      <c r="AB252" t="inlineStr">
        <is>
          <t>4574000</t>
        </is>
      </c>
      <c r="AC252" t="inlineStr"/>
      <c r="AD252" s="164" t="n">
        <v>0</v>
      </c>
      <c r="AE252" s="185" t="n">
        <v>0</v>
      </c>
      <c r="AG252" s="167" t="inlineStr">
        <is>
          <t>7218|JA2582_1001</t>
        </is>
      </c>
      <c r="AH252" s="46">
        <f>IF(M252=0,"-",M252-J252)</f>
        <v/>
      </c>
      <c r="AI252" s="46">
        <f>IF(AND(S252=0,M252&gt;0,L252=0),IF(AH252&gt;=120,"VERY HIGH",IF(AH252&gt;=90,"HIGH",IF(AH252&gt;=60,"MEDIUM",IF(AH252&lt;60,"LOW")))),"-")</f>
        <v/>
      </c>
      <c r="AJ252" s="12" t="n"/>
      <c r="AK252" s="41">
        <f>IF(AND(W252="X",M252&lt;=$AJ$2),"YES","")</f>
        <v/>
      </c>
      <c r="AL252" s="38">
        <f>IF(AND(W252="X",M252&lt;=$AJ$2),S252,"")</f>
        <v/>
      </c>
      <c r="AM252" s="26">
        <f>IF(AND(W252="X",M252&gt;$AJ$2),"YES","")</f>
        <v/>
      </c>
      <c r="AN252" s="89">
        <f>IF(AND(W252="X",M252&gt;$AJ$2),S252,"")</f>
        <v/>
      </c>
      <c r="AO252" s="35">
        <f>IF(AND(W252="",M252&gt;0,$AJ$2&gt;M252,L252=""),1,0)</f>
        <v/>
      </c>
      <c r="AP252" s="26">
        <f>IF(AND(AK252="YES",W252="X"),"X","")</f>
        <v/>
      </c>
      <c r="AQ252" s="28">
        <f>IF(AP252="X",100%,0%)</f>
        <v/>
      </c>
      <c r="AR252" s="25">
        <f>IF(AND(T252&gt;0,L252=""),H252,"")</f>
        <v/>
      </c>
      <c r="AS252" s="25">
        <f>IF(AND(D252&gt;0,H252=0,G252=""),1,"")</f>
        <v/>
      </c>
      <c r="AT252" s="25">
        <f>IF(G252="BLOQ",1,"")</f>
        <v/>
      </c>
      <c r="AU252" s="25">
        <f>IF(L252="BLOQ",1,"")</f>
        <v/>
      </c>
      <c r="AV252" s="25">
        <f>MONTH(F252)</f>
        <v/>
      </c>
      <c r="AW252" s="65">
        <f>IF(AP252="",100%,0%)</f>
        <v/>
      </c>
      <c r="AX252" s="23" t="n"/>
      <c r="AY252" s="24">
        <f>IF(M252=0,"",M252-$AX$2)</f>
        <v/>
      </c>
      <c r="AZ252" s="66">
        <f>IF(AND(W252="",AY252&gt;0,AY252&lt;15),1,0)</f>
        <v/>
      </c>
      <c r="BA252" s="24">
        <f>IF(AND(W252="",AY252&gt;0,AY252&lt;15),T252,"")</f>
        <v/>
      </c>
      <c r="BB252" s="87">
        <f>IF(R252&lt;Q252,"X","")</f>
        <v/>
      </c>
      <c r="BC252" s="190" t="inlineStr">
        <is>
          <t>NO</t>
        </is>
      </c>
      <c r="BD252" s="190" t="inlineStr">
        <is>
          <t>NO</t>
        </is>
      </c>
    </row>
    <row r="253" ht="15" customHeight="1" s="162">
      <c r="A253" s="7" t="n">
        <v>252</v>
      </c>
      <c r="B253" t="inlineStr">
        <is>
          <t>39121432</t>
        </is>
      </c>
      <c r="C253" t="inlineStr">
        <is>
          <t>Terminal redondo aislado de Cobre RS PRO</t>
        </is>
      </c>
      <c r="D253" t="inlineStr">
        <is>
          <t>1101823384</t>
        </is>
      </c>
      <c r="E253" t="inlineStr">
        <is>
          <t>4</t>
        </is>
      </c>
      <c r="F253" s="163" t="n">
        <v>45670</v>
      </c>
      <c r="G253" t="inlineStr"/>
      <c r="H253" t="inlineStr">
        <is>
          <t>4800002813</t>
        </is>
      </c>
      <c r="I253" t="inlineStr">
        <is>
          <t>90</t>
        </is>
      </c>
      <c r="J253" s="163" t="n">
        <v>45668</v>
      </c>
      <c r="K253" s="163" t="inlineStr"/>
      <c r="L253" t="inlineStr"/>
      <c r="M253" s="163" t="n">
        <v>45671</v>
      </c>
      <c r="N253" s="164" t="n">
        <v>0</v>
      </c>
      <c r="O253" s="164" t="n">
        <v>0</v>
      </c>
      <c r="P253" t="inlineStr"/>
      <c r="Q253" s="165" t="n">
        <v>100</v>
      </c>
      <c r="R253" s="165" t="n">
        <v>100</v>
      </c>
      <c r="S253" s="165" t="n">
        <v>100</v>
      </c>
      <c r="T253" s="165" t="n">
        <v>0</v>
      </c>
      <c r="U253" s="166" t="n">
        <v>0</v>
      </c>
      <c r="V253" s="166" t="n">
        <v>0</v>
      </c>
      <c r="W253" t="inlineStr">
        <is>
          <t>X</t>
        </is>
      </c>
      <c r="X253" t="inlineStr">
        <is>
          <t>0.00</t>
        </is>
      </c>
      <c r="Y253" t="inlineStr"/>
      <c r="Z253" t="inlineStr">
        <is>
          <t>AMIDATA, S.A.</t>
        </is>
      </c>
      <c r="AA253" t="inlineStr"/>
      <c r="AB253" t="inlineStr">
        <is>
          <t>2673739</t>
        </is>
      </c>
      <c r="AC253" t="inlineStr"/>
      <c r="AD253" s="164" t="n">
        <v>0</v>
      </c>
      <c r="AE253" s="185" t="n">
        <v>0</v>
      </c>
      <c r="AG253" s="167" t="inlineStr">
        <is>
          <t>7218|JA2582_1001</t>
        </is>
      </c>
      <c r="AH253" s="46">
        <f>IF(M253=0,"-",M253-J253)</f>
        <v/>
      </c>
      <c r="AI253" s="46">
        <f>IF(AND(S253=0,M253&gt;0,L253=0),IF(AH253&gt;=120,"VERY HIGH",IF(AH253&gt;=90,"HIGH",IF(AH253&gt;=60,"MEDIUM",IF(AH253&lt;60,"LOW")))),"-")</f>
        <v/>
      </c>
      <c r="AJ253" s="12" t="n"/>
      <c r="AK253" s="41">
        <f>IF(AND(W253="X",M253&lt;=$AJ$2),"YES","")</f>
        <v/>
      </c>
      <c r="AL253" s="38">
        <f>IF(AND(W253="X",M253&lt;=$AJ$2),S253,"")</f>
        <v/>
      </c>
      <c r="AM253" s="26">
        <f>IF(AND(W253="X",M253&gt;$AJ$2),"YES","")</f>
        <v/>
      </c>
      <c r="AN253" s="89">
        <f>IF(AND(W253="X",M253&gt;$AJ$2),S253,"")</f>
        <v/>
      </c>
      <c r="AO253" s="35">
        <f>IF(AND(W253="",M253&gt;0,$AJ$2&gt;M253,L253=""),1,0)</f>
        <v/>
      </c>
      <c r="AP253" s="26">
        <f>IF(AND(AK253="YES",W253="X"),"X","")</f>
        <v/>
      </c>
      <c r="AQ253" s="28">
        <f>IF(AP253="X",100%,0%)</f>
        <v/>
      </c>
      <c r="AR253" s="25">
        <f>IF(AND(T253&gt;0,L253=""),H253,"")</f>
        <v/>
      </c>
      <c r="AS253" s="25">
        <f>IF(AND(D253&gt;0,H253=0,G253=""),1,"")</f>
        <v/>
      </c>
      <c r="AT253" s="25">
        <f>IF(G253="BLOQ",1,"")</f>
        <v/>
      </c>
      <c r="AU253" s="25">
        <f>IF(L253="BLOQ",1,"")</f>
        <v/>
      </c>
      <c r="AV253" s="25">
        <f>MONTH(F253)</f>
        <v/>
      </c>
      <c r="AW253" s="65">
        <f>IF(AP253="",100%,0%)</f>
        <v/>
      </c>
      <c r="AX253" s="23" t="n"/>
      <c r="AY253" s="24">
        <f>IF(M253=0,"",M253-$AX$2)</f>
        <v/>
      </c>
      <c r="AZ253" s="66">
        <f>IF(AND(W253="",AY253&gt;0,AY253&lt;15),1,0)</f>
        <v/>
      </c>
      <c r="BA253" s="24">
        <f>IF(AND(W253="",AY253&gt;0,AY253&lt;15),T253,"")</f>
        <v/>
      </c>
      <c r="BB253" s="87">
        <f>IF(R253&lt;Q253,"X","")</f>
        <v/>
      </c>
      <c r="BC253" s="190" t="inlineStr">
        <is>
          <t>NO</t>
        </is>
      </c>
      <c r="BD253" s="190" t="inlineStr">
        <is>
          <t>NO</t>
        </is>
      </c>
    </row>
    <row r="254" ht="15" customHeight="1" s="162">
      <c r="A254" s="7" t="n">
        <v>253</v>
      </c>
      <c r="B254" t="inlineStr">
        <is>
          <t>39121405</t>
        </is>
      </c>
      <c r="C254" t="inlineStr">
        <is>
          <t>Terminal redondo tubular no aislado de C</t>
        </is>
      </c>
      <c r="D254" t="inlineStr">
        <is>
          <t>1101823384</t>
        </is>
      </c>
      <c r="E254" t="inlineStr">
        <is>
          <t>5</t>
        </is>
      </c>
      <c r="F254" s="163" t="n">
        <v>45670</v>
      </c>
      <c r="G254" t="inlineStr"/>
      <c r="H254" t="inlineStr">
        <is>
          <t>4800002813</t>
        </is>
      </c>
      <c r="I254" t="inlineStr">
        <is>
          <t>100</t>
        </is>
      </c>
      <c r="J254" s="163" t="n">
        <v>45668</v>
      </c>
      <c r="K254" s="163" t="inlineStr"/>
      <c r="L254" t="inlineStr"/>
      <c r="M254" s="163" t="n">
        <v>45671</v>
      </c>
      <c r="N254" s="164" t="n">
        <v>0</v>
      </c>
      <c r="O254" s="164" t="n">
        <v>0</v>
      </c>
      <c r="P254" t="inlineStr"/>
      <c r="Q254" s="165" t="n">
        <v>50</v>
      </c>
      <c r="R254" s="165" t="n">
        <v>50</v>
      </c>
      <c r="S254" s="165" t="n">
        <v>50</v>
      </c>
      <c r="T254" s="165" t="n">
        <v>0</v>
      </c>
      <c r="U254" s="166" t="n">
        <v>0</v>
      </c>
      <c r="V254" s="166" t="n">
        <v>0</v>
      </c>
      <c r="W254" t="inlineStr">
        <is>
          <t>X</t>
        </is>
      </c>
      <c r="X254" t="inlineStr">
        <is>
          <t>0.00</t>
        </is>
      </c>
      <c r="Y254" t="inlineStr"/>
      <c r="Z254" t="inlineStr">
        <is>
          <t>AMIDATA, S.A.</t>
        </is>
      </c>
      <c r="AA254" t="inlineStr"/>
      <c r="AB254" t="inlineStr">
        <is>
          <t>0531071</t>
        </is>
      </c>
      <c r="AC254" t="inlineStr"/>
      <c r="AD254" s="164" t="n">
        <v>0</v>
      </c>
      <c r="AE254" s="185" t="n">
        <v>0</v>
      </c>
      <c r="AG254" s="167" t="inlineStr">
        <is>
          <t>7218|JA2582_1001</t>
        </is>
      </c>
      <c r="AH254" s="46">
        <f>IF(M254=0,"-",M254-J254)</f>
        <v/>
      </c>
      <c r="AI254" s="46">
        <f>IF(AND(S254=0,M254&gt;0,L254=0),IF(AH254&gt;=120,"VERY HIGH",IF(AH254&gt;=90,"HIGH",IF(AH254&gt;=60,"MEDIUM",IF(AH254&lt;60,"LOW")))),"-")</f>
        <v/>
      </c>
      <c r="AJ254" s="12" t="n"/>
      <c r="AK254" s="41">
        <f>IF(AND(W254="X",M254&lt;=$AJ$2),"YES","")</f>
        <v/>
      </c>
      <c r="AL254" s="38">
        <f>IF(AND(W254="X",M254&lt;=$AJ$2),S254,"")</f>
        <v/>
      </c>
      <c r="AM254" s="26">
        <f>IF(AND(W254="X",M254&gt;$AJ$2),"YES","")</f>
        <v/>
      </c>
      <c r="AN254" s="89">
        <f>IF(AND(W254="X",M254&gt;$AJ$2),S254,"")</f>
        <v/>
      </c>
      <c r="AO254" s="35">
        <f>IF(AND(W254="",M254&gt;0,$AJ$2&gt;M254,L254=""),1,0)</f>
        <v/>
      </c>
      <c r="AP254" s="26">
        <f>IF(AND(AK254="YES",W254="X"),"X","")</f>
        <v/>
      </c>
      <c r="AQ254" s="28">
        <f>IF(AP254="X",100%,0%)</f>
        <v/>
      </c>
      <c r="AR254" s="25">
        <f>IF(AND(T254&gt;0,L254=""),H254,"")</f>
        <v/>
      </c>
      <c r="AS254" s="25">
        <f>IF(AND(D254&gt;0,H254=0,G254=""),1,"")</f>
        <v/>
      </c>
      <c r="AT254" s="25">
        <f>IF(G254="BLOQ",1,"")</f>
        <v/>
      </c>
      <c r="AU254" s="25">
        <f>IF(L254="BLOQ",1,"")</f>
        <v/>
      </c>
      <c r="AV254" s="25">
        <f>MONTH(F254)</f>
        <v/>
      </c>
      <c r="AW254" s="65">
        <f>IF(AP254="",100%,0%)</f>
        <v/>
      </c>
      <c r="AX254" s="23" t="n"/>
      <c r="AY254" s="24">
        <f>IF(M254=0,"",M254-$AX$2)</f>
        <v/>
      </c>
      <c r="AZ254" s="66">
        <f>IF(AND(W254="",AY254&gt;0,AY254&lt;15),1,0)</f>
        <v/>
      </c>
      <c r="BA254" s="24">
        <f>IF(AND(W254="",AY254&gt;0,AY254&lt;15),T254,"")</f>
        <v/>
      </c>
      <c r="BB254" s="87">
        <f>IF(R254&lt;Q254,"X","")</f>
        <v/>
      </c>
      <c r="BC254" s="190" t="inlineStr">
        <is>
          <t>NO</t>
        </is>
      </c>
      <c r="BD254" s="190" t="inlineStr">
        <is>
          <t>NO</t>
        </is>
      </c>
    </row>
    <row r="255" ht="15" customHeight="1" s="162">
      <c r="A255" s="7" t="n">
        <v>254</v>
      </c>
      <c r="B255" t="inlineStr">
        <is>
          <t>39121412</t>
        </is>
      </c>
      <c r="C255" t="inlineStr">
        <is>
          <t>Carcasa de conector circular Amphenol Li</t>
        </is>
      </c>
      <c r="D255" t="inlineStr">
        <is>
          <t>1101823384</t>
        </is>
      </c>
      <c r="E255" t="inlineStr">
        <is>
          <t>6</t>
        </is>
      </c>
      <c r="F255" s="163" t="n">
        <v>45670</v>
      </c>
      <c r="G255" t="inlineStr"/>
      <c r="H255" t="inlineStr">
        <is>
          <t>4800002813</t>
        </is>
      </c>
      <c r="I255" t="inlineStr">
        <is>
          <t>110</t>
        </is>
      </c>
      <c r="J255" s="163" t="n">
        <v>45668</v>
      </c>
      <c r="K255" s="163" t="inlineStr"/>
      <c r="L255" t="inlineStr"/>
      <c r="M255" s="163" t="n">
        <v>45671</v>
      </c>
      <c r="N255" s="164" t="n">
        <v>0</v>
      </c>
      <c r="O255" s="164" t="n">
        <v>0</v>
      </c>
      <c r="P255" t="inlineStr"/>
      <c r="Q255" s="165" t="n">
        <v>2</v>
      </c>
      <c r="R255" s="165" t="n">
        <v>2</v>
      </c>
      <c r="S255" s="165" t="n">
        <v>2</v>
      </c>
      <c r="T255" s="165" t="n">
        <v>0</v>
      </c>
      <c r="U255" s="166" t="n">
        <v>0</v>
      </c>
      <c r="V255" s="166" t="n">
        <v>0</v>
      </c>
      <c r="W255" t="inlineStr">
        <is>
          <t>X</t>
        </is>
      </c>
      <c r="X255" t="inlineStr">
        <is>
          <t>0.00</t>
        </is>
      </c>
      <c r="Y255" t="inlineStr"/>
      <c r="Z255" t="inlineStr">
        <is>
          <t>AMIDATA, S.A.</t>
        </is>
      </c>
      <c r="AA255" t="inlineStr"/>
      <c r="AB255" t="inlineStr">
        <is>
          <t>2067532</t>
        </is>
      </c>
      <c r="AC255" t="inlineStr"/>
      <c r="AD255" s="164" t="n">
        <v>0</v>
      </c>
      <c r="AE255" s="185" t="n">
        <v>0</v>
      </c>
      <c r="AG255" s="167" t="inlineStr">
        <is>
          <t>7218|JA2582_1001</t>
        </is>
      </c>
      <c r="AH255" s="46">
        <f>IF(M255=0,"-",M255-J255)</f>
        <v/>
      </c>
      <c r="AI255" s="46">
        <f>IF(AND(S255=0,M255&gt;0,L255=0),IF(AH255&gt;=120,"VERY HIGH",IF(AH255&gt;=90,"HIGH",IF(AH255&gt;=60,"MEDIUM",IF(AH255&lt;60,"LOW")))),"-")</f>
        <v/>
      </c>
      <c r="AJ255" s="12" t="n"/>
      <c r="AK255" s="41">
        <f>IF(AND(W255="X",M255&lt;=$AJ$2),"YES","")</f>
        <v/>
      </c>
      <c r="AL255" s="38">
        <f>IF(AND(W255="X",M255&lt;=$AJ$2),S255,"")</f>
        <v/>
      </c>
      <c r="AM255" s="26">
        <f>IF(AND(W255="X",M255&gt;$AJ$2),"YES","")</f>
        <v/>
      </c>
      <c r="AN255" s="89">
        <f>IF(AND(W255="X",M255&gt;$AJ$2),S255,"")</f>
        <v/>
      </c>
      <c r="AO255" s="35">
        <f>IF(AND(W255="",M255&gt;0,$AJ$2&gt;M255,L255=""),1,0)</f>
        <v/>
      </c>
      <c r="AP255" s="26">
        <f>IF(AND(AK255="YES",W255="X"),"X","")</f>
        <v/>
      </c>
      <c r="AQ255" s="28">
        <f>IF(AP255="X",100%,0%)</f>
        <v/>
      </c>
      <c r="AR255" s="25">
        <f>IF(AND(T255&gt;0,L255=""),H255,"")</f>
        <v/>
      </c>
      <c r="AS255" s="25">
        <f>IF(AND(D255&gt;0,H255=0,G255=""),1,"")</f>
        <v/>
      </c>
      <c r="AT255" s="25">
        <f>IF(G255="BLOQ",1,"")</f>
        <v/>
      </c>
      <c r="AU255" s="25">
        <f>IF(L255="BLOQ",1,"")</f>
        <v/>
      </c>
      <c r="AV255" s="25">
        <f>MONTH(F255)</f>
        <v/>
      </c>
      <c r="AW255" s="65">
        <f>IF(AP255="",100%,0%)</f>
        <v/>
      </c>
      <c r="AX255" s="23" t="n"/>
      <c r="AY255" s="24">
        <f>IF(M255=0,"",M255-$AX$2)</f>
        <v/>
      </c>
      <c r="AZ255" s="66">
        <f>IF(AND(W255="",AY255&gt;0,AY255&lt;15),1,0)</f>
        <v/>
      </c>
      <c r="BA255" s="24">
        <f>IF(AND(W255="",AY255&gt;0,AY255&lt;15),T255,"")</f>
        <v/>
      </c>
      <c r="BB255" s="87">
        <f>IF(R255&lt;Q255,"X","")</f>
        <v/>
      </c>
      <c r="BC255" s="190" t="inlineStr">
        <is>
          <t>NO</t>
        </is>
      </c>
      <c r="BD255" s="190" t="inlineStr">
        <is>
          <t>NO</t>
        </is>
      </c>
    </row>
    <row r="256" ht="15" customHeight="1" s="162">
      <c r="A256" s="7" t="n">
        <v>255</v>
      </c>
      <c r="B256" t="inlineStr">
        <is>
          <t>39121412</t>
        </is>
      </c>
      <c r="C256" t="inlineStr">
        <is>
          <t>Carcasa de conector circular Amphenol Li</t>
        </is>
      </c>
      <c r="D256" t="inlineStr">
        <is>
          <t>1101823384</t>
        </is>
      </c>
      <c r="E256" t="inlineStr">
        <is>
          <t>7</t>
        </is>
      </c>
      <c r="F256" s="163" t="n">
        <v>45670</v>
      </c>
      <c r="G256" t="inlineStr"/>
      <c r="H256" t="inlineStr">
        <is>
          <t>4800002813</t>
        </is>
      </c>
      <c r="I256" t="inlineStr">
        <is>
          <t>120</t>
        </is>
      </c>
      <c r="J256" s="163" t="n">
        <v>45668</v>
      </c>
      <c r="K256" s="163" t="inlineStr"/>
      <c r="L256" t="inlineStr"/>
      <c r="M256" s="163" t="n">
        <v>45671</v>
      </c>
      <c r="N256" s="164" t="n">
        <v>0</v>
      </c>
      <c r="O256" s="164" t="n">
        <v>0</v>
      </c>
      <c r="P256" t="inlineStr"/>
      <c r="Q256" s="165" t="n">
        <v>2</v>
      </c>
      <c r="R256" s="165" t="n">
        <v>2</v>
      </c>
      <c r="S256" s="165" t="n">
        <v>2</v>
      </c>
      <c r="T256" s="165" t="n">
        <v>0</v>
      </c>
      <c r="U256" s="166" t="n">
        <v>0</v>
      </c>
      <c r="V256" s="166" t="n">
        <v>0</v>
      </c>
      <c r="W256" t="inlineStr">
        <is>
          <t>X</t>
        </is>
      </c>
      <c r="X256" t="inlineStr">
        <is>
          <t>0.00</t>
        </is>
      </c>
      <c r="Y256" t="inlineStr"/>
      <c r="Z256" t="inlineStr">
        <is>
          <t>AMIDATA, S.A.</t>
        </is>
      </c>
      <c r="AA256" t="inlineStr"/>
      <c r="AB256" t="inlineStr">
        <is>
          <t>2067529</t>
        </is>
      </c>
      <c r="AC256" t="inlineStr"/>
      <c r="AD256" s="164" t="n">
        <v>0</v>
      </c>
      <c r="AE256" s="185" t="n">
        <v>0</v>
      </c>
      <c r="AG256" s="167" t="inlineStr">
        <is>
          <t>7218|JA2582_1001</t>
        </is>
      </c>
      <c r="AH256" s="46">
        <f>IF(M256=0,"-",M256-J256)</f>
        <v/>
      </c>
      <c r="AI256" s="46">
        <f>IF(AND(S256=0,M256&gt;0,L256=0),IF(AH256&gt;=120,"VERY HIGH",IF(AH256&gt;=90,"HIGH",IF(AH256&gt;=60,"MEDIUM",IF(AH256&lt;60,"LOW")))),"-")</f>
        <v/>
      </c>
      <c r="AJ256" s="12" t="n"/>
      <c r="AK256" s="41">
        <f>IF(AND(W256="X",M256&lt;=$AJ$2),"YES","")</f>
        <v/>
      </c>
      <c r="AL256" s="38">
        <f>IF(AND(W256="X",M256&lt;=$AJ$2),S256,"")</f>
        <v/>
      </c>
      <c r="AM256" s="26">
        <f>IF(AND(W256="X",M256&gt;$AJ$2),"YES","")</f>
        <v/>
      </c>
      <c r="AN256" s="89">
        <f>IF(AND(W256="X",M256&gt;$AJ$2),S256,"")</f>
        <v/>
      </c>
      <c r="AO256" s="35">
        <f>IF(AND(W256="",M256&gt;0,$AJ$2&gt;M256,L256=""),1,0)</f>
        <v/>
      </c>
      <c r="AP256" s="26">
        <f>IF(AND(AK256="YES",W256="X"),"X","")</f>
        <v/>
      </c>
      <c r="AQ256" s="28">
        <f>IF(AP256="X",100%,0%)</f>
        <v/>
      </c>
      <c r="AR256" s="25">
        <f>IF(AND(T256&gt;0,L256=""),H256,"")</f>
        <v/>
      </c>
      <c r="AS256" s="25">
        <f>IF(AND(D256&gt;0,H256=0,G256=""),1,"")</f>
        <v/>
      </c>
      <c r="AT256" s="25">
        <f>IF(G256="BLOQ",1,"")</f>
        <v/>
      </c>
      <c r="AU256" s="25">
        <f>IF(L256="BLOQ",1,"")</f>
        <v/>
      </c>
      <c r="AV256" s="25">
        <f>MONTH(F256)</f>
        <v/>
      </c>
      <c r="AW256" s="65">
        <f>IF(AP256="",100%,0%)</f>
        <v/>
      </c>
      <c r="AX256" s="23" t="n"/>
      <c r="AY256" s="24">
        <f>IF(M256=0,"",M256-$AX$2)</f>
        <v/>
      </c>
      <c r="AZ256" s="66">
        <f>IF(AND(W256="",AY256&gt;0,AY256&lt;15),1,0)</f>
        <v/>
      </c>
      <c r="BA256" s="24">
        <f>IF(AND(W256="",AY256&gt;0,AY256&lt;15),T256,"")</f>
        <v/>
      </c>
      <c r="BB256" s="87">
        <f>IF(R256&lt;Q256,"X","")</f>
        <v/>
      </c>
      <c r="BC256" s="190" t="inlineStr">
        <is>
          <t>NO</t>
        </is>
      </c>
      <c r="BD256" s="190" t="inlineStr">
        <is>
          <t>NO</t>
        </is>
      </c>
    </row>
    <row r="257" ht="15" customHeight="1" s="162">
      <c r="A257" s="7" t="n">
        <v>256</v>
      </c>
      <c r="B257" t="inlineStr">
        <is>
          <t>39121412</t>
        </is>
      </c>
      <c r="C257" t="inlineStr">
        <is>
          <t>Carcasa de conector circular Amphenol Li</t>
        </is>
      </c>
      <c r="D257" t="inlineStr">
        <is>
          <t>1101823384</t>
        </is>
      </c>
      <c r="E257" t="inlineStr">
        <is>
          <t>8</t>
        </is>
      </c>
      <c r="F257" s="163" t="n">
        <v>45670</v>
      </c>
      <c r="G257" t="inlineStr"/>
      <c r="H257" t="inlineStr">
        <is>
          <t>4800002813</t>
        </is>
      </c>
      <c r="I257" t="inlineStr">
        <is>
          <t>130</t>
        </is>
      </c>
      <c r="J257" s="163" t="n">
        <v>45668</v>
      </c>
      <c r="K257" s="163" t="inlineStr"/>
      <c r="L257" t="inlineStr"/>
      <c r="M257" s="163" t="n">
        <v>45671</v>
      </c>
      <c r="N257" s="164" t="n">
        <v>0</v>
      </c>
      <c r="O257" s="164" t="n">
        <v>0</v>
      </c>
      <c r="P257" t="inlineStr"/>
      <c r="Q257" s="165" t="n">
        <v>2</v>
      </c>
      <c r="R257" s="165" t="n">
        <v>2</v>
      </c>
      <c r="S257" s="165" t="n">
        <v>2</v>
      </c>
      <c r="T257" s="165" t="n">
        <v>0</v>
      </c>
      <c r="U257" s="166" t="n">
        <v>0</v>
      </c>
      <c r="V257" s="166" t="n">
        <v>0</v>
      </c>
      <c r="W257" t="inlineStr">
        <is>
          <t>X</t>
        </is>
      </c>
      <c r="X257" t="inlineStr">
        <is>
          <t>0.00</t>
        </is>
      </c>
      <c r="Y257" t="inlineStr"/>
      <c r="Z257" t="inlineStr">
        <is>
          <t>AMIDATA, S.A.</t>
        </is>
      </c>
      <c r="AA257" t="inlineStr"/>
      <c r="AB257" t="inlineStr">
        <is>
          <t>2067523</t>
        </is>
      </c>
      <c r="AC257" t="inlineStr"/>
      <c r="AD257" s="164" t="n">
        <v>0</v>
      </c>
      <c r="AE257" s="185" t="n">
        <v>0</v>
      </c>
      <c r="AG257" s="167" t="inlineStr">
        <is>
          <t>7218|JA2582_1001</t>
        </is>
      </c>
      <c r="AH257" s="46">
        <f>IF(M257=0,"-",M257-J257)</f>
        <v/>
      </c>
      <c r="AI257" s="46">
        <f>IF(AND(S257=0,M257&gt;0,L257=0),IF(AH257&gt;=120,"VERY HIGH",IF(AH257&gt;=90,"HIGH",IF(AH257&gt;=60,"MEDIUM",IF(AH257&lt;60,"LOW")))),"-")</f>
        <v/>
      </c>
      <c r="AJ257" s="12" t="n"/>
      <c r="AK257" s="41">
        <f>IF(AND(W257="X",M257&lt;=$AJ$2),"YES","")</f>
        <v/>
      </c>
      <c r="AL257" s="38">
        <f>IF(AND(W257="X",M257&lt;=$AJ$2),S257,"")</f>
        <v/>
      </c>
      <c r="AM257" s="26">
        <f>IF(AND(W257="X",M257&gt;$AJ$2),"YES","")</f>
        <v/>
      </c>
      <c r="AN257" s="89">
        <f>IF(AND(W257="X",M257&gt;$AJ$2),S257,"")</f>
        <v/>
      </c>
      <c r="AO257" s="35">
        <f>IF(AND(W257="",M257&gt;0,$AJ$2&gt;M257,L257=""),1,0)</f>
        <v/>
      </c>
      <c r="AP257" s="26">
        <f>IF(AND(AK257="YES",W257="X"),"X","")</f>
        <v/>
      </c>
      <c r="AQ257" s="28">
        <f>IF(AP257="X",100%,0%)</f>
        <v/>
      </c>
      <c r="AR257" s="25">
        <f>IF(AND(T257&gt;0,L257=""),H257,"")</f>
        <v/>
      </c>
      <c r="AS257" s="25">
        <f>IF(AND(D257&gt;0,H257=0,G257=""),1,"")</f>
        <v/>
      </c>
      <c r="AT257" s="25">
        <f>IF(G257="BLOQ",1,"")</f>
        <v/>
      </c>
      <c r="AU257" s="25">
        <f>IF(L257="BLOQ",1,"")</f>
        <v/>
      </c>
      <c r="AV257" s="25">
        <f>MONTH(F257)</f>
        <v/>
      </c>
      <c r="AW257" s="65">
        <f>IF(AP257="",100%,0%)</f>
        <v/>
      </c>
      <c r="AX257" s="23" t="n"/>
      <c r="AY257" s="24">
        <f>IF(M257=0,"",M257-$AX$2)</f>
        <v/>
      </c>
      <c r="AZ257" s="66">
        <f>IF(AND(W257="",AY257&gt;0,AY257&lt;15),1,0)</f>
        <v/>
      </c>
      <c r="BA257" s="24">
        <f>IF(AND(W257="",AY257&gt;0,AY257&lt;15),T257,"")</f>
        <v/>
      </c>
      <c r="BB257" s="87">
        <f>IF(R257&lt;Q257,"X","")</f>
        <v/>
      </c>
      <c r="BC257" s="190" t="inlineStr">
        <is>
          <t>NO</t>
        </is>
      </c>
      <c r="BD257" s="190" t="inlineStr">
        <is>
          <t>NO</t>
        </is>
      </c>
    </row>
    <row r="258" ht="15" customHeight="1" s="162">
      <c r="A258" s="7" t="n">
        <v>257</v>
      </c>
      <c r="B258" t="inlineStr">
        <is>
          <t>39121432</t>
        </is>
      </c>
      <c r="C258" t="inlineStr">
        <is>
          <t>Contacto del conector circular Amphenol</t>
        </is>
      </c>
      <c r="D258" t="inlineStr">
        <is>
          <t>1101823384</t>
        </is>
      </c>
      <c r="E258" t="inlineStr">
        <is>
          <t>9</t>
        </is>
      </c>
      <c r="F258" s="163" t="n">
        <v>45670</v>
      </c>
      <c r="G258" t="inlineStr"/>
      <c r="H258" t="inlineStr">
        <is>
          <t>4800002813</t>
        </is>
      </c>
      <c r="I258" t="inlineStr">
        <is>
          <t>140</t>
        </is>
      </c>
      <c r="J258" s="163" t="n">
        <v>45668</v>
      </c>
      <c r="K258" s="163" t="inlineStr"/>
      <c r="L258" t="inlineStr"/>
      <c r="M258" s="163" t="n">
        <v>45671</v>
      </c>
      <c r="N258" s="164" t="n">
        <v>0</v>
      </c>
      <c r="O258" s="164" t="n">
        <v>0</v>
      </c>
      <c r="P258" t="inlineStr"/>
      <c r="Q258" s="165" t="n">
        <v>100</v>
      </c>
      <c r="R258" s="165" t="n">
        <v>100</v>
      </c>
      <c r="S258" s="165" t="n">
        <v>100</v>
      </c>
      <c r="T258" s="165" t="n">
        <v>0</v>
      </c>
      <c r="U258" s="166" t="n">
        <v>0</v>
      </c>
      <c r="V258" s="166" t="n">
        <v>0</v>
      </c>
      <c r="W258" t="inlineStr">
        <is>
          <t>X</t>
        </is>
      </c>
      <c r="X258" t="inlineStr">
        <is>
          <t>0.00</t>
        </is>
      </c>
      <c r="Y258" t="inlineStr"/>
      <c r="Z258" t="inlineStr">
        <is>
          <t>AMIDATA, S.A.</t>
        </is>
      </c>
      <c r="AA258" t="inlineStr"/>
      <c r="AB258" t="inlineStr">
        <is>
          <t>6918897</t>
        </is>
      </c>
      <c r="AC258" t="inlineStr"/>
      <c r="AD258" s="164" t="n">
        <v>0</v>
      </c>
      <c r="AE258" s="185" t="n">
        <v>0</v>
      </c>
      <c r="AG258" s="167" t="inlineStr">
        <is>
          <t>7218|JA2582_1001</t>
        </is>
      </c>
      <c r="AH258" s="46">
        <f>IF(M258=0,"-",M258-J258)</f>
        <v/>
      </c>
      <c r="AI258" s="46">
        <f>IF(AND(S258=0,M258&gt;0,L258=0),IF(AH258&gt;=120,"VERY HIGH",IF(AH258&gt;=90,"HIGH",IF(AH258&gt;=60,"MEDIUM",IF(AH258&lt;60,"LOW")))),"-")</f>
        <v/>
      </c>
      <c r="AJ258" s="12" t="n"/>
      <c r="AK258" s="41">
        <f>IF(AND(W258="X",M258&lt;=$AJ$2),"YES","")</f>
        <v/>
      </c>
      <c r="AL258" s="38">
        <f>IF(AND(W258="X",M258&lt;=$AJ$2),S258,"")</f>
        <v/>
      </c>
      <c r="AM258" s="26">
        <f>IF(AND(W258="X",M258&gt;$AJ$2),"YES","")</f>
        <v/>
      </c>
      <c r="AN258" s="89">
        <f>IF(AND(W258="X",M258&gt;$AJ$2),S258,"")</f>
        <v/>
      </c>
      <c r="AO258" s="35">
        <f>IF(AND(W258="",M258&gt;0,$AJ$2&gt;M258,L258=""),1,0)</f>
        <v/>
      </c>
      <c r="AP258" s="26">
        <f>IF(AND(AK258="YES",W258="X"),"X","")</f>
        <v/>
      </c>
      <c r="AQ258" s="28">
        <f>IF(AP258="X",100%,0%)</f>
        <v/>
      </c>
      <c r="AR258" s="25">
        <f>IF(AND(T258&gt;0,L258=""),H258,"")</f>
        <v/>
      </c>
      <c r="AS258" s="25">
        <f>IF(AND(D258&gt;0,H258=0,G258=""),1,"")</f>
        <v/>
      </c>
      <c r="AT258" s="25">
        <f>IF(G258="BLOQ",1,"")</f>
        <v/>
      </c>
      <c r="AU258" s="25">
        <f>IF(L258="BLOQ",1,"")</f>
        <v/>
      </c>
      <c r="AV258" s="25">
        <f>MONTH(F258)</f>
        <v/>
      </c>
      <c r="AW258" s="65">
        <f>IF(AP258="",100%,0%)</f>
        <v/>
      </c>
      <c r="AX258" s="23" t="n"/>
      <c r="AY258" s="24">
        <f>IF(M258=0,"",M258-$AX$2)</f>
        <v/>
      </c>
      <c r="AZ258" s="66">
        <f>IF(AND(W258="",AY258&gt;0,AY258&lt;15),1,0)</f>
        <v/>
      </c>
      <c r="BA258" s="24">
        <f>IF(AND(W258="",AY258&gt;0,AY258&lt;15),T258,"")</f>
        <v/>
      </c>
      <c r="BB258" s="87">
        <f>IF(R258&lt;Q258,"X","")</f>
        <v/>
      </c>
      <c r="BC258" s="190" t="inlineStr">
        <is>
          <t>NO</t>
        </is>
      </c>
      <c r="BD258" s="190" t="inlineStr">
        <is>
          <t>NO</t>
        </is>
      </c>
    </row>
    <row r="259" ht="15" customHeight="1" s="162">
      <c r="A259" s="7" t="n">
        <v>258</v>
      </c>
      <c r="B259" t="inlineStr">
        <is>
          <t>39121324</t>
        </is>
      </c>
      <c r="C259" t="inlineStr">
        <is>
          <t>Caja de pared ABB SR2 Monobloc de Acero</t>
        </is>
      </c>
      <c r="D259" t="inlineStr">
        <is>
          <t>1101823384</t>
        </is>
      </c>
      <c r="E259" t="inlineStr">
        <is>
          <t>10</t>
        </is>
      </c>
      <c r="F259" s="163" t="n">
        <v>45670</v>
      </c>
      <c r="G259" t="inlineStr"/>
      <c r="H259" t="inlineStr">
        <is>
          <t>4800002813</t>
        </is>
      </c>
      <c r="I259" t="inlineStr">
        <is>
          <t>150</t>
        </is>
      </c>
      <c r="J259" s="163" t="n">
        <v>45668</v>
      </c>
      <c r="K259" s="163" t="inlineStr"/>
      <c r="L259" t="inlineStr"/>
      <c r="M259" s="163" t="n">
        <v>45671</v>
      </c>
      <c r="N259" s="164" t="n">
        <v>0</v>
      </c>
      <c r="O259" s="164" t="n">
        <v>0</v>
      </c>
      <c r="P259" t="inlineStr"/>
      <c r="Q259" s="165" t="n">
        <v>1</v>
      </c>
      <c r="R259" s="165" t="n">
        <v>1</v>
      </c>
      <c r="S259" s="165" t="n">
        <v>1</v>
      </c>
      <c r="T259" s="165" t="n">
        <v>0</v>
      </c>
      <c r="U259" s="166" t="n">
        <v>0</v>
      </c>
      <c r="V259" s="166" t="n">
        <v>0</v>
      </c>
      <c r="W259" t="inlineStr">
        <is>
          <t>X</t>
        </is>
      </c>
      <c r="X259" t="inlineStr">
        <is>
          <t>0.00</t>
        </is>
      </c>
      <c r="Y259" t="inlineStr"/>
      <c r="Z259" t="inlineStr">
        <is>
          <t>AMIDATA, S.A.</t>
        </is>
      </c>
      <c r="AA259" t="inlineStr"/>
      <c r="AB259" t="inlineStr">
        <is>
          <t>7685686</t>
        </is>
      </c>
      <c r="AC259" t="inlineStr"/>
      <c r="AD259" s="164" t="n">
        <v>0</v>
      </c>
      <c r="AE259" s="185" t="n">
        <v>0</v>
      </c>
      <c r="AG259" s="167" t="inlineStr">
        <is>
          <t>7218|JA2582_1001</t>
        </is>
      </c>
      <c r="AH259" s="46">
        <f>IF(M259=0,"-",M259-J259)</f>
        <v/>
      </c>
      <c r="AI259" s="46">
        <f>IF(AND(S259=0,M259&gt;0,L259=0),IF(AH259&gt;=120,"VERY HIGH",IF(AH259&gt;=90,"HIGH",IF(AH259&gt;=60,"MEDIUM",IF(AH259&lt;60,"LOW")))),"-")</f>
        <v/>
      </c>
      <c r="AJ259" s="12" t="n"/>
      <c r="AK259" s="41">
        <f>IF(AND(W259="X",M259&lt;=$AJ$2),"YES","")</f>
        <v/>
      </c>
      <c r="AL259" s="38">
        <f>IF(AND(W259="X",M259&lt;=$AJ$2),S259,"")</f>
        <v/>
      </c>
      <c r="AM259" s="26">
        <f>IF(AND(W259="X",M259&gt;$AJ$2),"YES","")</f>
        <v/>
      </c>
      <c r="AN259" s="89">
        <f>IF(AND(W259="X",M259&gt;$AJ$2),S259,"")</f>
        <v/>
      </c>
      <c r="AO259" s="35">
        <f>IF(AND(W259="",M259&gt;0,$AJ$2&gt;M259,L259=""),1,0)</f>
        <v/>
      </c>
      <c r="AP259" s="26">
        <f>IF(AND(AK259="YES",W259="X"),"X","")</f>
        <v/>
      </c>
      <c r="AQ259" s="28">
        <f>IF(AP259="X",100%,0%)</f>
        <v/>
      </c>
      <c r="AR259" s="25">
        <f>IF(AND(T259&gt;0,L259=""),H259,"")</f>
        <v/>
      </c>
      <c r="AS259" s="25">
        <f>IF(AND(D259&gt;0,H259=0,G259=""),1,"")</f>
        <v/>
      </c>
      <c r="AT259" s="25">
        <f>IF(G259="BLOQ",1,"")</f>
        <v/>
      </c>
      <c r="AU259" s="25">
        <f>IF(L259="BLOQ",1,"")</f>
        <v/>
      </c>
      <c r="AV259" s="25">
        <f>MONTH(F259)</f>
        <v/>
      </c>
      <c r="AW259" s="65">
        <f>IF(AP259="",100%,0%)</f>
        <v/>
      </c>
      <c r="AX259" s="23" t="n"/>
      <c r="AY259" s="24">
        <f>IF(M259=0,"",M259-$AX$2)</f>
        <v/>
      </c>
      <c r="AZ259" s="66">
        <f>IF(AND(W259="",AY259&gt;0,AY259&lt;15),1,0)</f>
        <v/>
      </c>
      <c r="BA259" s="24">
        <f>IF(AND(W259="",AY259&gt;0,AY259&lt;15),T259,"")</f>
        <v/>
      </c>
      <c r="BB259" s="87">
        <f>IF(R259&lt;Q259,"X","")</f>
        <v/>
      </c>
      <c r="BC259" s="190" t="inlineStr">
        <is>
          <t>NO</t>
        </is>
      </c>
      <c r="BD259" s="190" t="inlineStr">
        <is>
          <t>NO</t>
        </is>
      </c>
    </row>
    <row r="260" ht="15" customHeight="1" s="162">
      <c r="A260" s="7" t="n">
        <v>259</v>
      </c>
      <c r="B260" t="inlineStr">
        <is>
          <t>32000000</t>
        </is>
      </c>
      <c r="C260" t="inlineStr">
        <is>
          <t>Conector circular MIL-C-38999 serie III</t>
        </is>
      </c>
      <c r="D260" t="inlineStr">
        <is>
          <t>1101823392</t>
        </is>
      </c>
      <c r="E260" t="inlineStr">
        <is>
          <t>1</t>
        </is>
      </c>
      <c r="F260" s="163" t="n">
        <v>45670</v>
      </c>
      <c r="G260" t="inlineStr"/>
      <c r="H260" t="inlineStr">
        <is>
          <t>4800002813</t>
        </is>
      </c>
      <c r="I260" t="inlineStr">
        <is>
          <t>160</t>
        </is>
      </c>
      <c r="J260" s="163" t="n">
        <v>45668</v>
      </c>
      <c r="K260" s="163" t="inlineStr"/>
      <c r="L260" t="inlineStr"/>
      <c r="M260" s="163" t="n">
        <v>45671</v>
      </c>
      <c r="N260" s="164" t="n">
        <v>0</v>
      </c>
      <c r="O260" s="164" t="n">
        <v>0</v>
      </c>
      <c r="P260" t="inlineStr"/>
      <c r="Q260" s="165" t="n">
        <v>4</v>
      </c>
      <c r="R260" s="165" t="n">
        <v>4</v>
      </c>
      <c r="S260" s="165" t="n">
        <v>4</v>
      </c>
      <c r="T260" s="165" t="n">
        <v>0</v>
      </c>
      <c r="U260" s="166" t="n">
        <v>0</v>
      </c>
      <c r="V260" s="166" t="n">
        <v>0</v>
      </c>
      <c r="W260" t="inlineStr">
        <is>
          <t>X</t>
        </is>
      </c>
      <c r="X260" t="inlineStr">
        <is>
          <t>0.00</t>
        </is>
      </c>
      <c r="Y260" t="inlineStr"/>
      <c r="Z260" t="inlineStr">
        <is>
          <t>AMIDATA, S.A.</t>
        </is>
      </c>
      <c r="AA260" t="inlineStr"/>
      <c r="AB260" t="inlineStr">
        <is>
          <t>2804849</t>
        </is>
      </c>
      <c r="AC260" t="inlineStr"/>
      <c r="AD260" s="164" t="n">
        <v>0</v>
      </c>
      <c r="AE260" s="185" t="n">
        <v>0</v>
      </c>
      <c r="AG260" s="167" t="inlineStr">
        <is>
          <t>7218|JA2583_1001</t>
        </is>
      </c>
      <c r="AH260" s="46">
        <f>IF(M260=0,"-",M260-J260)</f>
        <v/>
      </c>
      <c r="AI260" s="46">
        <f>IF(AND(S260=0,M260&gt;0,L260=0),IF(AH260&gt;=120,"VERY HIGH",IF(AH260&gt;=90,"HIGH",IF(AH260&gt;=60,"MEDIUM",IF(AH260&lt;60,"LOW")))),"-")</f>
        <v/>
      </c>
      <c r="AJ260" s="12" t="n"/>
      <c r="AK260" s="41">
        <f>IF(AND(W260="X",M260&lt;=$AJ$2),"YES","")</f>
        <v/>
      </c>
      <c r="AL260" s="38">
        <f>IF(AND(W260="X",M260&lt;=$AJ$2),S260,"")</f>
        <v/>
      </c>
      <c r="AM260" s="26">
        <f>IF(AND(W260="X",M260&gt;$AJ$2),"YES","")</f>
        <v/>
      </c>
      <c r="AN260" s="89">
        <f>IF(AND(W260="X",M260&gt;$AJ$2),S260,"")</f>
        <v/>
      </c>
      <c r="AO260" s="35">
        <f>IF(AND(W260="",M260&gt;0,$AJ$2&gt;M260,L260=""),1,0)</f>
        <v/>
      </c>
      <c r="AP260" s="26">
        <f>IF(AND(AK260="YES",W260="X"),"X","")</f>
        <v/>
      </c>
      <c r="AQ260" s="28">
        <f>IF(AP260="X",100%,0%)</f>
        <v/>
      </c>
      <c r="AR260" s="25">
        <f>IF(AND(T260&gt;0,L260=""),H260,"")</f>
        <v/>
      </c>
      <c r="AS260" s="25">
        <f>IF(AND(D260&gt;0,H260=0,G260=""),1,"")</f>
        <v/>
      </c>
      <c r="AT260" s="25">
        <f>IF(G260="BLOQ",1,"")</f>
        <v/>
      </c>
      <c r="AU260" s="25">
        <f>IF(L260="BLOQ",1,"")</f>
        <v/>
      </c>
      <c r="AV260" s="25">
        <f>MONTH(F260)</f>
        <v/>
      </c>
      <c r="AW260" s="65">
        <f>IF(AP260="",100%,0%)</f>
        <v/>
      </c>
      <c r="AX260" s="23" t="n"/>
      <c r="AY260" s="24">
        <f>IF(M260=0,"",M260-$AX$2)</f>
        <v/>
      </c>
      <c r="AZ260" s="66">
        <f>IF(AND(W260="",AY260&gt;0,AY260&lt;15),1,0)</f>
        <v/>
      </c>
      <c r="BA260" s="24">
        <f>IF(AND(W260="",AY260&gt;0,AY260&lt;15),T260,"")</f>
        <v/>
      </c>
      <c r="BB260" s="87">
        <f>IF(R260&lt;Q260,"X","")</f>
        <v/>
      </c>
      <c r="BC260" s="190" t="inlineStr">
        <is>
          <t>NO</t>
        </is>
      </c>
      <c r="BD260" s="190" t="inlineStr">
        <is>
          <t>NO</t>
        </is>
      </c>
    </row>
    <row r="261" ht="15" customHeight="1" s="162">
      <c r="A261" s="7" t="n">
        <v>260</v>
      </c>
      <c r="B261" t="inlineStr">
        <is>
          <t>39121415</t>
        </is>
      </c>
      <c r="C261" t="inlineStr">
        <is>
          <t>Conector D-sub FCT from Molex, Serie FL,</t>
        </is>
      </c>
      <c r="D261" t="inlineStr">
        <is>
          <t>1101823431</t>
        </is>
      </c>
      <c r="E261" t="inlineStr">
        <is>
          <t>1</t>
        </is>
      </c>
      <c r="F261" s="163" t="n">
        <v>45670</v>
      </c>
      <c r="G261" t="inlineStr"/>
      <c r="H261" t="inlineStr">
        <is>
          <t>4800002813</t>
        </is>
      </c>
      <c r="I261" t="inlineStr">
        <is>
          <t>180</t>
        </is>
      </c>
      <c r="J261" s="163" t="n">
        <v>45668</v>
      </c>
      <c r="K261" s="163" t="inlineStr"/>
      <c r="L261" t="inlineStr"/>
      <c r="M261" s="163" t="n">
        <v>45671</v>
      </c>
      <c r="N261" s="164" t="n">
        <v>0</v>
      </c>
      <c r="O261" s="164" t="n">
        <v>0</v>
      </c>
      <c r="P261" t="inlineStr"/>
      <c r="Q261" s="165" t="n">
        <v>2</v>
      </c>
      <c r="R261" s="165" t="n">
        <v>2</v>
      </c>
      <c r="S261" s="165" t="n">
        <v>2</v>
      </c>
      <c r="T261" s="165" t="n">
        <v>0</v>
      </c>
      <c r="U261" s="166" t="n">
        <v>0</v>
      </c>
      <c r="V261" s="166" t="n">
        <v>0</v>
      </c>
      <c r="W261" t="inlineStr">
        <is>
          <t>X</t>
        </is>
      </c>
      <c r="X261" t="inlineStr">
        <is>
          <t>0.00</t>
        </is>
      </c>
      <c r="Y261" t="inlineStr"/>
      <c r="Z261" t="inlineStr">
        <is>
          <t>AMIDATA, S.A.</t>
        </is>
      </c>
      <c r="AA261" t="inlineStr"/>
      <c r="AB261" t="inlineStr">
        <is>
          <t>8126368</t>
        </is>
      </c>
      <c r="AC261" t="inlineStr"/>
      <c r="AD261" s="164" t="n">
        <v>0</v>
      </c>
      <c r="AE261" s="185" t="n">
        <v>0</v>
      </c>
      <c r="AG261" s="167" t="inlineStr">
        <is>
          <t>7218|JA2585_1001</t>
        </is>
      </c>
      <c r="AH261" s="46">
        <f>IF(M261=0,"-",M261-J261)</f>
        <v/>
      </c>
      <c r="AI261" s="46">
        <f>IF(AND(S261=0,M261&gt;0,L261=0),IF(AH261&gt;=120,"VERY HIGH",IF(AH261&gt;=90,"HIGH",IF(AH261&gt;=60,"MEDIUM",IF(AH261&lt;60,"LOW")))),"-")</f>
        <v/>
      </c>
      <c r="AJ261" s="12" t="n"/>
      <c r="AK261" s="41">
        <f>IF(AND(W261="X",M261&lt;=$AJ$2),"YES","")</f>
        <v/>
      </c>
      <c r="AL261" s="38">
        <f>IF(AND(W261="X",M261&lt;=$AJ$2),S261,"")</f>
        <v/>
      </c>
      <c r="AM261" s="26">
        <f>IF(AND(W261="X",M261&gt;$AJ$2),"YES","")</f>
        <v/>
      </c>
      <c r="AN261" s="89">
        <f>IF(AND(W261="X",M261&gt;$AJ$2),S261,"")</f>
        <v/>
      </c>
      <c r="AO261" s="35">
        <f>IF(AND(W261="",M261&gt;0,$AJ$2&gt;M261,L261=""),1,0)</f>
        <v/>
      </c>
      <c r="AP261" s="26">
        <f>IF(AND(AK261="YES",W261="X"),"X","")</f>
        <v/>
      </c>
      <c r="AQ261" s="28">
        <f>IF(AP261="X",100%,0%)</f>
        <v/>
      </c>
      <c r="AR261" s="25">
        <f>IF(AND(T261&gt;0,L261=""),H261,"")</f>
        <v/>
      </c>
      <c r="AS261" s="25">
        <f>IF(AND(D261&gt;0,H261=0,G261=""),1,"")</f>
        <v/>
      </c>
      <c r="AT261" s="25">
        <f>IF(G261="BLOQ",1,"")</f>
        <v/>
      </c>
      <c r="AU261" s="25">
        <f>IF(L261="BLOQ",1,"")</f>
        <v/>
      </c>
      <c r="AV261" s="25">
        <f>MONTH(F261)</f>
        <v/>
      </c>
      <c r="AW261" s="65">
        <f>IF(AP261="",100%,0%)</f>
        <v/>
      </c>
      <c r="AX261" s="23" t="n"/>
      <c r="AY261" s="24">
        <f>IF(M261=0,"",M261-$AX$2)</f>
        <v/>
      </c>
      <c r="AZ261" s="66">
        <f>IF(AND(W261="",AY261&gt;0,AY261&lt;15),1,0)</f>
        <v/>
      </c>
      <c r="BA261" s="24">
        <f>IF(AND(W261="",AY261&gt;0,AY261&lt;15),T261,"")</f>
        <v/>
      </c>
      <c r="BB261" s="87">
        <f>IF(R261&lt;Q261,"X","")</f>
        <v/>
      </c>
      <c r="BC261" s="190" t="inlineStr">
        <is>
          <t>NO</t>
        </is>
      </c>
      <c r="BD261" s="190" t="inlineStr">
        <is>
          <t>NO</t>
        </is>
      </c>
    </row>
    <row r="262" ht="15" customHeight="1" s="162">
      <c r="A262" s="7" t="n">
        <v>261</v>
      </c>
      <c r="B262" t="inlineStr">
        <is>
          <t>39121529</t>
        </is>
      </c>
      <c r="C262" t="inlineStr">
        <is>
          <t>Contactor Schneider Electric TeSys D LC1</t>
        </is>
      </c>
      <c r="D262" t="inlineStr">
        <is>
          <t>1101823431</t>
        </is>
      </c>
      <c r="E262" t="inlineStr">
        <is>
          <t>2</t>
        </is>
      </c>
      <c r="F262" s="163" t="n">
        <v>45670</v>
      </c>
      <c r="G262" t="inlineStr"/>
      <c r="H262" t="inlineStr">
        <is>
          <t>4800002813</t>
        </is>
      </c>
      <c r="I262" t="inlineStr">
        <is>
          <t>190</t>
        </is>
      </c>
      <c r="J262" s="163" t="n">
        <v>45668</v>
      </c>
      <c r="K262" s="163" t="inlineStr"/>
      <c r="L262" t="inlineStr"/>
      <c r="M262" s="163" t="n">
        <v>45671</v>
      </c>
      <c r="N262" s="164" t="n">
        <v>0</v>
      </c>
      <c r="O262" s="164" t="n">
        <v>0</v>
      </c>
      <c r="P262" t="inlineStr"/>
      <c r="Q262" s="165" t="n">
        <v>1</v>
      </c>
      <c r="R262" s="165" t="n">
        <v>1</v>
      </c>
      <c r="S262" s="165" t="n">
        <v>1</v>
      </c>
      <c r="T262" s="165" t="n">
        <v>0</v>
      </c>
      <c r="U262" s="166" t="n">
        <v>0</v>
      </c>
      <c r="V262" s="166" t="n">
        <v>0</v>
      </c>
      <c r="W262" t="inlineStr">
        <is>
          <t>X</t>
        </is>
      </c>
      <c r="X262" t="inlineStr">
        <is>
          <t>0.00</t>
        </is>
      </c>
      <c r="Y262" t="inlineStr"/>
      <c r="Z262" t="inlineStr">
        <is>
          <t>AMIDATA, S.A.</t>
        </is>
      </c>
      <c r="AA262" t="inlineStr"/>
      <c r="AB262" t="inlineStr">
        <is>
          <t>7447535</t>
        </is>
      </c>
      <c r="AC262" t="inlineStr"/>
      <c r="AD262" s="164" t="n">
        <v>0</v>
      </c>
      <c r="AE262" s="185" t="n">
        <v>0</v>
      </c>
      <c r="AG262" s="167" t="inlineStr">
        <is>
          <t>7218|JA2585_1001</t>
        </is>
      </c>
      <c r="AH262" s="46">
        <f>IF(M262=0,"-",M262-J262)</f>
        <v/>
      </c>
      <c r="AI262" s="46">
        <f>IF(AND(S262=0,M262&gt;0,L262=0),IF(AH262&gt;=120,"VERY HIGH",IF(AH262&gt;=90,"HIGH",IF(AH262&gt;=60,"MEDIUM",IF(AH262&lt;60,"LOW")))),"-")</f>
        <v/>
      </c>
      <c r="AJ262" s="12" t="n"/>
      <c r="AK262" s="41">
        <f>IF(AND(W262="X",M262&lt;=$AJ$2),"YES","")</f>
        <v/>
      </c>
      <c r="AL262" s="38">
        <f>IF(AND(W262="X",M262&lt;=$AJ$2),S262,"")</f>
        <v/>
      </c>
      <c r="AM262" s="26">
        <f>IF(AND(W262="X",M262&gt;$AJ$2),"YES","")</f>
        <v/>
      </c>
      <c r="AN262" s="89">
        <f>IF(AND(W262="X",M262&gt;$AJ$2),S262,"")</f>
        <v/>
      </c>
      <c r="AO262" s="35">
        <f>IF(AND(W262="",M262&gt;0,$AJ$2&gt;M262,L262=""),1,0)</f>
        <v/>
      </c>
      <c r="AP262" s="26">
        <f>IF(AND(AK262="YES",W262="X"),"X","")</f>
        <v/>
      </c>
      <c r="AQ262" s="28">
        <f>IF(AP262="X",100%,0%)</f>
        <v/>
      </c>
      <c r="AR262" s="25">
        <f>IF(AND(T262&gt;0,L262=""),H262,"")</f>
        <v/>
      </c>
      <c r="AS262" s="25">
        <f>IF(AND(D262&gt;0,H262=0,G262=""),1,"")</f>
        <v/>
      </c>
      <c r="AT262" s="25">
        <f>IF(G262="BLOQ",1,"")</f>
        <v/>
      </c>
      <c r="AU262" s="25">
        <f>IF(L262="BLOQ",1,"")</f>
        <v/>
      </c>
      <c r="AV262" s="25">
        <f>MONTH(F262)</f>
        <v/>
      </c>
      <c r="AW262" s="65">
        <f>IF(AP262="",100%,0%)</f>
        <v/>
      </c>
      <c r="AX262" s="23" t="n"/>
      <c r="AY262" s="24">
        <f>IF(M262=0,"",M262-$AX$2)</f>
        <v/>
      </c>
      <c r="AZ262" s="66">
        <f>IF(AND(W262="",AY262&gt;0,AY262&lt;15),1,0)</f>
        <v/>
      </c>
      <c r="BA262" s="24">
        <f>IF(AND(W262="",AY262&gt;0,AY262&lt;15),T262,"")</f>
        <v/>
      </c>
      <c r="BB262" s="87">
        <f>IF(R262&lt;Q262,"X","")</f>
        <v/>
      </c>
      <c r="BC262" s="190" t="inlineStr">
        <is>
          <t>NO</t>
        </is>
      </c>
      <c r="BD262" s="190" t="inlineStr">
        <is>
          <t>NO</t>
        </is>
      </c>
    </row>
    <row r="263" ht="15" customHeight="1" s="162">
      <c r="A263" s="7" t="n">
        <v>262</v>
      </c>
      <c r="B263" t="inlineStr">
        <is>
          <t>39121603</t>
        </is>
      </c>
      <c r="C263" t="inlineStr">
        <is>
          <t>Interruptor autom&amp;#225;tico 2P, 16A, Cur</t>
        </is>
      </c>
      <c r="D263" t="inlineStr">
        <is>
          <t>1101823431</t>
        </is>
      </c>
      <c r="E263" t="inlineStr">
        <is>
          <t>3</t>
        </is>
      </c>
      <c r="F263" s="163" t="n">
        <v>45670</v>
      </c>
      <c r="G263" t="inlineStr"/>
      <c r="H263" t="inlineStr">
        <is>
          <t>4800002813</t>
        </is>
      </c>
      <c r="I263" t="inlineStr">
        <is>
          <t>200</t>
        </is>
      </c>
      <c r="J263" s="163" t="n">
        <v>45668</v>
      </c>
      <c r="K263" s="163" t="inlineStr"/>
      <c r="L263" t="inlineStr"/>
      <c r="M263" s="163" t="n">
        <v>45671</v>
      </c>
      <c r="N263" s="164" t="n">
        <v>0</v>
      </c>
      <c r="O263" s="164" t="n">
        <v>0</v>
      </c>
      <c r="P263" t="inlineStr"/>
      <c r="Q263" s="165" t="n">
        <v>1</v>
      </c>
      <c r="R263" s="165" t="n">
        <v>1</v>
      </c>
      <c r="S263" s="165" t="n">
        <v>1</v>
      </c>
      <c r="T263" s="165" t="n">
        <v>0</v>
      </c>
      <c r="U263" s="166" t="n">
        <v>0</v>
      </c>
      <c r="V263" s="166" t="n">
        <v>0</v>
      </c>
      <c r="W263" t="inlineStr">
        <is>
          <t>X</t>
        </is>
      </c>
      <c r="X263" t="inlineStr">
        <is>
          <t>0.00</t>
        </is>
      </c>
      <c r="Y263" t="inlineStr"/>
      <c r="Z263" t="inlineStr">
        <is>
          <t>AMIDATA, S.A.</t>
        </is>
      </c>
      <c r="AA263" t="inlineStr"/>
      <c r="AB263" t="inlineStr">
        <is>
          <t>7349664</t>
        </is>
      </c>
      <c r="AC263" t="inlineStr"/>
      <c r="AD263" s="164" t="n">
        <v>0</v>
      </c>
      <c r="AE263" s="185" t="n">
        <v>0</v>
      </c>
      <c r="AG263" s="167" t="inlineStr">
        <is>
          <t>7218|JA2585_1001</t>
        </is>
      </c>
      <c r="AH263" s="46">
        <f>IF(M263=0,"-",M263-J263)</f>
        <v/>
      </c>
      <c r="AI263" s="46">
        <f>IF(AND(S263=0,M263&gt;0,L263=0),IF(AH263&gt;=120,"VERY HIGH",IF(AH263&gt;=90,"HIGH",IF(AH263&gt;=60,"MEDIUM",IF(AH263&lt;60,"LOW")))),"-")</f>
        <v/>
      </c>
      <c r="AJ263" s="12" t="n"/>
      <c r="AK263" s="41">
        <f>IF(AND(W263="X",M263&lt;=$AJ$2),"YES","")</f>
        <v/>
      </c>
      <c r="AL263" s="38">
        <f>IF(AND(W263="X",M263&lt;=$AJ$2),S263,"")</f>
        <v/>
      </c>
      <c r="AM263" s="26">
        <f>IF(AND(W263="X",M263&gt;$AJ$2),"YES","")</f>
        <v/>
      </c>
      <c r="AN263" s="89">
        <f>IF(AND(W263="X",M263&gt;$AJ$2),S263,"")</f>
        <v/>
      </c>
      <c r="AO263" s="35">
        <f>IF(AND(W263="",M263&gt;0,$AJ$2&gt;M263,L263=""),1,0)</f>
        <v/>
      </c>
      <c r="AP263" s="26">
        <f>IF(AND(AK263="YES",W263="X"),"X","")</f>
        <v/>
      </c>
      <c r="AQ263" s="28">
        <f>IF(AP263="X",100%,0%)</f>
        <v/>
      </c>
      <c r="AR263" s="25">
        <f>IF(AND(T263&gt;0,L263=""),H263,"")</f>
        <v/>
      </c>
      <c r="AS263" s="25">
        <f>IF(AND(D263&gt;0,H263=0,G263=""),1,"")</f>
        <v/>
      </c>
      <c r="AT263" s="25">
        <f>IF(G263="BLOQ",1,"")</f>
        <v/>
      </c>
      <c r="AU263" s="25">
        <f>IF(L263="BLOQ",1,"")</f>
        <v/>
      </c>
      <c r="AV263" s="25">
        <f>MONTH(F263)</f>
        <v/>
      </c>
      <c r="AW263" s="65">
        <f>IF(AP263="",100%,0%)</f>
        <v/>
      </c>
      <c r="AX263" s="23" t="n"/>
      <c r="AY263" s="24">
        <f>IF(M263=0,"",M263-$AX$2)</f>
        <v/>
      </c>
      <c r="AZ263" s="66">
        <f>IF(AND(W263="",AY263&gt;0,AY263&lt;15),1,0)</f>
        <v/>
      </c>
      <c r="BA263" s="24">
        <f>IF(AND(W263="",AY263&gt;0,AY263&lt;15),T263,"")</f>
        <v/>
      </c>
      <c r="BB263" s="87">
        <f>IF(R263&lt;Q263,"X","")</f>
        <v/>
      </c>
      <c r="BC263" s="190" t="inlineStr">
        <is>
          <t>NO</t>
        </is>
      </c>
      <c r="BD263" s="190" t="inlineStr">
        <is>
          <t>NO</t>
        </is>
      </c>
    </row>
    <row r="264" ht="15" customHeight="1" s="162">
      <c r="A264" s="7" t="n">
        <v>263</v>
      </c>
      <c r="B264" t="inlineStr">
        <is>
          <t>39121402</t>
        </is>
      </c>
      <c r="C264" t="inlineStr">
        <is>
          <t>Toma Kopp de 2P de color Negro, para Eur</t>
        </is>
      </c>
      <c r="D264" t="inlineStr">
        <is>
          <t>1101823436</t>
        </is>
      </c>
      <c r="E264" t="inlineStr">
        <is>
          <t>1</t>
        </is>
      </c>
      <c r="F264" s="163" t="n">
        <v>45670</v>
      </c>
      <c r="G264" t="inlineStr"/>
      <c r="H264" t="inlineStr">
        <is>
          <t>4800002813</t>
        </is>
      </c>
      <c r="I264" t="inlineStr">
        <is>
          <t>210</t>
        </is>
      </c>
      <c r="J264" s="163" t="n">
        <v>45668</v>
      </c>
      <c r="K264" s="163" t="inlineStr"/>
      <c r="L264" t="inlineStr"/>
      <c r="M264" s="163" t="n">
        <v>45671</v>
      </c>
      <c r="N264" s="164" t="n">
        <v>0</v>
      </c>
      <c r="O264" s="164" t="n">
        <v>0</v>
      </c>
      <c r="P264" t="inlineStr"/>
      <c r="Q264" s="165" t="n">
        <v>1</v>
      </c>
      <c r="R264" s="165" t="n">
        <v>1</v>
      </c>
      <c r="S264" s="165" t="n">
        <v>1</v>
      </c>
      <c r="T264" s="165" t="n">
        <v>0</v>
      </c>
      <c r="U264" s="166" t="n">
        <v>0</v>
      </c>
      <c r="V264" s="166" t="n">
        <v>0</v>
      </c>
      <c r="W264" t="inlineStr">
        <is>
          <t>X</t>
        </is>
      </c>
      <c r="X264" t="inlineStr">
        <is>
          <t>0.00</t>
        </is>
      </c>
      <c r="Y264" t="inlineStr"/>
      <c r="Z264" t="inlineStr">
        <is>
          <t>AMIDATA, S.A.</t>
        </is>
      </c>
      <c r="AA264" t="inlineStr"/>
      <c r="AB264" t="inlineStr">
        <is>
          <t>2425811</t>
        </is>
      </c>
      <c r="AC264" t="inlineStr"/>
      <c r="AD264" s="164" t="n">
        <v>0</v>
      </c>
      <c r="AE264" s="185" t="n">
        <v>0</v>
      </c>
      <c r="AG264" s="167" t="inlineStr">
        <is>
          <t>7218|JA2593_1001</t>
        </is>
      </c>
      <c r="AH264" s="46">
        <f>IF(M264=0,"-",M264-J264)</f>
        <v/>
      </c>
      <c r="AI264" s="46">
        <f>IF(AND(S264=0,M264&gt;0,L264=0),IF(AH264&gt;=120,"VERY HIGH",IF(AH264&gt;=90,"HIGH",IF(AH264&gt;=60,"MEDIUM",IF(AH264&lt;60,"LOW")))),"-")</f>
        <v/>
      </c>
      <c r="AJ264" s="12" t="n"/>
      <c r="AK264" s="41">
        <f>IF(AND(W264="X",M264&lt;=$AJ$2),"YES","")</f>
        <v/>
      </c>
      <c r="AL264" s="38">
        <f>IF(AND(W264="X",M264&lt;=$AJ$2),S264,"")</f>
        <v/>
      </c>
      <c r="AM264" s="26">
        <f>IF(AND(W264="X",M264&gt;$AJ$2),"YES","")</f>
        <v/>
      </c>
      <c r="AN264" s="89">
        <f>IF(AND(W264="X",M264&gt;$AJ$2),S264,"")</f>
        <v/>
      </c>
      <c r="AO264" s="35">
        <f>IF(AND(W264="",M264&gt;0,$AJ$2&gt;M264,L264=""),1,0)</f>
        <v/>
      </c>
      <c r="AP264" s="26">
        <f>IF(AND(AK264="YES",W264="X"),"X","")</f>
        <v/>
      </c>
      <c r="AQ264" s="28">
        <f>IF(AP264="X",100%,0%)</f>
        <v/>
      </c>
      <c r="AR264" s="25">
        <f>IF(AND(T264&gt;0,L264=""),H264,"")</f>
        <v/>
      </c>
      <c r="AS264" s="25">
        <f>IF(AND(D264&gt;0,H264=0,G264=""),1,"")</f>
        <v/>
      </c>
      <c r="AT264" s="25">
        <f>IF(G264="BLOQ",1,"")</f>
        <v/>
      </c>
      <c r="AU264" s="25">
        <f>IF(L264="BLOQ",1,"")</f>
        <v/>
      </c>
      <c r="AV264" s="25">
        <f>MONTH(F264)</f>
        <v/>
      </c>
      <c r="AW264" s="65">
        <f>IF(AP264="",100%,0%)</f>
        <v/>
      </c>
      <c r="AX264" s="23" t="n"/>
      <c r="AY264" s="24">
        <f>IF(M264=0,"",M264-$AX$2)</f>
        <v/>
      </c>
      <c r="AZ264" s="66">
        <f>IF(AND(W264="",AY264&gt;0,AY264&lt;15),1,0)</f>
        <v/>
      </c>
      <c r="BA264" s="24">
        <f>IF(AND(W264="",AY264&gt;0,AY264&lt;15),T264,"")</f>
        <v/>
      </c>
      <c r="BB264" s="87">
        <f>IF(R264&lt;Q264,"X","")</f>
        <v/>
      </c>
      <c r="BC264" s="190" t="inlineStr">
        <is>
          <t>NO</t>
        </is>
      </c>
      <c r="BD264" s="190" t="inlineStr">
        <is>
          <t>NO</t>
        </is>
      </c>
    </row>
    <row r="265" ht="15" customHeight="1" s="162">
      <c r="A265" s="7" t="n">
        <v>264</v>
      </c>
      <c r="B265" t="inlineStr">
        <is>
          <t>1359900000500</t>
        </is>
      </c>
      <c r="C265" t="inlineStr">
        <is>
          <t>COMPRA DIRECTA ELECTRICOS/ELECTRONICOS</t>
        </is>
      </c>
      <c r="D265" t="inlineStr">
        <is>
          <t>1101823928</t>
        </is>
      </c>
      <c r="E265" t="inlineStr">
        <is>
          <t>1</t>
        </is>
      </c>
      <c r="F265" s="163" t="n">
        <v>45671</v>
      </c>
      <c r="G265" t="inlineStr"/>
      <c r="H265" t="inlineStr">
        <is>
          <t>4200593528</t>
        </is>
      </c>
      <c r="I265" t="inlineStr">
        <is>
          <t>40</t>
        </is>
      </c>
      <c r="J265" s="163" t="n">
        <v>45674</v>
      </c>
      <c r="K265" s="163" t="n">
        <v>45674</v>
      </c>
      <c r="L265" t="inlineStr"/>
      <c r="M265" s="163" t="n">
        <v>45688</v>
      </c>
      <c r="N265" s="164" t="n">
        <v>30</v>
      </c>
      <c r="O265" s="164" t="n">
        <v>8</v>
      </c>
      <c r="P265" t="inlineStr">
        <is>
          <t>Liberado</t>
        </is>
      </c>
      <c r="Q265" s="165" t="n">
        <v>1</v>
      </c>
      <c r="R265" s="165" t="n">
        <v>1</v>
      </c>
      <c r="S265" s="165" t="n">
        <v>1</v>
      </c>
      <c r="T265" s="165" t="n">
        <v>0</v>
      </c>
      <c r="U265" s="166" t="n">
        <v>0</v>
      </c>
      <c r="V265" s="166" t="n">
        <v>0</v>
      </c>
      <c r="W265" t="inlineStr">
        <is>
          <t>X</t>
        </is>
      </c>
      <c r="X265" t="inlineStr">
        <is>
          <t>0.00</t>
        </is>
      </c>
      <c r="Y265" t="inlineStr"/>
      <c r="Z265" t="inlineStr">
        <is>
          <t>SARVER S.L.</t>
        </is>
      </c>
      <c r="AA265" t="inlineStr">
        <is>
          <t>OTROS FABRICANTES</t>
        </is>
      </c>
      <c r="AB265" t="inlineStr">
        <is>
          <t>1359900000500</t>
        </is>
      </c>
      <c r="AC265" t="inlineStr"/>
      <c r="AD265" s="164" t="n">
        <v>0</v>
      </c>
      <c r="AE265" s="185" t="n">
        <v>0</v>
      </c>
      <c r="AG265" s="167" t="inlineStr">
        <is>
          <t>7218|JA2594_1001</t>
        </is>
      </c>
      <c r="AH265" s="46">
        <f>IF(M265=0,"-",M265-J265)</f>
        <v/>
      </c>
      <c r="AI265" s="46">
        <f>IF(AND(S265=0,M265&gt;0,L265=0),IF(AH265&gt;=120,"VERY HIGH",IF(AH265&gt;=90,"HIGH",IF(AH265&gt;=60,"MEDIUM",IF(AH265&lt;60,"LOW")))),"-")</f>
        <v/>
      </c>
      <c r="AJ265" s="12" t="n"/>
      <c r="AK265" s="41">
        <f>IF(AND(W265="X",M265&lt;=$AJ$2),"YES","")</f>
        <v/>
      </c>
      <c r="AL265" s="38">
        <f>IF(AND(W265="X",M265&lt;=$AJ$2),S265,"")</f>
        <v/>
      </c>
      <c r="AM265" s="26">
        <f>IF(AND(W265="X",M265&gt;$AJ$2),"YES","")</f>
        <v/>
      </c>
      <c r="AN265" s="89">
        <f>IF(AND(W265="X",M265&gt;$AJ$2),S265,"")</f>
        <v/>
      </c>
      <c r="AO265" s="35">
        <f>IF(AND(W265="",M265&gt;0,$AJ$2&gt;M265,L265=""),1,0)</f>
        <v/>
      </c>
      <c r="AP265" s="26">
        <f>IF(AND(AK265="YES",W265="X"),"X","")</f>
        <v/>
      </c>
      <c r="AQ265" s="28">
        <f>IF(AP265="X",100%,0%)</f>
        <v/>
      </c>
      <c r="AR265" s="25">
        <f>IF(AND(T265&gt;0,L265=""),H265,"")</f>
        <v/>
      </c>
      <c r="AS265" s="25">
        <f>IF(AND(D265&gt;0,H265=0,G265=""),1,"")</f>
        <v/>
      </c>
      <c r="AT265" s="25">
        <f>IF(G265="BLOQ",1,"")</f>
        <v/>
      </c>
      <c r="AU265" s="25">
        <f>IF(L265="BLOQ",1,"")</f>
        <v/>
      </c>
      <c r="AV265" s="25">
        <f>MONTH(F265)</f>
        <v/>
      </c>
      <c r="AW265" s="65">
        <f>IF(AP265="",100%,0%)</f>
        <v/>
      </c>
      <c r="AX265" s="23" t="n"/>
      <c r="AY265" s="24">
        <f>IF(M265=0,"",M265-$AX$2)</f>
        <v/>
      </c>
      <c r="AZ265" s="66">
        <f>IF(AND(W265="",AY265&gt;0,AY265&lt;15),1,0)</f>
        <v/>
      </c>
      <c r="BA265" s="24">
        <f>IF(AND(W265="",AY265&gt;0,AY265&lt;15),T265,"")</f>
        <v/>
      </c>
      <c r="BB265" s="87">
        <f>IF(R265&lt;Q265,"X","")</f>
        <v/>
      </c>
      <c r="BC265" s="190" t="inlineStr">
        <is>
          <t>NO</t>
        </is>
      </c>
      <c r="BD265" s="190" t="inlineStr">
        <is>
          <t>NO</t>
        </is>
      </c>
    </row>
    <row r="266" ht="15" customHeight="1" s="162">
      <c r="A266" s="7" t="n">
        <v>265</v>
      </c>
      <c r="B266" t="inlineStr"/>
      <c r="C266" t="inlineStr">
        <is>
          <t>TRABAJOS SIMULADOR A320</t>
        </is>
      </c>
      <c r="D266" t="inlineStr">
        <is>
          <t>1101824014</t>
        </is>
      </c>
      <c r="E266" t="inlineStr">
        <is>
          <t>1</t>
        </is>
      </c>
      <c r="F266" s="163" t="n">
        <v>45671</v>
      </c>
      <c r="G266" t="inlineStr"/>
      <c r="H266" t="inlineStr">
        <is>
          <t>4300338932</t>
        </is>
      </c>
      <c r="I266" t="inlineStr">
        <is>
          <t>10</t>
        </is>
      </c>
      <c r="J266" s="163" t="n">
        <v>45677</v>
      </c>
      <c r="K266" s="163" t="n">
        <v>45678</v>
      </c>
      <c r="L266" t="inlineStr"/>
      <c r="M266" s="163" t="n">
        <v>45694</v>
      </c>
      <c r="N266" s="164" t="n">
        <v>0</v>
      </c>
      <c r="O266" s="164" t="n">
        <v>0</v>
      </c>
      <c r="P266" t="inlineStr">
        <is>
          <t>Liberado</t>
        </is>
      </c>
      <c r="Q266" s="166" t="n">
        <v>1</v>
      </c>
      <c r="R266" s="164" t="n">
        <v>1</v>
      </c>
      <c r="S266" s="164" t="n">
        <v>0</v>
      </c>
      <c r="T266" s="164" t="n">
        <v>0</v>
      </c>
      <c r="U266" s="166" t="n">
        <v>0</v>
      </c>
      <c r="V266" s="166" t="n">
        <v>0</v>
      </c>
      <c r="W266" t="inlineStr">
        <is>
          <t>X</t>
        </is>
      </c>
      <c r="X266" t="inlineStr">
        <is>
          <t>0.00</t>
        </is>
      </c>
      <c r="Y266" t="inlineStr"/>
      <c r="Z266" t="inlineStr">
        <is>
          <t>PENTATEL COMUNICACIONES, S.L.</t>
        </is>
      </c>
      <c r="AA266" t="inlineStr"/>
      <c r="AB266" t="inlineStr"/>
      <c r="AC266" t="inlineStr"/>
      <c r="AD266" s="164" t="n">
        <v>0</v>
      </c>
      <c r="AE266" s="185" t="n">
        <v>0</v>
      </c>
      <c r="AG266" s="167" t="inlineStr">
        <is>
          <t>7218|JA2594_1001</t>
        </is>
      </c>
      <c r="AH266" s="46">
        <f>IF(M266=0,"-",M266-J266)</f>
        <v/>
      </c>
      <c r="AI266" s="46">
        <f>IF(AND(S266=0,M266&gt;0,L266=0),IF(AH266&gt;=120,"VERY HIGH",IF(AH266&gt;=90,"HIGH",IF(AH266&gt;=60,"MEDIUM",IF(AH266&lt;60,"LOW")))),"-")</f>
        <v/>
      </c>
      <c r="AJ266" s="12" t="n"/>
      <c r="AK266" s="41">
        <f>IF(AND(W266="X",M266&lt;=$AJ$2),"YES","")</f>
        <v/>
      </c>
      <c r="AL266" s="38">
        <f>IF(AND(W266="X",M266&lt;=$AJ$2),S266,"")</f>
        <v/>
      </c>
      <c r="AM266" s="26">
        <f>IF(AND(W266="X",M266&gt;$AJ$2),"YES","")</f>
        <v/>
      </c>
      <c r="AN266" s="89">
        <f>IF(AND(W266="X",M266&gt;$AJ$2),S266,"")</f>
        <v/>
      </c>
      <c r="AO266" s="35">
        <f>IF(AND(W266="",M266&gt;0,$AJ$2&gt;M266,L266=""),1,0)</f>
        <v/>
      </c>
      <c r="AP266" s="26">
        <f>IF(AND(AK266="YES",W266="X"),"X","")</f>
        <v/>
      </c>
      <c r="AQ266" s="28">
        <f>IF(AP266="X",100%,0%)</f>
        <v/>
      </c>
      <c r="AR266" s="25">
        <f>IF(AND(T266&gt;0,L266=""),H266,"")</f>
        <v/>
      </c>
      <c r="AS266" s="25">
        <f>IF(AND(D266&gt;0,H266=0,G266=""),1,"")</f>
        <v/>
      </c>
      <c r="AT266" s="25">
        <f>IF(G266="BLOQ",1,"")</f>
        <v/>
      </c>
      <c r="AU266" s="25">
        <f>IF(L266="BLOQ",1,"")</f>
        <v/>
      </c>
      <c r="AV266" s="25">
        <f>MONTH(F266)</f>
        <v/>
      </c>
      <c r="AW266" s="65">
        <f>IF(AP266="",100%,0%)</f>
        <v/>
      </c>
      <c r="AX266" s="23" t="n"/>
      <c r="AY266" s="24">
        <f>IF(M266=0,"",M266-$AX$2)</f>
        <v/>
      </c>
      <c r="AZ266" s="66">
        <f>IF(AND(W266="",AY266&gt;0,AY266&lt;15),1,0)</f>
        <v/>
      </c>
      <c r="BA266" s="24">
        <f>IF(AND(W266="",AY266&gt;0,AY266&lt;15),T266,"")</f>
        <v/>
      </c>
      <c r="BB266" s="87">
        <f>IF(R266&lt;Q266,"X","")</f>
        <v/>
      </c>
      <c r="BC266" s="190" t="inlineStr">
        <is>
          <t>NO</t>
        </is>
      </c>
      <c r="BD266" s="190" t="inlineStr">
        <is>
          <t>NO</t>
        </is>
      </c>
    </row>
    <row r="267" ht="15" customHeight="1" s="162">
      <c r="A267" s="7" t="n">
        <v>266</v>
      </c>
      <c r="B267" t="inlineStr">
        <is>
          <t>43211503</t>
        </is>
      </c>
      <c r="C267" t="inlineStr">
        <is>
          <t>WD Elements Desktop WDBWLG0160HBK - Disc</t>
        </is>
      </c>
      <c r="D267" t="inlineStr">
        <is>
          <t>1101824064</t>
        </is>
      </c>
      <c r="E267" t="inlineStr">
        <is>
          <t>1</t>
        </is>
      </c>
      <c r="F267" s="163" t="n">
        <v>45671</v>
      </c>
      <c r="G267" t="inlineStr"/>
      <c r="H267" t="inlineStr">
        <is>
          <t>4800002811</t>
        </is>
      </c>
      <c r="I267" t="inlineStr">
        <is>
          <t>300</t>
        </is>
      </c>
      <c r="J267" s="163" t="n">
        <v>45667</v>
      </c>
      <c r="K267" s="163" t="inlineStr"/>
      <c r="L267" t="inlineStr"/>
      <c r="M267" s="163" t="n">
        <v>45672</v>
      </c>
      <c r="N267" s="164" t="n">
        <v>0</v>
      </c>
      <c r="O267" s="164" t="n">
        <v>0</v>
      </c>
      <c r="P267" t="inlineStr"/>
      <c r="Q267" s="165" t="n">
        <v>1</v>
      </c>
      <c r="R267" s="165" t="n">
        <v>1</v>
      </c>
      <c r="S267" s="165" t="n">
        <v>1</v>
      </c>
      <c r="T267" s="165" t="n">
        <v>0</v>
      </c>
      <c r="U267" s="166" t="n">
        <v>0</v>
      </c>
      <c r="V267" s="166" t="n">
        <v>0</v>
      </c>
      <c r="W267" t="inlineStr">
        <is>
          <t>X</t>
        </is>
      </c>
      <c r="X267" t="inlineStr">
        <is>
          <t>0.00</t>
        </is>
      </c>
      <c r="Y267" t="inlineStr"/>
      <c r="Z267" t="inlineStr">
        <is>
          <t>TD SYNNEX SPAIN, S.L.U.</t>
        </is>
      </c>
      <c r="AA267" t="inlineStr"/>
      <c r="AB267" t="inlineStr">
        <is>
          <t>6205759</t>
        </is>
      </c>
      <c r="AC267" t="inlineStr"/>
      <c r="AD267" s="164" t="n">
        <v>0</v>
      </c>
      <c r="AE267" s="185" t="n">
        <v>0</v>
      </c>
      <c r="AG267" s="167" t="inlineStr">
        <is>
          <t>7218|JA2594_1001</t>
        </is>
      </c>
      <c r="AH267" s="46">
        <f>IF(M267=0,"-",M267-J267)</f>
        <v/>
      </c>
      <c r="AI267" s="46">
        <f>IF(AND(S267=0,M267&gt;0,L267=0),IF(AH267&gt;=120,"VERY HIGH",IF(AH267&gt;=90,"HIGH",IF(AH267&gt;=60,"MEDIUM",IF(AH267&lt;60,"LOW")))),"-")</f>
        <v/>
      </c>
      <c r="AJ267" s="12" t="n"/>
      <c r="AK267" s="41">
        <f>IF(AND(W267="X",M267&lt;=$AJ$2),"YES","")</f>
        <v/>
      </c>
      <c r="AL267" s="38">
        <f>IF(AND(W267="X",M267&lt;=$AJ$2),S267,"")</f>
        <v/>
      </c>
      <c r="AM267" s="26">
        <f>IF(AND(W267="X",M267&gt;$AJ$2),"YES","")</f>
        <v/>
      </c>
      <c r="AN267" s="89">
        <f>IF(AND(W267="X",M267&gt;$AJ$2),S267,"")</f>
        <v/>
      </c>
      <c r="AO267" s="35">
        <f>IF(AND(W267="",M267&gt;0,$AJ$2&gt;M267,L267=""),1,0)</f>
        <v/>
      </c>
      <c r="AP267" s="26">
        <f>IF(AND(AK267="YES",W267="X"),"X","")</f>
        <v/>
      </c>
      <c r="AQ267" s="28">
        <f>IF(AP267="X",100%,0%)</f>
        <v/>
      </c>
      <c r="AR267" s="25">
        <f>IF(AND(T267&gt;0,L267=""),H267,"")</f>
        <v/>
      </c>
      <c r="AS267" s="25">
        <f>IF(AND(D267&gt;0,H267=0,G267=""),1,"")</f>
        <v/>
      </c>
      <c r="AT267" s="25">
        <f>IF(G267="BLOQ",1,"")</f>
        <v/>
      </c>
      <c r="AU267" s="25">
        <f>IF(L267="BLOQ",1,"")</f>
        <v/>
      </c>
      <c r="AV267" s="25">
        <f>MONTH(F267)</f>
        <v/>
      </c>
      <c r="AW267" s="65">
        <f>IF(AP267="",100%,0%)</f>
        <v/>
      </c>
      <c r="AX267" s="23" t="n"/>
      <c r="AY267" s="24">
        <f>IF(M267=0,"",M267-$AX$2)</f>
        <v/>
      </c>
      <c r="AZ267" s="66">
        <f>IF(AND(W267="",AY267&gt;0,AY267&lt;15),1,0)</f>
        <v/>
      </c>
      <c r="BA267" s="24">
        <f>IF(AND(W267="",AY267&gt;0,AY267&lt;15),T267,"")</f>
        <v/>
      </c>
      <c r="BB267" s="87">
        <f>IF(R267&lt;Q267,"X","")</f>
        <v/>
      </c>
      <c r="BC267" s="190" t="inlineStr">
        <is>
          <t>NO</t>
        </is>
      </c>
      <c r="BD267" s="190" t="inlineStr">
        <is>
          <t>NO</t>
        </is>
      </c>
    </row>
    <row r="268" ht="15" customHeight="1" s="162">
      <c r="A268" s="7" t="n">
        <v>267</v>
      </c>
      <c r="B268" t="inlineStr">
        <is>
          <t>9999000981111</t>
        </is>
      </c>
      <c r="C268" t="inlineStr">
        <is>
          <t>N.R.TRANSFORMADOS DE CHAPA ESTÁNDAR</t>
        </is>
      </c>
      <c r="D268" t="inlineStr">
        <is>
          <t>1101824091</t>
        </is>
      </c>
      <c r="E268" t="inlineStr">
        <is>
          <t>1</t>
        </is>
      </c>
      <c r="F268" s="163" t="n">
        <v>45671</v>
      </c>
      <c r="G268" t="inlineStr"/>
      <c r="H268" t="inlineStr">
        <is>
          <t>4200593300</t>
        </is>
      </c>
      <c r="I268" t="inlineStr">
        <is>
          <t>10</t>
        </is>
      </c>
      <c r="J268" s="163" t="n">
        <v>45673</v>
      </c>
      <c r="K268" s="163" t="n">
        <v>45678</v>
      </c>
      <c r="L268" t="inlineStr"/>
      <c r="M268" s="163" t="n">
        <v>45702</v>
      </c>
      <c r="N268" s="164" t="n">
        <v>120</v>
      </c>
      <c r="O268" s="164" t="n">
        <v>8</v>
      </c>
      <c r="P268" t="inlineStr">
        <is>
          <t>Liberado</t>
        </is>
      </c>
      <c r="Q268" s="165" t="n">
        <v>1</v>
      </c>
      <c r="R268" s="165" t="n">
        <v>1</v>
      </c>
      <c r="S268" s="165" t="n">
        <v>1</v>
      </c>
      <c r="T268" s="165" t="n">
        <v>0</v>
      </c>
      <c r="U268" s="166" t="n">
        <v>0</v>
      </c>
      <c r="V268" s="166" t="n">
        <v>0</v>
      </c>
      <c r="W268" t="inlineStr">
        <is>
          <t>X</t>
        </is>
      </c>
      <c r="X268" t="inlineStr">
        <is>
          <t>0.00</t>
        </is>
      </c>
      <c r="Y268" t="inlineStr"/>
      <c r="Z268" t="inlineStr">
        <is>
          <t>CONSUEGRA SOC. COOP. LTD.</t>
        </is>
      </c>
      <c r="AA268" t="inlineStr"/>
      <c r="AB268" t="inlineStr"/>
      <c r="AC268" t="inlineStr"/>
      <c r="AD268" s="164" t="n">
        <v>0</v>
      </c>
      <c r="AE268" s="185" t="n">
        <v>0</v>
      </c>
      <c r="AG268" s="167" t="inlineStr">
        <is>
          <t>7218|JA2589_1001</t>
        </is>
      </c>
      <c r="AH268" s="46">
        <f>IF(M268=0,"-",M268-J268)</f>
        <v/>
      </c>
      <c r="AI268" s="46">
        <f>IF(AND(S268=0,M268&gt;0,L268=0),IF(AH268&gt;=120,"VERY HIGH",IF(AH268&gt;=90,"HIGH",IF(AH268&gt;=60,"MEDIUM",IF(AH268&lt;60,"LOW")))),"-")</f>
        <v/>
      </c>
      <c r="AJ268" s="12" t="n"/>
      <c r="AK268" s="41">
        <f>IF(AND(W268="X",M268&lt;=$AJ$2),"YES","")</f>
        <v/>
      </c>
      <c r="AL268" s="38">
        <f>IF(AND(W268="X",M268&lt;=$AJ$2),S268,"")</f>
        <v/>
      </c>
      <c r="AM268" s="26">
        <f>IF(AND(W268="X",M268&gt;$AJ$2),"YES","")</f>
        <v/>
      </c>
      <c r="AN268" s="89">
        <f>IF(AND(W268="X",M268&gt;$AJ$2),S268,"")</f>
        <v/>
      </c>
      <c r="AO268" s="35">
        <f>IF(AND(W268="",M268&gt;0,$AJ$2&gt;M268,L268=""),1,0)</f>
        <v/>
      </c>
      <c r="AP268" s="26">
        <f>IF(AND(AK268="YES",W268="X"),"X","")</f>
        <v/>
      </c>
      <c r="AQ268" s="28">
        <f>IF(AP268="X",100%,0%)</f>
        <v/>
      </c>
      <c r="AR268" s="25">
        <f>IF(AND(T268&gt;0,L268=""),H268,"")</f>
        <v/>
      </c>
      <c r="AS268" s="25">
        <f>IF(AND(D268&gt;0,H268=0,G268=""),1,"")</f>
        <v/>
      </c>
      <c r="AT268" s="25">
        <f>IF(G268="BLOQ",1,"")</f>
        <v/>
      </c>
      <c r="AU268" s="25">
        <f>IF(L268="BLOQ",1,"")</f>
        <v/>
      </c>
      <c r="AV268" s="25">
        <f>MONTH(F268)</f>
        <v/>
      </c>
      <c r="AW268" s="65">
        <f>IF(AP268="",100%,0%)</f>
        <v/>
      </c>
      <c r="AX268" s="23" t="n"/>
      <c r="AY268" s="24">
        <f>IF(M268=0,"",M268-$AX$2)</f>
        <v/>
      </c>
      <c r="AZ268" s="66">
        <f>IF(AND(W268="",AY268&gt;0,AY268&lt;15),1,0)</f>
        <v/>
      </c>
      <c r="BA268" s="24">
        <f>IF(AND(W268="",AY268&gt;0,AY268&lt;15),T268,"")</f>
        <v/>
      </c>
      <c r="BB268" s="87">
        <f>IF(R268&lt;Q268,"X","")</f>
        <v/>
      </c>
      <c r="BC268" s="190" t="inlineStr">
        <is>
          <t>NO</t>
        </is>
      </c>
      <c r="BD268" s="190" t="inlineStr">
        <is>
          <t>NO</t>
        </is>
      </c>
    </row>
    <row r="269" ht="15" customHeight="1" s="162">
      <c r="A269" s="7" t="n">
        <v>268</v>
      </c>
      <c r="B269" t="inlineStr">
        <is>
          <t>39121412</t>
        </is>
      </c>
      <c r="C269" t="inlineStr">
        <is>
          <t>Carcasa de conector circular Amphenol Li</t>
        </is>
      </c>
      <c r="D269" t="inlineStr">
        <is>
          <t>1101824124</t>
        </is>
      </c>
      <c r="E269" t="inlineStr">
        <is>
          <t>1</t>
        </is>
      </c>
      <c r="F269" s="163" t="n">
        <v>45671</v>
      </c>
      <c r="G269" t="inlineStr"/>
      <c r="H269" t="inlineStr">
        <is>
          <t>4800002822</t>
        </is>
      </c>
      <c r="I269" t="inlineStr">
        <is>
          <t>120</t>
        </is>
      </c>
      <c r="J269" s="163" t="n">
        <v>45671</v>
      </c>
      <c r="K269" s="163" t="inlineStr"/>
      <c r="L269" t="inlineStr"/>
      <c r="M269" s="163" t="n">
        <v>45672</v>
      </c>
      <c r="N269" s="164" t="n">
        <v>0</v>
      </c>
      <c r="O269" s="164" t="n">
        <v>0</v>
      </c>
      <c r="P269" t="inlineStr"/>
      <c r="Q269" s="165" t="n">
        <v>1</v>
      </c>
      <c r="R269" s="165" t="n">
        <v>1</v>
      </c>
      <c r="S269" s="165" t="n">
        <v>1</v>
      </c>
      <c r="T269" s="165" t="n">
        <v>0</v>
      </c>
      <c r="U269" s="166" t="n">
        <v>0</v>
      </c>
      <c r="V269" s="166" t="n">
        <v>0</v>
      </c>
      <c r="W269" t="inlineStr">
        <is>
          <t>X</t>
        </is>
      </c>
      <c r="X269" t="inlineStr">
        <is>
          <t>0.00</t>
        </is>
      </c>
      <c r="Y269" t="inlineStr"/>
      <c r="Z269" t="inlineStr">
        <is>
          <t>AMIDATA, S.A.</t>
        </is>
      </c>
      <c r="AA269" t="inlineStr"/>
      <c r="AB269" t="inlineStr">
        <is>
          <t>2259368</t>
        </is>
      </c>
      <c r="AC269" t="inlineStr"/>
      <c r="AD269" s="164" t="n">
        <v>0</v>
      </c>
      <c r="AE269" s="185" t="n">
        <v>0</v>
      </c>
      <c r="AG269" s="167" t="inlineStr">
        <is>
          <t>7218|JA2582_1001</t>
        </is>
      </c>
      <c r="AH269" s="46">
        <f>IF(M269=0,"-",M269-J269)</f>
        <v/>
      </c>
      <c r="AI269" s="46">
        <f>IF(AND(S269=0,M269&gt;0,L269=0),IF(AH269&gt;=120,"VERY HIGH",IF(AH269&gt;=90,"HIGH",IF(AH269&gt;=60,"MEDIUM",IF(AH269&lt;60,"LOW")))),"-")</f>
        <v/>
      </c>
      <c r="AJ269" s="12" t="n"/>
      <c r="AK269" s="41">
        <f>IF(AND(W269="X",M269&lt;=$AJ$2),"YES","")</f>
        <v/>
      </c>
      <c r="AL269" s="38">
        <f>IF(AND(W269="X",M269&lt;=$AJ$2),S269,"")</f>
        <v/>
      </c>
      <c r="AM269" s="26">
        <f>IF(AND(W269="X",M269&gt;$AJ$2),"YES","")</f>
        <v/>
      </c>
      <c r="AN269" s="89">
        <f>IF(AND(W269="X",M269&gt;$AJ$2),S269,"")</f>
        <v/>
      </c>
      <c r="AO269" s="35">
        <f>IF(AND(W269="",M269&gt;0,$AJ$2&gt;M269,L269=""),1,0)</f>
        <v/>
      </c>
      <c r="AP269" s="26">
        <f>IF(AND(AK269="YES",W269="X"),"X","")</f>
        <v/>
      </c>
      <c r="AQ269" s="28">
        <f>IF(AP269="X",100%,0%)</f>
        <v/>
      </c>
      <c r="AR269" s="25">
        <f>IF(AND(T269&gt;0,L269=""),H269,"")</f>
        <v/>
      </c>
      <c r="AS269" s="25">
        <f>IF(AND(D269&gt;0,H269=0,G269=""),1,"")</f>
        <v/>
      </c>
      <c r="AT269" s="25">
        <f>IF(G269="BLOQ",1,"")</f>
        <v/>
      </c>
      <c r="AU269" s="25">
        <f>IF(L269="BLOQ",1,"")</f>
        <v/>
      </c>
      <c r="AV269" s="25">
        <f>MONTH(F269)</f>
        <v/>
      </c>
      <c r="AW269" s="65">
        <f>IF(AP269="",100%,0%)</f>
        <v/>
      </c>
      <c r="AX269" s="23" t="n"/>
      <c r="AY269" s="24">
        <f>IF(M269=0,"",M269-$AX$2)</f>
        <v/>
      </c>
      <c r="AZ269" s="66">
        <f>IF(AND(W269="",AY269&gt;0,AY269&lt;15),1,0)</f>
        <v/>
      </c>
      <c r="BA269" s="24">
        <f>IF(AND(W269="",AY269&gt;0,AY269&lt;15),T269,"")</f>
        <v/>
      </c>
      <c r="BB269" s="87">
        <f>IF(R269&lt;Q269,"X","")</f>
        <v/>
      </c>
      <c r="BC269" s="190" t="inlineStr">
        <is>
          <t>NO</t>
        </is>
      </c>
      <c r="BD269" s="190" t="inlineStr">
        <is>
          <t>NO</t>
        </is>
      </c>
    </row>
    <row r="270" ht="15" customHeight="1" s="162">
      <c r="A270" s="7" t="n">
        <v>269</v>
      </c>
      <c r="B270" t="inlineStr">
        <is>
          <t>26121609</t>
        </is>
      </c>
      <c r="C270" t="inlineStr">
        <is>
          <t>Cable Ethernet Cat6 U/UTP StarTech.com d</t>
        </is>
      </c>
      <c r="D270" t="inlineStr">
        <is>
          <t>1101824151</t>
        </is>
      </c>
      <c r="E270" t="inlineStr">
        <is>
          <t>1</t>
        </is>
      </c>
      <c r="F270" s="163" t="n">
        <v>45671</v>
      </c>
      <c r="G270" t="inlineStr"/>
      <c r="H270" t="inlineStr">
        <is>
          <t>4800002822</t>
        </is>
      </c>
      <c r="I270" t="inlineStr">
        <is>
          <t>160</t>
        </is>
      </c>
      <c r="J270" s="163" t="n">
        <v>45671</v>
      </c>
      <c r="K270" s="163" t="inlineStr"/>
      <c r="L270" t="inlineStr"/>
      <c r="M270" s="163" t="n">
        <v>45672</v>
      </c>
      <c r="N270" s="164" t="n">
        <v>0</v>
      </c>
      <c r="O270" s="164" t="n">
        <v>0</v>
      </c>
      <c r="P270" t="inlineStr"/>
      <c r="Q270" s="165" t="n">
        <v>2</v>
      </c>
      <c r="R270" s="165" t="n">
        <v>2</v>
      </c>
      <c r="S270" s="165" t="n">
        <v>2</v>
      </c>
      <c r="T270" s="165" t="n">
        <v>0</v>
      </c>
      <c r="U270" s="166" t="n">
        <v>0</v>
      </c>
      <c r="V270" s="166" t="n">
        <v>0</v>
      </c>
      <c r="W270" t="inlineStr">
        <is>
          <t>X</t>
        </is>
      </c>
      <c r="X270" t="inlineStr">
        <is>
          <t>0.00</t>
        </is>
      </c>
      <c r="Y270" t="inlineStr"/>
      <c r="Z270" t="inlineStr">
        <is>
          <t>AMIDATA, S.A.</t>
        </is>
      </c>
      <c r="AA270" t="inlineStr"/>
      <c r="AB270" t="inlineStr">
        <is>
          <t>1861994</t>
        </is>
      </c>
      <c r="AC270" t="inlineStr"/>
      <c r="AD270" s="164" t="n">
        <v>0</v>
      </c>
      <c r="AE270" s="185" t="n">
        <v>0</v>
      </c>
      <c r="AG270" s="167" t="inlineStr">
        <is>
          <t>7218|JA2585_1001</t>
        </is>
      </c>
      <c r="AH270" s="46">
        <f>IF(M270=0,"-",M270-J270)</f>
        <v/>
      </c>
      <c r="AI270" s="46">
        <f>IF(AND(S270=0,M270&gt;0,L270=0),IF(AH270&gt;=120,"VERY HIGH",IF(AH270&gt;=90,"HIGH",IF(AH270&gt;=60,"MEDIUM",IF(AH270&lt;60,"LOW")))),"-")</f>
        <v/>
      </c>
      <c r="AJ270" s="12" t="n"/>
      <c r="AK270" s="41">
        <f>IF(AND(W270="X",M270&lt;=$AJ$2),"YES","")</f>
        <v/>
      </c>
      <c r="AL270" s="38">
        <f>IF(AND(W270="X",M270&lt;=$AJ$2),S270,"")</f>
        <v/>
      </c>
      <c r="AM270" s="26">
        <f>IF(AND(W270="X",M270&gt;$AJ$2),"YES","")</f>
        <v/>
      </c>
      <c r="AN270" s="89">
        <f>IF(AND(W270="X",M270&gt;$AJ$2),S270,"")</f>
        <v/>
      </c>
      <c r="AO270" s="35">
        <f>IF(AND(W270="",M270&gt;0,$AJ$2&gt;M270,L270=""),1,0)</f>
        <v/>
      </c>
      <c r="AP270" s="26">
        <f>IF(AND(AK270="YES",W270="X"),"X","")</f>
        <v/>
      </c>
      <c r="AQ270" s="28">
        <f>IF(AP270="X",100%,0%)</f>
        <v/>
      </c>
      <c r="AR270" s="25">
        <f>IF(AND(T270&gt;0,L270=""),H270,"")</f>
        <v/>
      </c>
      <c r="AS270" s="25">
        <f>IF(AND(D270&gt;0,H270=0,G270=""),1,"")</f>
        <v/>
      </c>
      <c r="AT270" s="25">
        <f>IF(G270="BLOQ",1,"")</f>
        <v/>
      </c>
      <c r="AU270" s="25">
        <f>IF(L270="BLOQ",1,"")</f>
        <v/>
      </c>
      <c r="AV270" s="25">
        <f>MONTH(F270)</f>
        <v/>
      </c>
      <c r="AW270" s="65">
        <f>IF(AP270="",100%,0%)</f>
        <v/>
      </c>
      <c r="AX270" s="23" t="n"/>
      <c r="AY270" s="24">
        <f>IF(M270=0,"",M270-$AX$2)</f>
        <v/>
      </c>
      <c r="AZ270" s="66">
        <f>IF(AND(W270="",AY270&gt;0,AY270&lt;15),1,0)</f>
        <v/>
      </c>
      <c r="BA270" s="24">
        <f>IF(AND(W270="",AY270&gt;0,AY270&lt;15),T270,"")</f>
        <v/>
      </c>
      <c r="BB270" s="87">
        <f>IF(R270&lt;Q270,"X","")</f>
        <v/>
      </c>
      <c r="BC270" s="190" t="inlineStr">
        <is>
          <t>NO</t>
        </is>
      </c>
      <c r="BD270" s="190" t="inlineStr">
        <is>
          <t>NO</t>
        </is>
      </c>
    </row>
    <row r="271" ht="15" customHeight="1" s="162">
      <c r="A271" s="7" t="n">
        <v>270</v>
      </c>
      <c r="B271" t="inlineStr">
        <is>
          <t>31201523</t>
        </is>
      </c>
      <c r="C271" t="inlineStr">
        <is>
          <t>Cinta americana, Pel&amp;#237;cula de PE con</t>
        </is>
      </c>
      <c r="D271" t="inlineStr">
        <is>
          <t>1101824256</t>
        </is>
      </c>
      <c r="E271" t="inlineStr">
        <is>
          <t>1</t>
        </is>
      </c>
      <c r="F271" s="163" t="n">
        <v>45671</v>
      </c>
      <c r="G271" t="inlineStr"/>
      <c r="H271" t="inlineStr">
        <is>
          <t>4800002822</t>
        </is>
      </c>
      <c r="I271" t="inlineStr">
        <is>
          <t>210</t>
        </is>
      </c>
      <c r="J271" s="163" t="n">
        <v>45671</v>
      </c>
      <c r="K271" s="163" t="inlineStr"/>
      <c r="L271" t="inlineStr"/>
      <c r="M271" s="163" t="n">
        <v>45672</v>
      </c>
      <c r="N271" s="164" t="n">
        <v>0</v>
      </c>
      <c r="O271" s="164" t="n">
        <v>0</v>
      </c>
      <c r="P271" t="inlineStr"/>
      <c r="Q271" s="165" t="n">
        <v>3</v>
      </c>
      <c r="R271" s="165" t="n">
        <v>3</v>
      </c>
      <c r="S271" s="165" t="n">
        <v>3</v>
      </c>
      <c r="T271" s="165" t="n">
        <v>0</v>
      </c>
      <c r="U271" s="166" t="n">
        <v>0</v>
      </c>
      <c r="V271" s="166" t="n">
        <v>0</v>
      </c>
      <c r="W271" t="inlineStr">
        <is>
          <t>X</t>
        </is>
      </c>
      <c r="X271" t="inlineStr">
        <is>
          <t>0.00</t>
        </is>
      </c>
      <c r="Y271" t="inlineStr"/>
      <c r="Z271" t="inlineStr">
        <is>
          <t>AMIDATA, S.A.</t>
        </is>
      </c>
      <c r="AA271" t="inlineStr"/>
      <c r="AB271" t="inlineStr">
        <is>
          <t>3731577</t>
        </is>
      </c>
      <c r="AC271" t="inlineStr"/>
      <c r="AD271" s="164" t="n">
        <v>0</v>
      </c>
      <c r="AE271" s="185" t="n">
        <v>0</v>
      </c>
      <c r="AG271" s="167" t="inlineStr">
        <is>
          <t>7218|S24B05_P10253</t>
        </is>
      </c>
      <c r="AH271" s="46">
        <f>IF(M271=0,"-",M271-J271)</f>
        <v/>
      </c>
      <c r="AI271" s="46">
        <f>IF(AND(S271=0,M271&gt;0,L271=0),IF(AH271&gt;=120,"VERY HIGH",IF(AH271&gt;=90,"HIGH",IF(AH271&gt;=60,"MEDIUM",IF(AH271&lt;60,"LOW")))),"-")</f>
        <v/>
      </c>
      <c r="AJ271" s="12" t="n"/>
      <c r="AK271" s="41">
        <f>IF(AND(W271="X",M271&lt;=$AJ$2),"YES","")</f>
        <v/>
      </c>
      <c r="AL271" s="38">
        <f>IF(AND(W271="X",M271&lt;=$AJ$2),S271,"")</f>
        <v/>
      </c>
      <c r="AM271" s="26">
        <f>IF(AND(W271="X",M271&gt;$AJ$2),"YES","")</f>
        <v/>
      </c>
      <c r="AN271" s="89">
        <f>IF(AND(W271="X",M271&gt;$AJ$2),S271,"")</f>
        <v/>
      </c>
      <c r="AO271" s="35">
        <f>IF(AND(W271="",M271&gt;0,$AJ$2&gt;M271,L271=""),1,0)</f>
        <v/>
      </c>
      <c r="AP271" s="26">
        <f>IF(AND(AK271="YES",W271="X"),"X","")</f>
        <v/>
      </c>
      <c r="AQ271" s="28">
        <f>IF(AP271="X",100%,0%)</f>
        <v/>
      </c>
      <c r="AR271" s="25">
        <f>IF(AND(T271&gt;0,L271=""),H271,"")</f>
        <v/>
      </c>
      <c r="AS271" s="25">
        <f>IF(AND(D271&gt;0,H271=0,G271=""),1,"")</f>
        <v/>
      </c>
      <c r="AT271" s="25">
        <f>IF(G271="BLOQ",1,"")</f>
        <v/>
      </c>
      <c r="AU271" s="25">
        <f>IF(L271="BLOQ",1,"")</f>
        <v/>
      </c>
      <c r="AV271" s="25">
        <f>MONTH(F271)</f>
        <v/>
      </c>
      <c r="AW271" s="65">
        <f>IF(AP271="",100%,0%)</f>
        <v/>
      </c>
      <c r="AX271" s="23" t="n"/>
      <c r="AY271" s="24">
        <f>IF(M271=0,"",M271-$AX$2)</f>
        <v/>
      </c>
      <c r="AZ271" s="66">
        <f>IF(AND(W271="",AY271&gt;0,AY271&lt;15),1,0)</f>
        <v/>
      </c>
      <c r="BA271" s="24">
        <f>IF(AND(W271="",AY271&gt;0,AY271&lt;15),T271,"")</f>
        <v/>
      </c>
      <c r="BB271" s="87">
        <f>IF(R271&lt;Q271,"X","")</f>
        <v/>
      </c>
      <c r="BC271" s="190" t="inlineStr">
        <is>
          <t>NO</t>
        </is>
      </c>
      <c r="BD271" s="190" t="inlineStr">
        <is>
          <t>NO</t>
        </is>
      </c>
    </row>
    <row r="272" ht="15" customHeight="1" s="162">
      <c r="A272" s="7" t="n">
        <v>271</v>
      </c>
      <c r="B272" t="inlineStr">
        <is>
          <t>1709800000500</t>
        </is>
      </c>
      <c r="C272" t="inlineStr">
        <is>
          <t>COMPRA DIRECTA FERRETERIA Y HERRAMIENTAS</t>
        </is>
      </c>
      <c r="D272" t="inlineStr">
        <is>
          <t>1101825214</t>
        </is>
      </c>
      <c r="E272" t="inlineStr">
        <is>
          <t>1</t>
        </is>
      </c>
      <c r="F272" s="163" t="n">
        <v>45673</v>
      </c>
      <c r="G272" t="inlineStr"/>
      <c r="H272" t="inlineStr">
        <is>
          <t>4200594187</t>
        </is>
      </c>
      <c r="I272" t="inlineStr">
        <is>
          <t>10</t>
        </is>
      </c>
      <c r="J272" s="163" t="n">
        <v>45679</v>
      </c>
      <c r="K272" s="163" t="n">
        <v>45680</v>
      </c>
      <c r="L272" t="inlineStr"/>
      <c r="M272" s="163" t="n">
        <v>45688</v>
      </c>
      <c r="N272" s="164" t="n">
        <v>30</v>
      </c>
      <c r="O272" s="164" t="n">
        <v>8</v>
      </c>
      <c r="P272" t="inlineStr">
        <is>
          <t>Liberado</t>
        </is>
      </c>
      <c r="Q272" s="165" t="n">
        <v>1</v>
      </c>
      <c r="R272" s="165" t="n">
        <v>1</v>
      </c>
      <c r="S272" s="165" t="n">
        <v>1</v>
      </c>
      <c r="T272" s="165" t="n">
        <v>0</v>
      </c>
      <c r="U272" s="166" t="n">
        <v>0</v>
      </c>
      <c r="V272" s="166" t="n">
        <v>0</v>
      </c>
      <c r="W272" t="inlineStr">
        <is>
          <t>X</t>
        </is>
      </c>
      <c r="X272" t="inlineStr">
        <is>
          <t>0.00</t>
        </is>
      </c>
      <c r="Y272" t="inlineStr"/>
      <c r="Z272" t="inlineStr">
        <is>
          <t>ABACO SUYTEC, S.A.U.</t>
        </is>
      </c>
      <c r="AA272" t="inlineStr">
        <is>
          <t>OTROS FABRICANTES</t>
        </is>
      </c>
      <c r="AB272" t="inlineStr">
        <is>
          <t>1709800000500</t>
        </is>
      </c>
      <c r="AC272" t="inlineStr"/>
      <c r="AD272" s="164" t="n">
        <v>0</v>
      </c>
      <c r="AE272" s="185" t="n">
        <v>0</v>
      </c>
      <c r="AG272" s="167" t="inlineStr">
        <is>
          <t>7218|JA2585_1001</t>
        </is>
      </c>
      <c r="AH272" s="46">
        <f>IF(M272=0,"-",M272-J272)</f>
        <v/>
      </c>
      <c r="AI272" s="46">
        <f>IF(AND(S272=0,M272&gt;0,L272=0),IF(AH272&gt;=120,"VERY HIGH",IF(AH272&gt;=90,"HIGH",IF(AH272&gt;=60,"MEDIUM",IF(AH272&lt;60,"LOW")))),"-")</f>
        <v/>
      </c>
      <c r="AJ272" s="12" t="n"/>
      <c r="AK272" s="41">
        <f>IF(AND(W272="X",M272&lt;=$AJ$2),"YES","")</f>
        <v/>
      </c>
      <c r="AL272" s="38">
        <f>IF(AND(W272="X",M272&lt;=$AJ$2),S272,"")</f>
        <v/>
      </c>
      <c r="AM272" s="26">
        <f>IF(AND(W272="X",M272&gt;$AJ$2),"YES","")</f>
        <v/>
      </c>
      <c r="AN272" s="89">
        <f>IF(AND(W272="X",M272&gt;$AJ$2),S272,"")</f>
        <v/>
      </c>
      <c r="AO272" s="35">
        <f>IF(AND(W272="",M272&gt;0,$AJ$2&gt;M272,L272=""),1,0)</f>
        <v/>
      </c>
      <c r="AP272" s="26">
        <f>IF(AND(AK272="YES",W272="X"),"X","")</f>
        <v/>
      </c>
      <c r="AQ272" s="28">
        <f>IF(AP272="X",100%,0%)</f>
        <v/>
      </c>
      <c r="AR272" s="25">
        <f>IF(AND(T272&gt;0,L272=""),H272,"")</f>
        <v/>
      </c>
      <c r="AS272" s="25">
        <f>IF(AND(D272&gt;0,H272=0,G272=""),1,"")</f>
        <v/>
      </c>
      <c r="AT272" s="25">
        <f>IF(G272="BLOQ",1,"")</f>
        <v/>
      </c>
      <c r="AU272" s="25">
        <f>IF(L272="BLOQ",1,"")</f>
        <v/>
      </c>
      <c r="AV272" s="25">
        <f>MONTH(F272)</f>
        <v/>
      </c>
      <c r="AW272" s="65">
        <f>IF(AP272="",100%,0%)</f>
        <v/>
      </c>
      <c r="AX272" s="23" t="n"/>
      <c r="AY272" s="24">
        <f>IF(M272=0,"",M272-$AX$2)</f>
        <v/>
      </c>
      <c r="AZ272" s="66">
        <f>IF(AND(W272="",AY272&gt;0,AY272&lt;15),1,0)</f>
        <v/>
      </c>
      <c r="BA272" s="24">
        <f>IF(AND(W272="",AY272&gt;0,AY272&lt;15),T272,"")</f>
        <v/>
      </c>
      <c r="BB272" s="87">
        <f>IF(R272&lt;Q272,"X","")</f>
        <v/>
      </c>
      <c r="BC272" s="190" t="inlineStr">
        <is>
          <t>NO</t>
        </is>
      </c>
      <c r="BD272" s="190" t="inlineStr">
        <is>
          <t>NO</t>
        </is>
      </c>
    </row>
    <row r="273" ht="15" customHeight="1" s="162">
      <c r="A273" s="7" t="n">
        <v>272</v>
      </c>
      <c r="B273" t="inlineStr">
        <is>
          <t>1709800000500</t>
        </is>
      </c>
      <c r="C273" t="inlineStr">
        <is>
          <t>COMPRA DIRECTA FERRETERIA Y HERRAMIENTAS</t>
        </is>
      </c>
      <c r="D273" t="inlineStr">
        <is>
          <t>1101825214</t>
        </is>
      </c>
      <c r="E273" t="inlineStr">
        <is>
          <t>2</t>
        </is>
      </c>
      <c r="F273" s="163" t="n">
        <v>45673</v>
      </c>
      <c r="G273" t="inlineStr"/>
      <c r="H273" t="inlineStr">
        <is>
          <t>4200594187</t>
        </is>
      </c>
      <c r="I273" t="inlineStr">
        <is>
          <t>20</t>
        </is>
      </c>
      <c r="J273" s="163" t="n">
        <v>45679</v>
      </c>
      <c r="K273" s="163" t="n">
        <v>45680</v>
      </c>
      <c r="L273" t="inlineStr"/>
      <c r="M273" s="163" t="n">
        <v>45688</v>
      </c>
      <c r="N273" s="164" t="n">
        <v>30</v>
      </c>
      <c r="O273" s="164" t="n">
        <v>8</v>
      </c>
      <c r="P273" t="inlineStr">
        <is>
          <t>Liberado</t>
        </is>
      </c>
      <c r="Q273" s="165" t="n">
        <v>1</v>
      </c>
      <c r="R273" s="165" t="n">
        <v>1</v>
      </c>
      <c r="S273" s="165" t="n">
        <v>1</v>
      </c>
      <c r="T273" s="165" t="n">
        <v>0</v>
      </c>
      <c r="U273" s="166" t="n">
        <v>0</v>
      </c>
      <c r="V273" s="166" t="n">
        <v>0</v>
      </c>
      <c r="W273" t="inlineStr">
        <is>
          <t>X</t>
        </is>
      </c>
      <c r="X273" t="inlineStr">
        <is>
          <t>0.00</t>
        </is>
      </c>
      <c r="Y273" t="inlineStr"/>
      <c r="Z273" t="inlineStr">
        <is>
          <t>ABACO SUYTEC, S.A.U.</t>
        </is>
      </c>
      <c r="AA273" t="inlineStr">
        <is>
          <t>OTROS FABRICANTES</t>
        </is>
      </c>
      <c r="AB273" t="inlineStr">
        <is>
          <t>1709800000500</t>
        </is>
      </c>
      <c r="AC273" t="inlineStr"/>
      <c r="AD273" s="164" t="n">
        <v>0</v>
      </c>
      <c r="AE273" s="185" t="n">
        <v>0</v>
      </c>
      <c r="AG273" s="167" t="inlineStr">
        <is>
          <t>7218|JA2585_1001</t>
        </is>
      </c>
      <c r="AH273" s="46">
        <f>IF(M273=0,"-",M273-J273)</f>
        <v/>
      </c>
      <c r="AI273" s="46">
        <f>IF(AND(S273=0,M273&gt;0,L273=0),IF(AH273&gt;=120,"VERY HIGH",IF(AH273&gt;=90,"HIGH",IF(AH273&gt;=60,"MEDIUM",IF(AH273&lt;60,"LOW")))),"-")</f>
        <v/>
      </c>
      <c r="AJ273" s="12" t="n"/>
      <c r="AK273" s="41">
        <f>IF(AND(W273="X",M273&lt;=$AJ$2),"YES","")</f>
        <v/>
      </c>
      <c r="AL273" s="38">
        <f>IF(AND(W273="X",M273&lt;=$AJ$2),S273,"")</f>
        <v/>
      </c>
      <c r="AM273" s="26">
        <f>IF(AND(W273="X",M273&gt;$AJ$2),"YES","")</f>
        <v/>
      </c>
      <c r="AN273" s="89">
        <f>IF(AND(W273="X",M273&gt;$AJ$2),S273,"")</f>
        <v/>
      </c>
      <c r="AO273" s="35">
        <f>IF(AND(W273="",M273&gt;0,$AJ$2&gt;M273,L273=""),1,0)</f>
        <v/>
      </c>
      <c r="AP273" s="26">
        <f>IF(AND(AK273="YES",W273="X"),"X","")</f>
        <v/>
      </c>
      <c r="AQ273" s="28">
        <f>IF(AP273="X",100%,0%)</f>
        <v/>
      </c>
      <c r="AR273" s="25">
        <f>IF(AND(T273&gt;0,L273=""),H273,"")</f>
        <v/>
      </c>
      <c r="AS273" s="25">
        <f>IF(AND(D273&gt;0,H273=0,G273=""),1,"")</f>
        <v/>
      </c>
      <c r="AT273" s="25">
        <f>IF(G273="BLOQ",1,"")</f>
        <v/>
      </c>
      <c r="AU273" s="25">
        <f>IF(L273="BLOQ",1,"")</f>
        <v/>
      </c>
      <c r="AV273" s="25">
        <f>MONTH(F273)</f>
        <v/>
      </c>
      <c r="AW273" s="65">
        <f>IF(AP273="",100%,0%)</f>
        <v/>
      </c>
      <c r="AX273" s="23" t="n"/>
      <c r="AY273" s="24">
        <f>IF(M273=0,"",M273-$AX$2)</f>
        <v/>
      </c>
      <c r="AZ273" s="66">
        <f>IF(AND(W273="",AY273&gt;0,AY273&lt;15),1,0)</f>
        <v/>
      </c>
      <c r="BA273" s="24">
        <f>IF(AND(W273="",AY273&gt;0,AY273&lt;15),T273,"")</f>
        <v/>
      </c>
      <c r="BB273" s="87">
        <f>IF(R273&lt;Q273,"X","")</f>
        <v/>
      </c>
      <c r="BC273" s="190" t="inlineStr">
        <is>
          <t>NO</t>
        </is>
      </c>
      <c r="BD273" s="190" t="inlineStr">
        <is>
          <t>NO</t>
        </is>
      </c>
    </row>
    <row r="274" ht="15" customHeight="1" s="162">
      <c r="A274" s="7" t="n">
        <v>273</v>
      </c>
      <c r="B274" t="inlineStr">
        <is>
          <t>1709800000500</t>
        </is>
      </c>
      <c r="C274" t="inlineStr">
        <is>
          <t>COMPRA DIRECTA FERRETERIA Y HERRAMIENTAS</t>
        </is>
      </c>
      <c r="D274" t="inlineStr">
        <is>
          <t>1101825214</t>
        </is>
      </c>
      <c r="E274" t="inlineStr">
        <is>
          <t>3</t>
        </is>
      </c>
      <c r="F274" s="163" t="n">
        <v>45673</v>
      </c>
      <c r="G274" t="inlineStr"/>
      <c r="H274" t="inlineStr">
        <is>
          <t>4200594187</t>
        </is>
      </c>
      <c r="I274" t="inlineStr">
        <is>
          <t>30</t>
        </is>
      </c>
      <c r="J274" s="163" t="n">
        <v>45679</v>
      </c>
      <c r="K274" s="163" t="n">
        <v>45680</v>
      </c>
      <c r="L274" t="inlineStr"/>
      <c r="M274" s="163" t="n">
        <v>45688</v>
      </c>
      <c r="N274" s="164" t="n">
        <v>30</v>
      </c>
      <c r="O274" s="164" t="n">
        <v>8</v>
      </c>
      <c r="P274" t="inlineStr">
        <is>
          <t>Liberado</t>
        </is>
      </c>
      <c r="Q274" s="165" t="n">
        <v>1</v>
      </c>
      <c r="R274" s="165" t="n">
        <v>1</v>
      </c>
      <c r="S274" s="165" t="n">
        <v>1</v>
      </c>
      <c r="T274" s="165" t="n">
        <v>0</v>
      </c>
      <c r="U274" s="166" t="n">
        <v>0</v>
      </c>
      <c r="V274" s="166" t="n">
        <v>0</v>
      </c>
      <c r="W274" t="inlineStr">
        <is>
          <t>X</t>
        </is>
      </c>
      <c r="X274" t="inlineStr">
        <is>
          <t>0.00</t>
        </is>
      </c>
      <c r="Y274" t="inlineStr"/>
      <c r="Z274" t="inlineStr">
        <is>
          <t>ABACO SUYTEC, S.A.U.</t>
        </is>
      </c>
      <c r="AA274" t="inlineStr">
        <is>
          <t>OTROS FABRICANTES</t>
        </is>
      </c>
      <c r="AB274" t="inlineStr">
        <is>
          <t>1709800000500</t>
        </is>
      </c>
      <c r="AC274" t="inlineStr"/>
      <c r="AD274" s="164" t="n">
        <v>0</v>
      </c>
      <c r="AE274" s="185" t="n">
        <v>0</v>
      </c>
      <c r="AG274" s="167" t="inlineStr">
        <is>
          <t>7218|JA2585_1001</t>
        </is>
      </c>
      <c r="AH274" s="46">
        <f>IF(M274=0,"-",M274-J274)</f>
        <v/>
      </c>
      <c r="AI274" s="46">
        <f>IF(AND(S274=0,M274&gt;0,L274=0),IF(AH274&gt;=120,"VERY HIGH",IF(AH274&gt;=90,"HIGH",IF(AH274&gt;=60,"MEDIUM",IF(AH274&lt;60,"LOW")))),"-")</f>
        <v/>
      </c>
      <c r="AJ274" s="12" t="n"/>
      <c r="AK274" s="41">
        <f>IF(AND(W274="X",M274&lt;=$AJ$2),"YES","")</f>
        <v/>
      </c>
      <c r="AL274" s="38">
        <f>IF(AND(W274="X",M274&lt;=$AJ$2),S274,"")</f>
        <v/>
      </c>
      <c r="AM274" s="26">
        <f>IF(AND(W274="X",M274&gt;$AJ$2),"YES","")</f>
        <v/>
      </c>
      <c r="AN274" s="89">
        <f>IF(AND(W274="X",M274&gt;$AJ$2),S274,"")</f>
        <v/>
      </c>
      <c r="AO274" s="35">
        <f>IF(AND(W274="",M274&gt;0,$AJ$2&gt;M274,L274=""),1,0)</f>
        <v/>
      </c>
      <c r="AP274" s="26">
        <f>IF(AND(AK274="YES",W274="X"),"X","")</f>
        <v/>
      </c>
      <c r="AQ274" s="28">
        <f>IF(AP274="X",100%,0%)</f>
        <v/>
      </c>
      <c r="AR274" s="25">
        <f>IF(AND(T274&gt;0,L274=""),H274,"")</f>
        <v/>
      </c>
      <c r="AS274" s="25">
        <f>IF(AND(D274&gt;0,H274=0,G274=""),1,"")</f>
        <v/>
      </c>
      <c r="AT274" s="25">
        <f>IF(G274="BLOQ",1,"")</f>
        <v/>
      </c>
      <c r="AU274" s="25">
        <f>IF(L274="BLOQ",1,"")</f>
        <v/>
      </c>
      <c r="AV274" s="25">
        <f>MONTH(F274)</f>
        <v/>
      </c>
      <c r="AW274" s="65">
        <f>IF(AP274="",100%,0%)</f>
        <v/>
      </c>
      <c r="AX274" s="23" t="n"/>
      <c r="AY274" s="24">
        <f>IF(M274=0,"",M274-$AX$2)</f>
        <v/>
      </c>
      <c r="AZ274" s="66">
        <f>IF(AND(W274="",AY274&gt;0,AY274&lt;15),1,0)</f>
        <v/>
      </c>
      <c r="BA274" s="24">
        <f>IF(AND(W274="",AY274&gt;0,AY274&lt;15),T274,"")</f>
        <v/>
      </c>
      <c r="BB274" s="87">
        <f>IF(R274&lt;Q274,"X","")</f>
        <v/>
      </c>
      <c r="BC274" s="190" t="inlineStr">
        <is>
          <t>NO</t>
        </is>
      </c>
      <c r="BD274" s="190" t="inlineStr">
        <is>
          <t>NO</t>
        </is>
      </c>
    </row>
    <row r="275" ht="15" customHeight="1" s="162">
      <c r="A275" s="7" t="n">
        <v>274</v>
      </c>
      <c r="B275" t="inlineStr">
        <is>
          <t>1709800000500</t>
        </is>
      </c>
      <c r="C275" t="inlineStr">
        <is>
          <t>COMPRA DIRECTA FERRETERIA Y HERRAMIENTAS</t>
        </is>
      </c>
      <c r="D275" t="inlineStr">
        <is>
          <t>1101825214</t>
        </is>
      </c>
      <c r="E275" t="inlineStr">
        <is>
          <t>4</t>
        </is>
      </c>
      <c r="F275" s="163" t="n">
        <v>45673</v>
      </c>
      <c r="G275" t="inlineStr"/>
      <c r="H275" t="inlineStr">
        <is>
          <t>4200594187</t>
        </is>
      </c>
      <c r="I275" t="inlineStr">
        <is>
          <t>40</t>
        </is>
      </c>
      <c r="J275" s="163" t="n">
        <v>45679</v>
      </c>
      <c r="K275" s="163" t="n">
        <v>45680</v>
      </c>
      <c r="L275" t="inlineStr"/>
      <c r="M275" s="163" t="n">
        <v>45688</v>
      </c>
      <c r="N275" s="164" t="n">
        <v>30</v>
      </c>
      <c r="O275" s="164" t="n">
        <v>8</v>
      </c>
      <c r="P275" t="inlineStr">
        <is>
          <t>Liberado</t>
        </is>
      </c>
      <c r="Q275" s="165" t="n">
        <v>1</v>
      </c>
      <c r="R275" s="165" t="n">
        <v>1</v>
      </c>
      <c r="S275" s="165" t="n">
        <v>1</v>
      </c>
      <c r="T275" s="165" t="n">
        <v>0</v>
      </c>
      <c r="U275" s="166" t="n">
        <v>0</v>
      </c>
      <c r="V275" s="166" t="n">
        <v>0</v>
      </c>
      <c r="W275" t="inlineStr">
        <is>
          <t>X</t>
        </is>
      </c>
      <c r="X275" t="inlineStr">
        <is>
          <t>0.00</t>
        </is>
      </c>
      <c r="Y275" t="inlineStr"/>
      <c r="Z275" t="inlineStr">
        <is>
          <t>ABACO SUYTEC, S.A.U.</t>
        </is>
      </c>
      <c r="AA275" t="inlineStr">
        <is>
          <t>OTROS FABRICANTES</t>
        </is>
      </c>
      <c r="AB275" t="inlineStr">
        <is>
          <t>1709800000500</t>
        </is>
      </c>
      <c r="AC275" t="inlineStr"/>
      <c r="AD275" s="164" t="n">
        <v>0</v>
      </c>
      <c r="AE275" s="185" t="n">
        <v>0</v>
      </c>
      <c r="AG275" s="167" t="inlineStr">
        <is>
          <t>7218|JA2585_1001</t>
        </is>
      </c>
      <c r="AH275" s="46">
        <f>IF(M275=0,"-",M275-J275)</f>
        <v/>
      </c>
      <c r="AI275" s="46">
        <f>IF(AND(S275=0,M275&gt;0,L275=0),IF(AH275&gt;=120,"VERY HIGH",IF(AH275&gt;=90,"HIGH",IF(AH275&gt;=60,"MEDIUM",IF(AH275&lt;60,"LOW")))),"-")</f>
        <v/>
      </c>
      <c r="AJ275" s="12" t="n"/>
      <c r="AK275" s="41">
        <f>IF(AND(W275="X",M275&lt;=$AJ$2),"YES","")</f>
        <v/>
      </c>
      <c r="AL275" s="38">
        <f>IF(AND(W275="X",M275&lt;=$AJ$2),S275,"")</f>
        <v/>
      </c>
      <c r="AM275" s="26">
        <f>IF(AND(W275="X",M275&gt;$AJ$2),"YES","")</f>
        <v/>
      </c>
      <c r="AN275" s="89">
        <f>IF(AND(W275="X",M275&gt;$AJ$2),S275,"")</f>
        <v/>
      </c>
      <c r="AO275" s="35">
        <f>IF(AND(W275="",M275&gt;0,$AJ$2&gt;M275,L275=""),1,0)</f>
        <v/>
      </c>
      <c r="AP275" s="26">
        <f>IF(AND(AK275="YES",W275="X"),"X","")</f>
        <v/>
      </c>
      <c r="AQ275" s="28">
        <f>IF(AP275="X",100%,0%)</f>
        <v/>
      </c>
      <c r="AR275" s="25">
        <f>IF(AND(T275&gt;0,L275=""),H275,"")</f>
        <v/>
      </c>
      <c r="AS275" s="25">
        <f>IF(AND(D275&gt;0,H275=0,G275=""),1,"")</f>
        <v/>
      </c>
      <c r="AT275" s="25">
        <f>IF(G275="BLOQ",1,"")</f>
        <v/>
      </c>
      <c r="AU275" s="25">
        <f>IF(L275="BLOQ",1,"")</f>
        <v/>
      </c>
      <c r="AV275" s="25">
        <f>MONTH(F275)</f>
        <v/>
      </c>
      <c r="AW275" s="65">
        <f>IF(AP275="",100%,0%)</f>
        <v/>
      </c>
      <c r="AX275" s="23" t="n"/>
      <c r="AY275" s="24">
        <f>IF(M275=0,"",M275-$AX$2)</f>
        <v/>
      </c>
      <c r="AZ275" s="66">
        <f>IF(AND(W275="",AY275&gt;0,AY275&lt;15),1,0)</f>
        <v/>
      </c>
      <c r="BA275" s="24">
        <f>IF(AND(W275="",AY275&gt;0,AY275&lt;15),T275,"")</f>
        <v/>
      </c>
      <c r="BB275" s="87">
        <f>IF(R275&lt;Q275,"X","")</f>
        <v/>
      </c>
      <c r="BC275" s="190" t="inlineStr">
        <is>
          <t>NO</t>
        </is>
      </c>
      <c r="BD275" s="190" t="inlineStr">
        <is>
          <t>NO</t>
        </is>
      </c>
    </row>
    <row r="276" ht="15" customHeight="1" s="162">
      <c r="A276" s="7" t="n">
        <v>275</v>
      </c>
      <c r="B276" t="inlineStr">
        <is>
          <t>1709800000500</t>
        </is>
      </c>
      <c r="C276" t="inlineStr">
        <is>
          <t>COMPRA DIRECTA FERRETERIA Y HERRAMIENTAS</t>
        </is>
      </c>
      <c r="D276" t="inlineStr">
        <is>
          <t>1101825218</t>
        </is>
      </c>
      <c r="E276" t="inlineStr">
        <is>
          <t>1</t>
        </is>
      </c>
      <c r="F276" s="163" t="n">
        <v>45673</v>
      </c>
      <c r="G276" t="inlineStr"/>
      <c r="H276" t="inlineStr">
        <is>
          <t>4200594187</t>
        </is>
      </c>
      <c r="I276" t="inlineStr">
        <is>
          <t>50</t>
        </is>
      </c>
      <c r="J276" s="163" t="n">
        <v>45679</v>
      </c>
      <c r="K276" s="163" t="n">
        <v>45680</v>
      </c>
      <c r="L276" t="inlineStr"/>
      <c r="M276" s="163" t="n">
        <v>45688</v>
      </c>
      <c r="N276" s="164" t="n">
        <v>30</v>
      </c>
      <c r="O276" s="164" t="n">
        <v>8</v>
      </c>
      <c r="P276" t="inlineStr">
        <is>
          <t>Liberado</t>
        </is>
      </c>
      <c r="Q276" s="165" t="n">
        <v>1</v>
      </c>
      <c r="R276" s="165" t="n">
        <v>1</v>
      </c>
      <c r="S276" s="165" t="n">
        <v>1</v>
      </c>
      <c r="T276" s="165" t="n">
        <v>0</v>
      </c>
      <c r="U276" s="166" t="n">
        <v>0</v>
      </c>
      <c r="V276" s="166" t="n">
        <v>0</v>
      </c>
      <c r="W276" t="inlineStr">
        <is>
          <t>X</t>
        </is>
      </c>
      <c r="X276" t="inlineStr">
        <is>
          <t>0.00</t>
        </is>
      </c>
      <c r="Y276" t="inlineStr"/>
      <c r="Z276" t="inlineStr">
        <is>
          <t>ABACO SUYTEC, S.A.U.</t>
        </is>
      </c>
      <c r="AA276" t="inlineStr">
        <is>
          <t>OTROS FABRICANTES</t>
        </is>
      </c>
      <c r="AB276" t="inlineStr">
        <is>
          <t>1709800000500</t>
        </is>
      </c>
      <c r="AC276" t="inlineStr"/>
      <c r="AD276" s="164" t="n">
        <v>0</v>
      </c>
      <c r="AE276" s="185" t="n">
        <v>0</v>
      </c>
      <c r="AG276" s="167" t="inlineStr">
        <is>
          <t>7218|JA2585_1001</t>
        </is>
      </c>
      <c r="AH276" s="46">
        <f>IF(M276=0,"-",M276-J276)</f>
        <v/>
      </c>
      <c r="AI276" s="46">
        <f>IF(AND(S276=0,M276&gt;0,L276=0),IF(AH276&gt;=120,"VERY HIGH",IF(AH276&gt;=90,"HIGH",IF(AH276&gt;=60,"MEDIUM",IF(AH276&lt;60,"LOW")))),"-")</f>
        <v/>
      </c>
      <c r="AJ276" s="12" t="n"/>
      <c r="AK276" s="41">
        <f>IF(AND(W276="X",M276&lt;=$AJ$2),"YES","")</f>
        <v/>
      </c>
      <c r="AL276" s="38">
        <f>IF(AND(W276="X",M276&lt;=$AJ$2),S276,"")</f>
        <v/>
      </c>
      <c r="AM276" s="26">
        <f>IF(AND(W276="X",M276&gt;$AJ$2),"YES","")</f>
        <v/>
      </c>
      <c r="AN276" s="89">
        <f>IF(AND(W276="X",M276&gt;$AJ$2),S276,"")</f>
        <v/>
      </c>
      <c r="AO276" s="35">
        <f>IF(AND(W276="",M276&gt;0,$AJ$2&gt;M276,L276=""),1,0)</f>
        <v/>
      </c>
      <c r="AP276" s="26">
        <f>IF(AND(AK276="YES",W276="X"),"X","")</f>
        <v/>
      </c>
      <c r="AQ276" s="28">
        <f>IF(AP276="X",100%,0%)</f>
        <v/>
      </c>
      <c r="AR276" s="25">
        <f>IF(AND(T276&gt;0,L276=""),H276,"")</f>
        <v/>
      </c>
      <c r="AS276" s="25">
        <f>IF(AND(D276&gt;0,H276=0,G276=""),1,"")</f>
        <v/>
      </c>
      <c r="AT276" s="25">
        <f>IF(G276="BLOQ",1,"")</f>
        <v/>
      </c>
      <c r="AU276" s="25">
        <f>IF(L276="BLOQ",1,"")</f>
        <v/>
      </c>
      <c r="AV276" s="25">
        <f>MONTH(F276)</f>
        <v/>
      </c>
      <c r="AW276" s="65">
        <f>IF(AP276="",100%,0%)</f>
        <v/>
      </c>
      <c r="AX276" s="23" t="n"/>
      <c r="AY276" s="24">
        <f>IF(M276=0,"",M276-$AX$2)</f>
        <v/>
      </c>
      <c r="AZ276" s="66">
        <f>IF(AND(W276="",AY276&gt;0,AY276&lt;15),1,0)</f>
        <v/>
      </c>
      <c r="BA276" s="24">
        <f>IF(AND(W276="",AY276&gt;0,AY276&lt;15),T276,"")</f>
        <v/>
      </c>
      <c r="BB276" s="87">
        <f>IF(R276&lt;Q276,"X","")</f>
        <v/>
      </c>
      <c r="BC276" s="190" t="inlineStr">
        <is>
          <t>NO</t>
        </is>
      </c>
      <c r="BD276" s="190" t="inlineStr">
        <is>
          <t>NO</t>
        </is>
      </c>
    </row>
    <row r="277" ht="15" customHeight="1" s="162">
      <c r="A277" s="7" t="n">
        <v>276</v>
      </c>
      <c r="B277" t="inlineStr">
        <is>
          <t>1709800000500</t>
        </is>
      </c>
      <c r="C277" t="inlineStr">
        <is>
          <t>COMPRA DIRECTA FERRETERIA Y HERRAMIENTAS</t>
        </is>
      </c>
      <c r="D277" t="inlineStr">
        <is>
          <t>1101825218</t>
        </is>
      </c>
      <c r="E277" t="inlineStr">
        <is>
          <t>2</t>
        </is>
      </c>
      <c r="F277" s="163" t="n">
        <v>45673</v>
      </c>
      <c r="G277" t="inlineStr"/>
      <c r="H277" t="inlineStr">
        <is>
          <t>4200594187</t>
        </is>
      </c>
      <c r="I277" t="inlineStr">
        <is>
          <t>60</t>
        </is>
      </c>
      <c r="J277" s="163" t="n">
        <v>45679</v>
      </c>
      <c r="K277" s="163" t="n">
        <v>45680</v>
      </c>
      <c r="L277" t="inlineStr"/>
      <c r="M277" s="163" t="n">
        <v>45688</v>
      </c>
      <c r="N277" s="164" t="n">
        <v>30</v>
      </c>
      <c r="O277" s="164" t="n">
        <v>8</v>
      </c>
      <c r="P277" t="inlineStr">
        <is>
          <t>Liberado</t>
        </is>
      </c>
      <c r="Q277" s="165" t="n">
        <v>1</v>
      </c>
      <c r="R277" s="165" t="n">
        <v>1</v>
      </c>
      <c r="S277" s="165" t="n">
        <v>1</v>
      </c>
      <c r="T277" s="165" t="n">
        <v>0</v>
      </c>
      <c r="U277" s="166" t="n">
        <v>0</v>
      </c>
      <c r="V277" s="166" t="n">
        <v>0</v>
      </c>
      <c r="W277" t="inlineStr">
        <is>
          <t>X</t>
        </is>
      </c>
      <c r="X277" t="inlineStr">
        <is>
          <t>0.00</t>
        </is>
      </c>
      <c r="Y277" t="inlineStr"/>
      <c r="Z277" t="inlineStr">
        <is>
          <t>ABACO SUYTEC, S.A.U.</t>
        </is>
      </c>
      <c r="AA277" t="inlineStr">
        <is>
          <t>OTROS FABRICANTES</t>
        </is>
      </c>
      <c r="AB277" t="inlineStr">
        <is>
          <t>1709800000500</t>
        </is>
      </c>
      <c r="AC277" t="inlineStr"/>
      <c r="AD277" s="164" t="n">
        <v>0</v>
      </c>
      <c r="AE277" s="185" t="n">
        <v>0</v>
      </c>
      <c r="AG277" s="167" t="inlineStr">
        <is>
          <t>7218|JA2585_1001</t>
        </is>
      </c>
      <c r="AH277" s="46">
        <f>IF(M277=0,"-",M277-J277)</f>
        <v/>
      </c>
      <c r="AI277" s="46">
        <f>IF(AND(S277=0,M277&gt;0,L277=0),IF(AH277&gt;=120,"VERY HIGH",IF(AH277&gt;=90,"HIGH",IF(AH277&gt;=60,"MEDIUM",IF(AH277&lt;60,"LOW")))),"-")</f>
        <v/>
      </c>
      <c r="AJ277" s="12" t="n"/>
      <c r="AK277" s="41">
        <f>IF(AND(W277="X",M277&lt;=$AJ$2),"YES","")</f>
        <v/>
      </c>
      <c r="AL277" s="38">
        <f>IF(AND(W277="X",M277&lt;=$AJ$2),S277,"")</f>
        <v/>
      </c>
      <c r="AM277" s="26">
        <f>IF(AND(W277="X",M277&gt;$AJ$2),"YES","")</f>
        <v/>
      </c>
      <c r="AN277" s="89">
        <f>IF(AND(W277="X",M277&gt;$AJ$2),S277,"")</f>
        <v/>
      </c>
      <c r="AO277" s="35">
        <f>IF(AND(W277="",M277&gt;0,$AJ$2&gt;M277,L277=""),1,0)</f>
        <v/>
      </c>
      <c r="AP277" s="26">
        <f>IF(AND(AK277="YES",W277="X"),"X","")</f>
        <v/>
      </c>
      <c r="AQ277" s="28">
        <f>IF(AP277="X",100%,0%)</f>
        <v/>
      </c>
      <c r="AR277" s="25">
        <f>IF(AND(T277&gt;0,L277=""),H277,"")</f>
        <v/>
      </c>
      <c r="AS277" s="25">
        <f>IF(AND(D277&gt;0,H277=0,G277=""),1,"")</f>
        <v/>
      </c>
      <c r="AT277" s="25">
        <f>IF(G277="BLOQ",1,"")</f>
        <v/>
      </c>
      <c r="AU277" s="25">
        <f>IF(L277="BLOQ",1,"")</f>
        <v/>
      </c>
      <c r="AV277" s="25">
        <f>MONTH(F277)</f>
        <v/>
      </c>
      <c r="AW277" s="65">
        <f>IF(AP277="",100%,0%)</f>
        <v/>
      </c>
      <c r="AX277" s="23" t="n"/>
      <c r="AY277" s="24">
        <f>IF(M277=0,"",M277-$AX$2)</f>
        <v/>
      </c>
      <c r="AZ277" s="66">
        <f>IF(AND(W277="",AY277&gt;0,AY277&lt;15),1,0)</f>
        <v/>
      </c>
      <c r="BA277" s="24">
        <f>IF(AND(W277="",AY277&gt;0,AY277&lt;15),T277,"")</f>
        <v/>
      </c>
      <c r="BB277" s="87">
        <f>IF(R277&lt;Q277,"X","")</f>
        <v/>
      </c>
      <c r="BC277" s="190" t="inlineStr">
        <is>
          <t>NO</t>
        </is>
      </c>
      <c r="BD277" s="190" t="inlineStr">
        <is>
          <t>NO</t>
        </is>
      </c>
    </row>
    <row r="278" ht="15" customHeight="1" s="162">
      <c r="A278" s="7" t="n">
        <v>277</v>
      </c>
      <c r="B278" t="inlineStr">
        <is>
          <t>44122025</t>
        </is>
      </c>
      <c r="C278" t="inlineStr">
        <is>
          <t>PK100 FUNDA MULTIT LYRECO A4 80 M TRS RG</t>
        </is>
      </c>
      <c r="D278" t="inlineStr">
        <is>
          <t>1101825252</t>
        </is>
      </c>
      <c r="E278" t="inlineStr">
        <is>
          <t>1</t>
        </is>
      </c>
      <c r="F278" s="163" t="n">
        <v>45673</v>
      </c>
      <c r="G278" t="inlineStr"/>
      <c r="H278" t="inlineStr">
        <is>
          <t>4800002798</t>
        </is>
      </c>
      <c r="I278" t="inlineStr">
        <is>
          <t>1250</t>
        </is>
      </c>
      <c r="J278" s="163" t="n">
        <v>45659</v>
      </c>
      <c r="K278" s="163" t="inlineStr"/>
      <c r="L278" t="inlineStr"/>
      <c r="M278" s="163" t="n">
        <v>45674</v>
      </c>
      <c r="N278" s="164" t="n">
        <v>0</v>
      </c>
      <c r="O278" s="164" t="n">
        <v>0</v>
      </c>
      <c r="P278" t="inlineStr"/>
      <c r="Q278" s="165" t="n">
        <v>2</v>
      </c>
      <c r="R278" s="165" t="n">
        <v>2</v>
      </c>
      <c r="S278" s="165" t="n">
        <v>2</v>
      </c>
      <c r="T278" s="165" t="n">
        <v>0</v>
      </c>
      <c r="U278" s="166" t="n">
        <v>0</v>
      </c>
      <c r="V278" s="166" t="n">
        <v>0</v>
      </c>
      <c r="W278" t="inlineStr">
        <is>
          <t>X</t>
        </is>
      </c>
      <c r="X278" t="inlineStr">
        <is>
          <t>0.00</t>
        </is>
      </c>
      <c r="Y278" t="inlineStr"/>
      <c r="Z278" t="inlineStr">
        <is>
          <t>FUNDACION JUAN XXIII-RONCALLI DISC.</t>
        </is>
      </c>
      <c r="AA278" t="inlineStr"/>
      <c r="AB278" t="inlineStr">
        <is>
          <t>317868</t>
        </is>
      </c>
      <c r="AC278" t="inlineStr"/>
      <c r="AD278" s="164" t="n">
        <v>0</v>
      </c>
      <c r="AE278" s="185" t="n">
        <v>0</v>
      </c>
      <c r="AG278" s="167" t="inlineStr">
        <is>
          <t>7218|JA2593_1001</t>
        </is>
      </c>
      <c r="AH278" s="46">
        <f>IF(M278=0,"-",M278-J278)</f>
        <v/>
      </c>
      <c r="AI278" s="46">
        <f>IF(AND(S278=0,M278&gt;0,L278=0),IF(AH278&gt;=120,"VERY HIGH",IF(AH278&gt;=90,"HIGH",IF(AH278&gt;=60,"MEDIUM",IF(AH278&lt;60,"LOW")))),"-")</f>
        <v/>
      </c>
      <c r="AJ278" s="12" t="n"/>
      <c r="AK278" s="41">
        <f>IF(AND(W278="X",M278&lt;=$AJ$2),"YES","")</f>
        <v/>
      </c>
      <c r="AL278" s="38">
        <f>IF(AND(W278="X",M278&lt;=$AJ$2),S278,"")</f>
        <v/>
      </c>
      <c r="AM278" s="26">
        <f>IF(AND(W278="X",M278&gt;$AJ$2),"YES","")</f>
        <v/>
      </c>
      <c r="AN278" s="89">
        <f>IF(AND(W278="X",M278&gt;$AJ$2),S278,"")</f>
        <v/>
      </c>
      <c r="AO278" s="35">
        <f>IF(AND(W278="",M278&gt;0,$AJ$2&gt;M278,L278=""),1,0)</f>
        <v/>
      </c>
      <c r="AP278" s="26">
        <f>IF(AND(AK278="YES",W278="X"),"X","")</f>
        <v/>
      </c>
      <c r="AQ278" s="28">
        <f>IF(AP278="X",100%,0%)</f>
        <v/>
      </c>
      <c r="AR278" s="25">
        <f>IF(AND(T278&gt;0,L278=""),H278,"")</f>
        <v/>
      </c>
      <c r="AS278" s="25">
        <f>IF(AND(D278&gt;0,H278=0,G278=""),1,"")</f>
        <v/>
      </c>
      <c r="AT278" s="25">
        <f>IF(G278="BLOQ",1,"")</f>
        <v/>
      </c>
      <c r="AU278" s="25">
        <f>IF(L278="BLOQ",1,"")</f>
        <v/>
      </c>
      <c r="AV278" s="25">
        <f>MONTH(F278)</f>
        <v/>
      </c>
      <c r="AW278" s="65">
        <f>IF(AP278="",100%,0%)</f>
        <v/>
      </c>
      <c r="AX278" s="23" t="n"/>
      <c r="AY278" s="24">
        <f>IF(M278=0,"",M278-$AX$2)</f>
        <v/>
      </c>
      <c r="AZ278" s="66">
        <f>IF(AND(W278="",AY278&gt;0,AY278&lt;15),1,0)</f>
        <v/>
      </c>
      <c r="BA278" s="24">
        <f>IF(AND(W278="",AY278&gt;0,AY278&lt;15),T278,"")</f>
        <v/>
      </c>
      <c r="BB278" s="87">
        <f>IF(R278&lt;Q278,"X","")</f>
        <v/>
      </c>
      <c r="BC278" s="190" t="inlineStr">
        <is>
          <t>NO</t>
        </is>
      </c>
      <c r="BD278" s="190" t="inlineStr">
        <is>
          <t>NO</t>
        </is>
      </c>
    </row>
    <row r="279" ht="15" customHeight="1" s="162">
      <c r="A279" s="7" t="n">
        <v>278</v>
      </c>
      <c r="B279" t="inlineStr">
        <is>
          <t>44121703</t>
        </is>
      </c>
      <c r="C279" t="inlineStr">
        <is>
          <t>PLUMA DESECHABLE PILOT V-PEN AZL SPW4M-L</t>
        </is>
      </c>
      <c r="D279" t="inlineStr">
        <is>
          <t>1101825252</t>
        </is>
      </c>
      <c r="E279" t="inlineStr">
        <is>
          <t>2</t>
        </is>
      </c>
      <c r="F279" s="163" t="n">
        <v>45673</v>
      </c>
      <c r="G279" t="inlineStr"/>
      <c r="H279" t="inlineStr">
        <is>
          <t>4800002798</t>
        </is>
      </c>
      <c r="I279" t="inlineStr">
        <is>
          <t>1260</t>
        </is>
      </c>
      <c r="J279" s="163" t="n">
        <v>45659</v>
      </c>
      <c r="K279" s="163" t="inlineStr"/>
      <c r="L279" t="inlineStr"/>
      <c r="M279" s="163" t="n">
        <v>45674</v>
      </c>
      <c r="N279" s="164" t="n">
        <v>0</v>
      </c>
      <c r="O279" s="164" t="n">
        <v>0</v>
      </c>
      <c r="P279" t="inlineStr"/>
      <c r="Q279" s="165" t="n">
        <v>1</v>
      </c>
      <c r="R279" s="165" t="n">
        <v>1</v>
      </c>
      <c r="S279" s="165" t="n">
        <v>1</v>
      </c>
      <c r="T279" s="165" t="n">
        <v>0</v>
      </c>
      <c r="U279" s="166" t="n">
        <v>0</v>
      </c>
      <c r="V279" s="166" t="n">
        <v>0</v>
      </c>
      <c r="W279" t="inlineStr">
        <is>
          <t>X</t>
        </is>
      </c>
      <c r="X279" t="inlineStr">
        <is>
          <t>0.00</t>
        </is>
      </c>
      <c r="Y279" t="inlineStr"/>
      <c r="Z279" t="inlineStr">
        <is>
          <t>FUNDACION JUAN XXIII-RONCALLI DISC.</t>
        </is>
      </c>
      <c r="AA279" t="inlineStr"/>
      <c r="AB279" t="inlineStr">
        <is>
          <t>2521151</t>
        </is>
      </c>
      <c r="AC279" t="inlineStr"/>
      <c r="AD279" s="164" t="n">
        <v>0</v>
      </c>
      <c r="AE279" s="185" t="n">
        <v>0</v>
      </c>
      <c r="AG279" s="167" t="inlineStr">
        <is>
          <t>7218|JA2593_1001</t>
        </is>
      </c>
      <c r="AH279" s="46">
        <f>IF(M279=0,"-",M279-J279)</f>
        <v/>
      </c>
      <c r="AI279" s="46">
        <f>IF(AND(S279=0,M279&gt;0,L279=0),IF(AH279&gt;=120,"VERY HIGH",IF(AH279&gt;=90,"HIGH",IF(AH279&gt;=60,"MEDIUM",IF(AH279&lt;60,"LOW")))),"-")</f>
        <v/>
      </c>
      <c r="AJ279" s="12" t="n"/>
      <c r="AK279" s="41">
        <f>IF(AND(W279="X",M279&lt;=$AJ$2),"YES","")</f>
        <v/>
      </c>
      <c r="AL279" s="38">
        <f>IF(AND(W279="X",M279&lt;=$AJ$2),S279,"")</f>
        <v/>
      </c>
      <c r="AM279" s="26">
        <f>IF(AND(W279="X",M279&gt;$AJ$2),"YES","")</f>
        <v/>
      </c>
      <c r="AN279" s="89">
        <f>IF(AND(W279="X",M279&gt;$AJ$2),S279,"")</f>
        <v/>
      </c>
      <c r="AO279" s="35">
        <f>IF(AND(W279="",M279&gt;0,$AJ$2&gt;M279,L279=""),1,0)</f>
        <v/>
      </c>
      <c r="AP279" s="26">
        <f>IF(AND(AK279="YES",W279="X"),"X","")</f>
        <v/>
      </c>
      <c r="AQ279" s="28">
        <f>IF(AP279="X",100%,0%)</f>
        <v/>
      </c>
      <c r="AR279" s="25">
        <f>IF(AND(T279&gt;0,L279=""),H279,"")</f>
        <v/>
      </c>
      <c r="AS279" s="25">
        <f>IF(AND(D279&gt;0,H279=0,G279=""),1,"")</f>
        <v/>
      </c>
      <c r="AT279" s="25">
        <f>IF(G279="BLOQ",1,"")</f>
        <v/>
      </c>
      <c r="AU279" s="25">
        <f>IF(L279="BLOQ",1,"")</f>
        <v/>
      </c>
      <c r="AV279" s="25">
        <f>MONTH(F279)</f>
        <v/>
      </c>
      <c r="AW279" s="65">
        <f>IF(AP279="",100%,0%)</f>
        <v/>
      </c>
      <c r="AX279" s="23" t="n"/>
      <c r="AY279" s="24">
        <f>IF(M279=0,"",M279-$AX$2)</f>
        <v/>
      </c>
      <c r="AZ279" s="66">
        <f>IF(AND(W279="",AY279&gt;0,AY279&lt;15),1,0)</f>
        <v/>
      </c>
      <c r="BA279" s="24">
        <f>IF(AND(W279="",AY279&gt;0,AY279&lt;15),T279,"")</f>
        <v/>
      </c>
      <c r="BB279" s="87">
        <f>IF(R279&lt;Q279,"X","")</f>
        <v/>
      </c>
      <c r="BC279" s="190" t="inlineStr">
        <is>
          <t>NO</t>
        </is>
      </c>
      <c r="BD279" s="190" t="inlineStr">
        <is>
          <t>NO</t>
        </is>
      </c>
    </row>
    <row r="280" ht="15" customHeight="1" s="162">
      <c r="A280" s="7" t="n">
        <v>279</v>
      </c>
      <c r="B280" t="inlineStr">
        <is>
          <t>44121708</t>
        </is>
      </c>
      <c r="C280" t="inlineStr">
        <is>
          <t>ROTUL PERM STAEDTLER LUMOCOL 0,4MM ROJO</t>
        </is>
      </c>
      <c r="D280" t="inlineStr">
        <is>
          <t>1101825252</t>
        </is>
      </c>
      <c r="E280" t="inlineStr">
        <is>
          <t>3</t>
        </is>
      </c>
      <c r="F280" s="163" t="n">
        <v>45673</v>
      </c>
      <c r="G280" t="inlineStr"/>
      <c r="H280" t="inlineStr">
        <is>
          <t>4800002798</t>
        </is>
      </c>
      <c r="I280" t="inlineStr">
        <is>
          <t>1270</t>
        </is>
      </c>
      <c r="J280" s="163" t="n">
        <v>45659</v>
      </c>
      <c r="K280" s="163" t="inlineStr"/>
      <c r="L280" t="inlineStr"/>
      <c r="M280" s="163" t="n">
        <v>45674</v>
      </c>
      <c r="N280" s="164" t="n">
        <v>0</v>
      </c>
      <c r="O280" s="164" t="n">
        <v>0</v>
      </c>
      <c r="P280" t="inlineStr"/>
      <c r="Q280" s="165" t="n">
        <v>10</v>
      </c>
      <c r="R280" s="165" t="n">
        <v>10</v>
      </c>
      <c r="S280" s="165" t="n">
        <v>10</v>
      </c>
      <c r="T280" s="165" t="n">
        <v>0</v>
      </c>
      <c r="U280" s="166" t="n">
        <v>0</v>
      </c>
      <c r="V280" s="166" t="n">
        <v>0</v>
      </c>
      <c r="W280" t="inlineStr">
        <is>
          <t>X</t>
        </is>
      </c>
      <c r="X280" t="inlineStr">
        <is>
          <t>0.00</t>
        </is>
      </c>
      <c r="Y280" t="inlineStr"/>
      <c r="Z280" t="inlineStr">
        <is>
          <t>FUNDACION JUAN XXIII-RONCALLI DISC.</t>
        </is>
      </c>
      <c r="AA280" t="inlineStr"/>
      <c r="AB280" t="inlineStr">
        <is>
          <t>183103</t>
        </is>
      </c>
      <c r="AC280" t="inlineStr"/>
      <c r="AD280" s="164" t="n">
        <v>0</v>
      </c>
      <c r="AE280" s="185" t="n">
        <v>0</v>
      </c>
      <c r="AG280" s="167" t="inlineStr">
        <is>
          <t>7218|JA2593_1001</t>
        </is>
      </c>
      <c r="AH280" s="46">
        <f>IF(M280=0,"-",M280-J280)</f>
        <v/>
      </c>
      <c r="AI280" s="46">
        <f>IF(AND(S280=0,M280&gt;0,L280=0),IF(AH280&gt;=120,"VERY HIGH",IF(AH280&gt;=90,"HIGH",IF(AH280&gt;=60,"MEDIUM",IF(AH280&lt;60,"LOW")))),"-")</f>
        <v/>
      </c>
      <c r="AJ280" s="12" t="n"/>
      <c r="AK280" s="41">
        <f>IF(AND(W280="X",M280&lt;=$AJ$2),"YES","")</f>
        <v/>
      </c>
      <c r="AL280" s="38">
        <f>IF(AND(W280="X",M280&lt;=$AJ$2),S280,"")</f>
        <v/>
      </c>
      <c r="AM280" s="26">
        <f>IF(AND(W280="X",M280&gt;$AJ$2),"YES","")</f>
        <v/>
      </c>
      <c r="AN280" s="89">
        <f>IF(AND(W280="X",M280&gt;$AJ$2),S280,"")</f>
        <v/>
      </c>
      <c r="AO280" s="35">
        <f>IF(AND(W280="",M280&gt;0,$AJ$2&gt;M280,L280=""),1,0)</f>
        <v/>
      </c>
      <c r="AP280" s="26">
        <f>IF(AND(AK280="YES",W280="X"),"X","")</f>
        <v/>
      </c>
      <c r="AQ280" s="28">
        <f>IF(AP280="X",100%,0%)</f>
        <v/>
      </c>
      <c r="AR280" s="25">
        <f>IF(AND(T280&gt;0,L280=""),H280,"")</f>
        <v/>
      </c>
      <c r="AS280" s="25">
        <f>IF(AND(D280&gt;0,H280=0,G280=""),1,"")</f>
        <v/>
      </c>
      <c r="AT280" s="25">
        <f>IF(G280="BLOQ",1,"")</f>
        <v/>
      </c>
      <c r="AU280" s="25">
        <f>IF(L280="BLOQ",1,"")</f>
        <v/>
      </c>
      <c r="AV280" s="25">
        <f>MONTH(F280)</f>
        <v/>
      </c>
      <c r="AW280" s="65">
        <f>IF(AP280="",100%,0%)</f>
        <v/>
      </c>
      <c r="AX280" s="23" t="n"/>
      <c r="AY280" s="24">
        <f>IF(M280=0,"",M280-$AX$2)</f>
        <v/>
      </c>
      <c r="AZ280" s="66">
        <f>IF(AND(W280="",AY280&gt;0,AY280&lt;15),1,0)</f>
        <v/>
      </c>
      <c r="BA280" s="24">
        <f>IF(AND(W280="",AY280&gt;0,AY280&lt;15),T280,"")</f>
        <v/>
      </c>
      <c r="BB280" s="87">
        <f>IF(R280&lt;Q280,"X","")</f>
        <v/>
      </c>
      <c r="BC280" s="190" t="inlineStr">
        <is>
          <t>NO</t>
        </is>
      </c>
      <c r="BD280" s="190" t="inlineStr">
        <is>
          <t>NO</t>
        </is>
      </c>
    </row>
    <row r="281" ht="15" customHeight="1" s="162">
      <c r="A281" s="7" t="n">
        <v>280</v>
      </c>
      <c r="B281" t="inlineStr">
        <is>
          <t>44121708</t>
        </is>
      </c>
      <c r="C281" t="inlineStr">
        <is>
          <t>ROTUL PERM STAEDTLER LUMOCOL 0,4MM AZUL</t>
        </is>
      </c>
      <c r="D281" t="inlineStr">
        <is>
          <t>1101825252</t>
        </is>
      </c>
      <c r="E281" t="inlineStr">
        <is>
          <t>4</t>
        </is>
      </c>
      <c r="F281" s="163" t="n">
        <v>45673</v>
      </c>
      <c r="G281" t="inlineStr"/>
      <c r="H281" t="inlineStr">
        <is>
          <t>4800002798</t>
        </is>
      </c>
      <c r="I281" t="inlineStr">
        <is>
          <t>1280</t>
        </is>
      </c>
      <c r="J281" s="163" t="n">
        <v>45659</v>
      </c>
      <c r="K281" s="163" t="inlineStr"/>
      <c r="L281" t="inlineStr"/>
      <c r="M281" s="163" t="n">
        <v>45674</v>
      </c>
      <c r="N281" s="164" t="n">
        <v>0</v>
      </c>
      <c r="O281" s="164" t="n">
        <v>0</v>
      </c>
      <c r="P281" t="inlineStr"/>
      <c r="Q281" s="165" t="n">
        <v>10</v>
      </c>
      <c r="R281" s="165" t="n">
        <v>10</v>
      </c>
      <c r="S281" s="165" t="n">
        <v>10</v>
      </c>
      <c r="T281" s="165" t="n">
        <v>0</v>
      </c>
      <c r="U281" s="166" t="n">
        <v>0</v>
      </c>
      <c r="V281" s="166" t="n">
        <v>0</v>
      </c>
      <c r="W281" t="inlineStr">
        <is>
          <t>X</t>
        </is>
      </c>
      <c r="X281" t="inlineStr">
        <is>
          <t>0.00</t>
        </is>
      </c>
      <c r="Y281" t="inlineStr"/>
      <c r="Z281" t="inlineStr">
        <is>
          <t>FUNDACION JUAN XXIII-RONCALLI DISC.</t>
        </is>
      </c>
      <c r="AA281" t="inlineStr"/>
      <c r="AB281" t="inlineStr">
        <is>
          <t>183091</t>
        </is>
      </c>
      <c r="AC281" t="inlineStr"/>
      <c r="AD281" s="164" t="n">
        <v>0</v>
      </c>
      <c r="AE281" s="185" t="n">
        <v>0</v>
      </c>
      <c r="AG281" s="167" t="inlineStr">
        <is>
          <t>7218|JA2593_1001</t>
        </is>
      </c>
      <c r="AH281" s="46">
        <f>IF(M281=0,"-",M281-J281)</f>
        <v/>
      </c>
      <c r="AI281" s="46">
        <f>IF(AND(S281=0,M281&gt;0,L281=0),IF(AH281&gt;=120,"VERY HIGH",IF(AH281&gt;=90,"HIGH",IF(AH281&gt;=60,"MEDIUM",IF(AH281&lt;60,"LOW")))),"-")</f>
        <v/>
      </c>
      <c r="AJ281" s="12" t="n"/>
      <c r="AK281" s="41">
        <f>IF(AND(W281="X",M281&lt;=$AJ$2),"YES","")</f>
        <v/>
      </c>
      <c r="AL281" s="38">
        <f>IF(AND(W281="X",M281&lt;=$AJ$2),S281,"")</f>
        <v/>
      </c>
      <c r="AM281" s="26">
        <f>IF(AND(W281="X",M281&gt;$AJ$2),"YES","")</f>
        <v/>
      </c>
      <c r="AN281" s="89">
        <f>IF(AND(W281="X",M281&gt;$AJ$2),S281,"")</f>
        <v/>
      </c>
      <c r="AO281" s="35">
        <f>IF(AND(W281="",M281&gt;0,$AJ$2&gt;M281,L281=""),1,0)</f>
        <v/>
      </c>
      <c r="AP281" s="26">
        <f>IF(AND(AK281="YES",W281="X"),"X","")</f>
        <v/>
      </c>
      <c r="AQ281" s="28">
        <f>IF(AP281="X",100%,0%)</f>
        <v/>
      </c>
      <c r="AR281" s="25">
        <f>IF(AND(T281&gt;0,L281=""),H281,"")</f>
        <v/>
      </c>
      <c r="AS281" s="25">
        <f>IF(AND(D281&gt;0,H281=0,G281=""),1,"")</f>
        <v/>
      </c>
      <c r="AT281" s="25">
        <f>IF(G281="BLOQ",1,"")</f>
        <v/>
      </c>
      <c r="AU281" s="25">
        <f>IF(L281="BLOQ",1,"")</f>
        <v/>
      </c>
      <c r="AV281" s="25">
        <f>MONTH(F281)</f>
        <v/>
      </c>
      <c r="AW281" s="65">
        <f>IF(AP281="",100%,0%)</f>
        <v/>
      </c>
      <c r="AX281" s="23" t="n"/>
      <c r="AY281" s="24">
        <f>IF(M281=0,"",M281-$AX$2)</f>
        <v/>
      </c>
      <c r="AZ281" s="66">
        <f>IF(AND(W281="",AY281&gt;0,AY281&lt;15),1,0)</f>
        <v/>
      </c>
      <c r="BA281" s="24">
        <f>IF(AND(W281="",AY281&gt;0,AY281&lt;15),T281,"")</f>
        <v/>
      </c>
      <c r="BB281" s="87">
        <f>IF(R281&lt;Q281,"X","")</f>
        <v/>
      </c>
      <c r="BC281" s="190" t="inlineStr">
        <is>
          <t>NO</t>
        </is>
      </c>
      <c r="BD281" s="190" t="inlineStr">
        <is>
          <t>NO</t>
        </is>
      </c>
    </row>
    <row r="282" ht="15" customHeight="1" s="162">
      <c r="A282" s="7" t="n">
        <v>281</v>
      </c>
      <c r="B282" t="inlineStr">
        <is>
          <t>14111530</t>
        </is>
      </c>
      <c r="C282" t="inlineStr">
        <is>
          <t>PK6 NOTAS LYRECO 76X76 COL SURTIDOS BRIL</t>
        </is>
      </c>
      <c r="D282" t="inlineStr">
        <is>
          <t>1101825252</t>
        </is>
      </c>
      <c r="E282" t="inlineStr">
        <is>
          <t>5</t>
        </is>
      </c>
      <c r="F282" s="163" t="n">
        <v>45673</v>
      </c>
      <c r="G282" t="inlineStr"/>
      <c r="H282" t="inlineStr">
        <is>
          <t>4800002798</t>
        </is>
      </c>
      <c r="I282" t="inlineStr">
        <is>
          <t>1290</t>
        </is>
      </c>
      <c r="J282" s="163" t="n">
        <v>45659</v>
      </c>
      <c r="K282" s="163" t="inlineStr"/>
      <c r="L282" t="inlineStr"/>
      <c r="M282" s="163" t="n">
        <v>45674</v>
      </c>
      <c r="N282" s="164" t="n">
        <v>0</v>
      </c>
      <c r="O282" s="164" t="n">
        <v>0</v>
      </c>
      <c r="P282" t="inlineStr"/>
      <c r="Q282" s="165" t="n">
        <v>1</v>
      </c>
      <c r="R282" s="165" t="n">
        <v>1</v>
      </c>
      <c r="S282" s="165" t="n">
        <v>1</v>
      </c>
      <c r="T282" s="165" t="n">
        <v>0</v>
      </c>
      <c r="U282" s="166" t="n">
        <v>0</v>
      </c>
      <c r="V282" s="166" t="n">
        <v>0</v>
      </c>
      <c r="W282" t="inlineStr">
        <is>
          <t>X</t>
        </is>
      </c>
      <c r="X282" t="inlineStr">
        <is>
          <t>0.00</t>
        </is>
      </c>
      <c r="Y282" t="inlineStr"/>
      <c r="Z282" t="inlineStr">
        <is>
          <t>FUNDACION JUAN XXIII-RONCALLI DISC.</t>
        </is>
      </c>
      <c r="AA282" t="inlineStr"/>
      <c r="AB282" t="inlineStr">
        <is>
          <t>2515489</t>
        </is>
      </c>
      <c r="AC282" t="inlineStr"/>
      <c r="AD282" s="164" t="n">
        <v>0</v>
      </c>
      <c r="AE282" s="185" t="n">
        <v>0</v>
      </c>
      <c r="AG282" s="167" t="inlineStr">
        <is>
          <t>7218|JA2593_1001</t>
        </is>
      </c>
      <c r="AH282" s="46">
        <f>IF(M282=0,"-",M282-J282)</f>
        <v/>
      </c>
      <c r="AI282" s="46">
        <f>IF(AND(S282=0,M282&gt;0,L282=0),IF(AH282&gt;=120,"VERY HIGH",IF(AH282&gt;=90,"HIGH",IF(AH282&gt;=60,"MEDIUM",IF(AH282&lt;60,"LOW")))),"-")</f>
        <v/>
      </c>
      <c r="AJ282" s="12" t="n"/>
      <c r="AK282" s="41">
        <f>IF(AND(W282="X",M282&lt;=$AJ$2),"YES","")</f>
        <v/>
      </c>
      <c r="AL282" s="38">
        <f>IF(AND(W282="X",M282&lt;=$AJ$2),S282,"")</f>
        <v/>
      </c>
      <c r="AM282" s="26">
        <f>IF(AND(W282="X",M282&gt;$AJ$2),"YES","")</f>
        <v/>
      </c>
      <c r="AN282" s="89">
        <f>IF(AND(W282="X",M282&gt;$AJ$2),S282,"")</f>
        <v/>
      </c>
      <c r="AO282" s="35">
        <f>IF(AND(W282="",M282&gt;0,$AJ$2&gt;M282,L282=""),1,0)</f>
        <v/>
      </c>
      <c r="AP282" s="26">
        <f>IF(AND(AK282="YES",W282="X"),"X","")</f>
        <v/>
      </c>
      <c r="AQ282" s="28">
        <f>IF(AP282="X",100%,0%)</f>
        <v/>
      </c>
      <c r="AR282" s="25">
        <f>IF(AND(T282&gt;0,L282=""),H282,"")</f>
        <v/>
      </c>
      <c r="AS282" s="25">
        <f>IF(AND(D282&gt;0,H282=0,G282=""),1,"")</f>
        <v/>
      </c>
      <c r="AT282" s="25">
        <f>IF(G282="BLOQ",1,"")</f>
        <v/>
      </c>
      <c r="AU282" s="25">
        <f>IF(L282="BLOQ",1,"")</f>
        <v/>
      </c>
      <c r="AV282" s="25">
        <f>MONTH(F282)</f>
        <v/>
      </c>
      <c r="AW282" s="65">
        <f>IF(AP282="",100%,0%)</f>
        <v/>
      </c>
      <c r="AX282" s="23" t="n"/>
      <c r="AY282" s="24">
        <f>IF(M282=0,"",M282-$AX$2)</f>
        <v/>
      </c>
      <c r="AZ282" s="66">
        <f>IF(AND(W282="",AY282&gt;0,AY282&lt;15),1,0)</f>
        <v/>
      </c>
      <c r="BA282" s="24">
        <f>IF(AND(W282="",AY282&gt;0,AY282&lt;15),T282,"")</f>
        <v/>
      </c>
      <c r="BB282" s="87">
        <f>IF(R282&lt;Q282,"X","")</f>
        <v/>
      </c>
      <c r="BC282" s="190" t="inlineStr">
        <is>
          <t>NO</t>
        </is>
      </c>
      <c r="BD282" s="190" t="inlineStr">
        <is>
          <t>NO</t>
        </is>
      </c>
    </row>
    <row r="283" ht="15" customHeight="1" s="162">
      <c r="A283" s="7" t="n">
        <v>282</v>
      </c>
      <c r="B283" t="inlineStr">
        <is>
          <t>44122107</t>
        </is>
      </c>
      <c r="C283" t="inlineStr">
        <is>
          <t>CJ1000 GRAPAS LYRECO 24/6 GALVANIZADAS</t>
        </is>
      </c>
      <c r="D283" t="inlineStr">
        <is>
          <t>1101825252</t>
        </is>
      </c>
      <c r="E283" t="inlineStr">
        <is>
          <t>6</t>
        </is>
      </c>
      <c r="F283" s="163" t="n">
        <v>45673</v>
      </c>
      <c r="G283" t="inlineStr"/>
      <c r="H283" t="inlineStr">
        <is>
          <t>4800002798</t>
        </is>
      </c>
      <c r="I283" t="inlineStr">
        <is>
          <t>1300</t>
        </is>
      </c>
      <c r="J283" s="163" t="n">
        <v>45659</v>
      </c>
      <c r="K283" s="163" t="inlineStr"/>
      <c r="L283" t="inlineStr"/>
      <c r="M283" s="163" t="n">
        <v>45674</v>
      </c>
      <c r="N283" s="164" t="n">
        <v>0</v>
      </c>
      <c r="O283" s="164" t="n">
        <v>0</v>
      </c>
      <c r="P283" t="inlineStr"/>
      <c r="Q283" s="165" t="n">
        <v>4</v>
      </c>
      <c r="R283" s="165" t="n">
        <v>4</v>
      </c>
      <c r="S283" s="165" t="n">
        <v>4</v>
      </c>
      <c r="T283" s="165" t="n">
        <v>0</v>
      </c>
      <c r="U283" s="166" t="n">
        <v>0</v>
      </c>
      <c r="V283" s="166" t="n">
        <v>0</v>
      </c>
      <c r="W283" t="inlineStr">
        <is>
          <t>X</t>
        </is>
      </c>
      <c r="X283" t="inlineStr">
        <is>
          <t>0.00</t>
        </is>
      </c>
      <c r="Y283" t="inlineStr"/>
      <c r="Z283" t="inlineStr">
        <is>
          <t>FUNDACION JUAN XXIII-RONCALLI DISC.</t>
        </is>
      </c>
      <c r="AA283" t="inlineStr"/>
      <c r="AB283" t="inlineStr">
        <is>
          <t>5002534</t>
        </is>
      </c>
      <c r="AC283" t="inlineStr"/>
      <c r="AD283" s="164" t="n">
        <v>0</v>
      </c>
      <c r="AE283" s="185" t="n">
        <v>0</v>
      </c>
      <c r="AG283" s="167" t="inlineStr">
        <is>
          <t>7218|JA2593_1001</t>
        </is>
      </c>
      <c r="AH283" s="46">
        <f>IF(M283=0,"-",M283-J283)</f>
        <v/>
      </c>
      <c r="AI283" s="46">
        <f>IF(AND(S283=0,M283&gt;0,L283=0),IF(AH283&gt;=120,"VERY HIGH",IF(AH283&gt;=90,"HIGH",IF(AH283&gt;=60,"MEDIUM",IF(AH283&lt;60,"LOW")))),"-")</f>
        <v/>
      </c>
      <c r="AJ283" s="12" t="n"/>
      <c r="AK283" s="41">
        <f>IF(AND(W283="X",M283&lt;=$AJ$2),"YES","")</f>
        <v/>
      </c>
      <c r="AL283" s="38">
        <f>IF(AND(W283="X",M283&lt;=$AJ$2),S283,"")</f>
        <v/>
      </c>
      <c r="AM283" s="26">
        <f>IF(AND(W283="X",M283&gt;$AJ$2),"YES","")</f>
        <v/>
      </c>
      <c r="AN283" s="89">
        <f>IF(AND(W283="X",M283&gt;$AJ$2),S283,"")</f>
        <v/>
      </c>
      <c r="AO283" s="35">
        <f>IF(AND(W283="",M283&gt;0,$AJ$2&gt;M283,L283=""),1,0)</f>
        <v/>
      </c>
      <c r="AP283" s="26">
        <f>IF(AND(AK283="YES",W283="X"),"X","")</f>
        <v/>
      </c>
      <c r="AQ283" s="28">
        <f>IF(AP283="X",100%,0%)</f>
        <v/>
      </c>
      <c r="AR283" s="25">
        <f>IF(AND(T283&gt;0,L283=""),H283,"")</f>
        <v/>
      </c>
      <c r="AS283" s="25">
        <f>IF(AND(D283&gt;0,H283=0,G283=""),1,"")</f>
        <v/>
      </c>
      <c r="AT283" s="25">
        <f>IF(G283="BLOQ",1,"")</f>
        <v/>
      </c>
      <c r="AU283" s="25">
        <f>IF(L283="BLOQ",1,"")</f>
        <v/>
      </c>
      <c r="AV283" s="25">
        <f>MONTH(F283)</f>
        <v/>
      </c>
      <c r="AW283" s="65">
        <f>IF(AP283="",100%,0%)</f>
        <v/>
      </c>
      <c r="AX283" s="23" t="n"/>
      <c r="AY283" s="24">
        <f>IF(M283=0,"",M283-$AX$2)</f>
        <v/>
      </c>
      <c r="AZ283" s="66">
        <f>IF(AND(W283="",AY283&gt;0,AY283&lt;15),1,0)</f>
        <v/>
      </c>
      <c r="BA283" s="24">
        <f>IF(AND(W283="",AY283&gt;0,AY283&lt;15),T283,"")</f>
        <v/>
      </c>
      <c r="BB283" s="87">
        <f>IF(R283&lt;Q283,"X","")</f>
        <v/>
      </c>
      <c r="BC283" s="190" t="inlineStr">
        <is>
          <t>NO</t>
        </is>
      </c>
      <c r="BD283" s="190" t="inlineStr">
        <is>
          <t>NO</t>
        </is>
      </c>
    </row>
    <row r="284" ht="15" customHeight="1" s="162">
      <c r="A284" s="7" t="n">
        <v>283</v>
      </c>
      <c r="B284" t="inlineStr">
        <is>
          <t>44122002</t>
        </is>
      </c>
      <c r="C284" t="inlineStr">
        <is>
          <t>S&amp;#237; Funda disipativa de est&amp;#225;tic</t>
        </is>
      </c>
      <c r="D284" t="inlineStr">
        <is>
          <t>1101825319</t>
        </is>
      </c>
      <c r="E284" t="inlineStr">
        <is>
          <t>1</t>
        </is>
      </c>
      <c r="F284" s="163" t="n">
        <v>45673</v>
      </c>
      <c r="G284" t="inlineStr"/>
      <c r="H284" t="inlineStr">
        <is>
          <t>4800002825</t>
        </is>
      </c>
      <c r="I284" t="inlineStr">
        <is>
          <t>410</t>
        </is>
      </c>
      <c r="J284" s="163" t="n">
        <v>45672</v>
      </c>
      <c r="K284" s="163" t="inlineStr"/>
      <c r="L284" t="inlineStr"/>
      <c r="M284" s="163" t="n">
        <v>45674</v>
      </c>
      <c r="N284" s="164" t="n">
        <v>0</v>
      </c>
      <c r="O284" s="164" t="n">
        <v>0</v>
      </c>
      <c r="P284" t="inlineStr"/>
      <c r="Q284" s="165" t="n">
        <v>4</v>
      </c>
      <c r="R284" s="165" t="n">
        <v>4</v>
      </c>
      <c r="S284" s="165" t="n">
        <v>4</v>
      </c>
      <c r="T284" s="165" t="n">
        <v>0</v>
      </c>
      <c r="U284" s="166" t="n">
        <v>0</v>
      </c>
      <c r="V284" s="166" t="n">
        <v>0</v>
      </c>
      <c r="W284" t="inlineStr">
        <is>
          <t>X</t>
        </is>
      </c>
      <c r="X284" t="inlineStr">
        <is>
          <t>0.00</t>
        </is>
      </c>
      <c r="Y284" t="inlineStr"/>
      <c r="Z284" t="inlineStr">
        <is>
          <t>AMIDATA, S.A.</t>
        </is>
      </c>
      <c r="AA284" t="inlineStr"/>
      <c r="AB284" t="inlineStr">
        <is>
          <t>0733952</t>
        </is>
      </c>
      <c r="AC284" t="inlineStr"/>
      <c r="AD284" s="164" t="n">
        <v>0</v>
      </c>
      <c r="AE284" s="185" t="n">
        <v>0</v>
      </c>
      <c r="AG284" s="167" t="inlineStr">
        <is>
          <t>7218|JA2593_1001</t>
        </is>
      </c>
      <c r="AH284" s="46">
        <f>IF(M284=0,"-",M284-J284)</f>
        <v/>
      </c>
      <c r="AI284" s="46">
        <f>IF(AND(S284=0,M284&gt;0,L284=0),IF(AH284&gt;=120,"VERY HIGH",IF(AH284&gt;=90,"HIGH",IF(AH284&gt;=60,"MEDIUM",IF(AH284&lt;60,"LOW")))),"-")</f>
        <v/>
      </c>
      <c r="AJ284" s="12" t="n"/>
      <c r="AK284" s="41">
        <f>IF(AND(W284="X",M284&lt;=$AJ$2),"YES","")</f>
        <v/>
      </c>
      <c r="AL284" s="38">
        <f>IF(AND(W284="X",M284&lt;=$AJ$2),S284,"")</f>
        <v/>
      </c>
      <c r="AM284" s="26">
        <f>IF(AND(W284="X",M284&gt;$AJ$2),"YES","")</f>
        <v/>
      </c>
      <c r="AN284" s="89">
        <f>IF(AND(W284="X",M284&gt;$AJ$2),S284,"")</f>
        <v/>
      </c>
      <c r="AO284" s="35">
        <f>IF(AND(W284="",M284&gt;0,$AJ$2&gt;M284,L284=""),1,0)</f>
        <v/>
      </c>
      <c r="AP284" s="26">
        <f>IF(AND(AK284="YES",W284="X"),"X","")</f>
        <v/>
      </c>
      <c r="AQ284" s="28">
        <f>IF(AP284="X",100%,0%)</f>
        <v/>
      </c>
      <c r="AR284" s="25">
        <f>IF(AND(T284&gt;0,L284=""),H284,"")</f>
        <v/>
      </c>
      <c r="AS284" s="25">
        <f>IF(AND(D284&gt;0,H284=0,G284=""),1,"")</f>
        <v/>
      </c>
      <c r="AT284" s="25">
        <f>IF(G284="BLOQ",1,"")</f>
        <v/>
      </c>
      <c r="AU284" s="25">
        <f>IF(L284="BLOQ",1,"")</f>
        <v/>
      </c>
      <c r="AV284" s="25">
        <f>MONTH(F284)</f>
        <v/>
      </c>
      <c r="AW284" s="65">
        <f>IF(AP284="",100%,0%)</f>
        <v/>
      </c>
      <c r="AX284" s="23" t="n"/>
      <c r="AY284" s="24">
        <f>IF(M284=0,"",M284-$AX$2)</f>
        <v/>
      </c>
      <c r="AZ284" s="66">
        <f>IF(AND(W284="",AY284&gt;0,AY284&lt;15),1,0)</f>
        <v/>
      </c>
      <c r="BA284" s="24">
        <f>IF(AND(W284="",AY284&gt;0,AY284&lt;15),T284,"")</f>
        <v/>
      </c>
      <c r="BB284" s="87">
        <f>IF(R284&lt;Q284,"X","")</f>
        <v/>
      </c>
      <c r="BC284" s="190" t="inlineStr">
        <is>
          <t>NO</t>
        </is>
      </c>
      <c r="BD284" s="190" t="inlineStr">
        <is>
          <t>NO</t>
        </is>
      </c>
    </row>
    <row r="285" ht="15" customHeight="1" s="162">
      <c r="A285" s="7" t="n">
        <v>284</v>
      </c>
      <c r="B285" t="inlineStr">
        <is>
          <t>44122025</t>
        </is>
      </c>
      <c r="C285" t="inlineStr">
        <is>
          <t>PK100 FUNDA MULTIT LYRECO A4 80 M TRS RG</t>
        </is>
      </c>
      <c r="D285" t="inlineStr">
        <is>
          <t>1101825324</t>
        </is>
      </c>
      <c r="E285" t="inlineStr">
        <is>
          <t>1</t>
        </is>
      </c>
      <c r="F285" s="163" t="n">
        <v>45673</v>
      </c>
      <c r="G285" t="inlineStr"/>
      <c r="H285" t="inlineStr">
        <is>
          <t>4800002798</t>
        </is>
      </c>
      <c r="I285" t="inlineStr">
        <is>
          <t>1350</t>
        </is>
      </c>
      <c r="J285" s="163" t="n">
        <v>45659</v>
      </c>
      <c r="K285" s="163" t="inlineStr"/>
      <c r="L285" t="inlineStr"/>
      <c r="M285" s="163" t="n">
        <v>45674</v>
      </c>
      <c r="N285" s="164" t="n">
        <v>0</v>
      </c>
      <c r="O285" s="164" t="n">
        <v>0</v>
      </c>
      <c r="P285" t="inlineStr"/>
      <c r="Q285" s="165" t="n">
        <v>2</v>
      </c>
      <c r="R285" s="165" t="n">
        <v>2</v>
      </c>
      <c r="S285" s="165" t="n">
        <v>2</v>
      </c>
      <c r="T285" s="165" t="n">
        <v>0</v>
      </c>
      <c r="U285" s="166" t="n">
        <v>0</v>
      </c>
      <c r="V285" s="166" t="n">
        <v>0</v>
      </c>
      <c r="W285" t="inlineStr">
        <is>
          <t>X</t>
        </is>
      </c>
      <c r="X285" t="inlineStr">
        <is>
          <t>0.00</t>
        </is>
      </c>
      <c r="Y285" t="inlineStr"/>
      <c r="Z285" t="inlineStr">
        <is>
          <t>FUNDACION JUAN XXIII-RONCALLI DISC.</t>
        </is>
      </c>
      <c r="AA285" t="inlineStr"/>
      <c r="AB285" t="inlineStr">
        <is>
          <t>317868</t>
        </is>
      </c>
      <c r="AC285" t="inlineStr"/>
      <c r="AD285" s="164" t="n">
        <v>0</v>
      </c>
      <c r="AE285" s="185" t="n">
        <v>0</v>
      </c>
      <c r="AG285" s="167" t="inlineStr">
        <is>
          <t>7218|JA2593_1001</t>
        </is>
      </c>
      <c r="AH285" s="46">
        <f>IF(M285=0,"-",M285-J285)</f>
        <v/>
      </c>
      <c r="AI285" s="46">
        <f>IF(AND(S285=0,M285&gt;0,L285=0),IF(AH285&gt;=120,"VERY HIGH",IF(AH285&gt;=90,"HIGH",IF(AH285&gt;=60,"MEDIUM",IF(AH285&lt;60,"LOW")))),"-")</f>
        <v/>
      </c>
      <c r="AJ285" s="12" t="n"/>
      <c r="AK285" s="41">
        <f>IF(AND(W285="X",M285&lt;=$AJ$2),"YES","")</f>
        <v/>
      </c>
      <c r="AL285" s="38">
        <f>IF(AND(W285="X",M285&lt;=$AJ$2),S285,"")</f>
        <v/>
      </c>
      <c r="AM285" s="26">
        <f>IF(AND(W285="X",M285&gt;$AJ$2),"YES","")</f>
        <v/>
      </c>
      <c r="AN285" s="89">
        <f>IF(AND(W285="X",M285&gt;$AJ$2),S285,"")</f>
        <v/>
      </c>
      <c r="AO285" s="35">
        <f>IF(AND(W285="",M285&gt;0,$AJ$2&gt;M285,L285=""),1,0)</f>
        <v/>
      </c>
      <c r="AP285" s="26">
        <f>IF(AND(AK285="YES",W285="X"),"X","")</f>
        <v/>
      </c>
      <c r="AQ285" s="28">
        <f>IF(AP285="X",100%,0%)</f>
        <v/>
      </c>
      <c r="AR285" s="25">
        <f>IF(AND(T285&gt;0,L285=""),H285,"")</f>
        <v/>
      </c>
      <c r="AS285" s="25">
        <f>IF(AND(D285&gt;0,H285=0,G285=""),1,"")</f>
        <v/>
      </c>
      <c r="AT285" s="25">
        <f>IF(G285="BLOQ",1,"")</f>
        <v/>
      </c>
      <c r="AU285" s="25">
        <f>IF(L285="BLOQ",1,"")</f>
        <v/>
      </c>
      <c r="AV285" s="25">
        <f>MONTH(F285)</f>
        <v/>
      </c>
      <c r="AW285" s="65">
        <f>IF(AP285="",100%,0%)</f>
        <v/>
      </c>
      <c r="AX285" s="23" t="n"/>
      <c r="AY285" s="24">
        <f>IF(M285=0,"",M285-$AX$2)</f>
        <v/>
      </c>
      <c r="AZ285" s="66">
        <f>IF(AND(W285="",AY285&gt;0,AY285&lt;15),1,0)</f>
        <v/>
      </c>
      <c r="BA285" s="24">
        <f>IF(AND(W285="",AY285&gt;0,AY285&lt;15),T285,"")</f>
        <v/>
      </c>
      <c r="BB285" s="87">
        <f>IF(R285&lt;Q285,"X","")</f>
        <v/>
      </c>
      <c r="BC285" s="190" t="inlineStr">
        <is>
          <t>NO</t>
        </is>
      </c>
      <c r="BD285" s="190" t="inlineStr">
        <is>
          <t>NO</t>
        </is>
      </c>
    </row>
    <row r="286" ht="15" customHeight="1" s="162">
      <c r="A286" s="7" t="n">
        <v>285</v>
      </c>
      <c r="B286" t="inlineStr">
        <is>
          <t>39121402</t>
        </is>
      </c>
      <c r="C286" t="inlineStr">
        <is>
          <t>Toma Kopp de 2P de color Negro, para Eur</t>
        </is>
      </c>
      <c r="D286" t="inlineStr">
        <is>
          <t>1101825332</t>
        </is>
      </c>
      <c r="E286" t="inlineStr">
        <is>
          <t>1</t>
        </is>
      </c>
      <c r="F286" s="163" t="n">
        <v>45673</v>
      </c>
      <c r="G286" t="inlineStr"/>
      <c r="H286" t="inlineStr">
        <is>
          <t>4800002825</t>
        </is>
      </c>
      <c r="I286" t="inlineStr">
        <is>
          <t>450</t>
        </is>
      </c>
      <c r="J286" s="163" t="n">
        <v>45672</v>
      </c>
      <c r="K286" s="163" t="inlineStr"/>
      <c r="L286" t="inlineStr"/>
      <c r="M286" s="163" t="n">
        <v>45674</v>
      </c>
      <c r="N286" s="164" t="n">
        <v>0</v>
      </c>
      <c r="O286" s="164" t="n">
        <v>0</v>
      </c>
      <c r="P286" t="inlineStr"/>
      <c r="Q286" s="165" t="n">
        <v>2</v>
      </c>
      <c r="R286" s="165" t="n">
        <v>2</v>
      </c>
      <c r="S286" s="165" t="n">
        <v>2</v>
      </c>
      <c r="T286" s="165" t="n">
        <v>0</v>
      </c>
      <c r="U286" s="166" t="n">
        <v>0</v>
      </c>
      <c r="V286" s="166" t="n">
        <v>0</v>
      </c>
      <c r="W286" t="inlineStr">
        <is>
          <t>X</t>
        </is>
      </c>
      <c r="X286" t="inlineStr">
        <is>
          <t>0.00</t>
        </is>
      </c>
      <c r="Y286" t="inlineStr"/>
      <c r="Z286" t="inlineStr">
        <is>
          <t>AMIDATA, S.A.</t>
        </is>
      </c>
      <c r="AA286" t="inlineStr"/>
      <c r="AB286" t="inlineStr">
        <is>
          <t>2425811</t>
        </is>
      </c>
      <c r="AC286" t="inlineStr"/>
      <c r="AD286" s="164" t="n">
        <v>0</v>
      </c>
      <c r="AE286" s="185" t="n">
        <v>0</v>
      </c>
      <c r="AG286" s="167" t="inlineStr">
        <is>
          <t>7218|JA2582_1001</t>
        </is>
      </c>
      <c r="AH286" s="46">
        <f>IF(M286=0,"-",M286-J286)</f>
        <v/>
      </c>
      <c r="AI286" s="46">
        <f>IF(AND(S286=0,M286&gt;0,L286=0),IF(AH286&gt;=120,"VERY HIGH",IF(AH286&gt;=90,"HIGH",IF(AH286&gt;=60,"MEDIUM",IF(AH286&lt;60,"LOW")))),"-")</f>
        <v/>
      </c>
      <c r="AJ286" s="12" t="n"/>
      <c r="AK286" s="41">
        <f>IF(AND(W286="X",M286&lt;=$AJ$2),"YES","")</f>
        <v/>
      </c>
      <c r="AL286" s="38">
        <f>IF(AND(W286="X",M286&lt;=$AJ$2),S286,"")</f>
        <v/>
      </c>
      <c r="AM286" s="26">
        <f>IF(AND(W286="X",M286&gt;$AJ$2),"YES","")</f>
        <v/>
      </c>
      <c r="AN286" s="89">
        <f>IF(AND(W286="X",M286&gt;$AJ$2),S286,"")</f>
        <v/>
      </c>
      <c r="AO286" s="35">
        <f>IF(AND(W286="",M286&gt;0,$AJ$2&gt;M286,L286=""),1,0)</f>
        <v/>
      </c>
      <c r="AP286" s="26">
        <f>IF(AND(AK286="YES",W286="X"),"X","")</f>
        <v/>
      </c>
      <c r="AQ286" s="28">
        <f>IF(AP286="X",100%,0%)</f>
        <v/>
      </c>
      <c r="AR286" s="25">
        <f>IF(AND(T286&gt;0,L286=""),H286,"")</f>
        <v/>
      </c>
      <c r="AS286" s="25">
        <f>IF(AND(D286&gt;0,H286=0,G286=""),1,"")</f>
        <v/>
      </c>
      <c r="AT286" s="25">
        <f>IF(G286="BLOQ",1,"")</f>
        <v/>
      </c>
      <c r="AU286" s="25">
        <f>IF(L286="BLOQ",1,"")</f>
        <v/>
      </c>
      <c r="AV286" s="25">
        <f>MONTH(F286)</f>
        <v/>
      </c>
      <c r="AW286" s="65">
        <f>IF(AP286="",100%,0%)</f>
        <v/>
      </c>
      <c r="AX286" s="23" t="n"/>
      <c r="AY286" s="24">
        <f>IF(M286=0,"",M286-$AX$2)</f>
        <v/>
      </c>
      <c r="AZ286" s="66">
        <f>IF(AND(W286="",AY286&gt;0,AY286&lt;15),1,0)</f>
        <v/>
      </c>
      <c r="BA286" s="24">
        <f>IF(AND(W286="",AY286&gt;0,AY286&lt;15),T286,"")</f>
        <v/>
      </c>
      <c r="BB286" s="87">
        <f>IF(R286&lt;Q286,"X","")</f>
        <v/>
      </c>
      <c r="BC286" s="190" t="inlineStr">
        <is>
          <t>NO</t>
        </is>
      </c>
      <c r="BD286" s="190" t="inlineStr">
        <is>
          <t>NO</t>
        </is>
      </c>
    </row>
    <row r="287" ht="15" customHeight="1" s="162">
      <c r="A287" s="7" t="n">
        <v>286</v>
      </c>
      <c r="B287" t="inlineStr">
        <is>
          <t>39121603</t>
        </is>
      </c>
      <c r="C287" t="inlineStr">
        <is>
          <t>Interruptor autom&amp;#225;tico 2P, 16A, Cur</t>
        </is>
      </c>
      <c r="D287" t="inlineStr">
        <is>
          <t>1101825338</t>
        </is>
      </c>
      <c r="E287" t="inlineStr">
        <is>
          <t>1</t>
        </is>
      </c>
      <c r="F287" s="163" t="n">
        <v>45673</v>
      </c>
      <c r="G287" t="inlineStr"/>
      <c r="H287" t="inlineStr">
        <is>
          <t>4800002825</t>
        </is>
      </c>
      <c r="I287" t="inlineStr">
        <is>
          <t>470</t>
        </is>
      </c>
      <c r="J287" s="163" t="n">
        <v>45672</v>
      </c>
      <c r="K287" s="163" t="inlineStr"/>
      <c r="L287" t="inlineStr"/>
      <c r="M287" s="163" t="n">
        <v>45674</v>
      </c>
      <c r="N287" s="164" t="n">
        <v>0</v>
      </c>
      <c r="O287" s="164" t="n">
        <v>0</v>
      </c>
      <c r="P287" t="inlineStr"/>
      <c r="Q287" s="165" t="n">
        <v>1</v>
      </c>
      <c r="R287" s="165" t="n">
        <v>1</v>
      </c>
      <c r="S287" s="165" t="n">
        <v>1</v>
      </c>
      <c r="T287" s="165" t="n">
        <v>0</v>
      </c>
      <c r="U287" s="166" t="n">
        <v>0</v>
      </c>
      <c r="V287" s="166" t="n">
        <v>0</v>
      </c>
      <c r="W287" t="inlineStr">
        <is>
          <t>X</t>
        </is>
      </c>
      <c r="X287" t="inlineStr">
        <is>
          <t>0.00</t>
        </is>
      </c>
      <c r="Y287" t="inlineStr"/>
      <c r="Z287" t="inlineStr">
        <is>
          <t>AMIDATA, S.A.</t>
        </is>
      </c>
      <c r="AA287" t="inlineStr"/>
      <c r="AB287" t="inlineStr">
        <is>
          <t>7349664</t>
        </is>
      </c>
      <c r="AC287" t="inlineStr"/>
      <c r="AD287" s="164" t="n">
        <v>0</v>
      </c>
      <c r="AE287" s="185" t="n">
        <v>0</v>
      </c>
      <c r="AG287" s="167" t="inlineStr">
        <is>
          <t>7218|JA2585_1001</t>
        </is>
      </c>
      <c r="AH287" s="46">
        <f>IF(M287=0,"-",M287-J287)</f>
        <v/>
      </c>
      <c r="AI287" s="46">
        <f>IF(AND(S287=0,M287&gt;0,L287=0),IF(AH287&gt;=120,"VERY HIGH",IF(AH287&gt;=90,"HIGH",IF(AH287&gt;=60,"MEDIUM",IF(AH287&lt;60,"LOW")))),"-")</f>
        <v/>
      </c>
      <c r="AJ287" s="12" t="n"/>
      <c r="AK287" s="41">
        <f>IF(AND(W287="X",M287&lt;=$AJ$2),"YES","")</f>
        <v/>
      </c>
      <c r="AL287" s="38">
        <f>IF(AND(W287="X",M287&lt;=$AJ$2),S287,"")</f>
        <v/>
      </c>
      <c r="AM287" s="26">
        <f>IF(AND(W287="X",M287&gt;$AJ$2),"YES","")</f>
        <v/>
      </c>
      <c r="AN287" s="89">
        <f>IF(AND(W287="X",M287&gt;$AJ$2),S287,"")</f>
        <v/>
      </c>
      <c r="AO287" s="35">
        <f>IF(AND(W287="",M287&gt;0,$AJ$2&gt;M287,L287=""),1,0)</f>
        <v/>
      </c>
      <c r="AP287" s="26">
        <f>IF(AND(AK287="YES",W287="X"),"X","")</f>
        <v/>
      </c>
      <c r="AQ287" s="28">
        <f>IF(AP287="X",100%,0%)</f>
        <v/>
      </c>
      <c r="AR287" s="25">
        <f>IF(AND(T287&gt;0,L287=""),H287,"")</f>
        <v/>
      </c>
      <c r="AS287" s="25">
        <f>IF(AND(D287&gt;0,H287=0,G287=""),1,"")</f>
        <v/>
      </c>
      <c r="AT287" s="25">
        <f>IF(G287="BLOQ",1,"")</f>
        <v/>
      </c>
      <c r="AU287" s="25">
        <f>IF(L287="BLOQ",1,"")</f>
        <v/>
      </c>
      <c r="AV287" s="25">
        <f>MONTH(F287)</f>
        <v/>
      </c>
      <c r="AW287" s="65">
        <f>IF(AP287="",100%,0%)</f>
        <v/>
      </c>
      <c r="AX287" s="23" t="n"/>
      <c r="AY287" s="24">
        <f>IF(M287=0,"",M287-$AX$2)</f>
        <v/>
      </c>
      <c r="AZ287" s="66">
        <f>IF(AND(W287="",AY287&gt;0,AY287&lt;15),1,0)</f>
        <v/>
      </c>
      <c r="BA287" s="24">
        <f>IF(AND(W287="",AY287&gt;0,AY287&lt;15),T287,"")</f>
        <v/>
      </c>
      <c r="BB287" s="87">
        <f>IF(R287&lt;Q287,"X","")</f>
        <v/>
      </c>
      <c r="BC287" s="190" t="inlineStr">
        <is>
          <t>NO</t>
        </is>
      </c>
      <c r="BD287" s="190" t="inlineStr">
        <is>
          <t>NO</t>
        </is>
      </c>
    </row>
    <row r="288" ht="15" customHeight="1" s="162">
      <c r="A288" s="7" t="n">
        <v>287</v>
      </c>
      <c r="B288" t="inlineStr">
        <is>
          <t>11162114</t>
        </is>
      </c>
      <c r="C288" t="inlineStr">
        <is>
          <t>Cinta de gancho y bucle 3M SJ356D de col</t>
        </is>
      </c>
      <c r="D288" t="inlineStr">
        <is>
          <t>1101825338</t>
        </is>
      </c>
      <c r="E288" t="inlineStr">
        <is>
          <t>2</t>
        </is>
      </c>
      <c r="F288" s="163" t="n">
        <v>45673</v>
      </c>
      <c r="G288" t="inlineStr"/>
      <c r="H288" t="inlineStr">
        <is>
          <t>4800002825</t>
        </is>
      </c>
      <c r="I288" t="inlineStr">
        <is>
          <t>480</t>
        </is>
      </c>
      <c r="J288" s="163" t="n">
        <v>45672</v>
      </c>
      <c r="K288" s="163" t="inlineStr"/>
      <c r="L288" t="inlineStr"/>
      <c r="M288" s="163" t="n">
        <v>45674</v>
      </c>
      <c r="N288" s="164" t="n">
        <v>0</v>
      </c>
      <c r="O288" s="164" t="n">
        <v>0</v>
      </c>
      <c r="P288" t="inlineStr"/>
      <c r="Q288" s="165" t="n">
        <v>3</v>
      </c>
      <c r="R288" s="165" t="n">
        <v>3</v>
      </c>
      <c r="S288" s="165" t="n">
        <v>3</v>
      </c>
      <c r="T288" s="165" t="n">
        <v>0</v>
      </c>
      <c r="U288" s="166" t="n">
        <v>0</v>
      </c>
      <c r="V288" s="166" t="n">
        <v>0</v>
      </c>
      <c r="W288" t="inlineStr">
        <is>
          <t>X</t>
        </is>
      </c>
      <c r="X288" t="inlineStr">
        <is>
          <t>0.00</t>
        </is>
      </c>
      <c r="Y288" t="inlineStr"/>
      <c r="Z288" t="inlineStr">
        <is>
          <t>AMIDATA, S.A.</t>
        </is>
      </c>
      <c r="AA288" t="inlineStr"/>
      <c r="AB288" t="inlineStr">
        <is>
          <t>4587337</t>
        </is>
      </c>
      <c r="AC288" t="inlineStr"/>
      <c r="AD288" s="164" t="n">
        <v>0</v>
      </c>
      <c r="AE288" s="185" t="n">
        <v>0</v>
      </c>
      <c r="AG288" s="167" t="inlineStr">
        <is>
          <t>7218|JA2585_1001</t>
        </is>
      </c>
      <c r="AH288" s="46">
        <f>IF(M288=0,"-",M288-J288)</f>
        <v/>
      </c>
      <c r="AI288" s="46">
        <f>IF(AND(S288=0,M288&gt;0,L288=0),IF(AH288&gt;=120,"VERY HIGH",IF(AH288&gt;=90,"HIGH",IF(AH288&gt;=60,"MEDIUM",IF(AH288&lt;60,"LOW")))),"-")</f>
        <v/>
      </c>
      <c r="AJ288" s="12" t="n"/>
      <c r="AK288" s="41">
        <f>IF(AND(W288="X",M288&lt;=$AJ$2),"YES","")</f>
        <v/>
      </c>
      <c r="AL288" s="38">
        <f>IF(AND(W288="X",M288&lt;=$AJ$2),S288,"")</f>
        <v/>
      </c>
      <c r="AM288" s="26">
        <f>IF(AND(W288="X",M288&gt;$AJ$2),"YES","")</f>
        <v/>
      </c>
      <c r="AN288" s="89">
        <f>IF(AND(W288="X",M288&gt;$AJ$2),S288,"")</f>
        <v/>
      </c>
      <c r="AO288" s="35">
        <f>IF(AND(W288="",M288&gt;0,$AJ$2&gt;M288,L288=""),1,0)</f>
        <v/>
      </c>
      <c r="AP288" s="26">
        <f>IF(AND(AK288="YES",W288="X"),"X","")</f>
        <v/>
      </c>
      <c r="AQ288" s="28">
        <f>IF(AP288="X",100%,0%)</f>
        <v/>
      </c>
      <c r="AR288" s="25">
        <f>IF(AND(T288&gt;0,L288=""),H288,"")</f>
        <v/>
      </c>
      <c r="AS288" s="25">
        <f>IF(AND(D288&gt;0,H288=0,G288=""),1,"")</f>
        <v/>
      </c>
      <c r="AT288" s="25">
        <f>IF(G288="BLOQ",1,"")</f>
        <v/>
      </c>
      <c r="AU288" s="25">
        <f>IF(L288="BLOQ",1,"")</f>
        <v/>
      </c>
      <c r="AV288" s="25">
        <f>MONTH(F288)</f>
        <v/>
      </c>
      <c r="AW288" s="65">
        <f>IF(AP288="",100%,0%)</f>
        <v/>
      </c>
      <c r="AX288" s="23" t="n"/>
      <c r="AY288" s="24">
        <f>IF(M288=0,"",M288-$AX$2)</f>
        <v/>
      </c>
      <c r="AZ288" s="66">
        <f>IF(AND(W288="",AY288&gt;0,AY288&lt;15),1,0)</f>
        <v/>
      </c>
      <c r="BA288" s="24">
        <f>IF(AND(W288="",AY288&gt;0,AY288&lt;15),T288,"")</f>
        <v/>
      </c>
      <c r="BB288" s="87">
        <f>IF(R288&lt;Q288,"X","")</f>
        <v/>
      </c>
      <c r="BC288" s="190" t="inlineStr">
        <is>
          <t>NO</t>
        </is>
      </c>
      <c r="BD288" s="190" t="inlineStr">
        <is>
          <t>NO</t>
        </is>
      </c>
    </row>
    <row r="289" ht="15" customHeight="1" s="162">
      <c r="A289" s="7" t="n">
        <v>288</v>
      </c>
      <c r="B289" t="inlineStr">
        <is>
          <t>31161735</t>
        </is>
      </c>
      <c r="C289" t="inlineStr">
        <is>
          <t>Tuerca en jaula RS PRO Hierro M6</t>
        </is>
      </c>
      <c r="D289" t="inlineStr">
        <is>
          <t>1101825396</t>
        </is>
      </c>
      <c r="E289" t="inlineStr">
        <is>
          <t>1</t>
        </is>
      </c>
      <c r="F289" s="163" t="n">
        <v>45673</v>
      </c>
      <c r="G289" t="inlineStr"/>
      <c r="H289" t="inlineStr">
        <is>
          <t>4800002825</t>
        </is>
      </c>
      <c r="I289" t="inlineStr">
        <is>
          <t>600</t>
        </is>
      </c>
      <c r="J289" s="163" t="n">
        <v>45672</v>
      </c>
      <c r="K289" s="163" t="inlineStr"/>
      <c r="L289" t="inlineStr"/>
      <c r="M289" s="163" t="n">
        <v>45674</v>
      </c>
      <c r="N289" s="164" t="n">
        <v>0</v>
      </c>
      <c r="O289" s="164" t="n">
        <v>0</v>
      </c>
      <c r="P289" t="inlineStr"/>
      <c r="Q289" s="165" t="n">
        <v>250</v>
      </c>
      <c r="R289" s="165" t="n">
        <v>250</v>
      </c>
      <c r="S289" s="165" t="n">
        <v>250</v>
      </c>
      <c r="T289" s="165" t="n">
        <v>0</v>
      </c>
      <c r="U289" s="166" t="n">
        <v>0</v>
      </c>
      <c r="V289" s="166" t="n">
        <v>0</v>
      </c>
      <c r="W289" t="inlineStr">
        <is>
          <t>X</t>
        </is>
      </c>
      <c r="X289" t="inlineStr">
        <is>
          <t>0.00</t>
        </is>
      </c>
      <c r="Y289" t="inlineStr"/>
      <c r="Z289" t="inlineStr">
        <is>
          <t>AMIDATA, S.A.</t>
        </is>
      </c>
      <c r="AA289" t="inlineStr"/>
      <c r="AB289" t="inlineStr">
        <is>
          <t>2662268</t>
        </is>
      </c>
      <c r="AC289" t="inlineStr"/>
      <c r="AD289" s="164" t="n">
        <v>0</v>
      </c>
      <c r="AE289" s="185" t="n">
        <v>0</v>
      </c>
      <c r="AG289" s="167" t="inlineStr">
        <is>
          <t>7218|JA2585_1001</t>
        </is>
      </c>
      <c r="AH289" s="46">
        <f>IF(M289=0,"-",M289-J289)</f>
        <v/>
      </c>
      <c r="AI289" s="46">
        <f>IF(AND(S289=0,M289&gt;0,L289=0),IF(AH289&gt;=120,"VERY HIGH",IF(AH289&gt;=90,"HIGH",IF(AH289&gt;=60,"MEDIUM",IF(AH289&lt;60,"LOW")))),"-")</f>
        <v/>
      </c>
      <c r="AJ289" s="12" t="n"/>
      <c r="AK289" s="41">
        <f>IF(AND(W289="X",M289&lt;=$AJ$2),"YES","")</f>
        <v/>
      </c>
      <c r="AL289" s="38">
        <f>IF(AND(W289="X",M289&lt;=$AJ$2),S289,"")</f>
        <v/>
      </c>
      <c r="AM289" s="26">
        <f>IF(AND(W289="X",M289&gt;$AJ$2),"YES","")</f>
        <v/>
      </c>
      <c r="AN289" s="89">
        <f>IF(AND(W289="X",M289&gt;$AJ$2),S289,"")</f>
        <v/>
      </c>
      <c r="AO289" s="35">
        <f>IF(AND(W289="",M289&gt;0,$AJ$2&gt;M289,L289=""),1,0)</f>
        <v/>
      </c>
      <c r="AP289" s="26">
        <f>IF(AND(AK289="YES",W289="X"),"X","")</f>
        <v/>
      </c>
      <c r="AQ289" s="28">
        <f>IF(AP289="X",100%,0%)</f>
        <v/>
      </c>
      <c r="AR289" s="25">
        <f>IF(AND(T289&gt;0,L289=""),H289,"")</f>
        <v/>
      </c>
      <c r="AS289" s="25">
        <f>IF(AND(D289&gt;0,H289=0,G289=""),1,"")</f>
        <v/>
      </c>
      <c r="AT289" s="25">
        <f>IF(G289="BLOQ",1,"")</f>
        <v/>
      </c>
      <c r="AU289" s="25">
        <f>IF(L289="BLOQ",1,"")</f>
        <v/>
      </c>
      <c r="AV289" s="25">
        <f>MONTH(F289)</f>
        <v/>
      </c>
      <c r="AW289" s="65">
        <f>IF(AP289="",100%,0%)</f>
        <v/>
      </c>
      <c r="AX289" s="23" t="n"/>
      <c r="AY289" s="24">
        <f>IF(M289=0,"",M289-$AX$2)</f>
        <v/>
      </c>
      <c r="AZ289" s="66">
        <f>IF(AND(W289="",AY289&gt;0,AY289&lt;15),1,0)</f>
        <v/>
      </c>
      <c r="BA289" s="24">
        <f>IF(AND(W289="",AY289&gt;0,AY289&lt;15),T289,"")</f>
        <v/>
      </c>
      <c r="BB289" s="87">
        <f>IF(R289&lt;Q289,"X","")</f>
        <v/>
      </c>
      <c r="BC289" s="190" t="inlineStr">
        <is>
          <t>NO</t>
        </is>
      </c>
      <c r="BD289" s="190" t="inlineStr">
        <is>
          <t>NO</t>
        </is>
      </c>
    </row>
    <row r="290" ht="15" customHeight="1" s="162">
      <c r="A290" s="7" t="n">
        <v>289</v>
      </c>
      <c r="B290" t="inlineStr">
        <is>
          <t>39121321</t>
        </is>
      </c>
      <c r="C290" t="inlineStr">
        <is>
          <t>Juego de tornillos Rittal serie EL, para</t>
        </is>
      </c>
      <c r="D290" t="inlineStr">
        <is>
          <t>1101825869</t>
        </is>
      </c>
      <c r="E290" t="inlineStr">
        <is>
          <t>1</t>
        </is>
      </c>
      <c r="F290" s="163" t="n">
        <v>45674</v>
      </c>
      <c r="G290" t="inlineStr"/>
      <c r="H290" t="inlineStr">
        <is>
          <t>4800002831</t>
        </is>
      </c>
      <c r="I290" t="inlineStr">
        <is>
          <t>250</t>
        </is>
      </c>
      <c r="J290" s="163" t="n">
        <v>45674</v>
      </c>
      <c r="K290" s="163" t="inlineStr"/>
      <c r="L290" t="inlineStr"/>
      <c r="M290" s="163" t="n">
        <v>45675</v>
      </c>
      <c r="N290" s="164" t="n">
        <v>0</v>
      </c>
      <c r="O290" s="164" t="n">
        <v>0</v>
      </c>
      <c r="P290" t="inlineStr"/>
      <c r="Q290" s="165" t="n">
        <v>150</v>
      </c>
      <c r="R290" s="165" t="n">
        <v>150</v>
      </c>
      <c r="S290" s="165" t="n">
        <v>150</v>
      </c>
      <c r="T290" s="165" t="n">
        <v>0</v>
      </c>
      <c r="U290" s="166" t="n">
        <v>0</v>
      </c>
      <c r="V290" s="166" t="n">
        <v>0</v>
      </c>
      <c r="W290" t="inlineStr">
        <is>
          <t>X</t>
        </is>
      </c>
      <c r="X290" t="inlineStr">
        <is>
          <t>0.00</t>
        </is>
      </c>
      <c r="Y290" t="inlineStr"/>
      <c r="Z290" t="inlineStr">
        <is>
          <t>AMIDATA, S.A.</t>
        </is>
      </c>
      <c r="AA290" t="inlineStr"/>
      <c r="AB290" t="inlineStr">
        <is>
          <t>8262903</t>
        </is>
      </c>
      <c r="AC290" t="inlineStr"/>
      <c r="AD290" s="164" t="n">
        <v>0</v>
      </c>
      <c r="AE290" s="185" t="n">
        <v>0</v>
      </c>
      <c r="AG290" s="167" t="inlineStr">
        <is>
          <t>7218|JA2585_1001</t>
        </is>
      </c>
      <c r="AH290" s="46">
        <f>IF(M290=0,"-",M290-J290)</f>
        <v/>
      </c>
      <c r="AI290" s="46">
        <f>IF(AND(S290=0,M290&gt;0,L290=0),IF(AH290&gt;=120,"VERY HIGH",IF(AH290&gt;=90,"HIGH",IF(AH290&gt;=60,"MEDIUM",IF(AH290&lt;60,"LOW")))),"-")</f>
        <v/>
      </c>
      <c r="AJ290" s="12" t="n"/>
      <c r="AK290" s="41">
        <f>IF(AND(W290="X",M290&lt;=$AJ$2),"YES","")</f>
        <v/>
      </c>
      <c r="AL290" s="38">
        <f>IF(AND(W290="X",M290&lt;=$AJ$2),S290,"")</f>
        <v/>
      </c>
      <c r="AM290" s="26">
        <f>IF(AND(W290="X",M290&gt;$AJ$2),"YES","")</f>
        <v/>
      </c>
      <c r="AN290" s="89">
        <f>IF(AND(W290="X",M290&gt;$AJ$2),S290,"")</f>
        <v/>
      </c>
      <c r="AO290" s="35">
        <f>IF(AND(W290="",M290&gt;0,$AJ$2&gt;M290,L290=""),1,0)</f>
        <v/>
      </c>
      <c r="AP290" s="26">
        <f>IF(AND(AK290="YES",W290="X"),"X","")</f>
        <v/>
      </c>
      <c r="AQ290" s="28">
        <f>IF(AP290="X",100%,0%)</f>
        <v/>
      </c>
      <c r="AR290" s="25">
        <f>IF(AND(T290&gt;0,L290=""),H290,"")</f>
        <v/>
      </c>
      <c r="AS290" s="25">
        <f>IF(AND(D290&gt;0,H290=0,G290=""),1,"")</f>
        <v/>
      </c>
      <c r="AT290" s="25">
        <f>IF(G290="BLOQ",1,"")</f>
        <v/>
      </c>
      <c r="AU290" s="25">
        <f>IF(L290="BLOQ",1,"")</f>
        <v/>
      </c>
      <c r="AV290" s="25">
        <f>MONTH(F290)</f>
        <v/>
      </c>
      <c r="AW290" s="65">
        <f>IF(AP290="",100%,0%)</f>
        <v/>
      </c>
      <c r="AX290" s="23" t="n"/>
      <c r="AY290" s="24">
        <f>IF(M290=0,"",M290-$AX$2)</f>
        <v/>
      </c>
      <c r="AZ290" s="66">
        <f>IF(AND(W290="",AY290&gt;0,AY290&lt;15),1,0)</f>
        <v/>
      </c>
      <c r="BA290" s="24">
        <f>IF(AND(W290="",AY290&gt;0,AY290&lt;15),T290,"")</f>
        <v/>
      </c>
      <c r="BB290" s="87">
        <f>IF(R290&lt;Q290,"X","")</f>
        <v/>
      </c>
      <c r="BC290" s="190" t="inlineStr">
        <is>
          <t>NO</t>
        </is>
      </c>
      <c r="BD290" s="190" t="inlineStr">
        <is>
          <t>NO</t>
        </is>
      </c>
    </row>
    <row r="291" ht="15" customHeight="1" s="162">
      <c r="A291" s="7" t="n">
        <v>290</v>
      </c>
      <c r="B291" t="inlineStr">
        <is>
          <t>39121432</t>
        </is>
      </c>
      <c r="C291" t="inlineStr">
        <is>
          <t>Terminal redondo aislado de Cobre RS PRO</t>
        </is>
      </c>
      <c r="D291" t="inlineStr">
        <is>
          <t>1101825869</t>
        </is>
      </c>
      <c r="E291" t="inlineStr">
        <is>
          <t>2</t>
        </is>
      </c>
      <c r="F291" s="163" t="n">
        <v>45674</v>
      </c>
      <c r="G291" t="inlineStr"/>
      <c r="H291" t="inlineStr">
        <is>
          <t>4800002831</t>
        </is>
      </c>
      <c r="I291" t="inlineStr">
        <is>
          <t>260</t>
        </is>
      </c>
      <c r="J291" s="163" t="n">
        <v>45674</v>
      </c>
      <c r="K291" s="163" t="inlineStr"/>
      <c r="L291" t="inlineStr"/>
      <c r="M291" s="163" t="n">
        <v>45675</v>
      </c>
      <c r="N291" s="164" t="n">
        <v>0</v>
      </c>
      <c r="O291" s="164" t="n">
        <v>0</v>
      </c>
      <c r="P291" t="inlineStr"/>
      <c r="Q291" s="165" t="n">
        <v>100</v>
      </c>
      <c r="R291" s="165" t="n">
        <v>100</v>
      </c>
      <c r="S291" s="165" t="n">
        <v>100</v>
      </c>
      <c r="T291" s="165" t="n">
        <v>0</v>
      </c>
      <c r="U291" s="166" t="n">
        <v>0</v>
      </c>
      <c r="V291" s="166" t="n">
        <v>0</v>
      </c>
      <c r="W291" t="inlineStr">
        <is>
          <t>X</t>
        </is>
      </c>
      <c r="X291" t="inlineStr">
        <is>
          <t>0.00</t>
        </is>
      </c>
      <c r="Y291" t="inlineStr"/>
      <c r="Z291" t="inlineStr">
        <is>
          <t>AMIDATA, S.A.</t>
        </is>
      </c>
      <c r="AA291" t="inlineStr"/>
      <c r="AB291" t="inlineStr">
        <is>
          <t>2673880</t>
        </is>
      </c>
      <c r="AC291" t="inlineStr"/>
      <c r="AD291" s="164" t="n">
        <v>0</v>
      </c>
      <c r="AE291" s="185" t="n">
        <v>0</v>
      </c>
      <c r="AG291" s="167" t="inlineStr">
        <is>
          <t>7218|JA2585_1001</t>
        </is>
      </c>
      <c r="AH291" s="46">
        <f>IF(M291=0,"-",M291-J291)</f>
        <v/>
      </c>
      <c r="AI291" s="46">
        <f>IF(AND(S291=0,M291&gt;0,L291=0),IF(AH291&gt;=120,"VERY HIGH",IF(AH291&gt;=90,"HIGH",IF(AH291&gt;=60,"MEDIUM",IF(AH291&lt;60,"LOW")))),"-")</f>
        <v/>
      </c>
      <c r="AJ291" s="12" t="n"/>
      <c r="AK291" s="41">
        <f>IF(AND(W291="X",M291&lt;=$AJ$2),"YES","")</f>
        <v/>
      </c>
      <c r="AL291" s="38">
        <f>IF(AND(W291="X",M291&lt;=$AJ$2),S291,"")</f>
        <v/>
      </c>
      <c r="AM291" s="26">
        <f>IF(AND(W291="X",M291&gt;$AJ$2),"YES","")</f>
        <v/>
      </c>
      <c r="AN291" s="89">
        <f>IF(AND(W291="X",M291&gt;$AJ$2),S291,"")</f>
        <v/>
      </c>
      <c r="AO291" s="35">
        <f>IF(AND(W291="",M291&gt;0,$AJ$2&gt;M291,L291=""),1,0)</f>
        <v/>
      </c>
      <c r="AP291" s="26">
        <f>IF(AND(AK291="YES",W291="X"),"X","")</f>
        <v/>
      </c>
      <c r="AQ291" s="28">
        <f>IF(AP291="X",100%,0%)</f>
        <v/>
      </c>
      <c r="AR291" s="25">
        <f>IF(AND(T291&gt;0,L291=""),H291,"")</f>
        <v/>
      </c>
      <c r="AS291" s="25">
        <f>IF(AND(D291&gt;0,H291=0,G291=""),1,"")</f>
        <v/>
      </c>
      <c r="AT291" s="25">
        <f>IF(G291="BLOQ",1,"")</f>
        <v/>
      </c>
      <c r="AU291" s="25">
        <f>IF(L291="BLOQ",1,"")</f>
        <v/>
      </c>
      <c r="AV291" s="25">
        <f>MONTH(F291)</f>
        <v/>
      </c>
      <c r="AW291" s="65">
        <f>IF(AP291="",100%,0%)</f>
        <v/>
      </c>
      <c r="AX291" s="23" t="n"/>
      <c r="AY291" s="24">
        <f>IF(M291=0,"",M291-$AX$2)</f>
        <v/>
      </c>
      <c r="AZ291" s="66">
        <f>IF(AND(W291="",AY291&gt;0,AY291&lt;15),1,0)</f>
        <v/>
      </c>
      <c r="BA291" s="24">
        <f>IF(AND(W291="",AY291&gt;0,AY291&lt;15),T291,"")</f>
        <v/>
      </c>
      <c r="BB291" s="87">
        <f>IF(R291&lt;Q291,"X","")</f>
        <v/>
      </c>
      <c r="BC291" s="190" t="inlineStr">
        <is>
          <t>NO</t>
        </is>
      </c>
      <c r="BD291" s="190" t="inlineStr">
        <is>
          <t>NO</t>
        </is>
      </c>
    </row>
    <row r="292" ht="15" customHeight="1" s="162">
      <c r="A292" s="7" t="n">
        <v>291</v>
      </c>
      <c r="B292" t="inlineStr">
        <is>
          <t>26121630</t>
        </is>
      </c>
      <c r="C292" t="inlineStr">
        <is>
          <t>Capuch&amp;#243;n termoretr&amp;#225;ctil TE Con</t>
        </is>
      </c>
      <c r="D292" t="inlineStr">
        <is>
          <t>1101825869</t>
        </is>
      </c>
      <c r="E292" t="inlineStr">
        <is>
          <t>3</t>
        </is>
      </c>
      <c r="F292" s="163" t="n">
        <v>45674</v>
      </c>
      <c r="G292" t="inlineStr"/>
      <c r="H292" t="inlineStr">
        <is>
          <t>4800002831</t>
        </is>
      </c>
      <c r="I292" t="inlineStr">
        <is>
          <t>270</t>
        </is>
      </c>
      <c r="J292" s="163" t="n">
        <v>45674</v>
      </c>
      <c r="K292" s="163" t="inlineStr"/>
      <c r="L292" t="inlineStr"/>
      <c r="M292" s="163" t="n">
        <v>45675</v>
      </c>
      <c r="N292" s="164" t="n">
        <v>0</v>
      </c>
      <c r="O292" s="164" t="n">
        <v>0</v>
      </c>
      <c r="P292" t="inlineStr"/>
      <c r="Q292" s="165" t="n">
        <v>200</v>
      </c>
      <c r="R292" s="165" t="n">
        <v>200</v>
      </c>
      <c r="S292" s="165" t="n">
        <v>200</v>
      </c>
      <c r="T292" s="165" t="n">
        <v>0</v>
      </c>
      <c r="U292" s="166" t="n">
        <v>0</v>
      </c>
      <c r="V292" s="166" t="n">
        <v>0</v>
      </c>
      <c r="W292" t="inlineStr">
        <is>
          <t>X</t>
        </is>
      </c>
      <c r="X292" t="inlineStr">
        <is>
          <t>0.00</t>
        </is>
      </c>
      <c r="Y292" t="inlineStr"/>
      <c r="Z292" t="inlineStr">
        <is>
          <t>AMIDATA, S.A.</t>
        </is>
      </c>
      <c r="AA292" t="inlineStr"/>
      <c r="AB292" t="inlineStr">
        <is>
          <t>8741500</t>
        </is>
      </c>
      <c r="AC292" t="inlineStr"/>
      <c r="AD292" s="164" t="n">
        <v>0</v>
      </c>
      <c r="AE292" s="185" t="n">
        <v>0</v>
      </c>
      <c r="AG292" s="167" t="inlineStr">
        <is>
          <t>7218|JA2585_1001</t>
        </is>
      </c>
      <c r="AH292" s="46">
        <f>IF(M292=0,"-",M292-J292)</f>
        <v/>
      </c>
      <c r="AI292" s="46">
        <f>IF(AND(S292=0,M292&gt;0,L292=0),IF(AH292&gt;=120,"VERY HIGH",IF(AH292&gt;=90,"HIGH",IF(AH292&gt;=60,"MEDIUM",IF(AH292&lt;60,"LOW")))),"-")</f>
        <v/>
      </c>
      <c r="AJ292" s="12" t="n"/>
      <c r="AK292" s="41">
        <f>IF(AND(W292="X",M292&lt;=$AJ$2),"YES","")</f>
        <v/>
      </c>
      <c r="AL292" s="38">
        <f>IF(AND(W292="X",M292&lt;=$AJ$2),S292,"")</f>
        <v/>
      </c>
      <c r="AM292" s="26">
        <f>IF(AND(W292="X",M292&gt;$AJ$2),"YES","")</f>
        <v/>
      </c>
      <c r="AN292" s="89">
        <f>IF(AND(W292="X",M292&gt;$AJ$2),S292,"")</f>
        <v/>
      </c>
      <c r="AO292" s="35">
        <f>IF(AND(W292="",M292&gt;0,$AJ$2&gt;M292,L292=""),1,0)</f>
        <v/>
      </c>
      <c r="AP292" s="26">
        <f>IF(AND(AK292="YES",W292="X"),"X","")</f>
        <v/>
      </c>
      <c r="AQ292" s="28">
        <f>IF(AP292="X",100%,0%)</f>
        <v/>
      </c>
      <c r="AR292" s="25">
        <f>IF(AND(T292&gt;0,L292=""),H292,"")</f>
        <v/>
      </c>
      <c r="AS292" s="25">
        <f>IF(AND(D292&gt;0,H292=0,G292=""),1,"")</f>
        <v/>
      </c>
      <c r="AT292" s="25">
        <f>IF(G292="BLOQ",1,"")</f>
        <v/>
      </c>
      <c r="AU292" s="25">
        <f>IF(L292="BLOQ",1,"")</f>
        <v/>
      </c>
      <c r="AV292" s="25">
        <f>MONTH(F292)</f>
        <v/>
      </c>
      <c r="AW292" s="65">
        <f>IF(AP292="",100%,0%)</f>
        <v/>
      </c>
      <c r="AX292" s="23" t="n"/>
      <c r="AY292" s="24">
        <f>IF(M292=0,"",M292-$AX$2)</f>
        <v/>
      </c>
      <c r="AZ292" s="66">
        <f>IF(AND(W292="",AY292&gt;0,AY292&lt;15),1,0)</f>
        <v/>
      </c>
      <c r="BA292" s="24">
        <f>IF(AND(W292="",AY292&gt;0,AY292&lt;15),T292,"")</f>
        <v/>
      </c>
      <c r="BB292" s="87">
        <f>IF(R292&lt;Q292,"X","")</f>
        <v/>
      </c>
      <c r="BC292" s="190" t="inlineStr">
        <is>
          <t>NO</t>
        </is>
      </c>
      <c r="BD292" s="190" t="inlineStr">
        <is>
          <t>NO</t>
        </is>
      </c>
    </row>
    <row r="293" ht="15" customHeight="1" s="162">
      <c r="A293" s="7" t="n">
        <v>292</v>
      </c>
      <c r="B293" t="inlineStr">
        <is>
          <t>26121522</t>
        </is>
      </c>
      <c r="C293" t="inlineStr">
        <is>
          <t>Cable para Entornos Hostiles TE Connecti</t>
        </is>
      </c>
      <c r="D293" t="inlineStr">
        <is>
          <t>1101825905</t>
        </is>
      </c>
      <c r="E293" t="inlineStr">
        <is>
          <t>1</t>
        </is>
      </c>
      <c r="F293" s="163" t="n">
        <v>45674</v>
      </c>
      <c r="G293" t="inlineStr"/>
      <c r="H293" t="inlineStr">
        <is>
          <t>4800002831</t>
        </is>
      </c>
      <c r="I293" t="inlineStr">
        <is>
          <t>290</t>
        </is>
      </c>
      <c r="J293" s="163" t="n">
        <v>45674</v>
      </c>
      <c r="K293" s="163" t="inlineStr"/>
      <c r="L293" t="inlineStr"/>
      <c r="M293" s="163" t="n">
        <v>45675</v>
      </c>
      <c r="N293" s="164" t="n">
        <v>0</v>
      </c>
      <c r="O293" s="164" t="n">
        <v>0</v>
      </c>
      <c r="P293" t="inlineStr"/>
      <c r="Q293" s="165" t="n">
        <v>2</v>
      </c>
      <c r="R293" s="165" t="n">
        <v>2</v>
      </c>
      <c r="S293" s="165" t="n">
        <v>2</v>
      </c>
      <c r="T293" s="165" t="n">
        <v>0</v>
      </c>
      <c r="U293" s="166" t="n">
        <v>0</v>
      </c>
      <c r="V293" s="166" t="n">
        <v>0</v>
      </c>
      <c r="W293" t="inlineStr">
        <is>
          <t>X</t>
        </is>
      </c>
      <c r="X293" t="inlineStr">
        <is>
          <t>0.00</t>
        </is>
      </c>
      <c r="Y293" t="inlineStr"/>
      <c r="Z293" t="inlineStr">
        <is>
          <t>AMIDATA, S.A.</t>
        </is>
      </c>
      <c r="AA293" t="inlineStr"/>
      <c r="AB293" t="inlineStr">
        <is>
          <t>2291416</t>
        </is>
      </c>
      <c r="AC293" t="inlineStr"/>
      <c r="AD293" s="164" t="n">
        <v>0</v>
      </c>
      <c r="AE293" s="185" t="n">
        <v>0</v>
      </c>
      <c r="AG293" s="167" t="inlineStr">
        <is>
          <t>7218|JA2594_1001</t>
        </is>
      </c>
      <c r="AH293" s="46">
        <f>IF(M293=0,"-",M293-J293)</f>
        <v/>
      </c>
      <c r="AI293" s="46">
        <f>IF(AND(S293=0,M293&gt;0,L293=0),IF(AH293&gt;=120,"VERY HIGH",IF(AH293&gt;=90,"HIGH",IF(AH293&gt;=60,"MEDIUM",IF(AH293&lt;60,"LOW")))),"-")</f>
        <v/>
      </c>
      <c r="AJ293" s="12" t="n"/>
      <c r="AK293" s="41">
        <f>IF(AND(W293="X",M293&lt;=$AJ$2),"YES","")</f>
        <v/>
      </c>
      <c r="AL293" s="38">
        <f>IF(AND(W293="X",M293&lt;=$AJ$2),S293,"")</f>
        <v/>
      </c>
      <c r="AM293" s="26">
        <f>IF(AND(W293="X",M293&gt;$AJ$2),"YES","")</f>
        <v/>
      </c>
      <c r="AN293" s="89">
        <f>IF(AND(W293="X",M293&gt;$AJ$2),S293,"")</f>
        <v/>
      </c>
      <c r="AO293" s="35">
        <f>IF(AND(W293="",M293&gt;0,$AJ$2&gt;M293,L293=""),1,0)</f>
        <v/>
      </c>
      <c r="AP293" s="26">
        <f>IF(AND(AK293="YES",W293="X"),"X","")</f>
        <v/>
      </c>
      <c r="AQ293" s="28">
        <f>IF(AP293="X",100%,0%)</f>
        <v/>
      </c>
      <c r="AR293" s="25">
        <f>IF(AND(T293&gt;0,L293=""),H293,"")</f>
        <v/>
      </c>
      <c r="AS293" s="25">
        <f>IF(AND(D293&gt;0,H293=0,G293=""),1,"")</f>
        <v/>
      </c>
      <c r="AT293" s="25">
        <f>IF(G293="BLOQ",1,"")</f>
        <v/>
      </c>
      <c r="AU293" s="25">
        <f>IF(L293="BLOQ",1,"")</f>
        <v/>
      </c>
      <c r="AV293" s="25">
        <f>MONTH(F293)</f>
        <v/>
      </c>
      <c r="AW293" s="65">
        <f>IF(AP293="",100%,0%)</f>
        <v/>
      </c>
      <c r="AX293" s="23" t="n"/>
      <c r="AY293" s="24">
        <f>IF(M293=0,"",M293-$AX$2)</f>
        <v/>
      </c>
      <c r="AZ293" s="66">
        <f>IF(AND(W293="",AY293&gt;0,AY293&lt;15),1,0)</f>
        <v/>
      </c>
      <c r="BA293" s="24">
        <f>IF(AND(W293="",AY293&gt;0,AY293&lt;15),T293,"")</f>
        <v/>
      </c>
      <c r="BB293" s="87">
        <f>IF(R293&lt;Q293,"X","")</f>
        <v/>
      </c>
      <c r="BC293" s="190" t="inlineStr">
        <is>
          <t>NO</t>
        </is>
      </c>
      <c r="BD293" s="190" t="inlineStr">
        <is>
          <t>NO</t>
        </is>
      </c>
    </row>
    <row r="294" ht="15" customHeight="1" s="162">
      <c r="A294" s="7" t="n">
        <v>293</v>
      </c>
      <c r="B294" t="inlineStr">
        <is>
          <t>1709800000500</t>
        </is>
      </c>
      <c r="C294" t="inlineStr">
        <is>
          <t>COMPRA DIRECTA FERRETERIA Y HERRAMIENTAS</t>
        </is>
      </c>
      <c r="D294" t="inlineStr">
        <is>
          <t>1101826509</t>
        </is>
      </c>
      <c r="E294" t="inlineStr">
        <is>
          <t>1</t>
        </is>
      </c>
      <c r="F294" s="163" t="n">
        <v>45677</v>
      </c>
      <c r="G294" t="inlineStr"/>
      <c r="H294" t="inlineStr">
        <is>
          <t>4200594781</t>
        </is>
      </c>
      <c r="I294" t="inlineStr">
        <is>
          <t>10</t>
        </is>
      </c>
      <c r="J294" s="163" t="n">
        <v>45684</v>
      </c>
      <c r="K294" s="163" t="n">
        <v>45684</v>
      </c>
      <c r="L294" t="inlineStr"/>
      <c r="M294" s="163" t="n">
        <v>45698</v>
      </c>
      <c r="N294" s="164" t="n">
        <v>30</v>
      </c>
      <c r="O294" s="164" t="n">
        <v>8</v>
      </c>
      <c r="P294" t="inlineStr">
        <is>
          <t>Liberado</t>
        </is>
      </c>
      <c r="Q294" s="165" t="n">
        <v>1</v>
      </c>
      <c r="R294" s="165" t="n">
        <v>1</v>
      </c>
      <c r="S294" s="165" t="n">
        <v>1</v>
      </c>
      <c r="T294" s="165" t="n">
        <v>0</v>
      </c>
      <c r="U294" s="166" t="n">
        <v>0</v>
      </c>
      <c r="V294" s="166" t="n">
        <v>0</v>
      </c>
      <c r="W294" t="inlineStr">
        <is>
          <t>X</t>
        </is>
      </c>
      <c r="X294" t="inlineStr">
        <is>
          <t>0.00</t>
        </is>
      </c>
      <c r="Y294" t="inlineStr"/>
      <c r="Z294" t="inlineStr">
        <is>
          <t>FELIPE DE MARCO, S.A.</t>
        </is>
      </c>
      <c r="AA294" t="inlineStr">
        <is>
          <t>OTROS FABRICANTES</t>
        </is>
      </c>
      <c r="AB294" t="inlineStr">
        <is>
          <t>1709800000500</t>
        </is>
      </c>
      <c r="AC294" t="inlineStr"/>
      <c r="AD294" s="164" t="n">
        <v>0</v>
      </c>
      <c r="AE294" s="185" t="n">
        <v>0</v>
      </c>
      <c r="AG294" s="167" t="inlineStr">
        <is>
          <t>7218|JA2593_1001</t>
        </is>
      </c>
      <c r="AH294" s="46">
        <f>IF(M294=0,"-",M294-J294)</f>
        <v/>
      </c>
      <c r="AI294" s="46">
        <f>IF(AND(S294=0,M294&gt;0,L294=0),IF(AH294&gt;=120,"VERY HIGH",IF(AH294&gt;=90,"HIGH",IF(AH294&gt;=60,"MEDIUM",IF(AH294&lt;60,"LOW")))),"-")</f>
        <v/>
      </c>
      <c r="AJ294" s="12" t="n"/>
      <c r="AK294" s="41">
        <f>IF(AND(W294="X",M294&lt;=$AJ$2),"YES","")</f>
        <v/>
      </c>
      <c r="AL294" s="38">
        <f>IF(AND(W294="X",M294&lt;=$AJ$2),S294,"")</f>
        <v/>
      </c>
      <c r="AM294" s="26">
        <f>IF(AND(W294="X",M294&gt;$AJ$2),"YES","")</f>
        <v/>
      </c>
      <c r="AN294" s="89">
        <f>IF(AND(W294="X",M294&gt;$AJ$2),S294,"")</f>
        <v/>
      </c>
      <c r="AO294" s="35">
        <f>IF(AND(W294="",M294&gt;0,$AJ$2&gt;M294,L294=""),1,0)</f>
        <v/>
      </c>
      <c r="AP294" s="26">
        <f>IF(AND(AK294="YES",W294="X"),"X","")</f>
        <v/>
      </c>
      <c r="AQ294" s="28">
        <f>IF(AP294="X",100%,0%)</f>
        <v/>
      </c>
      <c r="AR294" s="25">
        <f>IF(AND(T294&gt;0,L294=""),H294,"")</f>
        <v/>
      </c>
      <c r="AS294" s="25">
        <f>IF(AND(D294&gt;0,H294=0,G294=""),1,"")</f>
        <v/>
      </c>
      <c r="AT294" s="25">
        <f>IF(G294="BLOQ",1,"")</f>
        <v/>
      </c>
      <c r="AU294" s="25">
        <f>IF(L294="BLOQ",1,"")</f>
        <v/>
      </c>
      <c r="AV294" s="25">
        <f>MONTH(F294)</f>
        <v/>
      </c>
      <c r="AW294" s="65">
        <f>IF(AP294="",100%,0%)</f>
        <v/>
      </c>
      <c r="AX294" s="23" t="n"/>
      <c r="AY294" s="24">
        <f>IF(M294=0,"",M294-$AX$2)</f>
        <v/>
      </c>
      <c r="AZ294" s="66">
        <f>IF(AND(W294="",AY294&gt;0,AY294&lt;15),1,0)</f>
        <v/>
      </c>
      <c r="BA294" s="24">
        <f>IF(AND(W294="",AY294&gt;0,AY294&lt;15),T294,"")</f>
        <v/>
      </c>
      <c r="BB294" s="87">
        <f>IF(R294&lt;Q294,"X","")</f>
        <v/>
      </c>
      <c r="BC294" s="190" t="inlineStr">
        <is>
          <t>NO</t>
        </is>
      </c>
      <c r="BD294" s="190" t="inlineStr">
        <is>
          <t>NO</t>
        </is>
      </c>
    </row>
    <row r="295" ht="15" customHeight="1" s="162">
      <c r="A295" s="7" t="n">
        <v>294</v>
      </c>
      <c r="B295" t="inlineStr">
        <is>
          <t>1709800000500</t>
        </is>
      </c>
      <c r="C295" t="inlineStr">
        <is>
          <t>COMPRA DIRECTA FERRETERIA Y HERRAMIENTAS</t>
        </is>
      </c>
      <c r="D295" t="inlineStr">
        <is>
          <t>1101826509</t>
        </is>
      </c>
      <c r="E295" t="inlineStr">
        <is>
          <t>2</t>
        </is>
      </c>
      <c r="F295" s="163" t="n">
        <v>45677</v>
      </c>
      <c r="G295" t="inlineStr"/>
      <c r="H295" t="inlineStr">
        <is>
          <t>4200594781</t>
        </is>
      </c>
      <c r="I295" t="inlineStr">
        <is>
          <t>20</t>
        </is>
      </c>
      <c r="J295" s="163" t="n">
        <v>45684</v>
      </c>
      <c r="K295" s="163" t="n">
        <v>45684</v>
      </c>
      <c r="L295" t="inlineStr"/>
      <c r="M295" s="163" t="n">
        <v>45698</v>
      </c>
      <c r="N295" s="164" t="n">
        <v>30</v>
      </c>
      <c r="O295" s="164" t="n">
        <v>8</v>
      </c>
      <c r="P295" t="inlineStr">
        <is>
          <t>Liberado</t>
        </is>
      </c>
      <c r="Q295" s="165" t="n">
        <v>1</v>
      </c>
      <c r="R295" s="165" t="n">
        <v>1</v>
      </c>
      <c r="S295" s="165" t="n">
        <v>1</v>
      </c>
      <c r="T295" s="165" t="n">
        <v>0</v>
      </c>
      <c r="U295" s="166" t="n">
        <v>0</v>
      </c>
      <c r="V295" s="166" t="n">
        <v>0</v>
      </c>
      <c r="W295" t="inlineStr">
        <is>
          <t>X</t>
        </is>
      </c>
      <c r="X295" t="inlineStr">
        <is>
          <t>0.00</t>
        </is>
      </c>
      <c r="Y295" t="inlineStr"/>
      <c r="Z295" t="inlineStr">
        <is>
          <t>FELIPE DE MARCO, S.A.</t>
        </is>
      </c>
      <c r="AA295" t="inlineStr">
        <is>
          <t>OTROS FABRICANTES</t>
        </is>
      </c>
      <c r="AB295" t="inlineStr">
        <is>
          <t>1709800000500</t>
        </is>
      </c>
      <c r="AC295" t="inlineStr"/>
      <c r="AD295" s="164" t="n">
        <v>0</v>
      </c>
      <c r="AE295" s="185" t="n">
        <v>0</v>
      </c>
      <c r="AG295" s="167" t="inlineStr">
        <is>
          <t>7218|JA2593_1001</t>
        </is>
      </c>
      <c r="AH295" s="46">
        <f>IF(M295=0,"-",M295-J295)</f>
        <v/>
      </c>
      <c r="AI295" s="46">
        <f>IF(AND(S295=0,M295&gt;0,L295=0),IF(AH295&gt;=120,"VERY HIGH",IF(AH295&gt;=90,"HIGH",IF(AH295&gt;=60,"MEDIUM",IF(AH295&lt;60,"LOW")))),"-")</f>
        <v/>
      </c>
      <c r="AJ295" s="12" t="n"/>
      <c r="AK295" s="41">
        <f>IF(AND(W295="X",M295&lt;=$AJ$2),"YES","")</f>
        <v/>
      </c>
      <c r="AL295" s="38">
        <f>IF(AND(W295="X",M295&lt;=$AJ$2),S295,"")</f>
        <v/>
      </c>
      <c r="AM295" s="26">
        <f>IF(AND(W295="X",M295&gt;$AJ$2),"YES","")</f>
        <v/>
      </c>
      <c r="AN295" s="89">
        <f>IF(AND(W295="X",M295&gt;$AJ$2),S295,"")</f>
        <v/>
      </c>
      <c r="AO295" s="35">
        <f>IF(AND(W295="",M295&gt;0,$AJ$2&gt;M295,L295=""),1,0)</f>
        <v/>
      </c>
      <c r="AP295" s="26">
        <f>IF(AND(AK295="YES",W295="X"),"X","")</f>
        <v/>
      </c>
      <c r="AQ295" s="28">
        <f>IF(AP295="X",100%,0%)</f>
        <v/>
      </c>
      <c r="AR295" s="25">
        <f>IF(AND(T295&gt;0,L295=""),H295,"")</f>
        <v/>
      </c>
      <c r="AS295" s="25">
        <f>IF(AND(D295&gt;0,H295=0,G295=""),1,"")</f>
        <v/>
      </c>
      <c r="AT295" s="25">
        <f>IF(G295="BLOQ",1,"")</f>
        <v/>
      </c>
      <c r="AU295" s="25">
        <f>IF(L295="BLOQ",1,"")</f>
        <v/>
      </c>
      <c r="AV295" s="25">
        <f>MONTH(F295)</f>
        <v/>
      </c>
      <c r="AW295" s="65">
        <f>IF(AP295="",100%,0%)</f>
        <v/>
      </c>
      <c r="AX295" s="23" t="n"/>
      <c r="AY295" s="24">
        <f>IF(M295=0,"",M295-$AX$2)</f>
        <v/>
      </c>
      <c r="AZ295" s="66">
        <f>IF(AND(W295="",AY295&gt;0,AY295&lt;15),1,0)</f>
        <v/>
      </c>
      <c r="BA295" s="24">
        <f>IF(AND(W295="",AY295&gt;0,AY295&lt;15),T295,"")</f>
        <v/>
      </c>
      <c r="BB295" s="87">
        <f>IF(R295&lt;Q295,"X","")</f>
        <v/>
      </c>
      <c r="BC295" s="190" t="inlineStr">
        <is>
          <t>NO</t>
        </is>
      </c>
      <c r="BD295" s="190" t="inlineStr">
        <is>
          <t>NO</t>
        </is>
      </c>
    </row>
    <row r="296" ht="15" customHeight="1" s="162">
      <c r="A296" s="7" t="n">
        <v>295</v>
      </c>
      <c r="B296" t="inlineStr">
        <is>
          <t>1709800000500</t>
        </is>
      </c>
      <c r="C296" t="inlineStr">
        <is>
          <t>COMPRA DIRECTA FERRETERIA Y HERRAMIENTAS</t>
        </is>
      </c>
      <c r="D296" t="inlineStr">
        <is>
          <t>1101826509</t>
        </is>
      </c>
      <c r="E296" t="inlineStr">
        <is>
          <t>3</t>
        </is>
      </c>
      <c r="F296" s="163" t="n">
        <v>45677</v>
      </c>
      <c r="G296" t="inlineStr"/>
      <c r="H296" t="inlineStr">
        <is>
          <t>4200594781</t>
        </is>
      </c>
      <c r="I296" t="inlineStr">
        <is>
          <t>30</t>
        </is>
      </c>
      <c r="J296" s="163" t="n">
        <v>45684</v>
      </c>
      <c r="K296" s="163" t="n">
        <v>45684</v>
      </c>
      <c r="L296" t="inlineStr"/>
      <c r="M296" s="163" t="n">
        <v>45698</v>
      </c>
      <c r="N296" s="164" t="n">
        <v>30</v>
      </c>
      <c r="O296" s="164" t="n">
        <v>8</v>
      </c>
      <c r="P296" t="inlineStr">
        <is>
          <t>Liberado</t>
        </is>
      </c>
      <c r="Q296" s="165" t="n">
        <v>1</v>
      </c>
      <c r="R296" s="165" t="n">
        <v>1</v>
      </c>
      <c r="S296" s="165" t="n">
        <v>1</v>
      </c>
      <c r="T296" s="165" t="n">
        <v>0</v>
      </c>
      <c r="U296" s="166" t="n">
        <v>0</v>
      </c>
      <c r="V296" s="166" t="n">
        <v>0</v>
      </c>
      <c r="W296" t="inlineStr">
        <is>
          <t>X</t>
        </is>
      </c>
      <c r="X296" t="inlineStr">
        <is>
          <t>0.00</t>
        </is>
      </c>
      <c r="Y296" t="inlineStr"/>
      <c r="Z296" t="inlineStr">
        <is>
          <t>FELIPE DE MARCO, S.A.</t>
        </is>
      </c>
      <c r="AA296" t="inlineStr">
        <is>
          <t>OTROS FABRICANTES</t>
        </is>
      </c>
      <c r="AB296" t="inlineStr">
        <is>
          <t>1709800000500</t>
        </is>
      </c>
      <c r="AC296" t="inlineStr"/>
      <c r="AD296" s="164" t="n">
        <v>0</v>
      </c>
      <c r="AE296" s="185" t="n">
        <v>0</v>
      </c>
      <c r="AG296" s="167" t="inlineStr">
        <is>
          <t>7218|JA2593_1001</t>
        </is>
      </c>
      <c r="AH296" s="46">
        <f>IF(M296=0,"-",M296-J296)</f>
        <v/>
      </c>
      <c r="AI296" s="46">
        <f>IF(AND(S296=0,M296&gt;0,L296=0),IF(AH296&gt;=120,"VERY HIGH",IF(AH296&gt;=90,"HIGH",IF(AH296&gt;=60,"MEDIUM",IF(AH296&lt;60,"LOW")))),"-")</f>
        <v/>
      </c>
      <c r="AJ296" s="12" t="n"/>
      <c r="AK296" s="41">
        <f>IF(AND(W296="X",M296&lt;=$AJ$2),"YES","")</f>
        <v/>
      </c>
      <c r="AL296" s="38">
        <f>IF(AND(W296="X",M296&lt;=$AJ$2),S296,"")</f>
        <v/>
      </c>
      <c r="AM296" s="26">
        <f>IF(AND(W296="X",M296&gt;$AJ$2),"YES","")</f>
        <v/>
      </c>
      <c r="AN296" s="89">
        <f>IF(AND(W296="X",M296&gt;$AJ$2),S296,"")</f>
        <v/>
      </c>
      <c r="AO296" s="35">
        <f>IF(AND(W296="",M296&gt;0,$AJ$2&gt;M296,L296=""),1,0)</f>
        <v/>
      </c>
      <c r="AP296" s="26">
        <f>IF(AND(AK296="YES",W296="X"),"X","")</f>
        <v/>
      </c>
      <c r="AQ296" s="28">
        <f>IF(AP296="X",100%,0%)</f>
        <v/>
      </c>
      <c r="AR296" s="25">
        <f>IF(AND(T296&gt;0,L296=""),H296,"")</f>
        <v/>
      </c>
      <c r="AS296" s="25">
        <f>IF(AND(D296&gt;0,H296=0,G296=""),1,"")</f>
        <v/>
      </c>
      <c r="AT296" s="25">
        <f>IF(G296="BLOQ",1,"")</f>
        <v/>
      </c>
      <c r="AU296" s="25">
        <f>IF(L296="BLOQ",1,"")</f>
        <v/>
      </c>
      <c r="AV296" s="25">
        <f>MONTH(F296)</f>
        <v/>
      </c>
      <c r="AW296" s="65">
        <f>IF(AP296="",100%,0%)</f>
        <v/>
      </c>
      <c r="AX296" s="23" t="n"/>
      <c r="AY296" s="24">
        <f>IF(M296=0,"",M296-$AX$2)</f>
        <v/>
      </c>
      <c r="AZ296" s="66">
        <f>IF(AND(W296="",AY296&gt;0,AY296&lt;15),1,0)</f>
        <v/>
      </c>
      <c r="BA296" s="24">
        <f>IF(AND(W296="",AY296&gt;0,AY296&lt;15),T296,"")</f>
        <v/>
      </c>
      <c r="BB296" s="87">
        <f>IF(R296&lt;Q296,"X","")</f>
        <v/>
      </c>
      <c r="BC296" s="190" t="inlineStr">
        <is>
          <t>NO</t>
        </is>
      </c>
      <c r="BD296" s="190" t="inlineStr">
        <is>
          <t>NO</t>
        </is>
      </c>
    </row>
    <row r="297" ht="15" customHeight="1" s="162">
      <c r="A297" s="7" t="n">
        <v>296</v>
      </c>
      <c r="B297" t="inlineStr">
        <is>
          <t>39121321</t>
        </is>
      </c>
      <c r="C297" t="inlineStr">
        <is>
          <t>Carpeta de documentos Schneider Electric</t>
        </is>
      </c>
      <c r="D297" t="inlineStr">
        <is>
          <t>1101826924</t>
        </is>
      </c>
      <c r="E297" t="inlineStr">
        <is>
          <t>1</t>
        </is>
      </c>
      <c r="F297" s="163" t="n">
        <v>45678</v>
      </c>
      <c r="G297" t="inlineStr"/>
      <c r="H297" t="inlineStr">
        <is>
          <t>4800002836</t>
        </is>
      </c>
      <c r="I297" t="inlineStr">
        <is>
          <t>360</t>
        </is>
      </c>
      <c r="J297" s="163" t="n">
        <v>45677</v>
      </c>
      <c r="K297" s="163" t="inlineStr"/>
      <c r="L297" t="inlineStr"/>
      <c r="M297" s="163" t="n">
        <v>45679</v>
      </c>
      <c r="N297" s="164" t="n">
        <v>0</v>
      </c>
      <c r="O297" s="164" t="n">
        <v>0</v>
      </c>
      <c r="P297" t="inlineStr"/>
      <c r="Q297" s="165" t="n">
        <v>18</v>
      </c>
      <c r="R297" s="165" t="n">
        <v>18</v>
      </c>
      <c r="S297" s="165" t="n">
        <v>18</v>
      </c>
      <c r="T297" s="165" t="n">
        <v>0</v>
      </c>
      <c r="U297" s="166" t="n">
        <v>0</v>
      </c>
      <c r="V297" s="166" t="n">
        <v>0</v>
      </c>
      <c r="W297" t="inlineStr">
        <is>
          <t>X</t>
        </is>
      </c>
      <c r="X297" t="inlineStr">
        <is>
          <t>0.00</t>
        </is>
      </c>
      <c r="Y297" t="inlineStr"/>
      <c r="Z297" t="inlineStr">
        <is>
          <t>AMIDATA, S.A.</t>
        </is>
      </c>
      <c r="AA297" t="inlineStr"/>
      <c r="AB297" t="inlineStr">
        <is>
          <t>6899780</t>
        </is>
      </c>
      <c r="AC297" t="inlineStr"/>
      <c r="AD297" s="164" t="n">
        <v>0</v>
      </c>
      <c r="AE297" s="185" t="n">
        <v>0</v>
      </c>
      <c r="AG297" s="167" t="inlineStr">
        <is>
          <t>7218|S24B05_P10322</t>
        </is>
      </c>
      <c r="AH297" s="46">
        <f>IF(M297=0,"-",M297-J297)</f>
        <v/>
      </c>
      <c r="AI297" s="46">
        <f>IF(AND(S297=0,M297&gt;0,L297=0),IF(AH297&gt;=120,"VERY HIGH",IF(AH297&gt;=90,"HIGH",IF(AH297&gt;=60,"MEDIUM",IF(AH297&lt;60,"LOW")))),"-")</f>
        <v/>
      </c>
      <c r="AJ297" s="12" t="n"/>
      <c r="AK297" s="41">
        <f>IF(AND(W297="X",M297&lt;=$AJ$2),"YES","")</f>
        <v/>
      </c>
      <c r="AL297" s="38">
        <f>IF(AND(W297="X",M297&lt;=$AJ$2),S297,"")</f>
        <v/>
      </c>
      <c r="AM297" s="26">
        <f>IF(AND(W297="X",M297&gt;$AJ$2),"YES","")</f>
        <v/>
      </c>
      <c r="AN297" s="89">
        <f>IF(AND(W297="X",M297&gt;$AJ$2),S297,"")</f>
        <v/>
      </c>
      <c r="AO297" s="35">
        <f>IF(AND(W297="",M297&gt;0,$AJ$2&gt;M297,L297=""),1,0)</f>
        <v/>
      </c>
      <c r="AP297" s="26">
        <f>IF(AND(AK297="YES",W297="X"),"X","")</f>
        <v/>
      </c>
      <c r="AQ297" s="28">
        <f>IF(AP297="X",100%,0%)</f>
        <v/>
      </c>
      <c r="AR297" s="25">
        <f>IF(AND(T297&gt;0,L297=""),H297,"")</f>
        <v/>
      </c>
      <c r="AS297" s="25">
        <f>IF(AND(D297&gt;0,H297=0,G297=""),1,"")</f>
        <v/>
      </c>
      <c r="AT297" s="25">
        <f>IF(G297="BLOQ",1,"")</f>
        <v/>
      </c>
      <c r="AU297" s="25">
        <f>IF(L297="BLOQ",1,"")</f>
        <v/>
      </c>
      <c r="AV297" s="25">
        <f>MONTH(F297)</f>
        <v/>
      </c>
      <c r="AW297" s="65">
        <f>IF(AP297="",100%,0%)</f>
        <v/>
      </c>
      <c r="AX297" s="23" t="n"/>
      <c r="AY297" s="24">
        <f>IF(M297=0,"",M297-$AX$2)</f>
        <v/>
      </c>
      <c r="AZ297" s="66">
        <f>IF(AND(W297="",AY297&gt;0,AY297&lt;15),1,0)</f>
        <v/>
      </c>
      <c r="BA297" s="24">
        <f>IF(AND(W297="",AY297&gt;0,AY297&lt;15),T297,"")</f>
        <v/>
      </c>
      <c r="BB297" s="87">
        <f>IF(R297&lt;Q297,"X","")</f>
        <v/>
      </c>
      <c r="BC297" s="190" t="inlineStr">
        <is>
          <t>NO</t>
        </is>
      </c>
      <c r="BD297" s="190" t="inlineStr">
        <is>
          <t>NO</t>
        </is>
      </c>
    </row>
    <row r="298" ht="15" customHeight="1" s="162">
      <c r="A298" s="7" t="n">
        <v>297</v>
      </c>
      <c r="B298" t="inlineStr"/>
      <c r="C298" t="inlineStr">
        <is>
          <t>MONTAJE SIMULADOR A320</t>
        </is>
      </c>
      <c r="D298" t="inlineStr">
        <is>
          <t>1101826992</t>
        </is>
      </c>
      <c r="E298" t="inlineStr">
        <is>
          <t>1</t>
        </is>
      </c>
      <c r="F298" s="163" t="n">
        <v>45678</v>
      </c>
      <c r="G298" t="inlineStr"/>
      <c r="H298" t="inlineStr">
        <is>
          <t>4400085683</t>
        </is>
      </c>
      <c r="I298" t="inlineStr">
        <is>
          <t>10</t>
        </is>
      </c>
      <c r="J298" s="163" t="n">
        <v>45678</v>
      </c>
      <c r="K298" s="163" t="n">
        <v>45678</v>
      </c>
      <c r="L298" t="inlineStr"/>
      <c r="M298" s="163" t="n">
        <v>45702</v>
      </c>
      <c r="N298" s="164" t="n">
        <v>0</v>
      </c>
      <c r="O298" s="164" t="n">
        <v>0</v>
      </c>
      <c r="P298" t="inlineStr">
        <is>
          <t>Liberado</t>
        </is>
      </c>
      <c r="Q298" s="166" t="n">
        <v>1</v>
      </c>
      <c r="R298" s="164" t="n">
        <v>1</v>
      </c>
      <c r="S298" s="164" t="n">
        <v>0</v>
      </c>
      <c r="T298" s="164" t="n">
        <v>0</v>
      </c>
      <c r="U298" s="166" t="n">
        <v>0</v>
      </c>
      <c r="V298" s="166" t="n">
        <v>0</v>
      </c>
      <c r="W298" t="inlineStr">
        <is>
          <t>X</t>
        </is>
      </c>
      <c r="X298" t="inlineStr">
        <is>
          <t>0.00</t>
        </is>
      </c>
      <c r="Y298" t="inlineStr"/>
      <c r="Z298" t="inlineStr">
        <is>
          <t>APLICACIONES DE SIMULACION</t>
        </is>
      </c>
      <c r="AA298" t="inlineStr"/>
      <c r="AB298" t="inlineStr"/>
      <c r="AC298" t="inlineStr"/>
      <c r="AD298" s="164" t="n">
        <v>0</v>
      </c>
      <c r="AE298" s="185" t="n">
        <v>0</v>
      </c>
      <c r="AG298" s="167" t="inlineStr">
        <is>
          <t>7218|JA2593_1001</t>
        </is>
      </c>
      <c r="AH298" s="46">
        <f>IF(M298=0,"-",M298-J298)</f>
        <v/>
      </c>
      <c r="AI298" s="46">
        <f>IF(AND(S298=0,M298&gt;0,L298=0),IF(AH298&gt;=120,"VERY HIGH",IF(AH298&gt;=90,"HIGH",IF(AH298&gt;=60,"MEDIUM",IF(AH298&lt;60,"LOW")))),"-")</f>
        <v/>
      </c>
      <c r="AJ298" s="12" t="n"/>
      <c r="AK298" s="41">
        <f>IF(AND(W298="X",M298&lt;=$AJ$2),"YES","")</f>
        <v/>
      </c>
      <c r="AL298" s="38">
        <f>IF(AND(W298="X",M298&lt;=$AJ$2),S298,"")</f>
        <v/>
      </c>
      <c r="AM298" s="26">
        <f>IF(AND(W298="X",M298&gt;$AJ$2),"YES","")</f>
        <v/>
      </c>
      <c r="AN298" s="89">
        <f>IF(AND(W298="X",M298&gt;$AJ$2),S298,"")</f>
        <v/>
      </c>
      <c r="AO298" s="35">
        <f>IF(AND(W298="",M298&gt;0,$AJ$2&gt;M298,L298=""),1,0)</f>
        <v/>
      </c>
      <c r="AP298" s="26">
        <f>IF(AND(AK298="YES",W298="X"),"X","")</f>
        <v/>
      </c>
      <c r="AQ298" s="28">
        <f>IF(AP298="X",100%,0%)</f>
        <v/>
      </c>
      <c r="AR298" s="25">
        <f>IF(AND(T298&gt;0,L298=""),H298,"")</f>
        <v/>
      </c>
      <c r="AS298" s="25">
        <f>IF(AND(D298&gt;0,H298=0,G298=""),1,"")</f>
        <v/>
      </c>
      <c r="AT298" s="25">
        <f>IF(G298="BLOQ",1,"")</f>
        <v/>
      </c>
      <c r="AU298" s="25">
        <f>IF(L298="BLOQ",1,"")</f>
        <v/>
      </c>
      <c r="AV298" s="25">
        <f>MONTH(F298)</f>
        <v/>
      </c>
      <c r="AW298" s="65">
        <f>IF(AP298="",100%,0%)</f>
        <v/>
      </c>
      <c r="AX298" s="23" t="n"/>
      <c r="AY298" s="24">
        <f>IF(M298=0,"",M298-$AX$2)</f>
        <v/>
      </c>
      <c r="AZ298" s="66">
        <f>IF(AND(W298="",AY298&gt;0,AY298&lt;15),1,0)</f>
        <v/>
      </c>
      <c r="BA298" s="24">
        <f>IF(AND(W298="",AY298&gt;0,AY298&lt;15),T298,"")</f>
        <v/>
      </c>
      <c r="BB298" s="87">
        <f>IF(R298&lt;Q298,"X","")</f>
        <v/>
      </c>
      <c r="BC298" s="190" t="inlineStr">
        <is>
          <t>NO</t>
        </is>
      </c>
      <c r="BD298" s="190" t="inlineStr">
        <is>
          <t>NO</t>
        </is>
      </c>
    </row>
    <row r="299" ht="15" customHeight="1" s="162">
      <c r="A299" s="7" t="n">
        <v>298</v>
      </c>
      <c r="B299" t="inlineStr"/>
      <c r="C299" t="inlineStr">
        <is>
          <t>TRABAJOS SIMULADOR A320</t>
        </is>
      </c>
      <c r="D299" t="inlineStr">
        <is>
          <t>1101827012</t>
        </is>
      </c>
      <c r="E299" t="inlineStr">
        <is>
          <t>1</t>
        </is>
      </c>
      <c r="F299" s="163" t="n">
        <v>45678</v>
      </c>
      <c r="G299" t="inlineStr"/>
      <c r="H299" t="inlineStr">
        <is>
          <t>4300339244</t>
        </is>
      </c>
      <c r="I299" t="inlineStr">
        <is>
          <t>10</t>
        </is>
      </c>
      <c r="J299" s="163" t="n">
        <v>45680</v>
      </c>
      <c r="K299" s="163" t="n">
        <v>45686</v>
      </c>
      <c r="L299" t="inlineStr"/>
      <c r="M299" s="163" t="n">
        <v>45702</v>
      </c>
      <c r="N299" s="164" t="n">
        <v>0</v>
      </c>
      <c r="O299" s="164" t="n">
        <v>0</v>
      </c>
      <c r="P299" t="inlineStr">
        <is>
          <t>Liberado</t>
        </is>
      </c>
      <c r="Q299" s="166" t="n">
        <v>1</v>
      </c>
      <c r="R299" s="164" t="n">
        <v>1</v>
      </c>
      <c r="S299" s="164" t="n">
        <v>0</v>
      </c>
      <c r="T299" s="164" t="n">
        <v>0</v>
      </c>
      <c r="U299" s="166" t="n">
        <v>0</v>
      </c>
      <c r="V299" s="166" t="n">
        <v>0</v>
      </c>
      <c r="W299" t="inlineStr">
        <is>
          <t>X</t>
        </is>
      </c>
      <c r="X299" t="inlineStr">
        <is>
          <t>0.00</t>
        </is>
      </c>
      <c r="Y299" t="inlineStr"/>
      <c r="Z299" t="inlineStr">
        <is>
          <t>TALLERES SANTIAGO DATO, S.L.U.</t>
        </is>
      </c>
      <c r="AA299" t="inlineStr"/>
      <c r="AB299" t="inlineStr"/>
      <c r="AC299" t="inlineStr"/>
      <c r="AD299" s="164" t="n">
        <v>0</v>
      </c>
      <c r="AE299" s="185" t="n">
        <v>0</v>
      </c>
      <c r="AG299" s="167" t="inlineStr">
        <is>
          <t>7218|JA2594_1001</t>
        </is>
      </c>
      <c r="AH299" s="46">
        <f>IF(M299=0,"-",M299-J299)</f>
        <v/>
      </c>
      <c r="AI299" s="46">
        <f>IF(AND(S299=0,M299&gt;0,L299=0),IF(AH299&gt;=120,"VERY HIGH",IF(AH299&gt;=90,"HIGH",IF(AH299&gt;=60,"MEDIUM",IF(AH299&lt;60,"LOW")))),"-")</f>
        <v/>
      </c>
      <c r="AJ299" s="12" t="n"/>
      <c r="AK299" s="41">
        <f>IF(AND(W299="X",M299&lt;=$AJ$2),"YES","")</f>
        <v/>
      </c>
      <c r="AL299" s="38">
        <f>IF(AND(W299="X",M299&lt;=$AJ$2),S299,"")</f>
        <v/>
      </c>
      <c r="AM299" s="26">
        <f>IF(AND(W299="X",M299&gt;$AJ$2),"YES","")</f>
        <v/>
      </c>
      <c r="AN299" s="89">
        <f>IF(AND(W299="X",M299&gt;$AJ$2),S299,"")</f>
        <v/>
      </c>
      <c r="AO299" s="35">
        <f>IF(AND(W299="",M299&gt;0,$AJ$2&gt;M299,L299=""),1,0)</f>
        <v/>
      </c>
      <c r="AP299" s="26">
        <f>IF(AND(AK299="YES",W299="X"),"X","")</f>
        <v/>
      </c>
      <c r="AQ299" s="28">
        <f>IF(AP299="X",100%,0%)</f>
        <v/>
      </c>
      <c r="AR299" s="25">
        <f>IF(AND(T299&gt;0,L299=""),H299,"")</f>
        <v/>
      </c>
      <c r="AS299" s="25">
        <f>IF(AND(D299&gt;0,H299=0,G299=""),1,"")</f>
        <v/>
      </c>
      <c r="AT299" s="25">
        <f>IF(G299="BLOQ",1,"")</f>
        <v/>
      </c>
      <c r="AU299" s="25">
        <f>IF(L299="BLOQ",1,"")</f>
        <v/>
      </c>
      <c r="AV299" s="25">
        <f>MONTH(F299)</f>
        <v/>
      </c>
      <c r="AW299" s="65">
        <f>IF(AP299="",100%,0%)</f>
        <v/>
      </c>
      <c r="AX299" s="23" t="n"/>
      <c r="AY299" s="24">
        <f>IF(M299=0,"",M299-$AX$2)</f>
        <v/>
      </c>
      <c r="AZ299" s="66">
        <f>IF(AND(W299="",AY299&gt;0,AY299&lt;15),1,0)</f>
        <v/>
      </c>
      <c r="BA299" s="24">
        <f>IF(AND(W299="",AY299&gt;0,AY299&lt;15),T299,"")</f>
        <v/>
      </c>
      <c r="BB299" s="87">
        <f>IF(R299&lt;Q299,"X","")</f>
        <v/>
      </c>
      <c r="BC299" s="190" t="inlineStr">
        <is>
          <t>NO</t>
        </is>
      </c>
      <c r="BD299" s="190" t="inlineStr">
        <is>
          <t>NO</t>
        </is>
      </c>
    </row>
    <row r="300" ht="15" customHeight="1" s="162">
      <c r="A300" s="7" t="n">
        <v>299</v>
      </c>
      <c r="B300" t="inlineStr">
        <is>
          <t>24112003</t>
        </is>
      </c>
      <c r="C300" t="inlineStr">
        <is>
          <t>Gaveta RS PRO, Rojo de Cart&amp;#243;n, 100m</t>
        </is>
      </c>
      <c r="D300" t="inlineStr">
        <is>
          <t>1101827598</t>
        </is>
      </c>
      <c r="E300" t="inlineStr">
        <is>
          <t>1</t>
        </is>
      </c>
      <c r="F300" s="163" t="n">
        <v>45679</v>
      </c>
      <c r="G300" t="inlineStr"/>
      <c r="H300" t="inlineStr">
        <is>
          <t>4800002838</t>
        </is>
      </c>
      <c r="I300" t="inlineStr">
        <is>
          <t>260</t>
        </is>
      </c>
      <c r="J300" s="163" t="n">
        <v>45678</v>
      </c>
      <c r="K300" s="163" t="inlineStr"/>
      <c r="L300" t="inlineStr"/>
      <c r="M300" s="163" t="n">
        <v>45680</v>
      </c>
      <c r="N300" s="164" t="n">
        <v>0</v>
      </c>
      <c r="O300" s="164" t="n">
        <v>0</v>
      </c>
      <c r="P300" t="inlineStr"/>
      <c r="Q300" s="165" t="n">
        <v>1</v>
      </c>
      <c r="R300" s="165" t="n">
        <v>1</v>
      </c>
      <c r="S300" s="165" t="n">
        <v>1</v>
      </c>
      <c r="T300" s="165" t="n">
        <v>0</v>
      </c>
      <c r="U300" s="166" t="n">
        <v>0</v>
      </c>
      <c r="V300" s="166" t="n">
        <v>0</v>
      </c>
      <c r="W300" t="inlineStr">
        <is>
          <t>X</t>
        </is>
      </c>
      <c r="X300" t="inlineStr">
        <is>
          <t>0.00</t>
        </is>
      </c>
      <c r="Y300" t="inlineStr"/>
      <c r="Z300" t="inlineStr">
        <is>
          <t>AMIDATA, S.A.</t>
        </is>
      </c>
      <c r="AA300" t="inlineStr"/>
      <c r="AB300" t="inlineStr">
        <is>
          <t>2281065</t>
        </is>
      </c>
      <c r="AC300" t="inlineStr"/>
      <c r="AD300" s="164" t="n">
        <v>0</v>
      </c>
      <c r="AE300" s="185" t="n">
        <v>0</v>
      </c>
      <c r="AG300" s="167" t="inlineStr">
        <is>
          <t>7218|S24B05_P10322</t>
        </is>
      </c>
      <c r="AH300" s="46">
        <f>IF(M300=0,"-",M300-J300)</f>
        <v/>
      </c>
      <c r="AI300" s="46">
        <f>IF(AND(S300=0,M300&gt;0,L300=0),IF(AH300&gt;=120,"VERY HIGH",IF(AH300&gt;=90,"HIGH",IF(AH300&gt;=60,"MEDIUM",IF(AH300&lt;60,"LOW")))),"-")</f>
        <v/>
      </c>
      <c r="AJ300" s="12" t="n"/>
      <c r="AK300" s="41">
        <f>IF(AND(W300="X",M300&lt;=$AJ$2),"YES","")</f>
        <v/>
      </c>
      <c r="AL300" s="38">
        <f>IF(AND(W300="X",M300&lt;=$AJ$2),S300,"")</f>
        <v/>
      </c>
      <c r="AM300" s="26">
        <f>IF(AND(W300="X",M300&gt;$AJ$2),"YES","")</f>
        <v/>
      </c>
      <c r="AN300" s="89">
        <f>IF(AND(W300="X",M300&gt;$AJ$2),S300,"")</f>
        <v/>
      </c>
      <c r="AO300" s="35">
        <f>IF(AND(W300="",M300&gt;0,$AJ$2&gt;M300,L300=""),1,0)</f>
        <v/>
      </c>
      <c r="AP300" s="26">
        <f>IF(AND(AK300="YES",W300="X"),"X","")</f>
        <v/>
      </c>
      <c r="AQ300" s="28">
        <f>IF(AP300="X",100%,0%)</f>
        <v/>
      </c>
      <c r="AR300" s="25">
        <f>IF(AND(T300&gt;0,L300=""),H300,"")</f>
        <v/>
      </c>
      <c r="AS300" s="25">
        <f>IF(AND(D300&gt;0,H300=0,G300=""),1,"")</f>
        <v/>
      </c>
      <c r="AT300" s="25">
        <f>IF(G300="BLOQ",1,"")</f>
        <v/>
      </c>
      <c r="AU300" s="25">
        <f>IF(L300="BLOQ",1,"")</f>
        <v/>
      </c>
      <c r="AV300" s="25">
        <f>MONTH(F300)</f>
        <v/>
      </c>
      <c r="AW300" s="65">
        <f>IF(AP300="",100%,0%)</f>
        <v/>
      </c>
      <c r="AX300" s="23" t="n"/>
      <c r="AY300" s="24">
        <f>IF(M300=0,"",M300-$AX$2)</f>
        <v/>
      </c>
      <c r="AZ300" s="66">
        <f>IF(AND(W300="",AY300&gt;0,AY300&lt;15),1,0)</f>
        <v/>
      </c>
      <c r="BA300" s="24">
        <f>IF(AND(W300="",AY300&gt;0,AY300&lt;15),T300,"")</f>
        <v/>
      </c>
      <c r="BB300" s="87">
        <f>IF(R300&lt;Q300,"X","")</f>
        <v/>
      </c>
      <c r="BC300" s="190" t="inlineStr">
        <is>
          <t>NO</t>
        </is>
      </c>
      <c r="BD300" s="190" t="inlineStr">
        <is>
          <t>NO</t>
        </is>
      </c>
    </row>
    <row r="301" ht="15" customHeight="1" s="162">
      <c r="A301" s="7" t="n">
        <v>300</v>
      </c>
      <c r="B301" t="inlineStr">
        <is>
          <t>1709800000500</t>
        </is>
      </c>
      <c r="C301" t="inlineStr">
        <is>
          <t>COMPRA DIRECTA FERRETERIA Y HERRAMIENTAS</t>
        </is>
      </c>
      <c r="D301" t="inlineStr">
        <is>
          <t>1101828001</t>
        </is>
      </c>
      <c r="E301" t="inlineStr">
        <is>
          <t>1</t>
        </is>
      </c>
      <c r="F301" s="163" t="n">
        <v>45679</v>
      </c>
      <c r="G301" t="inlineStr"/>
      <c r="H301" t="inlineStr">
        <is>
          <t>4200595284</t>
        </is>
      </c>
      <c r="I301" t="inlineStr">
        <is>
          <t>100</t>
        </is>
      </c>
      <c r="J301" s="163" t="n">
        <v>45686</v>
      </c>
      <c r="K301" s="163" t="n">
        <v>45687</v>
      </c>
      <c r="L301" t="inlineStr"/>
      <c r="M301" s="163" t="n">
        <v>45698</v>
      </c>
      <c r="N301" s="164" t="n">
        <v>30</v>
      </c>
      <c r="O301" s="164" t="n">
        <v>8</v>
      </c>
      <c r="P301" t="inlineStr">
        <is>
          <t>Liberado</t>
        </is>
      </c>
      <c r="Q301" s="165" t="n">
        <v>1</v>
      </c>
      <c r="R301" s="165" t="n">
        <v>1</v>
      </c>
      <c r="S301" s="165" t="n">
        <v>1</v>
      </c>
      <c r="T301" s="165" t="n">
        <v>0</v>
      </c>
      <c r="U301" s="166" t="n">
        <v>0</v>
      </c>
      <c r="V301" s="166" t="n">
        <v>0</v>
      </c>
      <c r="W301" t="inlineStr">
        <is>
          <t>X</t>
        </is>
      </c>
      <c r="X301" t="inlineStr">
        <is>
          <t>0.00</t>
        </is>
      </c>
      <c r="Y301" t="inlineStr"/>
      <c r="Z301" t="inlineStr">
        <is>
          <t>FELIPE DE MARCO, S.A.</t>
        </is>
      </c>
      <c r="AA301" t="inlineStr">
        <is>
          <t>OTROS FABRICANTES</t>
        </is>
      </c>
      <c r="AB301" t="inlineStr">
        <is>
          <t>1709800000500</t>
        </is>
      </c>
      <c r="AC301" t="inlineStr"/>
      <c r="AD301" s="164" t="n">
        <v>0</v>
      </c>
      <c r="AE301" s="185" t="n">
        <v>0</v>
      </c>
      <c r="AG301" s="167" t="inlineStr">
        <is>
          <t>7218|JA2593_1001</t>
        </is>
      </c>
      <c r="AH301" s="46">
        <f>IF(M301=0,"-",M301-J301)</f>
        <v/>
      </c>
      <c r="AI301" s="46">
        <f>IF(AND(S301=0,M301&gt;0,L301=0),IF(AH301&gt;=120,"VERY HIGH",IF(AH301&gt;=90,"HIGH",IF(AH301&gt;=60,"MEDIUM",IF(AH301&lt;60,"LOW")))),"-")</f>
        <v/>
      </c>
      <c r="AJ301" s="12" t="n"/>
      <c r="AK301" s="41">
        <f>IF(AND(W301="X",M301&lt;=$AJ$2),"YES","")</f>
        <v/>
      </c>
      <c r="AL301" s="38">
        <f>IF(AND(W301="X",M301&lt;=$AJ$2),S301,"")</f>
        <v/>
      </c>
      <c r="AM301" s="26">
        <f>IF(AND(W301="X",M301&gt;$AJ$2),"YES","")</f>
        <v/>
      </c>
      <c r="AN301" s="89">
        <f>IF(AND(W301="X",M301&gt;$AJ$2),S301,"")</f>
        <v/>
      </c>
      <c r="AO301" s="35">
        <f>IF(AND(W301="",M301&gt;0,$AJ$2&gt;M301,L301=""),1,0)</f>
        <v/>
      </c>
      <c r="AP301" s="26">
        <f>IF(AND(AK301="YES",W301="X"),"X","")</f>
        <v/>
      </c>
      <c r="AQ301" s="28">
        <f>IF(AP301="X",100%,0%)</f>
        <v/>
      </c>
      <c r="AR301" s="25">
        <f>IF(AND(T301&gt;0,L301=""),H301,"")</f>
        <v/>
      </c>
      <c r="AS301" s="25">
        <f>IF(AND(D301&gt;0,H301=0,G301=""),1,"")</f>
        <v/>
      </c>
      <c r="AT301" s="25">
        <f>IF(G301="BLOQ",1,"")</f>
        <v/>
      </c>
      <c r="AU301" s="25">
        <f>IF(L301="BLOQ",1,"")</f>
        <v/>
      </c>
      <c r="AV301" s="25">
        <f>MONTH(F301)</f>
        <v/>
      </c>
      <c r="AW301" s="65">
        <f>IF(AP301="",100%,0%)</f>
        <v/>
      </c>
      <c r="AX301" s="23" t="n"/>
      <c r="AY301" s="24">
        <f>IF(M301=0,"",M301-$AX$2)</f>
        <v/>
      </c>
      <c r="AZ301" s="66">
        <f>IF(AND(W301="",AY301&gt;0,AY301&lt;15),1,0)</f>
        <v/>
      </c>
      <c r="BA301" s="24">
        <f>IF(AND(W301="",AY301&gt;0,AY301&lt;15),T301,"")</f>
        <v/>
      </c>
      <c r="BB301" s="87">
        <f>IF(R301&lt;Q301,"X","")</f>
        <v/>
      </c>
      <c r="BC301" s="190" t="inlineStr">
        <is>
          <t>NO</t>
        </is>
      </c>
      <c r="BD301" s="190" t="inlineStr">
        <is>
          <t>NO</t>
        </is>
      </c>
    </row>
    <row r="302" ht="15" customHeight="1" s="162">
      <c r="A302" s="7" t="n">
        <v>301</v>
      </c>
      <c r="B302" t="inlineStr">
        <is>
          <t>1709800000500</t>
        </is>
      </c>
      <c r="C302" t="inlineStr">
        <is>
          <t>COMPRA DIRECTA FERRETERIA Y HERRAMIENTAS</t>
        </is>
      </c>
      <c r="D302" t="inlineStr">
        <is>
          <t>1101828001</t>
        </is>
      </c>
      <c r="E302" t="inlineStr">
        <is>
          <t>2</t>
        </is>
      </c>
      <c r="F302" s="163" t="n">
        <v>45679</v>
      </c>
      <c r="G302" t="inlineStr"/>
      <c r="H302" t="inlineStr">
        <is>
          <t>4200595284</t>
        </is>
      </c>
      <c r="I302" t="inlineStr">
        <is>
          <t>110</t>
        </is>
      </c>
      <c r="J302" s="163" t="n">
        <v>45686</v>
      </c>
      <c r="K302" s="163" t="n">
        <v>45687</v>
      </c>
      <c r="L302" t="inlineStr"/>
      <c r="M302" s="163" t="n">
        <v>45698</v>
      </c>
      <c r="N302" s="164" t="n">
        <v>30</v>
      </c>
      <c r="O302" s="164" t="n">
        <v>8</v>
      </c>
      <c r="P302" t="inlineStr">
        <is>
          <t>Liberado</t>
        </is>
      </c>
      <c r="Q302" s="165" t="n">
        <v>1</v>
      </c>
      <c r="R302" s="165" t="n">
        <v>1</v>
      </c>
      <c r="S302" s="165" t="n">
        <v>1</v>
      </c>
      <c r="T302" s="165" t="n">
        <v>0</v>
      </c>
      <c r="U302" s="166" t="n">
        <v>0</v>
      </c>
      <c r="V302" s="166" t="n">
        <v>0</v>
      </c>
      <c r="W302" t="inlineStr">
        <is>
          <t>X</t>
        </is>
      </c>
      <c r="X302" t="inlineStr">
        <is>
          <t>0.00</t>
        </is>
      </c>
      <c r="Y302" t="inlineStr"/>
      <c r="Z302" t="inlineStr">
        <is>
          <t>FELIPE DE MARCO, S.A.</t>
        </is>
      </c>
      <c r="AA302" t="inlineStr">
        <is>
          <t>OTROS FABRICANTES</t>
        </is>
      </c>
      <c r="AB302" t="inlineStr">
        <is>
          <t>1709800000500</t>
        </is>
      </c>
      <c r="AC302" t="inlineStr"/>
      <c r="AD302" s="164" t="n">
        <v>0</v>
      </c>
      <c r="AE302" s="185" t="n">
        <v>0</v>
      </c>
      <c r="AG302" s="167" t="inlineStr">
        <is>
          <t>7218|JA2593_1001</t>
        </is>
      </c>
      <c r="AH302" s="46">
        <f>IF(M302=0,"-",M302-J302)</f>
        <v/>
      </c>
      <c r="AI302" s="46">
        <f>IF(AND(S302=0,M302&gt;0,L302=0),IF(AH302&gt;=120,"VERY HIGH",IF(AH302&gt;=90,"HIGH",IF(AH302&gt;=60,"MEDIUM",IF(AH302&lt;60,"LOW")))),"-")</f>
        <v/>
      </c>
      <c r="AJ302" s="12" t="n"/>
      <c r="AK302" s="41">
        <f>IF(AND(W302="X",M302&lt;=$AJ$2),"YES","")</f>
        <v/>
      </c>
      <c r="AL302" s="38">
        <f>IF(AND(W302="X",M302&lt;=$AJ$2),S302,"")</f>
        <v/>
      </c>
      <c r="AM302" s="26">
        <f>IF(AND(W302="X",M302&gt;$AJ$2),"YES","")</f>
        <v/>
      </c>
      <c r="AN302" s="89">
        <f>IF(AND(W302="X",M302&gt;$AJ$2),S302,"")</f>
        <v/>
      </c>
      <c r="AO302" s="35">
        <f>IF(AND(W302="",M302&gt;0,$AJ$2&gt;M302,L302=""),1,0)</f>
        <v/>
      </c>
      <c r="AP302" s="26">
        <f>IF(AND(AK302="YES",W302="X"),"X","")</f>
        <v/>
      </c>
      <c r="AQ302" s="28">
        <f>IF(AP302="X",100%,0%)</f>
        <v/>
      </c>
      <c r="AR302" s="25">
        <f>IF(AND(T302&gt;0,L302=""),H302,"")</f>
        <v/>
      </c>
      <c r="AS302" s="25">
        <f>IF(AND(D302&gt;0,H302=0,G302=""),1,"")</f>
        <v/>
      </c>
      <c r="AT302" s="25">
        <f>IF(G302="BLOQ",1,"")</f>
        <v/>
      </c>
      <c r="AU302" s="25">
        <f>IF(L302="BLOQ",1,"")</f>
        <v/>
      </c>
      <c r="AV302" s="25">
        <f>MONTH(F302)</f>
        <v/>
      </c>
      <c r="AW302" s="65">
        <f>IF(AP302="",100%,0%)</f>
        <v/>
      </c>
      <c r="AX302" s="23" t="n"/>
      <c r="AY302" s="24">
        <f>IF(M302=0,"",M302-$AX$2)</f>
        <v/>
      </c>
      <c r="AZ302" s="66">
        <f>IF(AND(W302="",AY302&gt;0,AY302&lt;15),1,0)</f>
        <v/>
      </c>
      <c r="BA302" s="24">
        <f>IF(AND(W302="",AY302&gt;0,AY302&lt;15),T302,"")</f>
        <v/>
      </c>
      <c r="BB302" s="87">
        <f>IF(R302&lt;Q302,"X","")</f>
        <v/>
      </c>
      <c r="BC302" s="190" t="inlineStr">
        <is>
          <t>NO</t>
        </is>
      </c>
      <c r="BD302" s="190" t="inlineStr">
        <is>
          <t>NO</t>
        </is>
      </c>
    </row>
    <row r="303" ht="15" customHeight="1" s="162">
      <c r="A303" s="7" t="n">
        <v>302</v>
      </c>
      <c r="B303" t="inlineStr">
        <is>
          <t>1709800000500</t>
        </is>
      </c>
      <c r="C303" t="inlineStr">
        <is>
          <t>COMPRA DIRECTA FERRETERIA Y HERRAMIENTAS</t>
        </is>
      </c>
      <c r="D303" t="inlineStr">
        <is>
          <t>1101828001</t>
        </is>
      </c>
      <c r="E303" t="inlineStr">
        <is>
          <t>3</t>
        </is>
      </c>
      <c r="F303" s="163" t="n">
        <v>45679</v>
      </c>
      <c r="G303" t="inlineStr"/>
      <c r="H303" t="inlineStr">
        <is>
          <t>4200595284</t>
        </is>
      </c>
      <c r="I303" t="inlineStr">
        <is>
          <t>120</t>
        </is>
      </c>
      <c r="J303" s="163" t="n">
        <v>45686</v>
      </c>
      <c r="K303" s="163" t="n">
        <v>45687</v>
      </c>
      <c r="L303" t="inlineStr"/>
      <c r="M303" s="163" t="n">
        <v>45698</v>
      </c>
      <c r="N303" s="164" t="n">
        <v>30</v>
      </c>
      <c r="O303" s="164" t="n">
        <v>8</v>
      </c>
      <c r="P303" t="inlineStr">
        <is>
          <t>Liberado</t>
        </is>
      </c>
      <c r="Q303" s="165" t="n">
        <v>1</v>
      </c>
      <c r="R303" s="165" t="n">
        <v>1</v>
      </c>
      <c r="S303" s="165" t="n">
        <v>1</v>
      </c>
      <c r="T303" s="165" t="n">
        <v>0</v>
      </c>
      <c r="U303" s="166" t="n">
        <v>0</v>
      </c>
      <c r="V303" s="166" t="n">
        <v>0</v>
      </c>
      <c r="W303" t="inlineStr">
        <is>
          <t>X</t>
        </is>
      </c>
      <c r="X303" t="inlineStr">
        <is>
          <t>0.00</t>
        </is>
      </c>
      <c r="Y303" t="inlineStr"/>
      <c r="Z303" t="inlineStr">
        <is>
          <t>FELIPE DE MARCO, S.A.</t>
        </is>
      </c>
      <c r="AA303" t="inlineStr">
        <is>
          <t>OTROS FABRICANTES</t>
        </is>
      </c>
      <c r="AB303" t="inlineStr">
        <is>
          <t>1709800000500</t>
        </is>
      </c>
      <c r="AC303" t="inlineStr"/>
      <c r="AD303" s="164" t="n">
        <v>0</v>
      </c>
      <c r="AE303" s="185" t="n">
        <v>0</v>
      </c>
      <c r="AG303" s="167" t="inlineStr">
        <is>
          <t>7218|JA2593_1001</t>
        </is>
      </c>
      <c r="AH303" s="46">
        <f>IF(M303=0,"-",M303-J303)</f>
        <v/>
      </c>
      <c r="AI303" s="46">
        <f>IF(AND(S303=0,M303&gt;0,L303=0),IF(AH303&gt;=120,"VERY HIGH",IF(AH303&gt;=90,"HIGH",IF(AH303&gt;=60,"MEDIUM",IF(AH303&lt;60,"LOW")))),"-")</f>
        <v/>
      </c>
      <c r="AJ303" s="12" t="n"/>
      <c r="AK303" s="41">
        <f>IF(AND(W303="X",M303&lt;=$AJ$2),"YES","")</f>
        <v/>
      </c>
      <c r="AL303" s="38">
        <f>IF(AND(W303="X",M303&lt;=$AJ$2),S303,"")</f>
        <v/>
      </c>
      <c r="AM303" s="26">
        <f>IF(AND(W303="X",M303&gt;$AJ$2),"YES","")</f>
        <v/>
      </c>
      <c r="AN303" s="89">
        <f>IF(AND(W303="X",M303&gt;$AJ$2),S303,"")</f>
        <v/>
      </c>
      <c r="AO303" s="35">
        <f>IF(AND(W303="",M303&gt;0,$AJ$2&gt;M303,L303=""),1,0)</f>
        <v/>
      </c>
      <c r="AP303" s="26">
        <f>IF(AND(AK303="YES",W303="X"),"X","")</f>
        <v/>
      </c>
      <c r="AQ303" s="28">
        <f>IF(AP303="X",100%,0%)</f>
        <v/>
      </c>
      <c r="AR303" s="25">
        <f>IF(AND(T303&gt;0,L303=""),H303,"")</f>
        <v/>
      </c>
      <c r="AS303" s="25">
        <f>IF(AND(D303&gt;0,H303=0,G303=""),1,"")</f>
        <v/>
      </c>
      <c r="AT303" s="25">
        <f>IF(G303="BLOQ",1,"")</f>
        <v/>
      </c>
      <c r="AU303" s="25">
        <f>IF(L303="BLOQ",1,"")</f>
        <v/>
      </c>
      <c r="AV303" s="25">
        <f>MONTH(F303)</f>
        <v/>
      </c>
      <c r="AW303" s="65">
        <f>IF(AP303="",100%,0%)</f>
        <v/>
      </c>
      <c r="AX303" s="23" t="n"/>
      <c r="AY303" s="24">
        <f>IF(M303=0,"",M303-$AX$2)</f>
        <v/>
      </c>
      <c r="AZ303" s="66">
        <f>IF(AND(W303="",AY303&gt;0,AY303&lt;15),1,0)</f>
        <v/>
      </c>
      <c r="BA303" s="24">
        <f>IF(AND(W303="",AY303&gt;0,AY303&lt;15),T303,"")</f>
        <v/>
      </c>
      <c r="BB303" s="87">
        <f>IF(R303&lt;Q303,"X","")</f>
        <v/>
      </c>
      <c r="BC303" s="190" t="inlineStr">
        <is>
          <t>NO</t>
        </is>
      </c>
      <c r="BD303" s="190" t="inlineStr">
        <is>
          <t>NO</t>
        </is>
      </c>
    </row>
    <row r="304" ht="15" customHeight="1" s="162">
      <c r="A304" s="7" t="n">
        <v>303</v>
      </c>
      <c r="B304" t="inlineStr">
        <is>
          <t>1709800000500</t>
        </is>
      </c>
      <c r="C304" t="inlineStr">
        <is>
          <t>COMPRA DIRECTA FERRETERIA Y HERRAMIENTAS</t>
        </is>
      </c>
      <c r="D304" t="inlineStr">
        <is>
          <t>1101828001</t>
        </is>
      </c>
      <c r="E304" t="inlineStr">
        <is>
          <t>4</t>
        </is>
      </c>
      <c r="F304" s="163" t="n">
        <v>45679</v>
      </c>
      <c r="G304" t="inlineStr"/>
      <c r="H304" t="inlineStr">
        <is>
          <t>4200595284</t>
        </is>
      </c>
      <c r="I304" t="inlineStr">
        <is>
          <t>130</t>
        </is>
      </c>
      <c r="J304" s="163" t="n">
        <v>45686</v>
      </c>
      <c r="K304" s="163" t="n">
        <v>45687</v>
      </c>
      <c r="L304" t="inlineStr"/>
      <c r="M304" s="163" t="n">
        <v>45698</v>
      </c>
      <c r="N304" s="164" t="n">
        <v>30</v>
      </c>
      <c r="O304" s="164" t="n">
        <v>8</v>
      </c>
      <c r="P304" t="inlineStr">
        <is>
          <t>Liberado</t>
        </is>
      </c>
      <c r="Q304" s="165" t="n">
        <v>1</v>
      </c>
      <c r="R304" s="165" t="n">
        <v>1</v>
      </c>
      <c r="S304" s="165" t="n">
        <v>1</v>
      </c>
      <c r="T304" s="165" t="n">
        <v>0</v>
      </c>
      <c r="U304" s="166" t="n">
        <v>0</v>
      </c>
      <c r="V304" s="166" t="n">
        <v>0</v>
      </c>
      <c r="W304" t="inlineStr">
        <is>
          <t>X</t>
        </is>
      </c>
      <c r="X304" t="inlineStr">
        <is>
          <t>0.00</t>
        </is>
      </c>
      <c r="Y304" t="inlineStr"/>
      <c r="Z304" t="inlineStr">
        <is>
          <t>FELIPE DE MARCO, S.A.</t>
        </is>
      </c>
      <c r="AA304" t="inlineStr">
        <is>
          <t>OTROS FABRICANTES</t>
        </is>
      </c>
      <c r="AB304" t="inlineStr">
        <is>
          <t>1709800000500</t>
        </is>
      </c>
      <c r="AC304" t="inlineStr"/>
      <c r="AD304" s="164" t="n">
        <v>0</v>
      </c>
      <c r="AE304" s="185" t="n">
        <v>0</v>
      </c>
      <c r="AG304" s="167" t="inlineStr">
        <is>
          <t>7218|JA2593_1001</t>
        </is>
      </c>
      <c r="AH304" s="46">
        <f>IF(M304=0,"-",M304-J304)</f>
        <v/>
      </c>
      <c r="AI304" s="46">
        <f>IF(AND(S304=0,M304&gt;0,L304=0),IF(AH304&gt;=120,"VERY HIGH",IF(AH304&gt;=90,"HIGH",IF(AH304&gt;=60,"MEDIUM",IF(AH304&lt;60,"LOW")))),"-")</f>
        <v/>
      </c>
      <c r="AJ304" s="12" t="n"/>
      <c r="AK304" s="41">
        <f>IF(AND(W304="X",M304&lt;=$AJ$2),"YES","")</f>
        <v/>
      </c>
      <c r="AL304" s="38">
        <f>IF(AND(W304="X",M304&lt;=$AJ$2),S304,"")</f>
        <v/>
      </c>
      <c r="AM304" s="26">
        <f>IF(AND(W304="X",M304&gt;$AJ$2),"YES","")</f>
        <v/>
      </c>
      <c r="AN304" s="89">
        <f>IF(AND(W304="X",M304&gt;$AJ$2),S304,"")</f>
        <v/>
      </c>
      <c r="AO304" s="35">
        <f>IF(AND(W304="",M304&gt;0,$AJ$2&gt;M304,L304=""),1,0)</f>
        <v/>
      </c>
      <c r="AP304" s="26">
        <f>IF(AND(AK304="YES",W304="X"),"X","")</f>
        <v/>
      </c>
      <c r="AQ304" s="28">
        <f>IF(AP304="X",100%,0%)</f>
        <v/>
      </c>
      <c r="AR304" s="25">
        <f>IF(AND(T304&gt;0,L304=""),H304,"")</f>
        <v/>
      </c>
      <c r="AS304" s="25">
        <f>IF(AND(D304&gt;0,H304=0,G304=""),1,"")</f>
        <v/>
      </c>
      <c r="AT304" s="25">
        <f>IF(G304="BLOQ",1,"")</f>
        <v/>
      </c>
      <c r="AU304" s="25">
        <f>IF(L304="BLOQ",1,"")</f>
        <v/>
      </c>
      <c r="AV304" s="25">
        <f>MONTH(F304)</f>
        <v/>
      </c>
      <c r="AW304" s="65">
        <f>IF(AP304="",100%,0%)</f>
        <v/>
      </c>
      <c r="AX304" s="23" t="n"/>
      <c r="AY304" s="24">
        <f>IF(M304=0,"",M304-$AX$2)</f>
        <v/>
      </c>
      <c r="AZ304" s="66">
        <f>IF(AND(W304="",AY304&gt;0,AY304&lt;15),1,0)</f>
        <v/>
      </c>
      <c r="BA304" s="24">
        <f>IF(AND(W304="",AY304&gt;0,AY304&lt;15),T304,"")</f>
        <v/>
      </c>
      <c r="BB304" s="87">
        <f>IF(R304&lt;Q304,"X","")</f>
        <v/>
      </c>
      <c r="BC304" s="190" t="inlineStr">
        <is>
          <t>NO</t>
        </is>
      </c>
      <c r="BD304" s="190" t="inlineStr">
        <is>
          <t>NO</t>
        </is>
      </c>
    </row>
    <row r="305" ht="15" customHeight="1" s="162">
      <c r="A305" s="7" t="n">
        <v>304</v>
      </c>
      <c r="B305" t="inlineStr">
        <is>
          <t>32111502</t>
        </is>
      </c>
      <c r="C305" t="inlineStr">
        <is>
          <t>Vishay 1.7 (Dia.) x 3.9mm Simple BZX55C6</t>
        </is>
      </c>
      <c r="D305" t="inlineStr">
        <is>
          <t>1101828411</t>
        </is>
      </c>
      <c r="E305" t="inlineStr">
        <is>
          <t>1</t>
        </is>
      </c>
      <c r="F305" s="163" t="n">
        <v>45680</v>
      </c>
      <c r="G305" t="inlineStr"/>
      <c r="H305" t="inlineStr">
        <is>
          <t>4800002840</t>
        </is>
      </c>
      <c r="I305" t="inlineStr">
        <is>
          <t>580</t>
        </is>
      </c>
      <c r="J305" s="163" t="n">
        <v>45679</v>
      </c>
      <c r="K305" s="163" t="inlineStr"/>
      <c r="L305" t="inlineStr"/>
      <c r="M305" s="163" t="n">
        <v>45681</v>
      </c>
      <c r="N305" s="164" t="n">
        <v>0</v>
      </c>
      <c r="O305" s="164" t="n">
        <v>0</v>
      </c>
      <c r="P305" t="inlineStr"/>
      <c r="Q305" s="165" t="n">
        <v>250</v>
      </c>
      <c r="R305" s="165" t="n">
        <v>250</v>
      </c>
      <c r="S305" s="165" t="n">
        <v>250</v>
      </c>
      <c r="T305" s="165" t="n">
        <v>0</v>
      </c>
      <c r="U305" s="166" t="n">
        <v>0</v>
      </c>
      <c r="V305" s="166" t="n">
        <v>0</v>
      </c>
      <c r="W305" t="inlineStr">
        <is>
          <t>X</t>
        </is>
      </c>
      <c r="X305" t="inlineStr">
        <is>
          <t>0.00</t>
        </is>
      </c>
      <c r="Y305" t="inlineStr"/>
      <c r="Z305" t="inlineStr">
        <is>
          <t>AMIDATA, S.A.</t>
        </is>
      </c>
      <c r="AA305" t="inlineStr"/>
      <c r="AB305" t="inlineStr">
        <is>
          <t>6997806</t>
        </is>
      </c>
      <c r="AC305" t="inlineStr"/>
      <c r="AD305" s="164" t="n">
        <v>0</v>
      </c>
      <c r="AE305" s="185" t="n">
        <v>0</v>
      </c>
      <c r="AG305" s="167" t="inlineStr">
        <is>
          <t>7218|JA2585_1001</t>
        </is>
      </c>
      <c r="AH305" s="46">
        <f>IF(M305=0,"-",M305-J305)</f>
        <v/>
      </c>
      <c r="AI305" s="46">
        <f>IF(AND(S305=0,M305&gt;0,L305=0),IF(AH305&gt;=120,"VERY HIGH",IF(AH305&gt;=90,"HIGH",IF(AH305&gt;=60,"MEDIUM",IF(AH305&lt;60,"LOW")))),"-")</f>
        <v/>
      </c>
      <c r="AJ305" s="12" t="n"/>
      <c r="AK305" s="41">
        <f>IF(AND(W305="X",M305&lt;=$AJ$2),"YES","")</f>
        <v/>
      </c>
      <c r="AL305" s="38">
        <f>IF(AND(W305="X",M305&lt;=$AJ$2),S305,"")</f>
        <v/>
      </c>
      <c r="AM305" s="26">
        <f>IF(AND(W305="X",M305&gt;$AJ$2),"YES","")</f>
        <v/>
      </c>
      <c r="AN305" s="89">
        <f>IF(AND(W305="X",M305&gt;$AJ$2),S305,"")</f>
        <v/>
      </c>
      <c r="AO305" s="35">
        <f>IF(AND(W305="",M305&gt;0,$AJ$2&gt;M305,L305=""),1,0)</f>
        <v/>
      </c>
      <c r="AP305" s="26">
        <f>IF(AND(AK305="YES",W305="X"),"X","")</f>
        <v/>
      </c>
      <c r="AQ305" s="28">
        <f>IF(AP305="X",100%,0%)</f>
        <v/>
      </c>
      <c r="AR305" s="25">
        <f>IF(AND(T305&gt;0,L305=""),H305,"")</f>
        <v/>
      </c>
      <c r="AS305" s="25">
        <f>IF(AND(D305&gt;0,H305=0,G305=""),1,"")</f>
        <v/>
      </c>
      <c r="AT305" s="25">
        <f>IF(G305="BLOQ",1,"")</f>
        <v/>
      </c>
      <c r="AU305" s="25">
        <f>IF(L305="BLOQ",1,"")</f>
        <v/>
      </c>
      <c r="AV305" s="25">
        <f>MONTH(F305)</f>
        <v/>
      </c>
      <c r="AW305" s="65">
        <f>IF(AP305="",100%,0%)</f>
        <v/>
      </c>
      <c r="AX305" s="23" t="n"/>
      <c r="AY305" s="24">
        <f>IF(M305=0,"",M305-$AX$2)</f>
        <v/>
      </c>
      <c r="AZ305" s="66">
        <f>IF(AND(W305="",AY305&gt;0,AY305&lt;15),1,0)</f>
        <v/>
      </c>
      <c r="BA305" s="24">
        <f>IF(AND(W305="",AY305&gt;0,AY305&lt;15),T305,"")</f>
        <v/>
      </c>
      <c r="BB305" s="87">
        <f>IF(R305&lt;Q305,"X","")</f>
        <v/>
      </c>
      <c r="BC305" s="190" t="inlineStr">
        <is>
          <t>NO</t>
        </is>
      </c>
      <c r="BD305" s="190" t="inlineStr">
        <is>
          <t>NO</t>
        </is>
      </c>
    </row>
    <row r="306" ht="15" customHeight="1" s="162">
      <c r="A306" s="7" t="n">
        <v>305</v>
      </c>
      <c r="B306" t="inlineStr">
        <is>
          <t>31201623</t>
        </is>
      </c>
      <c r="C306" t="inlineStr">
        <is>
          <t>Adhesivo de contacto Teroson Terokal 244</t>
        </is>
      </c>
      <c r="D306" t="inlineStr">
        <is>
          <t>1101828417</t>
        </is>
      </c>
      <c r="E306" t="inlineStr">
        <is>
          <t>1</t>
        </is>
      </c>
      <c r="F306" s="163" t="n">
        <v>45680</v>
      </c>
      <c r="G306" t="inlineStr"/>
      <c r="H306" t="inlineStr">
        <is>
          <t>4800002840</t>
        </is>
      </c>
      <c r="I306" t="inlineStr">
        <is>
          <t>600</t>
        </is>
      </c>
      <c r="J306" s="163" t="n">
        <v>45679</v>
      </c>
      <c r="K306" s="163" t="inlineStr"/>
      <c r="L306" t="inlineStr"/>
      <c r="M306" s="163" t="n">
        <v>45681</v>
      </c>
      <c r="N306" s="164" t="n">
        <v>0</v>
      </c>
      <c r="O306" s="164" t="n">
        <v>0</v>
      </c>
      <c r="P306" t="inlineStr"/>
      <c r="Q306" s="165" t="n">
        <v>2</v>
      </c>
      <c r="R306" s="165" t="n">
        <v>2</v>
      </c>
      <c r="S306" s="165" t="n">
        <v>2</v>
      </c>
      <c r="T306" s="165" t="n">
        <v>0</v>
      </c>
      <c r="U306" s="166" t="n">
        <v>0</v>
      </c>
      <c r="V306" s="166" t="n">
        <v>0</v>
      </c>
      <c r="W306" t="inlineStr">
        <is>
          <t>X</t>
        </is>
      </c>
      <c r="X306" t="inlineStr">
        <is>
          <t>0.00</t>
        </is>
      </c>
      <c r="Y306" t="inlineStr"/>
      <c r="Z306" t="inlineStr">
        <is>
          <t>AMIDATA, S.A.</t>
        </is>
      </c>
      <c r="AA306" t="inlineStr"/>
      <c r="AB306" t="inlineStr">
        <is>
          <t>5246059</t>
        </is>
      </c>
      <c r="AC306" t="inlineStr"/>
      <c r="AD306" s="164" t="n">
        <v>0</v>
      </c>
      <c r="AE306" s="185" t="n">
        <v>0</v>
      </c>
      <c r="AG306" s="167" t="inlineStr">
        <is>
          <t>7218|S24B05_P10253</t>
        </is>
      </c>
      <c r="AH306" s="46">
        <f>IF(M306=0,"-",M306-J306)</f>
        <v/>
      </c>
      <c r="AI306" s="46">
        <f>IF(AND(S306=0,M306&gt;0,L306=0),IF(AH306&gt;=120,"VERY HIGH",IF(AH306&gt;=90,"HIGH",IF(AH306&gt;=60,"MEDIUM",IF(AH306&lt;60,"LOW")))),"-")</f>
        <v/>
      </c>
      <c r="AJ306" s="12" t="n"/>
      <c r="AK306" s="41">
        <f>IF(AND(W306="X",M306&lt;=$AJ$2),"YES","")</f>
        <v/>
      </c>
      <c r="AL306" s="38">
        <f>IF(AND(W306="X",M306&lt;=$AJ$2),S306,"")</f>
        <v/>
      </c>
      <c r="AM306" s="26">
        <f>IF(AND(W306="X",M306&gt;$AJ$2),"YES","")</f>
        <v/>
      </c>
      <c r="AN306" s="89">
        <f>IF(AND(W306="X",M306&gt;$AJ$2),S306,"")</f>
        <v/>
      </c>
      <c r="AO306" s="35">
        <f>IF(AND(W306="",M306&gt;0,$AJ$2&gt;M306,L306=""),1,0)</f>
        <v/>
      </c>
      <c r="AP306" s="26">
        <f>IF(AND(AK306="YES",W306="X"),"X","")</f>
        <v/>
      </c>
      <c r="AQ306" s="28">
        <f>IF(AP306="X",100%,0%)</f>
        <v/>
      </c>
      <c r="AR306" s="25">
        <f>IF(AND(T306&gt;0,L306=""),H306,"")</f>
        <v/>
      </c>
      <c r="AS306" s="25">
        <f>IF(AND(D306&gt;0,H306=0,G306=""),1,"")</f>
        <v/>
      </c>
      <c r="AT306" s="25">
        <f>IF(G306="BLOQ",1,"")</f>
        <v/>
      </c>
      <c r="AU306" s="25">
        <f>IF(L306="BLOQ",1,"")</f>
        <v/>
      </c>
      <c r="AV306" s="25">
        <f>MONTH(F306)</f>
        <v/>
      </c>
      <c r="AW306" s="65">
        <f>IF(AP306="",100%,0%)</f>
        <v/>
      </c>
      <c r="AX306" s="23" t="n"/>
      <c r="AY306" s="24">
        <f>IF(M306=0,"",M306-$AX$2)</f>
        <v/>
      </c>
      <c r="AZ306" s="66">
        <f>IF(AND(W306="",AY306&gt;0,AY306&lt;15),1,0)</f>
        <v/>
      </c>
      <c r="BA306" s="24">
        <f>IF(AND(W306="",AY306&gt;0,AY306&lt;15),T306,"")</f>
        <v/>
      </c>
      <c r="BB306" s="87">
        <f>IF(R306&lt;Q306,"X","")</f>
        <v/>
      </c>
      <c r="BC306" s="190" t="inlineStr">
        <is>
          <t>NO</t>
        </is>
      </c>
      <c r="BD306" s="190" t="inlineStr">
        <is>
          <t>NO</t>
        </is>
      </c>
    </row>
    <row r="307" ht="15" customHeight="1" s="162">
      <c r="A307" s="7" t="n">
        <v>306</v>
      </c>
      <c r="B307" t="inlineStr">
        <is>
          <t>32121506</t>
        </is>
      </c>
      <c r="C307" t="inlineStr">
        <is>
          <t>Condensador cer&amp;#225;mico multicapa MLCC</t>
        </is>
      </c>
      <c r="D307" t="inlineStr">
        <is>
          <t>1101828476</t>
        </is>
      </c>
      <c r="E307" t="inlineStr">
        <is>
          <t>1</t>
        </is>
      </c>
      <c r="F307" s="163" t="n">
        <v>45680</v>
      </c>
      <c r="G307" t="inlineStr"/>
      <c r="H307" t="inlineStr">
        <is>
          <t>4800002841</t>
        </is>
      </c>
      <c r="I307" t="inlineStr">
        <is>
          <t>30</t>
        </is>
      </c>
      <c r="J307" s="163" t="n">
        <v>45680</v>
      </c>
      <c r="K307" s="163" t="inlineStr"/>
      <c r="L307" t="inlineStr"/>
      <c r="M307" s="163" t="n">
        <v>45681</v>
      </c>
      <c r="N307" s="164" t="n">
        <v>0</v>
      </c>
      <c r="O307" s="164" t="n">
        <v>0</v>
      </c>
      <c r="P307" t="inlineStr"/>
      <c r="Q307" s="165" t="n">
        <v>10</v>
      </c>
      <c r="R307" s="165" t="n">
        <v>10</v>
      </c>
      <c r="S307" s="165" t="n">
        <v>10</v>
      </c>
      <c r="T307" s="165" t="n">
        <v>0</v>
      </c>
      <c r="U307" s="166" t="n">
        <v>0</v>
      </c>
      <c r="V307" s="166" t="n">
        <v>0</v>
      </c>
      <c r="W307" t="inlineStr">
        <is>
          <t>X</t>
        </is>
      </c>
      <c r="X307" t="inlineStr">
        <is>
          <t>0.00</t>
        </is>
      </c>
      <c r="Y307" t="inlineStr"/>
      <c r="Z307" t="inlineStr">
        <is>
          <t>AMIDATA, S.A.</t>
        </is>
      </c>
      <c r="AA307" t="inlineStr"/>
      <c r="AB307" t="inlineStr">
        <is>
          <t>6994920</t>
        </is>
      </c>
      <c r="AC307" t="inlineStr"/>
      <c r="AD307" s="164" t="n">
        <v>0</v>
      </c>
      <c r="AE307" s="185" t="n">
        <v>0</v>
      </c>
      <c r="AG307" s="167" t="inlineStr">
        <is>
          <t>7218|JA2594_1001</t>
        </is>
      </c>
      <c r="AH307" s="46">
        <f>IF(M307=0,"-",M307-J307)</f>
        <v/>
      </c>
      <c r="AI307" s="46">
        <f>IF(AND(S307=0,M307&gt;0,L307=0),IF(AH307&gt;=120,"VERY HIGH",IF(AH307&gt;=90,"HIGH",IF(AH307&gt;=60,"MEDIUM",IF(AH307&lt;60,"LOW")))),"-")</f>
        <v/>
      </c>
      <c r="AJ307" s="12" t="n"/>
      <c r="AK307" s="41">
        <f>IF(AND(W307="X",M307&lt;=$AJ$2),"YES","")</f>
        <v/>
      </c>
      <c r="AL307" s="38">
        <f>IF(AND(W307="X",M307&lt;=$AJ$2),S307,"")</f>
        <v/>
      </c>
      <c r="AM307" s="26">
        <f>IF(AND(W307="X",M307&gt;$AJ$2),"YES","")</f>
        <v/>
      </c>
      <c r="AN307" s="89">
        <f>IF(AND(W307="X",M307&gt;$AJ$2),S307,"")</f>
        <v/>
      </c>
      <c r="AO307" s="35">
        <f>IF(AND(W307="",M307&gt;0,$AJ$2&gt;M307,L307=""),1,0)</f>
        <v/>
      </c>
      <c r="AP307" s="26">
        <f>IF(AND(AK307="YES",W307="X"),"X","")</f>
        <v/>
      </c>
      <c r="AQ307" s="28">
        <f>IF(AP307="X",100%,0%)</f>
        <v/>
      </c>
      <c r="AR307" s="25">
        <f>IF(AND(T307&gt;0,L307=""),H307,"")</f>
        <v/>
      </c>
      <c r="AS307" s="25">
        <f>IF(AND(D307&gt;0,H307=0,G307=""),1,"")</f>
        <v/>
      </c>
      <c r="AT307" s="25">
        <f>IF(G307="BLOQ",1,"")</f>
        <v/>
      </c>
      <c r="AU307" s="25">
        <f>IF(L307="BLOQ",1,"")</f>
        <v/>
      </c>
      <c r="AV307" s="25">
        <f>MONTH(F307)</f>
        <v/>
      </c>
      <c r="AW307" s="65">
        <f>IF(AP307="",100%,0%)</f>
        <v/>
      </c>
      <c r="AX307" s="23" t="n"/>
      <c r="AY307" s="24">
        <f>IF(M307=0,"",M307-$AX$2)</f>
        <v/>
      </c>
      <c r="AZ307" s="66">
        <f>IF(AND(W307="",AY307&gt;0,AY307&lt;15),1,0)</f>
        <v/>
      </c>
      <c r="BA307" s="24">
        <f>IF(AND(W307="",AY307&gt;0,AY307&lt;15),T307,"")</f>
        <v/>
      </c>
      <c r="BB307" s="87">
        <f>IF(R307&lt;Q307,"X","")</f>
        <v/>
      </c>
      <c r="BC307" s="190" t="inlineStr">
        <is>
          <t>NO</t>
        </is>
      </c>
      <c r="BD307" s="190" t="inlineStr">
        <is>
          <t>NO</t>
        </is>
      </c>
    </row>
    <row r="308" ht="15" customHeight="1" s="162">
      <c r="A308" s="7" t="n">
        <v>307</v>
      </c>
      <c r="B308" t="inlineStr">
        <is>
          <t>39121004</t>
        </is>
      </c>
      <c r="C308" t="inlineStr">
        <is>
          <t>Fuente de alimentaci&amp;#243;n conmutada Ex</t>
        </is>
      </c>
      <c r="D308" t="inlineStr">
        <is>
          <t>1101828497</t>
        </is>
      </c>
      <c r="E308" t="inlineStr">
        <is>
          <t>1</t>
        </is>
      </c>
      <c r="F308" s="163" t="n">
        <v>45680</v>
      </c>
      <c r="G308" t="inlineStr"/>
      <c r="H308" t="inlineStr">
        <is>
          <t>4800002841</t>
        </is>
      </c>
      <c r="I308" t="inlineStr">
        <is>
          <t>40</t>
        </is>
      </c>
      <c r="J308" s="163" t="n">
        <v>45680</v>
      </c>
      <c r="K308" s="163" t="inlineStr"/>
      <c r="L308" t="inlineStr"/>
      <c r="M308" s="163" t="n">
        <v>45681</v>
      </c>
      <c r="N308" s="164" t="n">
        <v>0</v>
      </c>
      <c r="O308" s="164" t="n">
        <v>0</v>
      </c>
      <c r="P308" t="inlineStr"/>
      <c r="Q308" s="165" t="n">
        <v>1</v>
      </c>
      <c r="R308" s="165" t="n">
        <v>1</v>
      </c>
      <c r="S308" s="165" t="n">
        <v>1</v>
      </c>
      <c r="T308" s="165" t="n">
        <v>0</v>
      </c>
      <c r="U308" s="166" t="n">
        <v>0</v>
      </c>
      <c r="V308" s="166" t="n">
        <v>0</v>
      </c>
      <c r="W308" t="inlineStr">
        <is>
          <t>X</t>
        </is>
      </c>
      <c r="X308" t="inlineStr">
        <is>
          <t>0.00</t>
        </is>
      </c>
      <c r="Y308" t="inlineStr"/>
      <c r="Z308" t="inlineStr">
        <is>
          <t>AMIDATA, S.A.</t>
        </is>
      </c>
      <c r="AA308" t="inlineStr"/>
      <c r="AB308" t="inlineStr">
        <is>
          <t>6273787</t>
        </is>
      </c>
      <c r="AC308" t="inlineStr"/>
      <c r="AD308" s="164" t="n">
        <v>0</v>
      </c>
      <c r="AE308" s="185" t="n">
        <v>0</v>
      </c>
      <c r="AG308" s="167" t="inlineStr">
        <is>
          <t>7218|JA2585_1001</t>
        </is>
      </c>
      <c r="AH308" s="46">
        <f>IF(M308=0,"-",M308-J308)</f>
        <v/>
      </c>
      <c r="AI308" s="46">
        <f>IF(AND(S308=0,M308&gt;0,L308=0),IF(AH308&gt;=120,"VERY HIGH",IF(AH308&gt;=90,"HIGH",IF(AH308&gt;=60,"MEDIUM",IF(AH308&lt;60,"LOW")))),"-")</f>
        <v/>
      </c>
      <c r="AJ308" s="12" t="n"/>
      <c r="AK308" s="41">
        <f>IF(AND(W308="X",M308&lt;=$AJ$2),"YES","")</f>
        <v/>
      </c>
      <c r="AL308" s="38">
        <f>IF(AND(W308="X",M308&lt;=$AJ$2),S308,"")</f>
        <v/>
      </c>
      <c r="AM308" s="26">
        <f>IF(AND(W308="X",M308&gt;$AJ$2),"YES","")</f>
        <v/>
      </c>
      <c r="AN308" s="89">
        <f>IF(AND(W308="X",M308&gt;$AJ$2),S308,"")</f>
        <v/>
      </c>
      <c r="AO308" s="35">
        <f>IF(AND(W308="",M308&gt;0,$AJ$2&gt;M308,L308=""),1,0)</f>
        <v/>
      </c>
      <c r="AP308" s="26">
        <f>IF(AND(AK308="YES",W308="X"),"X","")</f>
        <v/>
      </c>
      <c r="AQ308" s="28">
        <f>IF(AP308="X",100%,0%)</f>
        <v/>
      </c>
      <c r="AR308" s="25">
        <f>IF(AND(T308&gt;0,L308=""),H308,"")</f>
        <v/>
      </c>
      <c r="AS308" s="25">
        <f>IF(AND(D308&gt;0,H308=0,G308=""),1,"")</f>
        <v/>
      </c>
      <c r="AT308" s="25">
        <f>IF(G308="BLOQ",1,"")</f>
        <v/>
      </c>
      <c r="AU308" s="25">
        <f>IF(L308="BLOQ",1,"")</f>
        <v/>
      </c>
      <c r="AV308" s="25">
        <f>MONTH(F308)</f>
        <v/>
      </c>
      <c r="AW308" s="65">
        <f>IF(AP308="",100%,0%)</f>
        <v/>
      </c>
      <c r="AX308" s="23" t="n"/>
      <c r="AY308" s="24">
        <f>IF(M308=0,"",M308-$AX$2)</f>
        <v/>
      </c>
      <c r="AZ308" s="66">
        <f>IF(AND(W308="",AY308&gt;0,AY308&lt;15),1,0)</f>
        <v/>
      </c>
      <c r="BA308" s="24">
        <f>IF(AND(W308="",AY308&gt;0,AY308&lt;15),T308,"")</f>
        <v/>
      </c>
      <c r="BB308" s="87">
        <f>IF(R308&lt;Q308,"X","")</f>
        <v/>
      </c>
      <c r="BC308" s="190" t="inlineStr">
        <is>
          <t>NO</t>
        </is>
      </c>
      <c r="BD308" s="190" t="inlineStr">
        <is>
          <t>NO</t>
        </is>
      </c>
    </row>
    <row r="309" ht="15" customHeight="1" s="162">
      <c r="A309" s="7" t="n">
        <v>308</v>
      </c>
      <c r="B309" t="inlineStr">
        <is>
          <t>39121402</t>
        </is>
      </c>
      <c r="C309" t="inlineStr">
        <is>
          <t>Clavija Legrand de 2P+E de color Negro,</t>
        </is>
      </c>
      <c r="D309" t="inlineStr">
        <is>
          <t>1101828497</t>
        </is>
      </c>
      <c r="E309" t="inlineStr">
        <is>
          <t>2</t>
        </is>
      </c>
      <c r="F309" s="163" t="n">
        <v>45680</v>
      </c>
      <c r="G309" t="inlineStr"/>
      <c r="H309" t="inlineStr">
        <is>
          <t>4800002841</t>
        </is>
      </c>
      <c r="I309" t="inlineStr">
        <is>
          <t>50</t>
        </is>
      </c>
      <c r="J309" s="163" t="n">
        <v>45680</v>
      </c>
      <c r="K309" s="163" t="inlineStr"/>
      <c r="L309" t="inlineStr"/>
      <c r="M309" s="163" t="n">
        <v>45681</v>
      </c>
      <c r="N309" s="164" t="n">
        <v>0</v>
      </c>
      <c r="O309" s="164" t="n">
        <v>0</v>
      </c>
      <c r="P309" t="inlineStr"/>
      <c r="Q309" s="165" t="n">
        <v>1</v>
      </c>
      <c r="R309" s="165" t="n">
        <v>1</v>
      </c>
      <c r="S309" s="165" t="n">
        <v>1</v>
      </c>
      <c r="T309" s="165" t="n">
        <v>0</v>
      </c>
      <c r="U309" s="166" t="n">
        <v>0</v>
      </c>
      <c r="V309" s="166" t="n">
        <v>0</v>
      </c>
      <c r="W309" t="inlineStr">
        <is>
          <t>X</t>
        </is>
      </c>
      <c r="X309" t="inlineStr">
        <is>
          <t>0.00</t>
        </is>
      </c>
      <c r="Y309" t="inlineStr"/>
      <c r="Z309" t="inlineStr">
        <is>
          <t>AMIDATA, S.A.</t>
        </is>
      </c>
      <c r="AA309" t="inlineStr"/>
      <c r="AB309" t="inlineStr">
        <is>
          <t>2008444</t>
        </is>
      </c>
      <c r="AC309" t="inlineStr"/>
      <c r="AD309" s="164" t="n">
        <v>0</v>
      </c>
      <c r="AE309" s="185" t="n">
        <v>0</v>
      </c>
      <c r="AG309" s="167" t="inlineStr">
        <is>
          <t>7218|JA2585_1001</t>
        </is>
      </c>
      <c r="AH309" s="46">
        <f>IF(M309=0,"-",M309-J309)</f>
        <v/>
      </c>
      <c r="AI309" s="46">
        <f>IF(AND(S309=0,M309&gt;0,L309=0),IF(AH309&gt;=120,"VERY HIGH",IF(AH309&gt;=90,"HIGH",IF(AH309&gt;=60,"MEDIUM",IF(AH309&lt;60,"LOW")))),"-")</f>
        <v/>
      </c>
      <c r="AJ309" s="12" t="n"/>
      <c r="AK309" s="41">
        <f>IF(AND(W309="X",M309&lt;=$AJ$2),"YES","")</f>
        <v/>
      </c>
      <c r="AL309" s="38">
        <f>IF(AND(W309="X",M309&lt;=$AJ$2),S309,"")</f>
        <v/>
      </c>
      <c r="AM309" s="26">
        <f>IF(AND(W309="X",M309&gt;$AJ$2),"YES","")</f>
        <v/>
      </c>
      <c r="AN309" s="89">
        <f>IF(AND(W309="X",M309&gt;$AJ$2),S309,"")</f>
        <v/>
      </c>
      <c r="AO309" s="35">
        <f>IF(AND(W309="",M309&gt;0,$AJ$2&gt;M309,L309=""),1,0)</f>
        <v/>
      </c>
      <c r="AP309" s="26">
        <f>IF(AND(AK309="YES",W309="X"),"X","")</f>
        <v/>
      </c>
      <c r="AQ309" s="28">
        <f>IF(AP309="X",100%,0%)</f>
        <v/>
      </c>
      <c r="AR309" s="25">
        <f>IF(AND(T309&gt;0,L309=""),H309,"")</f>
        <v/>
      </c>
      <c r="AS309" s="25">
        <f>IF(AND(D309&gt;0,H309=0,G309=""),1,"")</f>
        <v/>
      </c>
      <c r="AT309" s="25">
        <f>IF(G309="BLOQ",1,"")</f>
        <v/>
      </c>
      <c r="AU309" s="25">
        <f>IF(L309="BLOQ",1,"")</f>
        <v/>
      </c>
      <c r="AV309" s="25">
        <f>MONTH(F309)</f>
        <v/>
      </c>
      <c r="AW309" s="65">
        <f>IF(AP309="",100%,0%)</f>
        <v/>
      </c>
      <c r="AX309" s="23" t="n"/>
      <c r="AY309" s="24">
        <f>IF(M309=0,"",M309-$AX$2)</f>
        <v/>
      </c>
      <c r="AZ309" s="66">
        <f>IF(AND(W309="",AY309&gt;0,AY309&lt;15),1,0)</f>
        <v/>
      </c>
      <c r="BA309" s="24">
        <f>IF(AND(W309="",AY309&gt;0,AY309&lt;15),T309,"")</f>
        <v/>
      </c>
      <c r="BB309" s="87">
        <f>IF(R309&lt;Q309,"X","")</f>
        <v/>
      </c>
      <c r="BC309" s="190" t="inlineStr">
        <is>
          <t>NO</t>
        </is>
      </c>
      <c r="BD309" s="190" t="inlineStr">
        <is>
          <t>NO</t>
        </is>
      </c>
    </row>
    <row r="310" ht="15" customHeight="1" s="162">
      <c r="A310" s="7" t="n">
        <v>309</v>
      </c>
      <c r="B310" t="inlineStr">
        <is>
          <t>39121402</t>
        </is>
      </c>
      <c r="C310" t="inlineStr">
        <is>
          <t>Clavija Legrand de 2P+E de color Negro,</t>
        </is>
      </c>
      <c r="D310" t="inlineStr">
        <is>
          <t>1101828497</t>
        </is>
      </c>
      <c r="E310" t="inlineStr">
        <is>
          <t>3</t>
        </is>
      </c>
      <c r="F310" s="163" t="n">
        <v>45680</v>
      </c>
      <c r="G310" t="inlineStr"/>
      <c r="H310" t="inlineStr">
        <is>
          <t>4800002841</t>
        </is>
      </c>
      <c r="I310" t="inlineStr">
        <is>
          <t>60</t>
        </is>
      </c>
      <c r="J310" s="163" t="n">
        <v>45680</v>
      </c>
      <c r="K310" s="163" t="inlineStr"/>
      <c r="L310" t="inlineStr"/>
      <c r="M310" s="163" t="n">
        <v>45681</v>
      </c>
      <c r="N310" s="164" t="n">
        <v>0</v>
      </c>
      <c r="O310" s="164" t="n">
        <v>0</v>
      </c>
      <c r="P310" t="inlineStr"/>
      <c r="Q310" s="165" t="n">
        <v>20</v>
      </c>
      <c r="R310" s="165" t="n">
        <v>20</v>
      </c>
      <c r="S310" s="165" t="n">
        <v>20</v>
      </c>
      <c r="T310" s="165" t="n">
        <v>0</v>
      </c>
      <c r="U310" s="166" t="n">
        <v>0</v>
      </c>
      <c r="V310" s="166" t="n">
        <v>0</v>
      </c>
      <c r="W310" t="inlineStr">
        <is>
          <t>X</t>
        </is>
      </c>
      <c r="X310" t="inlineStr">
        <is>
          <t>0.00</t>
        </is>
      </c>
      <c r="Y310" t="inlineStr"/>
      <c r="Z310" t="inlineStr">
        <is>
          <t>AMIDATA, S.A.</t>
        </is>
      </c>
      <c r="AA310" t="inlineStr"/>
      <c r="AB310" t="inlineStr">
        <is>
          <t>7050872</t>
        </is>
      </c>
      <c r="AC310" t="inlineStr"/>
      <c r="AD310" s="164" t="n">
        <v>0</v>
      </c>
      <c r="AE310" s="185" t="n">
        <v>0</v>
      </c>
      <c r="AG310" s="167" t="inlineStr">
        <is>
          <t>7218|JA2585_1001</t>
        </is>
      </c>
      <c r="AH310" s="46">
        <f>IF(M310=0,"-",M310-J310)</f>
        <v/>
      </c>
      <c r="AI310" s="46">
        <f>IF(AND(S310=0,M310&gt;0,L310=0),IF(AH310&gt;=120,"VERY HIGH",IF(AH310&gt;=90,"HIGH",IF(AH310&gt;=60,"MEDIUM",IF(AH310&lt;60,"LOW")))),"-")</f>
        <v/>
      </c>
      <c r="AJ310" s="12" t="n"/>
      <c r="AK310" s="41">
        <f>IF(AND(W310="X",M310&lt;=$AJ$2),"YES","")</f>
        <v/>
      </c>
      <c r="AL310" s="38">
        <f>IF(AND(W310="X",M310&lt;=$AJ$2),S310,"")</f>
        <v/>
      </c>
      <c r="AM310" s="26">
        <f>IF(AND(W310="X",M310&gt;$AJ$2),"YES","")</f>
        <v/>
      </c>
      <c r="AN310" s="89">
        <f>IF(AND(W310="X",M310&gt;$AJ$2),S310,"")</f>
        <v/>
      </c>
      <c r="AO310" s="35">
        <f>IF(AND(W310="",M310&gt;0,$AJ$2&gt;M310,L310=""),1,0)</f>
        <v/>
      </c>
      <c r="AP310" s="26">
        <f>IF(AND(AK310="YES",W310="X"),"X","")</f>
        <v/>
      </c>
      <c r="AQ310" s="28">
        <f>IF(AP310="X",100%,0%)</f>
        <v/>
      </c>
      <c r="AR310" s="25">
        <f>IF(AND(T310&gt;0,L310=""),H310,"")</f>
        <v/>
      </c>
      <c r="AS310" s="25">
        <f>IF(AND(D310&gt;0,H310=0,G310=""),1,"")</f>
        <v/>
      </c>
      <c r="AT310" s="25">
        <f>IF(G310="BLOQ",1,"")</f>
        <v/>
      </c>
      <c r="AU310" s="25">
        <f>IF(L310="BLOQ",1,"")</f>
        <v/>
      </c>
      <c r="AV310" s="25">
        <f>MONTH(F310)</f>
        <v/>
      </c>
      <c r="AW310" s="65">
        <f>IF(AP310="",100%,0%)</f>
        <v/>
      </c>
      <c r="AX310" s="23" t="n"/>
      <c r="AY310" s="24">
        <f>IF(M310=0,"",M310-$AX$2)</f>
        <v/>
      </c>
      <c r="AZ310" s="66">
        <f>IF(AND(W310="",AY310&gt;0,AY310&lt;15),1,0)</f>
        <v/>
      </c>
      <c r="BA310" s="24">
        <f>IF(AND(W310="",AY310&gt;0,AY310&lt;15),T310,"")</f>
        <v/>
      </c>
      <c r="BB310" s="87">
        <f>IF(R310&lt;Q310,"X","")</f>
        <v/>
      </c>
      <c r="BC310" s="190" t="inlineStr">
        <is>
          <t>NO</t>
        </is>
      </c>
      <c r="BD310" s="190" t="inlineStr">
        <is>
          <t>NO</t>
        </is>
      </c>
    </row>
    <row r="311" ht="15" customHeight="1" s="162">
      <c r="A311" s="7" t="n">
        <v>310</v>
      </c>
      <c r="B311" t="inlineStr">
        <is>
          <t>27111714</t>
        </is>
      </c>
      <c r="C311" t="inlineStr">
        <is>
          <t>Llave en cruz para armario de control RS</t>
        </is>
      </c>
      <c r="D311" t="inlineStr">
        <is>
          <t>1101828497</t>
        </is>
      </c>
      <c r="E311" t="inlineStr">
        <is>
          <t>4</t>
        </is>
      </c>
      <c r="F311" s="163" t="n">
        <v>45680</v>
      </c>
      <c r="G311" t="inlineStr"/>
      <c r="H311" t="inlineStr">
        <is>
          <t>4800002841</t>
        </is>
      </c>
      <c r="I311" t="inlineStr">
        <is>
          <t>70</t>
        </is>
      </c>
      <c r="J311" s="163" t="n">
        <v>45680</v>
      </c>
      <c r="K311" s="163" t="inlineStr"/>
      <c r="L311" t="inlineStr"/>
      <c r="M311" s="163" t="n">
        <v>45681</v>
      </c>
      <c r="N311" s="164" t="n">
        <v>0</v>
      </c>
      <c r="O311" s="164" t="n">
        <v>0</v>
      </c>
      <c r="P311" t="inlineStr"/>
      <c r="Q311" s="165" t="n">
        <v>1</v>
      </c>
      <c r="R311" s="165" t="n">
        <v>1</v>
      </c>
      <c r="S311" s="165" t="n">
        <v>1</v>
      </c>
      <c r="T311" s="165" t="n">
        <v>0</v>
      </c>
      <c r="U311" s="166" t="n">
        <v>0</v>
      </c>
      <c r="V311" s="166" t="n">
        <v>0</v>
      </c>
      <c r="W311" t="inlineStr">
        <is>
          <t>X</t>
        </is>
      </c>
      <c r="X311" t="inlineStr">
        <is>
          <t>0.00</t>
        </is>
      </c>
      <c r="Y311" t="inlineStr"/>
      <c r="Z311" t="inlineStr">
        <is>
          <t>AMIDATA, S.A.</t>
        </is>
      </c>
      <c r="AA311" t="inlineStr"/>
      <c r="AB311" t="inlineStr">
        <is>
          <t>8417005</t>
        </is>
      </c>
      <c r="AC311" t="inlineStr"/>
      <c r="AD311" s="164" t="n">
        <v>0</v>
      </c>
      <c r="AE311" s="185" t="n">
        <v>0</v>
      </c>
      <c r="AG311" s="167" t="inlineStr">
        <is>
          <t>7218|JA2585_1001</t>
        </is>
      </c>
      <c r="AH311" s="46">
        <f>IF(M311=0,"-",M311-J311)</f>
        <v/>
      </c>
      <c r="AI311" s="46">
        <f>IF(AND(S311=0,M311&gt;0,L311=0),IF(AH311&gt;=120,"VERY HIGH",IF(AH311&gt;=90,"HIGH",IF(AH311&gt;=60,"MEDIUM",IF(AH311&lt;60,"LOW")))),"-")</f>
        <v/>
      </c>
      <c r="AJ311" s="12" t="n"/>
      <c r="AK311" s="41">
        <f>IF(AND(W311="X",M311&lt;=$AJ$2),"YES","")</f>
        <v/>
      </c>
      <c r="AL311" s="38">
        <f>IF(AND(W311="X",M311&lt;=$AJ$2),S311,"")</f>
        <v/>
      </c>
      <c r="AM311" s="26">
        <f>IF(AND(W311="X",M311&gt;$AJ$2),"YES","")</f>
        <v/>
      </c>
      <c r="AN311" s="89">
        <f>IF(AND(W311="X",M311&gt;$AJ$2),S311,"")</f>
        <v/>
      </c>
      <c r="AO311" s="35">
        <f>IF(AND(W311="",M311&gt;0,$AJ$2&gt;M311,L311=""),1,0)</f>
        <v/>
      </c>
      <c r="AP311" s="26">
        <f>IF(AND(AK311="YES",W311="X"),"X","")</f>
        <v/>
      </c>
      <c r="AQ311" s="28">
        <f>IF(AP311="X",100%,0%)</f>
        <v/>
      </c>
      <c r="AR311" s="25">
        <f>IF(AND(T311&gt;0,L311=""),H311,"")</f>
        <v/>
      </c>
      <c r="AS311" s="25">
        <f>IF(AND(D311&gt;0,H311=0,G311=""),1,"")</f>
        <v/>
      </c>
      <c r="AT311" s="25">
        <f>IF(G311="BLOQ",1,"")</f>
        <v/>
      </c>
      <c r="AU311" s="25">
        <f>IF(L311="BLOQ",1,"")</f>
        <v/>
      </c>
      <c r="AV311" s="25">
        <f>MONTH(F311)</f>
        <v/>
      </c>
      <c r="AW311" s="65">
        <f>IF(AP311="",100%,0%)</f>
        <v/>
      </c>
      <c r="AX311" s="23" t="n"/>
      <c r="AY311" s="24">
        <f>IF(M311=0,"",M311-$AX$2)</f>
        <v/>
      </c>
      <c r="AZ311" s="66">
        <f>IF(AND(W311="",AY311&gt;0,AY311&lt;15),1,0)</f>
        <v/>
      </c>
      <c r="BA311" s="24">
        <f>IF(AND(W311="",AY311&gt;0,AY311&lt;15),T311,"")</f>
        <v/>
      </c>
      <c r="BB311" s="87">
        <f>IF(R311&lt;Q311,"X","")</f>
        <v/>
      </c>
      <c r="BC311" s="190" t="inlineStr">
        <is>
          <t>NO</t>
        </is>
      </c>
      <c r="BD311" s="190" t="inlineStr">
        <is>
          <t>NO</t>
        </is>
      </c>
    </row>
    <row r="312" ht="15" customHeight="1" s="162">
      <c r="A312" s="7" t="n">
        <v>311</v>
      </c>
      <c r="B312" t="inlineStr">
        <is>
          <t>26121636</t>
        </is>
      </c>
      <c r="C312" t="inlineStr">
        <is>
          <t>Cable de alimentaci&amp;#243;n RS PRO Negro</t>
        </is>
      </c>
      <c r="D312" t="inlineStr">
        <is>
          <t>1101828497</t>
        </is>
      </c>
      <c r="E312" t="inlineStr">
        <is>
          <t>5</t>
        </is>
      </c>
      <c r="F312" s="163" t="n">
        <v>45680</v>
      </c>
      <c r="G312" t="inlineStr"/>
      <c r="H312" t="inlineStr">
        <is>
          <t>4800002841</t>
        </is>
      </c>
      <c r="I312" t="inlineStr">
        <is>
          <t>80</t>
        </is>
      </c>
      <c r="J312" s="163" t="n">
        <v>45680</v>
      </c>
      <c r="K312" s="163" t="inlineStr"/>
      <c r="L312" t="inlineStr"/>
      <c r="M312" s="163" t="n">
        <v>45681</v>
      </c>
      <c r="N312" s="164" t="n">
        <v>0</v>
      </c>
      <c r="O312" s="164" t="n">
        <v>0</v>
      </c>
      <c r="P312" t="inlineStr"/>
      <c r="Q312" s="165" t="n">
        <v>1</v>
      </c>
      <c r="R312" s="165" t="n">
        <v>1</v>
      </c>
      <c r="S312" s="165" t="n">
        <v>1</v>
      </c>
      <c r="T312" s="165" t="n">
        <v>0</v>
      </c>
      <c r="U312" s="166" t="n">
        <v>0</v>
      </c>
      <c r="V312" s="166" t="n">
        <v>0</v>
      </c>
      <c r="W312" t="inlineStr">
        <is>
          <t>X</t>
        </is>
      </c>
      <c r="X312" t="inlineStr">
        <is>
          <t>0.00</t>
        </is>
      </c>
      <c r="Y312" t="inlineStr"/>
      <c r="Z312" t="inlineStr">
        <is>
          <t>AMIDATA, S.A.</t>
        </is>
      </c>
      <c r="AA312" t="inlineStr"/>
      <c r="AB312" t="inlineStr">
        <is>
          <t>1230958</t>
        </is>
      </c>
      <c r="AC312" t="inlineStr"/>
      <c r="AD312" s="164" t="n">
        <v>0</v>
      </c>
      <c r="AE312" s="185" t="n">
        <v>0</v>
      </c>
      <c r="AG312" s="167" t="inlineStr">
        <is>
          <t>7218|JA2585_1001</t>
        </is>
      </c>
      <c r="AH312" s="46">
        <f>IF(M312=0,"-",M312-J312)</f>
        <v/>
      </c>
      <c r="AI312" s="46">
        <f>IF(AND(S312=0,M312&gt;0,L312=0),IF(AH312&gt;=120,"VERY HIGH",IF(AH312&gt;=90,"HIGH",IF(AH312&gt;=60,"MEDIUM",IF(AH312&lt;60,"LOW")))),"-")</f>
        <v/>
      </c>
      <c r="AJ312" s="12" t="n"/>
      <c r="AK312" s="41">
        <f>IF(AND(W312="X",M312&lt;=$AJ$2),"YES","")</f>
        <v/>
      </c>
      <c r="AL312" s="38">
        <f>IF(AND(W312="X",M312&lt;=$AJ$2),S312,"")</f>
        <v/>
      </c>
      <c r="AM312" s="26">
        <f>IF(AND(W312="X",M312&gt;$AJ$2),"YES","")</f>
        <v/>
      </c>
      <c r="AN312" s="89">
        <f>IF(AND(W312="X",M312&gt;$AJ$2),S312,"")</f>
        <v/>
      </c>
      <c r="AO312" s="35">
        <f>IF(AND(W312="",M312&gt;0,$AJ$2&gt;M312,L312=""),1,0)</f>
        <v/>
      </c>
      <c r="AP312" s="26">
        <f>IF(AND(AK312="YES",W312="X"),"X","")</f>
        <v/>
      </c>
      <c r="AQ312" s="28">
        <f>IF(AP312="X",100%,0%)</f>
        <v/>
      </c>
      <c r="AR312" s="25">
        <f>IF(AND(T312&gt;0,L312=""),H312,"")</f>
        <v/>
      </c>
      <c r="AS312" s="25">
        <f>IF(AND(D312&gt;0,H312=0,G312=""),1,"")</f>
        <v/>
      </c>
      <c r="AT312" s="25">
        <f>IF(G312="BLOQ",1,"")</f>
        <v/>
      </c>
      <c r="AU312" s="25">
        <f>IF(L312="BLOQ",1,"")</f>
        <v/>
      </c>
      <c r="AV312" s="25">
        <f>MONTH(F312)</f>
        <v/>
      </c>
      <c r="AW312" s="65">
        <f>IF(AP312="",100%,0%)</f>
        <v/>
      </c>
      <c r="AX312" s="23" t="n"/>
      <c r="AY312" s="24">
        <f>IF(M312=0,"",M312-$AX$2)</f>
        <v/>
      </c>
      <c r="AZ312" s="66">
        <f>IF(AND(W312="",AY312&gt;0,AY312&lt;15),1,0)</f>
        <v/>
      </c>
      <c r="BA312" s="24">
        <f>IF(AND(W312="",AY312&gt;0,AY312&lt;15),T312,"")</f>
        <v/>
      </c>
      <c r="BB312" s="87">
        <f>IF(R312&lt;Q312,"X","")</f>
        <v/>
      </c>
      <c r="BC312" s="190" t="inlineStr">
        <is>
          <t>NO</t>
        </is>
      </c>
      <c r="BD312" s="190" t="inlineStr">
        <is>
          <t>NO</t>
        </is>
      </c>
    </row>
    <row r="313" ht="15" customHeight="1" s="162">
      <c r="A313" s="7" t="n">
        <v>312</v>
      </c>
      <c r="B313" t="inlineStr">
        <is>
          <t>1261190420000</t>
        </is>
      </c>
      <c r="C313" t="inlineStr">
        <is>
          <t>BATERIA RECARG P/IMPRESOR RHINO4200/5200</t>
        </is>
      </c>
      <c r="D313" t="inlineStr">
        <is>
          <t>1101829056</t>
        </is>
      </c>
      <c r="E313" t="inlineStr">
        <is>
          <t>1</t>
        </is>
      </c>
      <c r="F313" s="163" t="n">
        <v>45681</v>
      </c>
      <c r="G313" t="inlineStr"/>
      <c r="H313" t="inlineStr">
        <is>
          <t>4200595281</t>
        </is>
      </c>
      <c r="I313" t="inlineStr">
        <is>
          <t>10</t>
        </is>
      </c>
      <c r="J313" s="163" t="n">
        <v>45686</v>
      </c>
      <c r="K313" s="163" t="n">
        <v>45686</v>
      </c>
      <c r="L313" t="inlineStr"/>
      <c r="M313" s="163" t="n">
        <v>45700</v>
      </c>
      <c r="N313" s="164" t="n">
        <v>40</v>
      </c>
      <c r="O313" s="164" t="n">
        <v>8</v>
      </c>
      <c r="P313" t="inlineStr">
        <is>
          <t>Liberado</t>
        </is>
      </c>
      <c r="Q313" s="165" t="n">
        <v>1</v>
      </c>
      <c r="R313" s="165" t="n">
        <v>1</v>
      </c>
      <c r="S313" s="165" t="n">
        <v>1</v>
      </c>
      <c r="T313" s="165" t="n">
        <v>0</v>
      </c>
      <c r="U313" s="166" t="n">
        <v>1</v>
      </c>
      <c r="V313" s="166" t="n">
        <v>0</v>
      </c>
      <c r="W313" t="inlineStr">
        <is>
          <t>X</t>
        </is>
      </c>
      <c r="X313" t="inlineStr">
        <is>
          <t>0.00</t>
        </is>
      </c>
      <c r="Y313" t="inlineStr"/>
      <c r="Z313" t="inlineStr">
        <is>
          <t>ELECTRONIC EQUIPMENT TRADING SAU (E</t>
        </is>
      </c>
      <c r="AA313" t="inlineStr">
        <is>
          <t>DYMO</t>
        </is>
      </c>
      <c r="AB313" t="inlineStr">
        <is>
          <t>1759398</t>
        </is>
      </c>
      <c r="AC313" t="inlineStr"/>
      <c r="AD313" s="164" t="n">
        <v>0</v>
      </c>
      <c r="AE313" s="185" t="n">
        <v>0</v>
      </c>
      <c r="AG313" s="167" t="inlineStr">
        <is>
          <t>7218|S24B05_P10322</t>
        </is>
      </c>
      <c r="AH313" s="46">
        <f>IF(M313=0,"-",M313-J313)</f>
        <v/>
      </c>
      <c r="AI313" s="46">
        <f>IF(AND(S313=0,M313&gt;0,L313=0),IF(AH313&gt;=120,"VERY HIGH",IF(AH313&gt;=90,"HIGH",IF(AH313&gt;=60,"MEDIUM",IF(AH313&lt;60,"LOW")))),"-")</f>
        <v/>
      </c>
      <c r="AJ313" s="12" t="n"/>
      <c r="AK313" s="41">
        <f>IF(AND(W313="X",M313&lt;=$AJ$2),"YES","")</f>
        <v/>
      </c>
      <c r="AL313" s="38">
        <f>IF(AND(W313="X",M313&lt;=$AJ$2),S313,"")</f>
        <v/>
      </c>
      <c r="AM313" s="26">
        <f>IF(AND(W313="X",M313&gt;$AJ$2),"YES","")</f>
        <v/>
      </c>
      <c r="AN313" s="89">
        <f>IF(AND(W313="X",M313&gt;$AJ$2),S313,"")</f>
        <v/>
      </c>
      <c r="AO313" s="35">
        <f>IF(AND(W313="",M313&gt;0,$AJ$2&gt;M313,L313=""),1,0)</f>
        <v/>
      </c>
      <c r="AP313" s="26">
        <f>IF(AND(AK313="YES",W313="X"),"X","")</f>
        <v/>
      </c>
      <c r="AQ313" s="28">
        <f>IF(AP313="X",100%,0%)</f>
        <v/>
      </c>
      <c r="AR313" s="25">
        <f>IF(AND(T313&gt;0,L313=""),H313,"")</f>
        <v/>
      </c>
      <c r="AS313" s="25">
        <f>IF(AND(D313&gt;0,H313=0,G313=""),1,"")</f>
        <v/>
      </c>
      <c r="AT313" s="25">
        <f>IF(G313="BLOQ",1,"")</f>
        <v/>
      </c>
      <c r="AU313" s="25">
        <f>IF(L313="BLOQ",1,"")</f>
        <v/>
      </c>
      <c r="AV313" s="25">
        <f>MONTH(F313)</f>
        <v/>
      </c>
      <c r="AW313" s="65">
        <f>IF(AP313="",100%,0%)</f>
        <v/>
      </c>
      <c r="AX313" s="23" t="n"/>
      <c r="AY313" s="24">
        <f>IF(M313=0,"",M313-$AX$2)</f>
        <v/>
      </c>
      <c r="AZ313" s="66">
        <f>IF(AND(W313="",AY313&gt;0,AY313&lt;15),1,0)</f>
        <v/>
      </c>
      <c r="BA313" s="24">
        <f>IF(AND(W313="",AY313&gt;0,AY313&lt;15),T313,"")</f>
        <v/>
      </c>
      <c r="BB313" s="87">
        <f>IF(R313&lt;Q313,"X","")</f>
        <v/>
      </c>
      <c r="BC313" s="190" t="inlineStr">
        <is>
          <t>NO</t>
        </is>
      </c>
      <c r="BD313" s="190" t="inlineStr">
        <is>
          <t>NO</t>
        </is>
      </c>
    </row>
    <row r="314" ht="15" customHeight="1" s="162">
      <c r="A314" s="7" t="n">
        <v>313</v>
      </c>
      <c r="B314" t="inlineStr"/>
      <c r="C314" t="inlineStr">
        <is>
          <t>REFORMA ESCALERA BAHIA 3</t>
        </is>
      </c>
      <c r="D314" t="inlineStr">
        <is>
          <t>1101829104</t>
        </is>
      </c>
      <c r="E314" t="inlineStr">
        <is>
          <t>1</t>
        </is>
      </c>
      <c r="F314" s="163" t="n">
        <v>45681</v>
      </c>
      <c r="G314" t="inlineStr"/>
      <c r="H314" t="inlineStr">
        <is>
          <t>4300339373</t>
        </is>
      </c>
      <c r="I314" t="inlineStr">
        <is>
          <t>10</t>
        </is>
      </c>
      <c r="J314" s="163" t="n">
        <v>45684</v>
      </c>
      <c r="K314" s="163" t="n">
        <v>45685</v>
      </c>
      <c r="L314" t="inlineStr"/>
      <c r="M314" s="163" t="n">
        <v>45733</v>
      </c>
      <c r="N314" s="164" t="n">
        <v>0</v>
      </c>
      <c r="O314" s="164" t="n">
        <v>0</v>
      </c>
      <c r="P314" t="inlineStr">
        <is>
          <t>Liberado</t>
        </is>
      </c>
      <c r="Q314" s="166" t="n">
        <v>1</v>
      </c>
      <c r="R314" s="164" t="n">
        <v>1</v>
      </c>
      <c r="S314" s="164" t="n">
        <v>0</v>
      </c>
      <c r="T314" s="164" t="n">
        <v>0</v>
      </c>
      <c r="U314" s="166" t="n">
        <v>0</v>
      </c>
      <c r="V314" s="166" t="n">
        <v>0</v>
      </c>
      <c r="W314" t="inlineStr">
        <is>
          <t>X</t>
        </is>
      </c>
      <c r="X314" t="inlineStr">
        <is>
          <t>0.00</t>
        </is>
      </c>
      <c r="Y314" t="inlineStr"/>
      <c r="Z314" t="inlineStr">
        <is>
          <t>ESTRUCTURAS COSAN,S.L.</t>
        </is>
      </c>
      <c r="AA314" t="inlineStr"/>
      <c r="AB314" t="inlineStr"/>
      <c r="AC314" t="inlineStr"/>
      <c r="AD314" s="164" t="n">
        <v>0</v>
      </c>
      <c r="AE314" s="185" t="n">
        <v>0</v>
      </c>
      <c r="AG314" s="167" t="inlineStr">
        <is>
          <t>7218|S24B05_S1075</t>
        </is>
      </c>
      <c r="AH314" s="46">
        <f>IF(M314=0,"-",M314-J314)</f>
        <v/>
      </c>
      <c r="AI314" s="46">
        <f>IF(AND(S314=0,M314&gt;0,L314=0),IF(AH314&gt;=120,"VERY HIGH",IF(AH314&gt;=90,"HIGH",IF(AH314&gt;=60,"MEDIUM",IF(AH314&lt;60,"LOW")))),"-")</f>
        <v/>
      </c>
      <c r="AJ314" s="12" t="n"/>
      <c r="AK314" s="41">
        <f>IF(AND(W314="X",M314&lt;=$AJ$2),"YES","")</f>
        <v/>
      </c>
      <c r="AL314" s="38">
        <f>IF(AND(W314="X",M314&lt;=$AJ$2),S314,"")</f>
        <v/>
      </c>
      <c r="AM314" s="26">
        <f>IF(AND(W314="X",M314&gt;$AJ$2),"YES","")</f>
        <v/>
      </c>
      <c r="AN314" s="89">
        <f>IF(AND(W314="X",M314&gt;$AJ$2),S314,"")</f>
        <v/>
      </c>
      <c r="AO314" s="35">
        <f>IF(AND(W314="",M314&gt;0,$AJ$2&gt;M314,L314=""),1,0)</f>
        <v/>
      </c>
      <c r="AP314" s="26">
        <f>IF(AND(AK314="YES",W314="X"),"X","")</f>
        <v/>
      </c>
      <c r="AQ314" s="28">
        <f>IF(AP314="X",100%,0%)</f>
        <v/>
      </c>
      <c r="AR314" s="25">
        <f>IF(AND(T314&gt;0,L314=""),H314,"")</f>
        <v/>
      </c>
      <c r="AS314" s="25">
        <f>IF(AND(D314&gt;0,H314=0,G314=""),1,"")</f>
        <v/>
      </c>
      <c r="AT314" s="25">
        <f>IF(G314="BLOQ",1,"")</f>
        <v/>
      </c>
      <c r="AU314" s="25">
        <f>IF(L314="BLOQ",1,"")</f>
        <v/>
      </c>
      <c r="AV314" s="25">
        <f>MONTH(F314)</f>
        <v/>
      </c>
      <c r="AW314" s="65">
        <f>IF(AP314="",100%,0%)</f>
        <v/>
      </c>
      <c r="AX314" s="23" t="n"/>
      <c r="AY314" s="24">
        <f>IF(M314=0,"",M314-$AX$2)</f>
        <v/>
      </c>
      <c r="AZ314" s="66">
        <f>IF(AND(W314="",AY314&gt;0,AY314&lt;15),1,0)</f>
        <v/>
      </c>
      <c r="BA314" s="24">
        <f>IF(AND(W314="",AY314&gt;0,AY314&lt;15),T314,"")</f>
        <v/>
      </c>
      <c r="BB314" s="87">
        <f>IF(R314&lt;Q314,"X","")</f>
        <v/>
      </c>
      <c r="BC314" s="190" t="inlineStr">
        <is>
          <t>NO</t>
        </is>
      </c>
      <c r="BD314" s="190" t="inlineStr">
        <is>
          <t>NO</t>
        </is>
      </c>
    </row>
    <row r="315" ht="15" customHeight="1" s="162">
      <c r="A315" s="7" t="n">
        <v>314</v>
      </c>
      <c r="B315" t="inlineStr">
        <is>
          <t>1359900000500</t>
        </is>
      </c>
      <c r="C315" t="inlineStr">
        <is>
          <t>COMPRA DIRECTA ELECTRICOS/ELECTRONICOS</t>
        </is>
      </c>
      <c r="D315" t="inlineStr">
        <is>
          <t>1101829654</t>
        </is>
      </c>
      <c r="E315" t="inlineStr">
        <is>
          <t>1</t>
        </is>
      </c>
      <c r="F315" s="163" t="n">
        <v>45684</v>
      </c>
      <c r="G315" t="inlineStr"/>
      <c r="H315" t="inlineStr">
        <is>
          <t>4200595602</t>
        </is>
      </c>
      <c r="I315" t="inlineStr">
        <is>
          <t>80</t>
        </is>
      </c>
      <c r="J315" s="163" t="n">
        <v>45687</v>
      </c>
      <c r="K315" s="163" t="n">
        <v>45687</v>
      </c>
      <c r="L315" t="inlineStr"/>
      <c r="M315" s="163" t="n">
        <v>45702</v>
      </c>
      <c r="N315" s="164" t="n">
        <v>30</v>
      </c>
      <c r="O315" s="164" t="n">
        <v>8</v>
      </c>
      <c r="P315" t="inlineStr">
        <is>
          <t>Liberado</t>
        </is>
      </c>
      <c r="Q315" s="165" t="n">
        <v>1</v>
      </c>
      <c r="R315" s="165" t="n">
        <v>1</v>
      </c>
      <c r="S315" s="165" t="n">
        <v>1</v>
      </c>
      <c r="T315" s="165" t="n">
        <v>0</v>
      </c>
      <c r="U315" s="166" t="n">
        <v>0</v>
      </c>
      <c r="V315" s="166" t="n">
        <v>0</v>
      </c>
      <c r="W315" t="inlineStr">
        <is>
          <t>X</t>
        </is>
      </c>
      <c r="X315" t="inlineStr">
        <is>
          <t>0.00</t>
        </is>
      </c>
      <c r="Y315" t="inlineStr"/>
      <c r="Z315" t="inlineStr">
        <is>
          <t>SARVER S.L.</t>
        </is>
      </c>
      <c r="AA315" t="inlineStr">
        <is>
          <t>OTROS FABRICANTES</t>
        </is>
      </c>
      <c r="AB315" t="inlineStr">
        <is>
          <t>1359900000500</t>
        </is>
      </c>
      <c r="AC315" t="inlineStr"/>
      <c r="AD315" s="164" t="n">
        <v>0</v>
      </c>
      <c r="AE315" s="185" t="n">
        <v>0</v>
      </c>
      <c r="AG315" s="167" t="inlineStr">
        <is>
          <t>7218|JA2593_1001</t>
        </is>
      </c>
      <c r="AH315" s="46">
        <f>IF(M315=0,"-",M315-J315)</f>
        <v/>
      </c>
      <c r="AI315" s="46">
        <f>IF(AND(S315=0,M315&gt;0,L315=0),IF(AH315&gt;=120,"VERY HIGH",IF(AH315&gt;=90,"HIGH",IF(AH315&gt;=60,"MEDIUM",IF(AH315&lt;60,"LOW")))),"-")</f>
        <v/>
      </c>
      <c r="AJ315" s="12" t="n"/>
      <c r="AK315" s="41">
        <f>IF(AND(W315="X",M315&lt;=$AJ$2),"YES","")</f>
        <v/>
      </c>
      <c r="AL315" s="38">
        <f>IF(AND(W315="X",M315&lt;=$AJ$2),S315,"")</f>
        <v/>
      </c>
      <c r="AM315" s="26">
        <f>IF(AND(W315="X",M315&gt;$AJ$2),"YES","")</f>
        <v/>
      </c>
      <c r="AN315" s="89">
        <f>IF(AND(W315="X",M315&gt;$AJ$2),S315,"")</f>
        <v/>
      </c>
      <c r="AO315" s="35">
        <f>IF(AND(W315="",M315&gt;0,$AJ$2&gt;M315,L315=""),1,0)</f>
        <v/>
      </c>
      <c r="AP315" s="26">
        <f>IF(AND(AK315="YES",W315="X"),"X","")</f>
        <v/>
      </c>
      <c r="AQ315" s="28">
        <f>IF(AP315="X",100%,0%)</f>
        <v/>
      </c>
      <c r="AR315" s="25">
        <f>IF(AND(T315&gt;0,L315=""),H315,"")</f>
        <v/>
      </c>
      <c r="AS315" s="25">
        <f>IF(AND(D315&gt;0,H315=0,G315=""),1,"")</f>
        <v/>
      </c>
      <c r="AT315" s="25">
        <f>IF(G315="BLOQ",1,"")</f>
        <v/>
      </c>
      <c r="AU315" s="25">
        <f>IF(L315="BLOQ",1,"")</f>
        <v/>
      </c>
      <c r="AV315" s="25">
        <f>MONTH(F315)</f>
        <v/>
      </c>
      <c r="AW315" s="65">
        <f>IF(AP315="",100%,0%)</f>
        <v/>
      </c>
      <c r="AX315" s="23" t="n"/>
      <c r="AY315" s="24">
        <f>IF(M315=0,"",M315-$AX$2)</f>
        <v/>
      </c>
      <c r="AZ315" s="66">
        <f>IF(AND(W315="",AY315&gt;0,AY315&lt;15),1,0)</f>
        <v/>
      </c>
      <c r="BA315" s="24">
        <f>IF(AND(W315="",AY315&gt;0,AY315&lt;15),T315,"")</f>
        <v/>
      </c>
      <c r="BB315" s="87">
        <f>IF(R315&lt;Q315,"X","")</f>
        <v/>
      </c>
      <c r="BC315" s="190" t="inlineStr">
        <is>
          <t>NO</t>
        </is>
      </c>
      <c r="BD315" s="190" t="inlineStr">
        <is>
          <t>NO</t>
        </is>
      </c>
    </row>
    <row r="316" ht="15" customHeight="1" s="162">
      <c r="A316" s="7" t="n">
        <v>315</v>
      </c>
      <c r="B316" t="inlineStr">
        <is>
          <t>1359900000500</t>
        </is>
      </c>
      <c r="C316" t="inlineStr">
        <is>
          <t>COMPRA DIRECTA ELECTRICOS/ELECTRONICOS</t>
        </is>
      </c>
      <c r="D316" t="inlineStr">
        <is>
          <t>1101829654</t>
        </is>
      </c>
      <c r="E316" t="inlineStr">
        <is>
          <t>2</t>
        </is>
      </c>
      <c r="F316" s="163" t="n">
        <v>45684</v>
      </c>
      <c r="G316" t="inlineStr"/>
      <c r="H316" t="inlineStr">
        <is>
          <t>4200595602</t>
        </is>
      </c>
      <c r="I316" t="inlineStr">
        <is>
          <t>90</t>
        </is>
      </c>
      <c r="J316" s="163" t="n">
        <v>45687</v>
      </c>
      <c r="K316" s="163" t="n">
        <v>45687</v>
      </c>
      <c r="L316" t="inlineStr"/>
      <c r="M316" s="163" t="n">
        <v>45702</v>
      </c>
      <c r="N316" s="164" t="n">
        <v>30</v>
      </c>
      <c r="O316" s="164" t="n">
        <v>8</v>
      </c>
      <c r="P316" t="inlineStr">
        <is>
          <t>Liberado</t>
        </is>
      </c>
      <c r="Q316" s="165" t="n">
        <v>1</v>
      </c>
      <c r="R316" s="165" t="n">
        <v>1</v>
      </c>
      <c r="S316" s="165" t="n">
        <v>1</v>
      </c>
      <c r="T316" s="165" t="n">
        <v>0</v>
      </c>
      <c r="U316" s="166" t="n">
        <v>0</v>
      </c>
      <c r="V316" s="166" t="n">
        <v>0</v>
      </c>
      <c r="W316" t="inlineStr">
        <is>
          <t>X</t>
        </is>
      </c>
      <c r="X316" t="inlineStr">
        <is>
          <t>0.00</t>
        </is>
      </c>
      <c r="Y316" t="inlineStr"/>
      <c r="Z316" t="inlineStr">
        <is>
          <t>SARVER S.L.</t>
        </is>
      </c>
      <c r="AA316" t="inlineStr">
        <is>
          <t>OTROS FABRICANTES</t>
        </is>
      </c>
      <c r="AB316" t="inlineStr">
        <is>
          <t>1359900000500</t>
        </is>
      </c>
      <c r="AC316" t="inlineStr"/>
      <c r="AD316" s="164" t="n">
        <v>0</v>
      </c>
      <c r="AE316" s="185" t="n">
        <v>0</v>
      </c>
      <c r="AG316" s="167" t="inlineStr">
        <is>
          <t>7218|JA2593_1001</t>
        </is>
      </c>
      <c r="AH316" s="46">
        <f>IF(M316=0,"-",M316-J316)</f>
        <v/>
      </c>
      <c r="AI316" s="46">
        <f>IF(AND(S316=0,M316&gt;0,L316=0),IF(AH316&gt;=120,"VERY HIGH",IF(AH316&gt;=90,"HIGH",IF(AH316&gt;=60,"MEDIUM",IF(AH316&lt;60,"LOW")))),"-")</f>
        <v/>
      </c>
      <c r="AJ316" s="12" t="n"/>
      <c r="AK316" s="41">
        <f>IF(AND(W316="X",M316&lt;=$AJ$2),"YES","")</f>
        <v/>
      </c>
      <c r="AL316" s="38">
        <f>IF(AND(W316="X",M316&lt;=$AJ$2),S316,"")</f>
        <v/>
      </c>
      <c r="AM316" s="26">
        <f>IF(AND(W316="X",M316&gt;$AJ$2),"YES","")</f>
        <v/>
      </c>
      <c r="AN316" s="89">
        <f>IF(AND(W316="X",M316&gt;$AJ$2),S316,"")</f>
        <v/>
      </c>
      <c r="AO316" s="35">
        <f>IF(AND(W316="",M316&gt;0,$AJ$2&gt;M316,L316=""),1,0)</f>
        <v/>
      </c>
      <c r="AP316" s="26">
        <f>IF(AND(AK316="YES",W316="X"),"X","")</f>
        <v/>
      </c>
      <c r="AQ316" s="28">
        <f>IF(AP316="X",100%,0%)</f>
        <v/>
      </c>
      <c r="AR316" s="25">
        <f>IF(AND(T316&gt;0,L316=""),H316,"")</f>
        <v/>
      </c>
      <c r="AS316" s="25">
        <f>IF(AND(D316&gt;0,H316=0,G316=""),1,"")</f>
        <v/>
      </c>
      <c r="AT316" s="25">
        <f>IF(G316="BLOQ",1,"")</f>
        <v/>
      </c>
      <c r="AU316" s="25">
        <f>IF(L316="BLOQ",1,"")</f>
        <v/>
      </c>
      <c r="AV316" s="25">
        <f>MONTH(F316)</f>
        <v/>
      </c>
      <c r="AW316" s="65">
        <f>IF(AP316="",100%,0%)</f>
        <v/>
      </c>
      <c r="AX316" s="23" t="n"/>
      <c r="AY316" s="24">
        <f>IF(M316=0,"",M316-$AX$2)</f>
        <v/>
      </c>
      <c r="AZ316" s="66">
        <f>IF(AND(W316="",AY316&gt;0,AY316&lt;15),1,0)</f>
        <v/>
      </c>
      <c r="BA316" s="24">
        <f>IF(AND(W316="",AY316&gt;0,AY316&lt;15),T316,"")</f>
        <v/>
      </c>
      <c r="BB316" s="87">
        <f>IF(R316&lt;Q316,"X","")</f>
        <v/>
      </c>
      <c r="BC316" s="190" t="inlineStr">
        <is>
          <t>NO</t>
        </is>
      </c>
      <c r="BD316" s="190" t="inlineStr">
        <is>
          <t>NO</t>
        </is>
      </c>
    </row>
    <row r="317" ht="15" customHeight="1" s="162">
      <c r="A317" s="7" t="n">
        <v>316</v>
      </c>
      <c r="B317" t="inlineStr">
        <is>
          <t>39121404</t>
        </is>
      </c>
      <c r="C317" t="inlineStr">
        <is>
          <t>Puntera hueca de crimpado TE Connectivit</t>
        </is>
      </c>
      <c r="D317" t="inlineStr">
        <is>
          <t>1101829712</t>
        </is>
      </c>
      <c r="E317" t="inlineStr">
        <is>
          <t>1</t>
        </is>
      </c>
      <c r="F317" s="163" t="n">
        <v>45684</v>
      </c>
      <c r="G317" t="inlineStr"/>
      <c r="H317" t="inlineStr">
        <is>
          <t>4800002844</t>
        </is>
      </c>
      <c r="I317" t="inlineStr">
        <is>
          <t>300</t>
        </is>
      </c>
      <c r="J317" s="163" t="n">
        <v>45684</v>
      </c>
      <c r="K317" s="163" t="inlineStr"/>
      <c r="L317" t="inlineStr"/>
      <c r="M317" s="163" t="n">
        <v>45685</v>
      </c>
      <c r="N317" s="164" t="n">
        <v>0</v>
      </c>
      <c r="O317" s="164" t="n">
        <v>0</v>
      </c>
      <c r="P317" t="inlineStr"/>
      <c r="Q317" s="165" t="n">
        <v>50</v>
      </c>
      <c r="R317" s="165" t="n">
        <v>50</v>
      </c>
      <c r="S317" s="165" t="n">
        <v>50</v>
      </c>
      <c r="T317" s="165" t="n">
        <v>0</v>
      </c>
      <c r="U317" s="166" t="n">
        <v>0</v>
      </c>
      <c r="V317" s="166" t="n">
        <v>0</v>
      </c>
      <c r="W317" t="inlineStr">
        <is>
          <t>X</t>
        </is>
      </c>
      <c r="X317" t="inlineStr">
        <is>
          <t>0.00</t>
        </is>
      </c>
      <c r="Y317" t="inlineStr"/>
      <c r="Z317" t="inlineStr">
        <is>
          <t>AMIDATA, S.A.</t>
        </is>
      </c>
      <c r="AA317" t="inlineStr"/>
      <c r="AB317" t="inlineStr">
        <is>
          <t>7187359</t>
        </is>
      </c>
      <c r="AC317" t="inlineStr"/>
      <c r="AD317" s="164" t="n">
        <v>0</v>
      </c>
      <c r="AE317" s="185" t="n">
        <v>0</v>
      </c>
      <c r="AG317" s="167" t="inlineStr">
        <is>
          <t>7218|JA2585_1001</t>
        </is>
      </c>
      <c r="AH317" s="46">
        <f>IF(M317=0,"-",M317-J317)</f>
        <v/>
      </c>
      <c r="AI317" s="46">
        <f>IF(AND(S317=0,M317&gt;0,L317=0),IF(AH317&gt;=120,"VERY HIGH",IF(AH317&gt;=90,"HIGH",IF(AH317&gt;=60,"MEDIUM",IF(AH317&lt;60,"LOW")))),"-")</f>
        <v/>
      </c>
      <c r="AJ317" s="12" t="n"/>
      <c r="AK317" s="41">
        <f>IF(AND(W317="X",M317&lt;=$AJ$2),"YES","")</f>
        <v/>
      </c>
      <c r="AL317" s="38">
        <f>IF(AND(W317="X",M317&lt;=$AJ$2),S317,"")</f>
        <v/>
      </c>
      <c r="AM317" s="26">
        <f>IF(AND(W317="X",M317&gt;$AJ$2),"YES","")</f>
        <v/>
      </c>
      <c r="AN317" s="89">
        <f>IF(AND(W317="X",M317&gt;$AJ$2),S317,"")</f>
        <v/>
      </c>
      <c r="AO317" s="35">
        <f>IF(AND(W317="",M317&gt;0,$AJ$2&gt;M317,L317=""),1,0)</f>
        <v/>
      </c>
      <c r="AP317" s="26">
        <f>IF(AND(AK317="YES",W317="X"),"X","")</f>
        <v/>
      </c>
      <c r="AQ317" s="28">
        <f>IF(AP317="X",100%,0%)</f>
        <v/>
      </c>
      <c r="AR317" s="25">
        <f>IF(AND(T317&gt;0,L317=""),H317,"")</f>
        <v/>
      </c>
      <c r="AS317" s="25">
        <f>IF(AND(D317&gt;0,H317=0,G317=""),1,"")</f>
        <v/>
      </c>
      <c r="AT317" s="25">
        <f>IF(G317="BLOQ",1,"")</f>
        <v/>
      </c>
      <c r="AU317" s="25">
        <f>IF(L317="BLOQ",1,"")</f>
        <v/>
      </c>
      <c r="AV317" s="25">
        <f>MONTH(F317)</f>
        <v/>
      </c>
      <c r="AW317" s="65">
        <f>IF(AP317="",100%,0%)</f>
        <v/>
      </c>
      <c r="AX317" s="23" t="n"/>
      <c r="AY317" s="24">
        <f>IF(M317=0,"",M317-$AX$2)</f>
        <v/>
      </c>
      <c r="AZ317" s="66">
        <f>IF(AND(W317="",AY317&gt;0,AY317&lt;15),1,0)</f>
        <v/>
      </c>
      <c r="BA317" s="24">
        <f>IF(AND(W317="",AY317&gt;0,AY317&lt;15),T317,"")</f>
        <v/>
      </c>
      <c r="BB317" s="87">
        <f>IF(R317&lt;Q317,"X","")</f>
        <v/>
      </c>
      <c r="BC317" s="190" t="inlineStr">
        <is>
          <t>NO</t>
        </is>
      </c>
      <c r="BD317" s="190" t="inlineStr">
        <is>
          <t>NO</t>
        </is>
      </c>
    </row>
    <row r="318" ht="15" customHeight="1" s="162">
      <c r="A318" s="7" t="n">
        <v>317</v>
      </c>
      <c r="B318" t="inlineStr">
        <is>
          <t>39121432</t>
        </is>
      </c>
      <c r="C318" t="inlineStr">
        <is>
          <t>Terminal redondo no aislado de N&amp;#237;qu</t>
        </is>
      </c>
      <c r="D318" t="inlineStr">
        <is>
          <t>1101829712</t>
        </is>
      </c>
      <c r="E318" t="inlineStr">
        <is>
          <t>2</t>
        </is>
      </c>
      <c r="F318" s="163" t="n">
        <v>45684</v>
      </c>
      <c r="G318" t="inlineStr"/>
      <c r="H318" t="inlineStr">
        <is>
          <t>4800002844</t>
        </is>
      </c>
      <c r="I318" t="inlineStr">
        <is>
          <t>310</t>
        </is>
      </c>
      <c r="J318" s="163" t="n">
        <v>45684</v>
      </c>
      <c r="K318" s="163" t="inlineStr"/>
      <c r="L318" t="inlineStr"/>
      <c r="M318" s="163" t="n">
        <v>45685</v>
      </c>
      <c r="N318" s="164" t="n">
        <v>0</v>
      </c>
      <c r="O318" s="164" t="n">
        <v>0</v>
      </c>
      <c r="P318" t="inlineStr"/>
      <c r="Q318" s="165" t="n">
        <v>20</v>
      </c>
      <c r="R318" s="165" t="n">
        <v>20</v>
      </c>
      <c r="S318" s="165" t="n">
        <v>20</v>
      </c>
      <c r="T318" s="165" t="n">
        <v>0</v>
      </c>
      <c r="U318" s="166" t="n">
        <v>0</v>
      </c>
      <c r="V318" s="166" t="n">
        <v>0</v>
      </c>
      <c r="W318" t="inlineStr">
        <is>
          <t>X</t>
        </is>
      </c>
      <c r="X318" t="inlineStr">
        <is>
          <t>0.00</t>
        </is>
      </c>
      <c r="Y318" t="inlineStr"/>
      <c r="Z318" t="inlineStr">
        <is>
          <t>AMIDATA, S.A.</t>
        </is>
      </c>
      <c r="AA318" t="inlineStr"/>
      <c r="AB318" t="inlineStr">
        <is>
          <t>1611285</t>
        </is>
      </c>
      <c r="AC318" t="inlineStr"/>
      <c r="AD318" s="164" t="n">
        <v>0</v>
      </c>
      <c r="AE318" s="185" t="n">
        <v>0</v>
      </c>
      <c r="AG318" s="167" t="inlineStr">
        <is>
          <t>7218|JA2585_1001</t>
        </is>
      </c>
      <c r="AH318" s="46">
        <f>IF(M318=0,"-",M318-J318)</f>
        <v/>
      </c>
      <c r="AI318" s="46">
        <f>IF(AND(S318=0,M318&gt;0,L318=0),IF(AH318&gt;=120,"VERY HIGH",IF(AH318&gt;=90,"HIGH",IF(AH318&gt;=60,"MEDIUM",IF(AH318&lt;60,"LOW")))),"-")</f>
        <v/>
      </c>
      <c r="AJ318" s="12" t="n"/>
      <c r="AK318" s="41">
        <f>IF(AND(W318="X",M318&lt;=$AJ$2),"YES","")</f>
        <v/>
      </c>
      <c r="AL318" s="38">
        <f>IF(AND(W318="X",M318&lt;=$AJ$2),S318,"")</f>
        <v/>
      </c>
      <c r="AM318" s="26">
        <f>IF(AND(W318="X",M318&gt;$AJ$2),"YES","")</f>
        <v/>
      </c>
      <c r="AN318" s="89">
        <f>IF(AND(W318="X",M318&gt;$AJ$2),S318,"")</f>
        <v/>
      </c>
      <c r="AO318" s="35">
        <f>IF(AND(W318="",M318&gt;0,$AJ$2&gt;M318,L318=""),1,0)</f>
        <v/>
      </c>
      <c r="AP318" s="26">
        <f>IF(AND(AK318="YES",W318="X"),"X","")</f>
        <v/>
      </c>
      <c r="AQ318" s="28">
        <f>IF(AP318="X",100%,0%)</f>
        <v/>
      </c>
      <c r="AR318" s="25">
        <f>IF(AND(T318&gt;0,L318=""),H318,"")</f>
        <v/>
      </c>
      <c r="AS318" s="25">
        <f>IF(AND(D318&gt;0,H318=0,G318=""),1,"")</f>
        <v/>
      </c>
      <c r="AT318" s="25">
        <f>IF(G318="BLOQ",1,"")</f>
        <v/>
      </c>
      <c r="AU318" s="25">
        <f>IF(L318="BLOQ",1,"")</f>
        <v/>
      </c>
      <c r="AV318" s="25">
        <f>MONTH(F318)</f>
        <v/>
      </c>
      <c r="AW318" s="65">
        <f>IF(AP318="",100%,0%)</f>
        <v/>
      </c>
      <c r="AX318" s="23" t="n"/>
      <c r="AY318" s="24">
        <f>IF(M318=0,"",M318-$AX$2)</f>
        <v/>
      </c>
      <c r="AZ318" s="66">
        <f>IF(AND(W318="",AY318&gt;0,AY318&lt;15),1,0)</f>
        <v/>
      </c>
      <c r="BA318" s="24">
        <f>IF(AND(W318="",AY318&gt;0,AY318&lt;15),T318,"")</f>
        <v/>
      </c>
      <c r="BB318" s="87">
        <f>IF(R318&lt;Q318,"X","")</f>
        <v/>
      </c>
      <c r="BC318" s="190" t="inlineStr">
        <is>
          <t>NO</t>
        </is>
      </c>
      <c r="BD318" s="190" t="inlineStr">
        <is>
          <t>NO</t>
        </is>
      </c>
    </row>
    <row r="319" ht="15" customHeight="1" s="162">
      <c r="A319" s="7" t="n">
        <v>318</v>
      </c>
      <c r="B319" t="inlineStr">
        <is>
          <t>32000000</t>
        </is>
      </c>
      <c r="C319" t="inlineStr">
        <is>
          <t>Conector circular MIL-C-38999 serie III</t>
        </is>
      </c>
      <c r="D319" t="inlineStr">
        <is>
          <t>1101829869</t>
        </is>
      </c>
      <c r="E319" t="inlineStr">
        <is>
          <t>1</t>
        </is>
      </c>
      <c r="F319" s="163" t="n">
        <v>45684</v>
      </c>
      <c r="G319" t="inlineStr"/>
      <c r="H319" t="inlineStr">
        <is>
          <t>4800002845</t>
        </is>
      </c>
      <c r="I319" t="inlineStr">
        <is>
          <t>400</t>
        </is>
      </c>
      <c r="J319" s="163" t="n">
        <v>45684</v>
      </c>
      <c r="K319" s="163" t="inlineStr"/>
      <c r="L319" t="inlineStr"/>
      <c r="M319" s="163" t="n">
        <v>45685</v>
      </c>
      <c r="N319" s="164" t="n">
        <v>0</v>
      </c>
      <c r="O319" s="164" t="n">
        <v>0</v>
      </c>
      <c r="P319" t="inlineStr"/>
      <c r="Q319" s="165" t="n">
        <v>1</v>
      </c>
      <c r="R319" s="165" t="n">
        <v>1</v>
      </c>
      <c r="S319" s="165" t="n">
        <v>1</v>
      </c>
      <c r="T319" s="165" t="n">
        <v>0</v>
      </c>
      <c r="U319" s="166" t="n">
        <v>0</v>
      </c>
      <c r="V319" s="166" t="n">
        <v>0</v>
      </c>
      <c r="W319" t="inlineStr">
        <is>
          <t>X</t>
        </is>
      </c>
      <c r="X319" t="inlineStr">
        <is>
          <t>0.00</t>
        </is>
      </c>
      <c r="Y319" t="inlineStr"/>
      <c r="Z319" t="inlineStr">
        <is>
          <t>AMIDATA, S.A.</t>
        </is>
      </c>
      <c r="AA319" t="inlineStr"/>
      <c r="AB319" t="inlineStr">
        <is>
          <t>2804851</t>
        </is>
      </c>
      <c r="AC319" t="inlineStr"/>
      <c r="AD319" s="164" t="n">
        <v>0</v>
      </c>
      <c r="AE319" s="185" t="n">
        <v>0</v>
      </c>
      <c r="AG319" s="167" t="inlineStr">
        <is>
          <t>7218|JA2585_1001</t>
        </is>
      </c>
      <c r="AH319" s="46">
        <f>IF(M319=0,"-",M319-J319)</f>
        <v/>
      </c>
      <c r="AI319" s="46">
        <f>IF(AND(S319=0,M319&gt;0,L319=0),IF(AH319&gt;=120,"VERY HIGH",IF(AH319&gt;=90,"HIGH",IF(AH319&gt;=60,"MEDIUM",IF(AH319&lt;60,"LOW")))),"-")</f>
        <v/>
      </c>
      <c r="AJ319" s="12" t="n"/>
      <c r="AK319" s="41">
        <f>IF(AND(W319="X",M319&lt;=$AJ$2),"YES","")</f>
        <v/>
      </c>
      <c r="AL319" s="38">
        <f>IF(AND(W319="X",M319&lt;=$AJ$2),S319,"")</f>
        <v/>
      </c>
      <c r="AM319" s="26">
        <f>IF(AND(W319="X",M319&gt;$AJ$2),"YES","")</f>
        <v/>
      </c>
      <c r="AN319" s="89">
        <f>IF(AND(W319="X",M319&gt;$AJ$2),S319,"")</f>
        <v/>
      </c>
      <c r="AO319" s="35">
        <f>IF(AND(W319="",M319&gt;0,$AJ$2&gt;M319,L319=""),1,0)</f>
        <v/>
      </c>
      <c r="AP319" s="26">
        <f>IF(AND(AK319="YES",W319="X"),"X","")</f>
        <v/>
      </c>
      <c r="AQ319" s="28">
        <f>IF(AP319="X",100%,0%)</f>
        <v/>
      </c>
      <c r="AR319" s="25">
        <f>IF(AND(T319&gt;0,L319=""),H319,"")</f>
        <v/>
      </c>
      <c r="AS319" s="25">
        <f>IF(AND(D319&gt;0,H319=0,G319=""),1,"")</f>
        <v/>
      </c>
      <c r="AT319" s="25">
        <f>IF(G319="BLOQ",1,"")</f>
        <v/>
      </c>
      <c r="AU319" s="25">
        <f>IF(L319="BLOQ",1,"")</f>
        <v/>
      </c>
      <c r="AV319" s="25">
        <f>MONTH(F319)</f>
        <v/>
      </c>
      <c r="AW319" s="65">
        <f>IF(AP319="",100%,0%)</f>
        <v/>
      </c>
      <c r="AX319" s="23" t="n"/>
      <c r="AY319" s="24">
        <f>IF(M319=0,"",M319-$AX$2)</f>
        <v/>
      </c>
      <c r="AZ319" s="66">
        <f>IF(AND(W319="",AY319&gt;0,AY319&lt;15),1,0)</f>
        <v/>
      </c>
      <c r="BA319" s="24">
        <f>IF(AND(W319="",AY319&gt;0,AY319&lt;15),T319,"")</f>
        <v/>
      </c>
      <c r="BB319" s="87">
        <f>IF(R319&lt;Q319,"X","")</f>
        <v/>
      </c>
      <c r="BC319" s="190" t="inlineStr">
        <is>
          <t>NO</t>
        </is>
      </c>
      <c r="BD319" s="190" t="inlineStr">
        <is>
          <t>NO</t>
        </is>
      </c>
    </row>
    <row r="320" ht="15" customHeight="1" s="162">
      <c r="A320" s="7" t="n">
        <v>319</v>
      </c>
      <c r="B320" t="inlineStr">
        <is>
          <t>1709800000500</t>
        </is>
      </c>
      <c r="C320" t="inlineStr">
        <is>
          <t>COMPRA DIRECTA FERRETERIA Y HERRAMIENTAS</t>
        </is>
      </c>
      <c r="D320" t="inlineStr">
        <is>
          <t>1101829887</t>
        </is>
      </c>
      <c r="E320" t="inlineStr">
        <is>
          <t>1</t>
        </is>
      </c>
      <c r="F320" s="163" t="n">
        <v>45684</v>
      </c>
      <c r="G320" t="inlineStr"/>
      <c r="H320" t="inlineStr">
        <is>
          <t>4200596100</t>
        </is>
      </c>
      <c r="I320" t="inlineStr">
        <is>
          <t>10</t>
        </is>
      </c>
      <c r="J320" s="163" t="n">
        <v>45691</v>
      </c>
      <c r="K320" s="163" t="n">
        <v>45691</v>
      </c>
      <c r="L320" t="inlineStr"/>
      <c r="M320" s="163" t="n">
        <v>45705</v>
      </c>
      <c r="N320" s="164" t="n">
        <v>30</v>
      </c>
      <c r="O320" s="164" t="n">
        <v>8</v>
      </c>
      <c r="P320" t="inlineStr">
        <is>
          <t>Liberado</t>
        </is>
      </c>
      <c r="Q320" s="165" t="n">
        <v>1</v>
      </c>
      <c r="R320" s="165" t="n">
        <v>1</v>
      </c>
      <c r="S320" s="165" t="n">
        <v>1</v>
      </c>
      <c r="T320" s="165" t="n">
        <v>0</v>
      </c>
      <c r="U320" s="166" t="n">
        <v>0</v>
      </c>
      <c r="V320" s="166" t="n">
        <v>0</v>
      </c>
      <c r="W320" t="inlineStr">
        <is>
          <t>X</t>
        </is>
      </c>
      <c r="X320" t="inlineStr">
        <is>
          <t>0.00</t>
        </is>
      </c>
      <c r="Y320" t="inlineStr"/>
      <c r="Z320" t="inlineStr">
        <is>
          <t>(AEMSA)ALMACENES ELECTRICOS MADRILE</t>
        </is>
      </c>
      <c r="AA320" t="inlineStr">
        <is>
          <t>OTROS FABRICANTES</t>
        </is>
      </c>
      <c r="AB320" t="inlineStr">
        <is>
          <t>1709800000500</t>
        </is>
      </c>
      <c r="AC320" t="inlineStr"/>
      <c r="AD320" s="164" t="n">
        <v>0</v>
      </c>
      <c r="AE320" s="185" t="n">
        <v>0</v>
      </c>
      <c r="AG320" s="167" t="inlineStr">
        <is>
          <t>7218|JA2593_1001</t>
        </is>
      </c>
      <c r="AH320" s="46">
        <f>IF(M320=0,"-",M320-J320)</f>
        <v/>
      </c>
      <c r="AI320" s="46">
        <f>IF(AND(S320=0,M320&gt;0,L320=0),IF(AH320&gt;=120,"VERY HIGH",IF(AH320&gt;=90,"HIGH",IF(AH320&gt;=60,"MEDIUM",IF(AH320&lt;60,"LOW")))),"-")</f>
        <v/>
      </c>
      <c r="AJ320" s="12" t="n"/>
      <c r="AK320" s="41">
        <f>IF(AND(W320="X",M320&lt;=$AJ$2),"YES","")</f>
        <v/>
      </c>
      <c r="AL320" s="38">
        <f>IF(AND(W320="X",M320&lt;=$AJ$2),S320,"")</f>
        <v/>
      </c>
      <c r="AM320" s="26">
        <f>IF(AND(W320="X",M320&gt;$AJ$2),"YES","")</f>
        <v/>
      </c>
      <c r="AN320" s="89">
        <f>IF(AND(W320="X",M320&gt;$AJ$2),S320,"")</f>
        <v/>
      </c>
      <c r="AO320" s="35">
        <f>IF(AND(W320="",M320&gt;0,$AJ$2&gt;M320,L320=""),1,0)</f>
        <v/>
      </c>
      <c r="AP320" s="26">
        <f>IF(AND(AK320="YES",W320="X"),"X","")</f>
        <v/>
      </c>
      <c r="AQ320" s="28">
        <f>IF(AP320="X",100%,0%)</f>
        <v/>
      </c>
      <c r="AR320" s="25">
        <f>IF(AND(T320&gt;0,L320=""),H320,"")</f>
        <v/>
      </c>
      <c r="AS320" s="25">
        <f>IF(AND(D320&gt;0,H320=0,G320=""),1,"")</f>
        <v/>
      </c>
      <c r="AT320" s="25">
        <f>IF(G320="BLOQ",1,"")</f>
        <v/>
      </c>
      <c r="AU320" s="25">
        <f>IF(L320="BLOQ",1,"")</f>
        <v/>
      </c>
      <c r="AV320" s="25">
        <f>MONTH(F320)</f>
        <v/>
      </c>
      <c r="AW320" s="65">
        <f>IF(AP320="",100%,0%)</f>
        <v/>
      </c>
      <c r="AX320" s="23" t="n"/>
      <c r="AY320" s="24">
        <f>IF(M320=0,"",M320-$AX$2)</f>
        <v/>
      </c>
      <c r="AZ320" s="66">
        <f>IF(AND(W320="",AY320&gt;0,AY320&lt;15),1,0)</f>
        <v/>
      </c>
      <c r="BA320" s="24">
        <f>IF(AND(W320="",AY320&gt;0,AY320&lt;15),T320,"")</f>
        <v/>
      </c>
      <c r="BB320" s="87">
        <f>IF(R320&lt;Q320,"X","")</f>
        <v/>
      </c>
      <c r="BC320" s="190" t="inlineStr">
        <is>
          <t>NO</t>
        </is>
      </c>
      <c r="BD320" s="190" t="inlineStr">
        <is>
          <t>NO</t>
        </is>
      </c>
    </row>
    <row r="321" ht="15" customHeight="1" s="162">
      <c r="A321" s="7" t="n">
        <v>320</v>
      </c>
      <c r="B321" t="inlineStr">
        <is>
          <t>1359900000500</t>
        </is>
      </c>
      <c r="C321" t="inlineStr">
        <is>
          <t>COMPRA DIRECTA ELECTRICOS/ELECTRONICOS</t>
        </is>
      </c>
      <c r="D321" t="inlineStr">
        <is>
          <t>1101829888</t>
        </is>
      </c>
      <c r="E321" t="inlineStr">
        <is>
          <t>1</t>
        </is>
      </c>
      <c r="F321" s="163" t="n">
        <v>45684</v>
      </c>
      <c r="G321" t="inlineStr"/>
      <c r="H321" t="inlineStr">
        <is>
          <t>4200596100</t>
        </is>
      </c>
      <c r="I321" t="inlineStr">
        <is>
          <t>20</t>
        </is>
      </c>
      <c r="J321" s="163" t="n">
        <v>45691</v>
      </c>
      <c r="K321" s="163" t="n">
        <v>45691</v>
      </c>
      <c r="L321" t="inlineStr"/>
      <c r="M321" s="163" t="n">
        <v>45705</v>
      </c>
      <c r="N321" s="164" t="n">
        <v>30</v>
      </c>
      <c r="O321" s="164" t="n">
        <v>8</v>
      </c>
      <c r="P321" t="inlineStr">
        <is>
          <t>Liberado</t>
        </is>
      </c>
      <c r="Q321" s="165" t="n">
        <v>1</v>
      </c>
      <c r="R321" s="165" t="n">
        <v>1</v>
      </c>
      <c r="S321" s="165" t="n">
        <v>1</v>
      </c>
      <c r="T321" s="165" t="n">
        <v>0</v>
      </c>
      <c r="U321" s="166" t="n">
        <v>0</v>
      </c>
      <c r="V321" s="166" t="n">
        <v>0</v>
      </c>
      <c r="W321" t="inlineStr">
        <is>
          <t>X</t>
        </is>
      </c>
      <c r="X321" t="inlineStr">
        <is>
          <t>0.00</t>
        </is>
      </c>
      <c r="Y321" t="inlineStr"/>
      <c r="Z321" t="inlineStr">
        <is>
          <t>(AEMSA)ALMACENES ELECTRICOS MADRILE</t>
        </is>
      </c>
      <c r="AA321" t="inlineStr">
        <is>
          <t>OTROS FABRICANTES</t>
        </is>
      </c>
      <c r="AB321" t="inlineStr">
        <is>
          <t>1359900000500</t>
        </is>
      </c>
      <c r="AC321" t="inlineStr"/>
      <c r="AD321" s="164" t="n">
        <v>0</v>
      </c>
      <c r="AE321" s="185" t="n">
        <v>0</v>
      </c>
      <c r="AG321" s="167" t="inlineStr">
        <is>
          <t>7218|JA2593_1001</t>
        </is>
      </c>
      <c r="AH321" s="46">
        <f>IF(M321=0,"-",M321-J321)</f>
        <v/>
      </c>
      <c r="AI321" s="46">
        <f>IF(AND(S321=0,M321&gt;0,L321=0),IF(AH321&gt;=120,"VERY HIGH",IF(AH321&gt;=90,"HIGH",IF(AH321&gt;=60,"MEDIUM",IF(AH321&lt;60,"LOW")))),"-")</f>
        <v/>
      </c>
      <c r="AJ321" s="12" t="n"/>
      <c r="AK321" s="41">
        <f>IF(AND(W321="X",M321&lt;=$AJ$2),"YES","")</f>
        <v/>
      </c>
      <c r="AL321" s="38">
        <f>IF(AND(W321="X",M321&lt;=$AJ$2),S321,"")</f>
        <v/>
      </c>
      <c r="AM321" s="26">
        <f>IF(AND(W321="X",M321&gt;$AJ$2),"YES","")</f>
        <v/>
      </c>
      <c r="AN321" s="89">
        <f>IF(AND(W321="X",M321&gt;$AJ$2),S321,"")</f>
        <v/>
      </c>
      <c r="AO321" s="35">
        <f>IF(AND(W321="",M321&gt;0,$AJ$2&gt;M321,L321=""),1,0)</f>
        <v/>
      </c>
      <c r="AP321" s="26">
        <f>IF(AND(AK321="YES",W321="X"),"X","")</f>
        <v/>
      </c>
      <c r="AQ321" s="28">
        <f>IF(AP321="X",100%,0%)</f>
        <v/>
      </c>
      <c r="AR321" s="25">
        <f>IF(AND(T321&gt;0,L321=""),H321,"")</f>
        <v/>
      </c>
      <c r="AS321" s="25">
        <f>IF(AND(D321&gt;0,H321=0,G321=""),1,"")</f>
        <v/>
      </c>
      <c r="AT321" s="25">
        <f>IF(G321="BLOQ",1,"")</f>
        <v/>
      </c>
      <c r="AU321" s="25">
        <f>IF(L321="BLOQ",1,"")</f>
        <v/>
      </c>
      <c r="AV321" s="25">
        <f>MONTH(F321)</f>
        <v/>
      </c>
      <c r="AW321" s="65">
        <f>IF(AP321="",100%,0%)</f>
        <v/>
      </c>
      <c r="AX321" s="23" t="n"/>
      <c r="AY321" s="24">
        <f>IF(M321=0,"",M321-$AX$2)</f>
        <v/>
      </c>
      <c r="AZ321" s="66">
        <f>IF(AND(W321="",AY321&gt;0,AY321&lt;15),1,0)</f>
        <v/>
      </c>
      <c r="BA321" s="24">
        <f>IF(AND(W321="",AY321&gt;0,AY321&lt;15),T321,"")</f>
        <v/>
      </c>
      <c r="BB321" s="87">
        <f>IF(R321&lt;Q321,"X","")</f>
        <v/>
      </c>
      <c r="BC321" s="190" t="inlineStr">
        <is>
          <t>NO</t>
        </is>
      </c>
      <c r="BD321" s="190" t="inlineStr">
        <is>
          <t>NO</t>
        </is>
      </c>
    </row>
    <row r="322" ht="15" customHeight="1" s="162">
      <c r="A322" s="7" t="n">
        <v>321</v>
      </c>
      <c r="B322" t="inlineStr">
        <is>
          <t>1359900000500</t>
        </is>
      </c>
      <c r="C322" t="inlineStr">
        <is>
          <t>COMPRA DIRECTA ELECTRICOS/ELECTRONICOS</t>
        </is>
      </c>
      <c r="D322" t="inlineStr">
        <is>
          <t>1101829913</t>
        </is>
      </c>
      <c r="E322" t="inlineStr">
        <is>
          <t>1</t>
        </is>
      </c>
      <c r="F322" s="163" t="n">
        <v>45684</v>
      </c>
      <c r="G322" t="inlineStr"/>
      <c r="H322" t="inlineStr">
        <is>
          <t>4200596107</t>
        </is>
      </c>
      <c r="I322" t="inlineStr">
        <is>
          <t>80</t>
        </is>
      </c>
      <c r="J322" s="163" t="n">
        <v>45691</v>
      </c>
      <c r="K322" s="163" t="n">
        <v>45691</v>
      </c>
      <c r="L322" t="inlineStr"/>
      <c r="M322" s="163" t="n">
        <v>45705</v>
      </c>
      <c r="N322" s="164" t="n">
        <v>30</v>
      </c>
      <c r="O322" s="164" t="n">
        <v>8</v>
      </c>
      <c r="P322" t="inlineStr">
        <is>
          <t>Liberado</t>
        </is>
      </c>
      <c r="Q322" s="165" t="n">
        <v>1</v>
      </c>
      <c r="R322" s="165" t="n">
        <v>1</v>
      </c>
      <c r="S322" s="165" t="n">
        <v>1</v>
      </c>
      <c r="T322" s="165" t="n">
        <v>0</v>
      </c>
      <c r="U322" s="166" t="n">
        <v>0</v>
      </c>
      <c r="V322" s="166" t="n">
        <v>0</v>
      </c>
      <c r="W322" t="inlineStr">
        <is>
          <t>X</t>
        </is>
      </c>
      <c r="X322" t="inlineStr">
        <is>
          <t>0.00</t>
        </is>
      </c>
      <c r="Y322" t="inlineStr"/>
      <c r="Z322" t="inlineStr">
        <is>
          <t>(AEMSA)ALMACENES ELECTRICOS MADRILE</t>
        </is>
      </c>
      <c r="AA322" t="inlineStr">
        <is>
          <t>OTROS FABRICANTES</t>
        </is>
      </c>
      <c r="AB322" t="inlineStr">
        <is>
          <t>1359900000500</t>
        </is>
      </c>
      <c r="AC322" t="inlineStr"/>
      <c r="AD322" s="164" t="n">
        <v>0</v>
      </c>
      <c r="AE322" s="185" t="n">
        <v>0</v>
      </c>
      <c r="AG322" s="167" t="inlineStr">
        <is>
          <t>7218|JA2593_1001</t>
        </is>
      </c>
      <c r="AH322" s="46">
        <f>IF(M322=0,"-",M322-J322)</f>
        <v/>
      </c>
      <c r="AI322" s="46">
        <f>IF(AND(S322=0,M322&gt;0,L322=0),IF(AH322&gt;=120,"VERY HIGH",IF(AH322&gt;=90,"HIGH",IF(AH322&gt;=60,"MEDIUM",IF(AH322&lt;60,"LOW")))),"-")</f>
        <v/>
      </c>
      <c r="AJ322" s="12" t="n"/>
      <c r="AK322" s="41">
        <f>IF(AND(W322="X",M322&lt;=$AJ$2),"YES","")</f>
        <v/>
      </c>
      <c r="AL322" s="38">
        <f>IF(AND(W322="X",M322&lt;=$AJ$2),S322,"")</f>
        <v/>
      </c>
      <c r="AM322" s="26">
        <f>IF(AND(W322="X",M322&gt;$AJ$2),"YES","")</f>
        <v/>
      </c>
      <c r="AN322" s="89">
        <f>IF(AND(W322="X",M322&gt;$AJ$2),S322,"")</f>
        <v/>
      </c>
      <c r="AO322" s="35">
        <f>IF(AND(W322="",M322&gt;0,$AJ$2&gt;M322,L322=""),1,0)</f>
        <v/>
      </c>
      <c r="AP322" s="26">
        <f>IF(AND(AK322="YES",W322="X"),"X","")</f>
        <v/>
      </c>
      <c r="AQ322" s="28">
        <f>IF(AP322="X",100%,0%)</f>
        <v/>
      </c>
      <c r="AR322" s="25">
        <f>IF(AND(T322&gt;0,L322=""),H322,"")</f>
        <v/>
      </c>
      <c r="AS322" s="25">
        <f>IF(AND(D322&gt;0,H322=0,G322=""),1,"")</f>
        <v/>
      </c>
      <c r="AT322" s="25">
        <f>IF(G322="BLOQ",1,"")</f>
        <v/>
      </c>
      <c r="AU322" s="25">
        <f>IF(L322="BLOQ",1,"")</f>
        <v/>
      </c>
      <c r="AV322" s="25">
        <f>MONTH(F322)</f>
        <v/>
      </c>
      <c r="AW322" s="65">
        <f>IF(AP322="",100%,0%)</f>
        <v/>
      </c>
      <c r="AX322" s="23" t="n"/>
      <c r="AY322" s="24">
        <f>IF(M322=0,"",M322-$AX$2)</f>
        <v/>
      </c>
      <c r="AZ322" s="66">
        <f>IF(AND(W322="",AY322&gt;0,AY322&lt;15),1,0)</f>
        <v/>
      </c>
      <c r="BA322" s="24">
        <f>IF(AND(W322="",AY322&gt;0,AY322&lt;15),T322,"")</f>
        <v/>
      </c>
      <c r="BB322" s="87">
        <f>IF(R322&lt;Q322,"X","")</f>
        <v/>
      </c>
      <c r="BC322" s="190" t="inlineStr">
        <is>
          <t>NO</t>
        </is>
      </c>
      <c r="BD322" s="190" t="inlineStr">
        <is>
          <t>NO</t>
        </is>
      </c>
    </row>
    <row r="323" ht="15" customHeight="1" s="162">
      <c r="A323" s="7" t="n">
        <v>322</v>
      </c>
      <c r="B323" t="inlineStr">
        <is>
          <t>1709800000500</t>
        </is>
      </c>
      <c r="C323" t="inlineStr">
        <is>
          <t>COMPRA DIRECTA FERRETERIA Y HERRAMIENTAS</t>
        </is>
      </c>
      <c r="D323" t="inlineStr">
        <is>
          <t>1101829941</t>
        </is>
      </c>
      <c r="E323" t="inlineStr">
        <is>
          <t>1</t>
        </is>
      </c>
      <c r="F323" s="163" t="n">
        <v>45684</v>
      </c>
      <c r="G323" t="inlineStr"/>
      <c r="H323" t="inlineStr">
        <is>
          <t>4200596234</t>
        </is>
      </c>
      <c r="I323" t="inlineStr">
        <is>
          <t>60</t>
        </is>
      </c>
      <c r="J323" s="163" t="n">
        <v>45692</v>
      </c>
      <c r="K323" s="163" t="n">
        <v>45692</v>
      </c>
      <c r="L323" t="inlineStr"/>
      <c r="M323" s="163" t="n">
        <v>45705</v>
      </c>
      <c r="N323" s="164" t="n">
        <v>30</v>
      </c>
      <c r="O323" s="164" t="n">
        <v>8</v>
      </c>
      <c r="P323" t="inlineStr">
        <is>
          <t>Liberado</t>
        </is>
      </c>
      <c r="Q323" s="165" t="n">
        <v>1</v>
      </c>
      <c r="R323" s="165" t="n">
        <v>1</v>
      </c>
      <c r="S323" s="165" t="n">
        <v>1</v>
      </c>
      <c r="T323" s="165" t="n">
        <v>0</v>
      </c>
      <c r="U323" s="166" t="n">
        <v>0</v>
      </c>
      <c r="V323" s="166" t="n">
        <v>0</v>
      </c>
      <c r="W323" t="inlineStr">
        <is>
          <t>X</t>
        </is>
      </c>
      <c r="X323" t="inlineStr">
        <is>
          <t>0.00</t>
        </is>
      </c>
      <c r="Y323" t="inlineStr"/>
      <c r="Z323" t="inlineStr">
        <is>
          <t>ABACO SUYTEC, S.A.U.</t>
        </is>
      </c>
      <c r="AA323" t="inlineStr">
        <is>
          <t>OTROS FABRICANTES</t>
        </is>
      </c>
      <c r="AB323" t="inlineStr">
        <is>
          <t>1709800000500</t>
        </is>
      </c>
      <c r="AC323" t="inlineStr"/>
      <c r="AD323" s="164" t="n">
        <v>0</v>
      </c>
      <c r="AE323" s="185" t="n">
        <v>0</v>
      </c>
      <c r="AG323" s="167" t="inlineStr">
        <is>
          <t>7218|S24B05_S1075</t>
        </is>
      </c>
      <c r="AH323" s="46">
        <f>IF(M323=0,"-",M323-J323)</f>
        <v/>
      </c>
      <c r="AI323" s="46">
        <f>IF(AND(S323=0,M323&gt;0,L323=0),IF(AH323&gt;=120,"VERY HIGH",IF(AH323&gt;=90,"HIGH",IF(AH323&gt;=60,"MEDIUM",IF(AH323&lt;60,"LOW")))),"-")</f>
        <v/>
      </c>
      <c r="AJ323" s="12" t="n"/>
      <c r="AK323" s="41">
        <f>IF(AND(W323="X",M323&lt;=$AJ$2),"YES","")</f>
        <v/>
      </c>
      <c r="AL323" s="38">
        <f>IF(AND(W323="X",M323&lt;=$AJ$2),S323,"")</f>
        <v/>
      </c>
      <c r="AM323" s="26">
        <f>IF(AND(W323="X",M323&gt;$AJ$2),"YES","")</f>
        <v/>
      </c>
      <c r="AN323" s="89">
        <f>IF(AND(W323="X",M323&gt;$AJ$2),S323,"")</f>
        <v/>
      </c>
      <c r="AO323" s="35">
        <f>IF(AND(W323="",M323&gt;0,$AJ$2&gt;M323,L323=""),1,0)</f>
        <v/>
      </c>
      <c r="AP323" s="26">
        <f>IF(AND(AK323="YES",W323="X"),"X","")</f>
        <v/>
      </c>
      <c r="AQ323" s="28">
        <f>IF(AP323="X",100%,0%)</f>
        <v/>
      </c>
      <c r="AR323" s="25">
        <f>IF(AND(T323&gt;0,L323=""),H323,"")</f>
        <v/>
      </c>
      <c r="AS323" s="25">
        <f>IF(AND(D323&gt;0,H323=0,G323=""),1,"")</f>
        <v/>
      </c>
      <c r="AT323" s="25">
        <f>IF(G323="BLOQ",1,"")</f>
        <v/>
      </c>
      <c r="AU323" s="25">
        <f>IF(L323="BLOQ",1,"")</f>
        <v/>
      </c>
      <c r="AV323" s="25">
        <f>MONTH(F323)</f>
        <v/>
      </c>
      <c r="AW323" s="65">
        <f>IF(AP323="",100%,0%)</f>
        <v/>
      </c>
      <c r="AX323" s="23" t="n"/>
      <c r="AY323" s="24">
        <f>IF(M323=0,"",M323-$AX$2)</f>
        <v/>
      </c>
      <c r="AZ323" s="66">
        <f>IF(AND(W323="",AY323&gt;0,AY323&lt;15),1,0)</f>
        <v/>
      </c>
      <c r="BA323" s="24">
        <f>IF(AND(W323="",AY323&gt;0,AY323&lt;15),T323,"")</f>
        <v/>
      </c>
      <c r="BB323" s="87">
        <f>IF(R323&lt;Q323,"X","")</f>
        <v/>
      </c>
      <c r="BC323" s="190" t="inlineStr">
        <is>
          <t>NO</t>
        </is>
      </c>
      <c r="BD323" s="190" t="inlineStr">
        <is>
          <t>NO</t>
        </is>
      </c>
    </row>
    <row r="324" ht="15" customHeight="1" s="162">
      <c r="A324" s="7" t="n">
        <v>323</v>
      </c>
      <c r="B324" t="inlineStr">
        <is>
          <t>7889090900000</t>
        </is>
      </c>
      <c r="C324" t="inlineStr">
        <is>
          <t>ROPA LABORAL CATALOGO INDRA</t>
        </is>
      </c>
      <c r="D324" t="inlineStr">
        <is>
          <t>1101830334</t>
        </is>
      </c>
      <c r="E324" t="inlineStr">
        <is>
          <t>1</t>
        </is>
      </c>
      <c r="F324" s="163" t="n">
        <v>45685</v>
      </c>
      <c r="G324" t="inlineStr"/>
      <c r="H324" t="inlineStr">
        <is>
          <t>4900010251</t>
        </is>
      </c>
      <c r="I324" t="inlineStr">
        <is>
          <t>10</t>
        </is>
      </c>
      <c r="J324" s="163" t="n">
        <v>45685</v>
      </c>
      <c r="K324" s="163" t="inlineStr"/>
      <c r="L324" t="inlineStr"/>
      <c r="M324" s="163" t="n">
        <v>45747</v>
      </c>
      <c r="N324" s="164" t="n">
        <v>40</v>
      </c>
      <c r="O324" s="164" t="n">
        <v>8</v>
      </c>
      <c r="P324" t="inlineStr"/>
      <c r="Q324" s="165" t="n">
        <v>1</v>
      </c>
      <c r="R324" s="165" t="n">
        <v>1</v>
      </c>
      <c r="S324" s="165" t="n">
        <v>1</v>
      </c>
      <c r="T324" s="165" t="n">
        <v>0</v>
      </c>
      <c r="U324" s="166" t="n">
        <v>0</v>
      </c>
      <c r="V324" s="166" t="n">
        <v>0</v>
      </c>
      <c r="W324" t="inlineStr">
        <is>
          <t>X</t>
        </is>
      </c>
      <c r="X324" t="inlineStr">
        <is>
          <t>0.00</t>
        </is>
      </c>
      <c r="Y324" t="inlineStr"/>
      <c r="Z324" t="inlineStr">
        <is>
          <t>VESTUARIO Y PROTECCION LABORAL JOYS</t>
        </is>
      </c>
      <c r="AA324" t="inlineStr">
        <is>
          <t>INDRA SISTEMAS S.A.</t>
        </is>
      </c>
      <c r="AB324" t="inlineStr">
        <is>
          <t>7889090900000</t>
        </is>
      </c>
      <c r="AC324" t="inlineStr"/>
      <c r="AD324" s="164" t="n">
        <v>0</v>
      </c>
      <c r="AE324" s="185" t="n">
        <v>0</v>
      </c>
      <c r="AG324" s="167" t="inlineStr">
        <is>
          <t>7218|JA2594_1001</t>
        </is>
      </c>
      <c r="AH324" s="46">
        <f>IF(M324=0,"-",M324-J324)</f>
        <v/>
      </c>
      <c r="AI324" s="46">
        <f>IF(AND(S324=0,M324&gt;0,L324=0),IF(AH324&gt;=120,"VERY HIGH",IF(AH324&gt;=90,"HIGH",IF(AH324&gt;=60,"MEDIUM",IF(AH324&lt;60,"LOW")))),"-")</f>
        <v/>
      </c>
      <c r="AJ324" s="12" t="n"/>
      <c r="AK324" s="41">
        <f>IF(AND(W324="X",M324&lt;=$AJ$2),"YES","")</f>
        <v/>
      </c>
      <c r="AL324" s="38">
        <f>IF(AND(W324="X",M324&lt;=$AJ$2),S324,"")</f>
        <v/>
      </c>
      <c r="AM324" s="26">
        <f>IF(AND(W324="X",M324&gt;$AJ$2),"YES","")</f>
        <v/>
      </c>
      <c r="AN324" s="89">
        <f>IF(AND(W324="X",M324&gt;$AJ$2),S324,"")</f>
        <v/>
      </c>
      <c r="AO324" s="35">
        <f>IF(AND(W324="",M324&gt;0,$AJ$2&gt;M324,L324=""),1,0)</f>
        <v/>
      </c>
      <c r="AP324" s="26">
        <f>IF(AND(AK324="YES",W324="X"),"X","")</f>
        <v/>
      </c>
      <c r="AQ324" s="28">
        <f>IF(AP324="X",100%,0%)</f>
        <v/>
      </c>
      <c r="AR324" s="25">
        <f>IF(AND(T324&gt;0,L324=""),H324,"")</f>
        <v/>
      </c>
      <c r="AS324" s="25">
        <f>IF(AND(D324&gt;0,H324=0,G324=""),1,"")</f>
        <v/>
      </c>
      <c r="AT324" s="25">
        <f>IF(G324="BLOQ",1,"")</f>
        <v/>
      </c>
      <c r="AU324" s="25">
        <f>IF(L324="BLOQ",1,"")</f>
        <v/>
      </c>
      <c r="AV324" s="25">
        <f>MONTH(F324)</f>
        <v/>
      </c>
      <c r="AW324" s="65">
        <f>IF(AP324="",100%,0%)</f>
        <v/>
      </c>
      <c r="AX324" s="23" t="n"/>
      <c r="AY324" s="24">
        <f>IF(M324=0,"",M324-$AX$2)</f>
        <v/>
      </c>
      <c r="AZ324" s="66">
        <f>IF(AND(W324="",AY324&gt;0,AY324&lt;15),1,0)</f>
        <v/>
      </c>
      <c r="BA324" s="24">
        <f>IF(AND(W324="",AY324&gt;0,AY324&lt;15),T324,"")</f>
        <v/>
      </c>
      <c r="BB324" s="87">
        <f>IF(R324&lt;Q324,"X","")</f>
        <v/>
      </c>
      <c r="BC324" s="190" t="inlineStr">
        <is>
          <t>NO</t>
        </is>
      </c>
      <c r="BD324" s="190" t="inlineStr">
        <is>
          <t>NO</t>
        </is>
      </c>
    </row>
    <row r="325" ht="15" customHeight="1" s="162">
      <c r="A325" s="7" t="n">
        <v>324</v>
      </c>
      <c r="B325" t="inlineStr">
        <is>
          <t>39121402</t>
        </is>
      </c>
      <c r="C325" t="inlineStr">
        <is>
          <t>Punto de toma de tierra para rack para p</t>
        </is>
      </c>
      <c r="D325" t="inlineStr">
        <is>
          <t>1101831419</t>
        </is>
      </c>
      <c r="E325" t="inlineStr">
        <is>
          <t>1</t>
        </is>
      </c>
      <c r="F325" s="163" t="n">
        <v>45687</v>
      </c>
      <c r="G325" t="inlineStr"/>
      <c r="H325" t="inlineStr">
        <is>
          <t>4800002850</t>
        </is>
      </c>
      <c r="I325" t="inlineStr">
        <is>
          <t>280</t>
        </is>
      </c>
      <c r="J325" s="163" t="n">
        <v>45686</v>
      </c>
      <c r="K325" s="163" t="inlineStr"/>
      <c r="L325" t="inlineStr"/>
      <c r="M325" s="163" t="n">
        <v>45688</v>
      </c>
      <c r="N325" s="164" t="n">
        <v>0</v>
      </c>
      <c r="O325" s="164" t="n">
        <v>0</v>
      </c>
      <c r="P325" t="inlineStr"/>
      <c r="Q325" s="165" t="n">
        <v>4</v>
      </c>
      <c r="R325" s="165" t="n">
        <v>4</v>
      </c>
      <c r="S325" s="165" t="n">
        <v>4</v>
      </c>
      <c r="T325" s="165" t="n">
        <v>0</v>
      </c>
      <c r="U325" s="166" t="n">
        <v>0</v>
      </c>
      <c r="V325" s="166" t="n">
        <v>0</v>
      </c>
      <c r="W325" t="inlineStr">
        <is>
          <t>X</t>
        </is>
      </c>
      <c r="X325" t="inlineStr">
        <is>
          <t>0.00</t>
        </is>
      </c>
      <c r="Y325" t="inlineStr"/>
      <c r="Z325" t="inlineStr">
        <is>
          <t>AMIDATA, S.A.</t>
        </is>
      </c>
      <c r="AA325" t="inlineStr"/>
      <c r="AB325" t="inlineStr">
        <is>
          <t>0392141</t>
        </is>
      </c>
      <c r="AC325" t="inlineStr"/>
      <c r="AD325" s="164" t="n">
        <v>0</v>
      </c>
      <c r="AE325" s="185" t="n">
        <v>0</v>
      </c>
      <c r="AG325" s="167" t="inlineStr">
        <is>
          <t>7218|JA2585_1001</t>
        </is>
      </c>
      <c r="AH325" s="46">
        <f>IF(M325=0,"-",M325-J325)</f>
        <v/>
      </c>
      <c r="AI325" s="46">
        <f>IF(AND(S325=0,M325&gt;0,L325=0),IF(AH325&gt;=120,"VERY HIGH",IF(AH325&gt;=90,"HIGH",IF(AH325&gt;=60,"MEDIUM",IF(AH325&lt;60,"LOW")))),"-")</f>
        <v/>
      </c>
      <c r="AJ325" s="12" t="n"/>
      <c r="AK325" s="41">
        <f>IF(AND(W325="X",M325&lt;=$AJ$2),"YES","")</f>
        <v/>
      </c>
      <c r="AL325" s="38">
        <f>IF(AND(W325="X",M325&lt;=$AJ$2),S325,"")</f>
        <v/>
      </c>
      <c r="AM325" s="26">
        <f>IF(AND(W325="X",M325&gt;$AJ$2),"YES","")</f>
        <v/>
      </c>
      <c r="AN325" s="89">
        <f>IF(AND(W325="X",M325&gt;$AJ$2),S325,"")</f>
        <v/>
      </c>
      <c r="AO325" s="35">
        <f>IF(AND(W325="",M325&gt;0,$AJ$2&gt;M325,L325=""),1,0)</f>
        <v/>
      </c>
      <c r="AP325" s="26">
        <f>IF(AND(AK325="YES",W325="X"),"X","")</f>
        <v/>
      </c>
      <c r="AQ325" s="28">
        <f>IF(AP325="X",100%,0%)</f>
        <v/>
      </c>
      <c r="AR325" s="25">
        <f>IF(AND(T325&gt;0,L325=""),H325,"")</f>
        <v/>
      </c>
      <c r="AS325" s="25">
        <f>IF(AND(D325&gt;0,H325=0,G325=""),1,"")</f>
        <v/>
      </c>
      <c r="AT325" s="25">
        <f>IF(G325="BLOQ",1,"")</f>
        <v/>
      </c>
      <c r="AU325" s="25">
        <f>IF(L325="BLOQ",1,"")</f>
        <v/>
      </c>
      <c r="AV325" s="25">
        <f>MONTH(F325)</f>
        <v/>
      </c>
      <c r="AW325" s="65">
        <f>IF(AP325="",100%,0%)</f>
        <v/>
      </c>
      <c r="AX325" s="23" t="n"/>
      <c r="AY325" s="24">
        <f>IF(M325=0,"",M325-$AX$2)</f>
        <v/>
      </c>
      <c r="AZ325" s="66">
        <f>IF(AND(W325="",AY325&gt;0,AY325&lt;15),1,0)</f>
        <v/>
      </c>
      <c r="BA325" s="24">
        <f>IF(AND(W325="",AY325&gt;0,AY325&lt;15),T325,"")</f>
        <v/>
      </c>
      <c r="BB325" s="87">
        <f>IF(R325&lt;Q325,"X","")</f>
        <v/>
      </c>
      <c r="BC325" s="190" t="inlineStr">
        <is>
          <t>NO</t>
        </is>
      </c>
      <c r="BD325" s="190" t="inlineStr">
        <is>
          <t>NO</t>
        </is>
      </c>
    </row>
    <row r="326" ht="15" customHeight="1" s="162">
      <c r="A326" s="7" t="n">
        <v>325</v>
      </c>
      <c r="B326" t="inlineStr">
        <is>
          <t>39121404</t>
        </is>
      </c>
      <c r="C326" t="inlineStr">
        <is>
          <t>Puntera hueca de crimpado TE Connectivit</t>
        </is>
      </c>
      <c r="D326" t="inlineStr">
        <is>
          <t>1101831419</t>
        </is>
      </c>
      <c r="E326" t="inlineStr">
        <is>
          <t>2</t>
        </is>
      </c>
      <c r="F326" s="163" t="n">
        <v>45687</v>
      </c>
      <c r="G326" t="inlineStr"/>
      <c r="H326" t="inlineStr">
        <is>
          <t>4800002850</t>
        </is>
      </c>
      <c r="I326" t="inlineStr">
        <is>
          <t>290</t>
        </is>
      </c>
      <c r="J326" s="163" t="n">
        <v>45686</v>
      </c>
      <c r="K326" s="163" t="inlineStr"/>
      <c r="L326" t="inlineStr"/>
      <c r="M326" s="163" t="n">
        <v>45688</v>
      </c>
      <c r="N326" s="164" t="n">
        <v>0</v>
      </c>
      <c r="O326" s="164" t="n">
        <v>0</v>
      </c>
      <c r="P326" t="inlineStr"/>
      <c r="Q326" s="165" t="n">
        <v>50</v>
      </c>
      <c r="R326" s="165" t="n">
        <v>50</v>
      </c>
      <c r="S326" s="165" t="n">
        <v>50</v>
      </c>
      <c r="T326" s="165" t="n">
        <v>0</v>
      </c>
      <c r="U326" s="166" t="n">
        <v>0</v>
      </c>
      <c r="V326" s="166" t="n">
        <v>0</v>
      </c>
      <c r="W326" t="inlineStr">
        <is>
          <t>X</t>
        </is>
      </c>
      <c r="X326" t="inlineStr">
        <is>
          <t>0.00</t>
        </is>
      </c>
      <c r="Y326" t="inlineStr"/>
      <c r="Z326" t="inlineStr">
        <is>
          <t>AMIDATA, S.A.</t>
        </is>
      </c>
      <c r="AA326" t="inlineStr"/>
      <c r="AB326" t="inlineStr">
        <is>
          <t>7187359</t>
        </is>
      </c>
      <c r="AC326" t="inlineStr"/>
      <c r="AD326" s="164" t="n">
        <v>0</v>
      </c>
      <c r="AE326" s="185" t="n">
        <v>0</v>
      </c>
      <c r="AG326" s="167" t="inlineStr">
        <is>
          <t>7218|JA2585_1001</t>
        </is>
      </c>
      <c r="AH326" s="46">
        <f>IF(M326=0,"-",M326-J326)</f>
        <v/>
      </c>
      <c r="AI326" s="46">
        <f>IF(AND(S326=0,M326&gt;0,L326=0),IF(AH326&gt;=120,"VERY HIGH",IF(AH326&gt;=90,"HIGH",IF(AH326&gt;=60,"MEDIUM",IF(AH326&lt;60,"LOW")))),"-")</f>
        <v/>
      </c>
      <c r="AJ326" s="12" t="n"/>
      <c r="AK326" s="41">
        <f>IF(AND(W326="X",M326&lt;=$AJ$2),"YES","")</f>
        <v/>
      </c>
      <c r="AL326" s="38">
        <f>IF(AND(W326="X",M326&lt;=$AJ$2),S326,"")</f>
        <v/>
      </c>
      <c r="AM326" s="26">
        <f>IF(AND(W326="X",M326&gt;$AJ$2),"YES","")</f>
        <v/>
      </c>
      <c r="AN326" s="89">
        <f>IF(AND(W326="X",M326&gt;$AJ$2),S326,"")</f>
        <v/>
      </c>
      <c r="AO326" s="35">
        <f>IF(AND(W326="",M326&gt;0,$AJ$2&gt;M326,L326=""),1,0)</f>
        <v/>
      </c>
      <c r="AP326" s="26">
        <f>IF(AND(AK326="YES",W326="X"),"X","")</f>
        <v/>
      </c>
      <c r="AQ326" s="28">
        <f>IF(AP326="X",100%,0%)</f>
        <v/>
      </c>
      <c r="AR326" s="25">
        <f>IF(AND(T326&gt;0,L326=""),H326,"")</f>
        <v/>
      </c>
      <c r="AS326" s="25">
        <f>IF(AND(D326&gt;0,H326=0,G326=""),1,"")</f>
        <v/>
      </c>
      <c r="AT326" s="25">
        <f>IF(G326="BLOQ",1,"")</f>
        <v/>
      </c>
      <c r="AU326" s="25">
        <f>IF(L326="BLOQ",1,"")</f>
        <v/>
      </c>
      <c r="AV326" s="25">
        <f>MONTH(F326)</f>
        <v/>
      </c>
      <c r="AW326" s="65">
        <f>IF(AP326="",100%,0%)</f>
        <v/>
      </c>
      <c r="AX326" s="23" t="n"/>
      <c r="AY326" s="24">
        <f>IF(M326=0,"",M326-$AX$2)</f>
        <v/>
      </c>
      <c r="AZ326" s="66">
        <f>IF(AND(W326="",AY326&gt;0,AY326&lt;15),1,0)</f>
        <v/>
      </c>
      <c r="BA326" s="24">
        <f>IF(AND(W326="",AY326&gt;0,AY326&lt;15),T326,"")</f>
        <v/>
      </c>
      <c r="BB326" s="87">
        <f>IF(R326&lt;Q326,"X","")</f>
        <v/>
      </c>
      <c r="BC326" s="190" t="inlineStr">
        <is>
          <t>NO</t>
        </is>
      </c>
      <c r="BD326" s="190" t="inlineStr">
        <is>
          <t>NO</t>
        </is>
      </c>
    </row>
    <row r="327" ht="15" customHeight="1" s="162">
      <c r="A327" s="7" t="n">
        <v>326</v>
      </c>
      <c r="B327" t="inlineStr">
        <is>
          <t>1359900000500</t>
        </is>
      </c>
      <c r="C327" t="inlineStr">
        <is>
          <t>COMPRA DIRECTA ELECTRICOS/ELECTRONICOS</t>
        </is>
      </c>
      <c r="D327" t="inlineStr">
        <is>
          <t>1101831641</t>
        </is>
      </c>
      <c r="E327" t="inlineStr">
        <is>
          <t>1</t>
        </is>
      </c>
      <c r="F327" s="163" t="n">
        <v>45687</v>
      </c>
      <c r="G327" t="inlineStr"/>
      <c r="H327" t="inlineStr">
        <is>
          <t>4200596485</t>
        </is>
      </c>
      <c r="I327" t="inlineStr">
        <is>
          <t>20</t>
        </is>
      </c>
      <c r="J327" s="163" t="n">
        <v>45693</v>
      </c>
      <c r="K327" s="163" t="n">
        <v>45694</v>
      </c>
      <c r="L327" t="inlineStr"/>
      <c r="M327" s="163" t="n">
        <v>45707</v>
      </c>
      <c r="N327" s="164" t="n">
        <v>30</v>
      </c>
      <c r="O327" s="164" t="n">
        <v>8</v>
      </c>
      <c r="P327" t="inlineStr">
        <is>
          <t>Liberado</t>
        </is>
      </c>
      <c r="Q327" s="165" t="n">
        <v>1</v>
      </c>
      <c r="R327" s="165" t="n">
        <v>1</v>
      </c>
      <c r="S327" s="165" t="n">
        <v>1</v>
      </c>
      <c r="T327" s="165" t="n">
        <v>0</v>
      </c>
      <c r="U327" s="166" t="n">
        <v>0</v>
      </c>
      <c r="V327" s="166" t="n">
        <v>0</v>
      </c>
      <c r="W327" t="inlineStr">
        <is>
          <t>X</t>
        </is>
      </c>
      <c r="X327" t="inlineStr">
        <is>
          <t>0.00</t>
        </is>
      </c>
      <c r="Y327" t="inlineStr"/>
      <c r="Z327" t="inlineStr">
        <is>
          <t>(AEMSA)ALMACENES ELECTRICOS MADRILE</t>
        </is>
      </c>
      <c r="AA327" t="inlineStr">
        <is>
          <t>OTROS FABRICANTES</t>
        </is>
      </c>
      <c r="AB327" t="inlineStr">
        <is>
          <t>1359900000500</t>
        </is>
      </c>
      <c r="AC327" t="inlineStr"/>
      <c r="AD327" s="164" t="n">
        <v>0</v>
      </c>
      <c r="AE327" s="185" t="n">
        <v>0</v>
      </c>
      <c r="AG327" s="167" t="inlineStr">
        <is>
          <t>7218|JA2594_1001</t>
        </is>
      </c>
      <c r="AH327" s="46">
        <f>IF(M327=0,"-",M327-J327)</f>
        <v/>
      </c>
      <c r="AI327" s="46">
        <f>IF(AND(S327=0,M327&gt;0,L327=0),IF(AH327&gt;=120,"VERY HIGH",IF(AH327&gt;=90,"HIGH",IF(AH327&gt;=60,"MEDIUM",IF(AH327&lt;60,"LOW")))),"-")</f>
        <v/>
      </c>
      <c r="AJ327" s="12" t="n"/>
      <c r="AK327" s="41">
        <f>IF(AND(W327="X",M327&lt;=$AJ$2),"YES","")</f>
        <v/>
      </c>
      <c r="AL327" s="38">
        <f>IF(AND(W327="X",M327&lt;=$AJ$2),S327,"")</f>
        <v/>
      </c>
      <c r="AM327" s="26">
        <f>IF(AND(W327="X",M327&gt;$AJ$2),"YES","")</f>
        <v/>
      </c>
      <c r="AN327" s="89">
        <f>IF(AND(W327="X",M327&gt;$AJ$2),S327,"")</f>
        <v/>
      </c>
      <c r="AO327" s="35">
        <f>IF(AND(W327="",M327&gt;0,$AJ$2&gt;M327,L327=""),1,0)</f>
        <v/>
      </c>
      <c r="AP327" s="26">
        <f>IF(AND(AK327="YES",W327="X"),"X","")</f>
        <v/>
      </c>
      <c r="AQ327" s="28">
        <f>IF(AP327="X",100%,0%)</f>
        <v/>
      </c>
      <c r="AR327" s="25">
        <f>IF(AND(T327&gt;0,L327=""),H327,"")</f>
        <v/>
      </c>
      <c r="AS327" s="25">
        <f>IF(AND(D327&gt;0,H327=0,G327=""),1,"")</f>
        <v/>
      </c>
      <c r="AT327" s="25">
        <f>IF(G327="BLOQ",1,"")</f>
        <v/>
      </c>
      <c r="AU327" s="25">
        <f>IF(L327="BLOQ",1,"")</f>
        <v/>
      </c>
      <c r="AV327" s="25">
        <f>MONTH(F327)</f>
        <v/>
      </c>
      <c r="AW327" s="65">
        <f>IF(AP327="",100%,0%)</f>
        <v/>
      </c>
      <c r="AX327" s="23" t="n"/>
      <c r="AY327" s="24">
        <f>IF(M327=0,"",M327-$AX$2)</f>
        <v/>
      </c>
      <c r="AZ327" s="66">
        <f>IF(AND(W327="",AY327&gt;0,AY327&lt;15),1,0)</f>
        <v/>
      </c>
      <c r="BA327" s="24">
        <f>IF(AND(W327="",AY327&gt;0,AY327&lt;15),T327,"")</f>
        <v/>
      </c>
      <c r="BB327" s="87">
        <f>IF(R327&lt;Q327,"X","")</f>
        <v/>
      </c>
      <c r="BC327" s="190" t="inlineStr">
        <is>
          <t>NO</t>
        </is>
      </c>
      <c r="BD327" s="190" t="inlineStr">
        <is>
          <t>NO</t>
        </is>
      </c>
    </row>
    <row r="328" ht="15" customHeight="1" s="162">
      <c r="A328" s="7" t="n">
        <v>327</v>
      </c>
      <c r="B328" t="inlineStr">
        <is>
          <t>1359900000500</t>
        </is>
      </c>
      <c r="C328" t="inlineStr">
        <is>
          <t>COMPRA DIRECTA ELECTRICOS/ELECTRONICOS</t>
        </is>
      </c>
      <c r="D328" t="inlineStr">
        <is>
          <t>1101831641</t>
        </is>
      </c>
      <c r="E328" t="inlineStr">
        <is>
          <t>2</t>
        </is>
      </c>
      <c r="F328" s="163" t="n">
        <v>45687</v>
      </c>
      <c r="G328" t="inlineStr"/>
      <c r="H328" t="inlineStr">
        <is>
          <t>4200596485</t>
        </is>
      </c>
      <c r="I328" t="inlineStr">
        <is>
          <t>30</t>
        </is>
      </c>
      <c r="J328" s="163" t="n">
        <v>45693</v>
      </c>
      <c r="K328" s="163" t="n">
        <v>45694</v>
      </c>
      <c r="L328" t="inlineStr"/>
      <c r="M328" s="163" t="n">
        <v>45707</v>
      </c>
      <c r="N328" s="164" t="n">
        <v>30</v>
      </c>
      <c r="O328" s="164" t="n">
        <v>8</v>
      </c>
      <c r="P328" t="inlineStr">
        <is>
          <t>Liberado</t>
        </is>
      </c>
      <c r="Q328" s="165" t="n">
        <v>1</v>
      </c>
      <c r="R328" s="165" t="n">
        <v>1</v>
      </c>
      <c r="S328" s="165" t="n">
        <v>1</v>
      </c>
      <c r="T328" s="165" t="n">
        <v>0</v>
      </c>
      <c r="U328" s="166" t="n">
        <v>0</v>
      </c>
      <c r="V328" s="166" t="n">
        <v>0</v>
      </c>
      <c r="W328" t="inlineStr">
        <is>
          <t>X</t>
        </is>
      </c>
      <c r="X328" t="inlineStr">
        <is>
          <t>0.00</t>
        </is>
      </c>
      <c r="Y328" t="inlineStr"/>
      <c r="Z328" t="inlineStr">
        <is>
          <t>(AEMSA)ALMACENES ELECTRICOS MADRILE</t>
        </is>
      </c>
      <c r="AA328" t="inlineStr">
        <is>
          <t>OTROS FABRICANTES</t>
        </is>
      </c>
      <c r="AB328" t="inlineStr">
        <is>
          <t>1359900000500</t>
        </is>
      </c>
      <c r="AC328" t="inlineStr"/>
      <c r="AD328" s="164" t="n">
        <v>0</v>
      </c>
      <c r="AE328" s="185" t="n">
        <v>0</v>
      </c>
      <c r="AG328" s="167" t="inlineStr">
        <is>
          <t>7218|JA2594_1001</t>
        </is>
      </c>
      <c r="AH328" s="46">
        <f>IF(M328=0,"-",M328-J328)</f>
        <v/>
      </c>
      <c r="AI328" s="46">
        <f>IF(AND(S328=0,M328&gt;0,L328=0),IF(AH328&gt;=120,"VERY HIGH",IF(AH328&gt;=90,"HIGH",IF(AH328&gt;=60,"MEDIUM",IF(AH328&lt;60,"LOW")))),"-")</f>
        <v/>
      </c>
      <c r="AJ328" s="12" t="n"/>
      <c r="AK328" s="41">
        <f>IF(AND(W328="X",M328&lt;=$AJ$2),"YES","")</f>
        <v/>
      </c>
      <c r="AL328" s="38">
        <f>IF(AND(W328="X",M328&lt;=$AJ$2),S328,"")</f>
        <v/>
      </c>
      <c r="AM328" s="26">
        <f>IF(AND(W328="X",M328&gt;$AJ$2),"YES","")</f>
        <v/>
      </c>
      <c r="AN328" s="89">
        <f>IF(AND(W328="X",M328&gt;$AJ$2),S328,"")</f>
        <v/>
      </c>
      <c r="AO328" s="35">
        <f>IF(AND(W328="",M328&gt;0,$AJ$2&gt;M328,L328=""),1,0)</f>
        <v/>
      </c>
      <c r="AP328" s="26">
        <f>IF(AND(AK328="YES",W328="X"),"X","")</f>
        <v/>
      </c>
      <c r="AQ328" s="28">
        <f>IF(AP328="X",100%,0%)</f>
        <v/>
      </c>
      <c r="AR328" s="25">
        <f>IF(AND(T328&gt;0,L328=""),H328,"")</f>
        <v/>
      </c>
      <c r="AS328" s="25">
        <f>IF(AND(D328&gt;0,H328=0,G328=""),1,"")</f>
        <v/>
      </c>
      <c r="AT328" s="25">
        <f>IF(G328="BLOQ",1,"")</f>
        <v/>
      </c>
      <c r="AU328" s="25">
        <f>IF(L328="BLOQ",1,"")</f>
        <v/>
      </c>
      <c r="AV328" s="25">
        <f>MONTH(F328)</f>
        <v/>
      </c>
      <c r="AW328" s="65">
        <f>IF(AP328="",100%,0%)</f>
        <v/>
      </c>
      <c r="AX328" s="23" t="n"/>
      <c r="AY328" s="24">
        <f>IF(M328=0,"",M328-$AX$2)</f>
        <v/>
      </c>
      <c r="AZ328" s="66">
        <f>IF(AND(W328="",AY328&gt;0,AY328&lt;15),1,0)</f>
        <v/>
      </c>
      <c r="BA328" s="24">
        <f>IF(AND(W328="",AY328&gt;0,AY328&lt;15),T328,"")</f>
        <v/>
      </c>
      <c r="BB328" s="87">
        <f>IF(R328&lt;Q328,"X","")</f>
        <v/>
      </c>
      <c r="BC328" s="190" t="inlineStr">
        <is>
          <t>NO</t>
        </is>
      </c>
      <c r="BD328" s="190" t="inlineStr">
        <is>
          <t>NO</t>
        </is>
      </c>
    </row>
    <row r="329" ht="15" customHeight="1" s="162">
      <c r="A329" s="7" t="n">
        <v>328</v>
      </c>
      <c r="B329" t="inlineStr">
        <is>
          <t>1359900000500</t>
        </is>
      </c>
      <c r="C329" t="inlineStr">
        <is>
          <t>COMPRA DIRECTA ELECTRICOS/ELECTRONICOS</t>
        </is>
      </c>
      <c r="D329" t="inlineStr">
        <is>
          <t>1101831671</t>
        </is>
      </c>
      <c r="E329" t="inlineStr">
        <is>
          <t>1</t>
        </is>
      </c>
      <c r="F329" s="163" t="n">
        <v>45687</v>
      </c>
      <c r="G329" t="inlineStr"/>
      <c r="H329" t="inlineStr">
        <is>
          <t>4200596485</t>
        </is>
      </c>
      <c r="I329" t="inlineStr">
        <is>
          <t>40</t>
        </is>
      </c>
      <c r="J329" s="163" t="n">
        <v>45693</v>
      </c>
      <c r="K329" s="163" t="n">
        <v>45694</v>
      </c>
      <c r="L329" t="inlineStr"/>
      <c r="M329" s="163" t="n">
        <v>45707</v>
      </c>
      <c r="N329" s="164" t="n">
        <v>30</v>
      </c>
      <c r="O329" s="164" t="n">
        <v>8</v>
      </c>
      <c r="P329" t="inlineStr">
        <is>
          <t>Liberado</t>
        </is>
      </c>
      <c r="Q329" s="165" t="n">
        <v>1</v>
      </c>
      <c r="R329" s="165" t="n">
        <v>1</v>
      </c>
      <c r="S329" s="165" t="n">
        <v>1</v>
      </c>
      <c r="T329" s="165" t="n">
        <v>0</v>
      </c>
      <c r="U329" s="166" t="n">
        <v>0</v>
      </c>
      <c r="V329" s="166" t="n">
        <v>0</v>
      </c>
      <c r="W329" t="inlineStr">
        <is>
          <t>X</t>
        </is>
      </c>
      <c r="X329" t="inlineStr">
        <is>
          <t>0.00</t>
        </is>
      </c>
      <c r="Y329" t="inlineStr"/>
      <c r="Z329" t="inlineStr">
        <is>
          <t>(AEMSA)ALMACENES ELECTRICOS MADRILE</t>
        </is>
      </c>
      <c r="AA329" t="inlineStr">
        <is>
          <t>OTROS FABRICANTES</t>
        </is>
      </c>
      <c r="AB329" t="inlineStr">
        <is>
          <t>1359900000500</t>
        </is>
      </c>
      <c r="AC329" t="inlineStr"/>
      <c r="AD329" s="164" t="n">
        <v>0</v>
      </c>
      <c r="AE329" s="185" t="n">
        <v>0</v>
      </c>
      <c r="AG329" s="167" t="inlineStr">
        <is>
          <t>7218|JA2594_1001</t>
        </is>
      </c>
      <c r="AH329" s="46">
        <f>IF(M329=0,"-",M329-J329)</f>
        <v/>
      </c>
      <c r="AI329" s="46">
        <f>IF(AND(S329=0,M329&gt;0,L329=0),IF(AH329&gt;=120,"VERY HIGH",IF(AH329&gt;=90,"HIGH",IF(AH329&gt;=60,"MEDIUM",IF(AH329&lt;60,"LOW")))),"-")</f>
        <v/>
      </c>
      <c r="AJ329" s="12" t="n"/>
      <c r="AK329" s="41">
        <f>IF(AND(W329="X",M329&lt;=$AJ$2),"YES","")</f>
        <v/>
      </c>
      <c r="AL329" s="38">
        <f>IF(AND(W329="X",M329&lt;=$AJ$2),S329,"")</f>
        <v/>
      </c>
      <c r="AM329" s="26">
        <f>IF(AND(W329="X",M329&gt;$AJ$2),"YES","")</f>
        <v/>
      </c>
      <c r="AN329" s="89">
        <f>IF(AND(W329="X",M329&gt;$AJ$2),S329,"")</f>
        <v/>
      </c>
      <c r="AO329" s="35">
        <f>IF(AND(W329="",M329&gt;0,$AJ$2&gt;M329,L329=""),1,0)</f>
        <v/>
      </c>
      <c r="AP329" s="26">
        <f>IF(AND(AK329="YES",W329="X"),"X","")</f>
        <v/>
      </c>
      <c r="AQ329" s="28">
        <f>IF(AP329="X",100%,0%)</f>
        <v/>
      </c>
      <c r="AR329" s="25">
        <f>IF(AND(T329&gt;0,L329=""),H329,"")</f>
        <v/>
      </c>
      <c r="AS329" s="25">
        <f>IF(AND(D329&gt;0,H329=0,G329=""),1,"")</f>
        <v/>
      </c>
      <c r="AT329" s="25">
        <f>IF(G329="BLOQ",1,"")</f>
        <v/>
      </c>
      <c r="AU329" s="25">
        <f>IF(L329="BLOQ",1,"")</f>
        <v/>
      </c>
      <c r="AV329" s="25">
        <f>MONTH(F329)</f>
        <v/>
      </c>
      <c r="AW329" s="65">
        <f>IF(AP329="",100%,0%)</f>
        <v/>
      </c>
      <c r="AX329" s="23" t="n"/>
      <c r="AY329" s="24">
        <f>IF(M329=0,"",M329-$AX$2)</f>
        <v/>
      </c>
      <c r="AZ329" s="66">
        <f>IF(AND(W329="",AY329&gt;0,AY329&lt;15),1,0)</f>
        <v/>
      </c>
      <c r="BA329" s="24">
        <f>IF(AND(W329="",AY329&gt;0,AY329&lt;15),T329,"")</f>
        <v/>
      </c>
      <c r="BB329" s="87">
        <f>IF(R329&lt;Q329,"X","")</f>
        <v/>
      </c>
      <c r="BC329" s="190" t="inlineStr">
        <is>
          <t>NO</t>
        </is>
      </c>
      <c r="BD329" s="190" t="inlineStr">
        <is>
          <t>NO</t>
        </is>
      </c>
    </row>
    <row r="330" ht="15" customHeight="1" s="162">
      <c r="A330" s="7" t="n">
        <v>329</v>
      </c>
      <c r="B330" t="inlineStr">
        <is>
          <t>1359900000500</t>
        </is>
      </c>
      <c r="C330" t="inlineStr">
        <is>
          <t>COMPRA DIRECTA ELECTRICOS/ELECTRONICOS</t>
        </is>
      </c>
      <c r="D330" t="inlineStr">
        <is>
          <t>1101831749</t>
        </is>
      </c>
      <c r="E330" t="inlineStr">
        <is>
          <t>1</t>
        </is>
      </c>
      <c r="F330" s="163" t="n">
        <v>45687</v>
      </c>
      <c r="G330" t="inlineStr"/>
      <c r="H330" t="inlineStr">
        <is>
          <t>4200596508</t>
        </is>
      </c>
      <c r="I330" t="inlineStr">
        <is>
          <t>30</t>
        </is>
      </c>
      <c r="J330" s="163" t="n">
        <v>45693</v>
      </c>
      <c r="K330" s="163" t="n">
        <v>45694</v>
      </c>
      <c r="L330" t="inlineStr"/>
      <c r="M330" s="163" t="n">
        <v>45707</v>
      </c>
      <c r="N330" s="164" t="n">
        <v>30</v>
      </c>
      <c r="O330" s="164" t="n">
        <v>8</v>
      </c>
      <c r="P330" t="inlineStr">
        <is>
          <t>Liberado</t>
        </is>
      </c>
      <c r="Q330" s="165" t="n">
        <v>1</v>
      </c>
      <c r="R330" s="165" t="n">
        <v>1</v>
      </c>
      <c r="S330" s="165" t="n">
        <v>1</v>
      </c>
      <c r="T330" s="165" t="n">
        <v>0</v>
      </c>
      <c r="U330" s="166" t="n">
        <v>0</v>
      </c>
      <c r="V330" s="166" t="n">
        <v>0</v>
      </c>
      <c r="W330" t="inlineStr">
        <is>
          <t>X</t>
        </is>
      </c>
      <c r="X330" t="inlineStr">
        <is>
          <t>0.00</t>
        </is>
      </c>
      <c r="Y330" t="inlineStr"/>
      <c r="Z330" t="inlineStr">
        <is>
          <t>(AEMSA)ALMACENES ELECTRICOS MADRILE</t>
        </is>
      </c>
      <c r="AA330" t="inlineStr">
        <is>
          <t>OTROS FABRICANTES</t>
        </is>
      </c>
      <c r="AB330" t="inlineStr">
        <is>
          <t>1359900000500</t>
        </is>
      </c>
      <c r="AC330" t="inlineStr"/>
      <c r="AD330" s="164" t="n">
        <v>0</v>
      </c>
      <c r="AE330" s="185" t="n">
        <v>0</v>
      </c>
      <c r="AG330" s="167" t="inlineStr">
        <is>
          <t>7218|JA2582_1001</t>
        </is>
      </c>
      <c r="AH330" s="46">
        <f>IF(M330=0,"-",M330-J330)</f>
        <v/>
      </c>
      <c r="AI330" s="46">
        <f>IF(AND(S330=0,M330&gt;0,L330=0),IF(AH330&gt;=120,"VERY HIGH",IF(AH330&gt;=90,"HIGH",IF(AH330&gt;=60,"MEDIUM",IF(AH330&lt;60,"LOW")))),"-")</f>
        <v/>
      </c>
      <c r="AJ330" s="12" t="n"/>
      <c r="AK330" s="41">
        <f>IF(AND(W330="X",M330&lt;=$AJ$2),"YES","")</f>
        <v/>
      </c>
      <c r="AL330" s="38">
        <f>IF(AND(W330="X",M330&lt;=$AJ$2),S330,"")</f>
        <v/>
      </c>
      <c r="AM330" s="26">
        <f>IF(AND(W330="X",M330&gt;$AJ$2),"YES","")</f>
        <v/>
      </c>
      <c r="AN330" s="89">
        <f>IF(AND(W330="X",M330&gt;$AJ$2),S330,"")</f>
        <v/>
      </c>
      <c r="AO330" s="35">
        <f>IF(AND(W330="",M330&gt;0,$AJ$2&gt;M330,L330=""),1,0)</f>
        <v/>
      </c>
      <c r="AP330" s="26">
        <f>IF(AND(AK330="YES",W330="X"),"X","")</f>
        <v/>
      </c>
      <c r="AQ330" s="28">
        <f>IF(AP330="X",100%,0%)</f>
        <v/>
      </c>
      <c r="AR330" s="25">
        <f>IF(AND(T330&gt;0,L330=""),H330,"")</f>
        <v/>
      </c>
      <c r="AS330" s="25">
        <f>IF(AND(D330&gt;0,H330=0,G330=""),1,"")</f>
        <v/>
      </c>
      <c r="AT330" s="25">
        <f>IF(G330="BLOQ",1,"")</f>
        <v/>
      </c>
      <c r="AU330" s="25">
        <f>IF(L330="BLOQ",1,"")</f>
        <v/>
      </c>
      <c r="AV330" s="25">
        <f>MONTH(F330)</f>
        <v/>
      </c>
      <c r="AW330" s="65">
        <f>IF(AP330="",100%,0%)</f>
        <v/>
      </c>
      <c r="AX330" s="23" t="n"/>
      <c r="AY330" s="24">
        <f>IF(M330=0,"",M330-$AX$2)</f>
        <v/>
      </c>
      <c r="AZ330" s="66">
        <f>IF(AND(W330="",AY330&gt;0,AY330&lt;15),1,0)</f>
        <v/>
      </c>
      <c r="BA330" s="24">
        <f>IF(AND(W330="",AY330&gt;0,AY330&lt;15),T330,"")</f>
        <v/>
      </c>
      <c r="BB330" s="87">
        <f>IF(R330&lt;Q330,"X","")</f>
        <v/>
      </c>
      <c r="BC330" s="190" t="inlineStr">
        <is>
          <t>NO</t>
        </is>
      </c>
      <c r="BD330" s="190" t="inlineStr">
        <is>
          <t>NO</t>
        </is>
      </c>
    </row>
    <row r="331" ht="15" customHeight="1" s="162">
      <c r="A331" s="7" t="n">
        <v>330</v>
      </c>
      <c r="B331" t="inlineStr">
        <is>
          <t>1359900000500</t>
        </is>
      </c>
      <c r="C331" t="inlineStr">
        <is>
          <t>COMPRA DIRECTA ELECTRICOS/ELECTRONICOS</t>
        </is>
      </c>
      <c r="D331" t="inlineStr">
        <is>
          <t>1101831775</t>
        </is>
      </c>
      <c r="E331" t="inlineStr">
        <is>
          <t>1</t>
        </is>
      </c>
      <c r="F331" s="163" t="n">
        <v>45687</v>
      </c>
      <c r="G331" t="inlineStr"/>
      <c r="H331" t="inlineStr">
        <is>
          <t>4200596514</t>
        </is>
      </c>
      <c r="I331" t="inlineStr">
        <is>
          <t>10</t>
        </is>
      </c>
      <c r="J331" s="163" t="n">
        <v>45693</v>
      </c>
      <c r="K331" s="163" t="n">
        <v>45694</v>
      </c>
      <c r="L331" t="inlineStr"/>
      <c r="M331" s="163" t="n">
        <v>45707</v>
      </c>
      <c r="N331" s="164" t="n">
        <v>30</v>
      </c>
      <c r="O331" s="164" t="n">
        <v>8</v>
      </c>
      <c r="P331" t="inlineStr">
        <is>
          <t>Liberado</t>
        </is>
      </c>
      <c r="Q331" s="165" t="n">
        <v>1</v>
      </c>
      <c r="R331" s="165" t="n">
        <v>1</v>
      </c>
      <c r="S331" s="165" t="n">
        <v>1</v>
      </c>
      <c r="T331" s="165" t="n">
        <v>0</v>
      </c>
      <c r="U331" s="166" t="n">
        <v>0</v>
      </c>
      <c r="V331" s="166" t="n">
        <v>0</v>
      </c>
      <c r="W331" t="inlineStr">
        <is>
          <t>X</t>
        </is>
      </c>
      <c r="X331" t="inlineStr">
        <is>
          <t>0.00</t>
        </is>
      </c>
      <c r="Y331" t="inlineStr"/>
      <c r="Z331" t="inlineStr">
        <is>
          <t>SARVER S.L.</t>
        </is>
      </c>
      <c r="AA331" t="inlineStr">
        <is>
          <t>OTROS FABRICANTES</t>
        </is>
      </c>
      <c r="AB331" t="inlineStr">
        <is>
          <t>1359900000500</t>
        </is>
      </c>
      <c r="AC331" t="inlineStr"/>
      <c r="AD331" s="164" t="n">
        <v>0</v>
      </c>
      <c r="AE331" s="185" t="n">
        <v>0</v>
      </c>
      <c r="AG331" s="167" t="inlineStr">
        <is>
          <t>7218|JA2593_1001</t>
        </is>
      </c>
      <c r="AH331" s="46">
        <f>IF(M331=0,"-",M331-J331)</f>
        <v/>
      </c>
      <c r="AI331" s="46">
        <f>IF(AND(S331=0,M331&gt;0,L331=0),IF(AH331&gt;=120,"VERY HIGH",IF(AH331&gt;=90,"HIGH",IF(AH331&gt;=60,"MEDIUM",IF(AH331&lt;60,"LOW")))),"-")</f>
        <v/>
      </c>
      <c r="AJ331" s="12" t="n"/>
      <c r="AK331" s="41">
        <f>IF(AND(W331="X",M331&lt;=$AJ$2),"YES","")</f>
        <v/>
      </c>
      <c r="AL331" s="38">
        <f>IF(AND(W331="X",M331&lt;=$AJ$2),S331,"")</f>
        <v/>
      </c>
      <c r="AM331" s="26">
        <f>IF(AND(W331="X",M331&gt;$AJ$2),"YES","")</f>
        <v/>
      </c>
      <c r="AN331" s="89">
        <f>IF(AND(W331="X",M331&gt;$AJ$2),S331,"")</f>
        <v/>
      </c>
      <c r="AO331" s="35">
        <f>IF(AND(W331="",M331&gt;0,$AJ$2&gt;M331,L331=""),1,0)</f>
        <v/>
      </c>
      <c r="AP331" s="26">
        <f>IF(AND(AK331="YES",W331="X"),"X","")</f>
        <v/>
      </c>
      <c r="AQ331" s="28">
        <f>IF(AP331="X",100%,0%)</f>
        <v/>
      </c>
      <c r="AR331" s="25">
        <f>IF(AND(T331&gt;0,L331=""),H331,"")</f>
        <v/>
      </c>
      <c r="AS331" s="25">
        <f>IF(AND(D331&gt;0,H331=0,G331=""),1,"")</f>
        <v/>
      </c>
      <c r="AT331" s="25">
        <f>IF(G331="BLOQ",1,"")</f>
        <v/>
      </c>
      <c r="AU331" s="25">
        <f>IF(L331="BLOQ",1,"")</f>
        <v/>
      </c>
      <c r="AV331" s="25">
        <f>MONTH(F331)</f>
        <v/>
      </c>
      <c r="AW331" s="65">
        <f>IF(AP331="",100%,0%)</f>
        <v/>
      </c>
      <c r="AX331" s="23" t="n"/>
      <c r="AY331" s="24">
        <f>IF(M331=0,"",M331-$AX$2)</f>
        <v/>
      </c>
      <c r="AZ331" s="66">
        <f>IF(AND(W331="",AY331&gt;0,AY331&lt;15),1,0)</f>
        <v/>
      </c>
      <c r="BA331" s="24">
        <f>IF(AND(W331="",AY331&gt;0,AY331&lt;15),T331,"")</f>
        <v/>
      </c>
      <c r="BB331" s="87">
        <f>IF(R331&lt;Q331,"X","")</f>
        <v/>
      </c>
      <c r="BC331" s="190" t="inlineStr">
        <is>
          <t>NO</t>
        </is>
      </c>
      <c r="BD331" s="190" t="inlineStr">
        <is>
          <t>NO</t>
        </is>
      </c>
    </row>
    <row r="332" ht="15" customHeight="1" s="162">
      <c r="A332" s="7" t="n">
        <v>331</v>
      </c>
      <c r="B332" t="inlineStr">
        <is>
          <t>1359900000500</t>
        </is>
      </c>
      <c r="C332" t="inlineStr">
        <is>
          <t>COMPRA DIRECTA ELECTRICOS/ELECTRONICOS</t>
        </is>
      </c>
      <c r="D332" t="inlineStr">
        <is>
          <t>1101831775</t>
        </is>
      </c>
      <c r="E332" t="inlineStr">
        <is>
          <t>2</t>
        </is>
      </c>
      <c r="F332" s="163" t="n">
        <v>45687</v>
      </c>
      <c r="G332" t="inlineStr"/>
      <c r="H332" t="inlineStr">
        <is>
          <t>4200596514</t>
        </is>
      </c>
      <c r="I332" t="inlineStr">
        <is>
          <t>20</t>
        </is>
      </c>
      <c r="J332" s="163" t="n">
        <v>45693</v>
      </c>
      <c r="K332" s="163" t="n">
        <v>45694</v>
      </c>
      <c r="L332" t="inlineStr"/>
      <c r="M332" s="163" t="n">
        <v>45707</v>
      </c>
      <c r="N332" s="164" t="n">
        <v>30</v>
      </c>
      <c r="O332" s="164" t="n">
        <v>8</v>
      </c>
      <c r="P332" t="inlineStr">
        <is>
          <t>Liberado</t>
        </is>
      </c>
      <c r="Q332" s="165" t="n">
        <v>1</v>
      </c>
      <c r="R332" s="165" t="n">
        <v>1</v>
      </c>
      <c r="S332" s="165" t="n">
        <v>1</v>
      </c>
      <c r="T332" s="165" t="n">
        <v>0</v>
      </c>
      <c r="U332" s="166" t="n">
        <v>0</v>
      </c>
      <c r="V332" s="166" t="n">
        <v>0</v>
      </c>
      <c r="W332" t="inlineStr">
        <is>
          <t>X</t>
        </is>
      </c>
      <c r="X332" t="inlineStr">
        <is>
          <t>0.00</t>
        </is>
      </c>
      <c r="Y332" t="inlineStr"/>
      <c r="Z332" t="inlineStr">
        <is>
          <t>SARVER S.L.</t>
        </is>
      </c>
      <c r="AA332" t="inlineStr">
        <is>
          <t>OTROS FABRICANTES</t>
        </is>
      </c>
      <c r="AB332" t="inlineStr">
        <is>
          <t>1359900000500</t>
        </is>
      </c>
      <c r="AC332" t="inlineStr"/>
      <c r="AD332" s="164" t="n">
        <v>0</v>
      </c>
      <c r="AE332" s="185" t="n">
        <v>0</v>
      </c>
      <c r="AG332" s="167" t="inlineStr">
        <is>
          <t>7218|JA2593_1001</t>
        </is>
      </c>
      <c r="AH332" s="46">
        <f>IF(M332=0,"-",M332-J332)</f>
        <v/>
      </c>
      <c r="AI332" s="46">
        <f>IF(AND(S332=0,M332&gt;0,L332=0),IF(AH332&gt;=120,"VERY HIGH",IF(AH332&gt;=90,"HIGH",IF(AH332&gt;=60,"MEDIUM",IF(AH332&lt;60,"LOW")))),"-")</f>
        <v/>
      </c>
      <c r="AJ332" s="12" t="n"/>
      <c r="AK332" s="41">
        <f>IF(AND(W332="X",M332&lt;=$AJ$2),"YES","")</f>
        <v/>
      </c>
      <c r="AL332" s="38">
        <f>IF(AND(W332="X",M332&lt;=$AJ$2),S332,"")</f>
        <v/>
      </c>
      <c r="AM332" s="26">
        <f>IF(AND(W332="X",M332&gt;$AJ$2),"YES","")</f>
        <v/>
      </c>
      <c r="AN332" s="89">
        <f>IF(AND(W332="X",M332&gt;$AJ$2),S332,"")</f>
        <v/>
      </c>
      <c r="AO332" s="35">
        <f>IF(AND(W332="",M332&gt;0,$AJ$2&gt;M332,L332=""),1,0)</f>
        <v/>
      </c>
      <c r="AP332" s="26">
        <f>IF(AND(AK332="YES",W332="X"),"X","")</f>
        <v/>
      </c>
      <c r="AQ332" s="28">
        <f>IF(AP332="X",100%,0%)</f>
        <v/>
      </c>
      <c r="AR332" s="25">
        <f>IF(AND(T332&gt;0,L332=""),H332,"")</f>
        <v/>
      </c>
      <c r="AS332" s="25">
        <f>IF(AND(D332&gt;0,H332=0,G332=""),1,"")</f>
        <v/>
      </c>
      <c r="AT332" s="25">
        <f>IF(G332="BLOQ",1,"")</f>
        <v/>
      </c>
      <c r="AU332" s="25">
        <f>IF(L332="BLOQ",1,"")</f>
        <v/>
      </c>
      <c r="AV332" s="25">
        <f>MONTH(F332)</f>
        <v/>
      </c>
      <c r="AW332" s="65">
        <f>IF(AP332="",100%,0%)</f>
        <v/>
      </c>
      <c r="AX332" s="23" t="n"/>
      <c r="AY332" s="24">
        <f>IF(M332=0,"",M332-$AX$2)</f>
        <v/>
      </c>
      <c r="AZ332" s="66">
        <f>IF(AND(W332="",AY332&gt;0,AY332&lt;15),1,0)</f>
        <v/>
      </c>
      <c r="BA332" s="24">
        <f>IF(AND(W332="",AY332&gt;0,AY332&lt;15),T332,"")</f>
        <v/>
      </c>
      <c r="BB332" s="87">
        <f>IF(R332&lt;Q332,"X","")</f>
        <v/>
      </c>
      <c r="BC332" s="190" t="inlineStr">
        <is>
          <t>NO</t>
        </is>
      </c>
      <c r="BD332" s="190" t="inlineStr">
        <is>
          <t>NO</t>
        </is>
      </c>
    </row>
    <row r="333" ht="15" customHeight="1" s="162">
      <c r="A333" s="7" t="n">
        <v>332</v>
      </c>
      <c r="B333" t="inlineStr">
        <is>
          <t>1359900000500</t>
        </is>
      </c>
      <c r="C333" t="inlineStr">
        <is>
          <t>COMPRA DIRECTA ELECTRICOS/ELECTRONICOS</t>
        </is>
      </c>
      <c r="D333" t="inlineStr">
        <is>
          <t>1101831775</t>
        </is>
      </c>
      <c r="E333" t="inlineStr">
        <is>
          <t>3</t>
        </is>
      </c>
      <c r="F333" s="163" t="n">
        <v>45687</v>
      </c>
      <c r="G333" t="inlineStr"/>
      <c r="H333" t="inlineStr">
        <is>
          <t>4200596514</t>
        </is>
      </c>
      <c r="I333" t="inlineStr">
        <is>
          <t>30</t>
        </is>
      </c>
      <c r="J333" s="163" t="n">
        <v>45693</v>
      </c>
      <c r="K333" s="163" t="n">
        <v>45694</v>
      </c>
      <c r="L333" t="inlineStr"/>
      <c r="M333" s="163" t="n">
        <v>45707</v>
      </c>
      <c r="N333" s="164" t="n">
        <v>30</v>
      </c>
      <c r="O333" s="164" t="n">
        <v>8</v>
      </c>
      <c r="P333" t="inlineStr">
        <is>
          <t>Liberado</t>
        </is>
      </c>
      <c r="Q333" s="165" t="n">
        <v>1</v>
      </c>
      <c r="R333" s="165" t="n">
        <v>1</v>
      </c>
      <c r="S333" s="165" t="n">
        <v>1</v>
      </c>
      <c r="T333" s="165" t="n">
        <v>0</v>
      </c>
      <c r="U333" s="166" t="n">
        <v>0</v>
      </c>
      <c r="V333" s="166" t="n">
        <v>0</v>
      </c>
      <c r="W333" t="inlineStr">
        <is>
          <t>X</t>
        </is>
      </c>
      <c r="X333" t="inlineStr">
        <is>
          <t>0.00</t>
        </is>
      </c>
      <c r="Y333" t="inlineStr"/>
      <c r="Z333" t="inlineStr">
        <is>
          <t>SARVER S.L.</t>
        </is>
      </c>
      <c r="AA333" t="inlineStr">
        <is>
          <t>OTROS FABRICANTES</t>
        </is>
      </c>
      <c r="AB333" t="inlineStr">
        <is>
          <t>1359900000500</t>
        </is>
      </c>
      <c r="AC333" t="inlineStr"/>
      <c r="AD333" s="164" t="n">
        <v>0</v>
      </c>
      <c r="AE333" s="185" t="n">
        <v>0</v>
      </c>
      <c r="AG333" s="167" t="inlineStr">
        <is>
          <t>7218|JA2593_1001</t>
        </is>
      </c>
      <c r="AH333" s="46">
        <f>IF(M333=0,"-",M333-J333)</f>
        <v/>
      </c>
      <c r="AI333" s="46">
        <f>IF(AND(S333=0,M333&gt;0,L333=0),IF(AH333&gt;=120,"VERY HIGH",IF(AH333&gt;=90,"HIGH",IF(AH333&gt;=60,"MEDIUM",IF(AH333&lt;60,"LOW")))),"-")</f>
        <v/>
      </c>
      <c r="AJ333" s="12" t="n"/>
      <c r="AK333" s="41">
        <f>IF(AND(W333="X",M333&lt;=$AJ$2),"YES","")</f>
        <v/>
      </c>
      <c r="AL333" s="38">
        <f>IF(AND(W333="X",M333&lt;=$AJ$2),S333,"")</f>
        <v/>
      </c>
      <c r="AM333" s="26">
        <f>IF(AND(W333="X",M333&gt;$AJ$2),"YES","")</f>
        <v/>
      </c>
      <c r="AN333" s="89">
        <f>IF(AND(W333="X",M333&gt;$AJ$2),S333,"")</f>
        <v/>
      </c>
      <c r="AO333" s="35">
        <f>IF(AND(W333="",M333&gt;0,$AJ$2&gt;M333,L333=""),1,0)</f>
        <v/>
      </c>
      <c r="AP333" s="26">
        <f>IF(AND(AK333="YES",W333="X"),"X","")</f>
        <v/>
      </c>
      <c r="AQ333" s="28">
        <f>IF(AP333="X",100%,0%)</f>
        <v/>
      </c>
      <c r="AR333" s="25">
        <f>IF(AND(T333&gt;0,L333=""),H333,"")</f>
        <v/>
      </c>
      <c r="AS333" s="25">
        <f>IF(AND(D333&gt;0,H333=0,G333=""),1,"")</f>
        <v/>
      </c>
      <c r="AT333" s="25">
        <f>IF(G333="BLOQ",1,"")</f>
        <v/>
      </c>
      <c r="AU333" s="25">
        <f>IF(L333="BLOQ",1,"")</f>
        <v/>
      </c>
      <c r="AV333" s="25">
        <f>MONTH(F333)</f>
        <v/>
      </c>
      <c r="AW333" s="65">
        <f>IF(AP333="",100%,0%)</f>
        <v/>
      </c>
      <c r="AX333" s="23" t="n"/>
      <c r="AY333" s="24">
        <f>IF(M333=0,"",M333-$AX$2)</f>
        <v/>
      </c>
      <c r="AZ333" s="66">
        <f>IF(AND(W333="",AY333&gt;0,AY333&lt;15),1,0)</f>
        <v/>
      </c>
      <c r="BA333" s="24">
        <f>IF(AND(W333="",AY333&gt;0,AY333&lt;15),T333,"")</f>
        <v/>
      </c>
      <c r="BB333" s="87">
        <f>IF(R333&lt;Q333,"X","")</f>
        <v/>
      </c>
      <c r="BC333" s="190" t="inlineStr">
        <is>
          <t>NO</t>
        </is>
      </c>
      <c r="BD333" s="190" t="inlineStr">
        <is>
          <t>NO</t>
        </is>
      </c>
    </row>
    <row r="334" ht="15" customHeight="1" s="162">
      <c r="A334" s="7" t="n">
        <v>333</v>
      </c>
      <c r="B334" t="inlineStr">
        <is>
          <t>1359900000500</t>
        </is>
      </c>
      <c r="C334" t="inlineStr">
        <is>
          <t>COMPRA DIRECTA ELECTRICOS/ELECTRONICOS</t>
        </is>
      </c>
      <c r="D334" t="inlineStr">
        <is>
          <t>1101831788</t>
        </is>
      </c>
      <c r="E334" t="inlineStr">
        <is>
          <t>1</t>
        </is>
      </c>
      <c r="F334" s="163" t="n">
        <v>45687</v>
      </c>
      <c r="G334" t="inlineStr"/>
      <c r="H334" t="inlineStr">
        <is>
          <t>4200596803</t>
        </is>
      </c>
      <c r="I334" t="inlineStr">
        <is>
          <t>10</t>
        </is>
      </c>
      <c r="J334" s="163" t="n">
        <v>45695</v>
      </c>
      <c r="K334" s="163" t="n">
        <v>45695</v>
      </c>
      <c r="L334" t="inlineStr"/>
      <c r="M334" s="163" t="n">
        <v>45709</v>
      </c>
      <c r="N334" s="164" t="n">
        <v>30</v>
      </c>
      <c r="O334" s="164" t="n">
        <v>8</v>
      </c>
      <c r="P334" t="inlineStr">
        <is>
          <t>Liberado</t>
        </is>
      </c>
      <c r="Q334" s="165" t="n">
        <v>1</v>
      </c>
      <c r="R334" s="165" t="n">
        <v>1</v>
      </c>
      <c r="S334" s="165" t="n">
        <v>1</v>
      </c>
      <c r="T334" s="165" t="n">
        <v>0</v>
      </c>
      <c r="U334" s="166" t="n">
        <v>0</v>
      </c>
      <c r="V334" s="166" t="n">
        <v>0</v>
      </c>
      <c r="W334" t="inlineStr">
        <is>
          <t>X</t>
        </is>
      </c>
      <c r="X334" t="inlineStr">
        <is>
          <t>0.00</t>
        </is>
      </c>
      <c r="Y334" t="inlineStr"/>
      <c r="Z334" t="inlineStr">
        <is>
          <t>SARVER S.L.</t>
        </is>
      </c>
      <c r="AA334" t="inlineStr">
        <is>
          <t>OTROS FABRICANTES</t>
        </is>
      </c>
      <c r="AB334" t="inlineStr">
        <is>
          <t>1359900000500</t>
        </is>
      </c>
      <c r="AC334" t="inlineStr"/>
      <c r="AD334" s="164" t="n">
        <v>0</v>
      </c>
      <c r="AE334" s="185" t="n">
        <v>0</v>
      </c>
      <c r="AG334" s="167" t="inlineStr">
        <is>
          <t>7218|JA2593_1001</t>
        </is>
      </c>
      <c r="AH334" s="46">
        <f>IF(M334=0,"-",M334-J334)</f>
        <v/>
      </c>
      <c r="AI334" s="46">
        <f>IF(AND(S334=0,M334&gt;0,L334=0),IF(AH334&gt;=120,"VERY HIGH",IF(AH334&gt;=90,"HIGH",IF(AH334&gt;=60,"MEDIUM",IF(AH334&lt;60,"LOW")))),"-")</f>
        <v/>
      </c>
      <c r="AJ334" s="12" t="n"/>
      <c r="AK334" s="41">
        <f>IF(AND(W334="X",M334&lt;=$AJ$2),"YES","")</f>
        <v/>
      </c>
      <c r="AL334" s="38">
        <f>IF(AND(W334="X",M334&lt;=$AJ$2),S334,"")</f>
        <v/>
      </c>
      <c r="AM334" s="26">
        <f>IF(AND(W334="X",M334&gt;$AJ$2),"YES","")</f>
        <v/>
      </c>
      <c r="AN334" s="89">
        <f>IF(AND(W334="X",M334&gt;$AJ$2),S334,"")</f>
        <v/>
      </c>
      <c r="AO334" s="35">
        <f>IF(AND(W334="",M334&gt;0,$AJ$2&gt;M334,L334=""),1,0)</f>
        <v/>
      </c>
      <c r="AP334" s="26">
        <f>IF(AND(AK334="YES",W334="X"),"X","")</f>
        <v/>
      </c>
      <c r="AQ334" s="28">
        <f>IF(AP334="X",100%,0%)</f>
        <v/>
      </c>
      <c r="AR334" s="25">
        <f>IF(AND(T334&gt;0,L334=""),H334,"")</f>
        <v/>
      </c>
      <c r="AS334" s="25">
        <f>IF(AND(D334&gt;0,H334=0,G334=""),1,"")</f>
        <v/>
      </c>
      <c r="AT334" s="25">
        <f>IF(G334="BLOQ",1,"")</f>
        <v/>
      </c>
      <c r="AU334" s="25">
        <f>IF(L334="BLOQ",1,"")</f>
        <v/>
      </c>
      <c r="AV334" s="25">
        <f>MONTH(F334)</f>
        <v/>
      </c>
      <c r="AW334" s="65">
        <f>IF(AP334="",100%,0%)</f>
        <v/>
      </c>
      <c r="AX334" s="23" t="n"/>
      <c r="AY334" s="24">
        <f>IF(M334=0,"",M334-$AX$2)</f>
        <v/>
      </c>
      <c r="AZ334" s="66">
        <f>IF(AND(W334="",AY334&gt;0,AY334&lt;15),1,0)</f>
        <v/>
      </c>
      <c r="BA334" s="24">
        <f>IF(AND(W334="",AY334&gt;0,AY334&lt;15),T334,"")</f>
        <v/>
      </c>
      <c r="BB334" s="87">
        <f>IF(R334&lt;Q334,"X","")</f>
        <v/>
      </c>
      <c r="BC334" s="190" t="inlineStr">
        <is>
          <t>NO</t>
        </is>
      </c>
      <c r="BD334" s="190" t="inlineStr">
        <is>
          <t>NO</t>
        </is>
      </c>
    </row>
    <row r="335" ht="15" customHeight="1" s="162">
      <c r="A335" s="7" t="n">
        <v>334</v>
      </c>
      <c r="B335" t="inlineStr">
        <is>
          <t>1359900000500</t>
        </is>
      </c>
      <c r="C335" t="inlineStr">
        <is>
          <t>COMPRA DIRECTA ELECTRICOS/ELECTRONICOS</t>
        </is>
      </c>
      <c r="D335" t="inlineStr">
        <is>
          <t>1101831788</t>
        </is>
      </c>
      <c r="E335" t="inlineStr">
        <is>
          <t>2</t>
        </is>
      </c>
      <c r="F335" s="163" t="n">
        <v>45687</v>
      </c>
      <c r="G335" t="inlineStr"/>
      <c r="H335" t="inlineStr">
        <is>
          <t>4200596803</t>
        </is>
      </c>
      <c r="I335" t="inlineStr">
        <is>
          <t>20</t>
        </is>
      </c>
      <c r="J335" s="163" t="n">
        <v>45695</v>
      </c>
      <c r="K335" s="163" t="n">
        <v>45695</v>
      </c>
      <c r="L335" t="inlineStr"/>
      <c r="M335" s="163" t="n">
        <v>45709</v>
      </c>
      <c r="N335" s="164" t="n">
        <v>30</v>
      </c>
      <c r="O335" s="164" t="n">
        <v>8</v>
      </c>
      <c r="P335" t="inlineStr">
        <is>
          <t>Liberado</t>
        </is>
      </c>
      <c r="Q335" s="165" t="n">
        <v>1</v>
      </c>
      <c r="R335" s="165" t="n">
        <v>1</v>
      </c>
      <c r="S335" s="165" t="n">
        <v>1</v>
      </c>
      <c r="T335" s="165" t="n">
        <v>0</v>
      </c>
      <c r="U335" s="166" t="n">
        <v>0</v>
      </c>
      <c r="V335" s="166" t="n">
        <v>0</v>
      </c>
      <c r="W335" t="inlineStr">
        <is>
          <t>X</t>
        </is>
      </c>
      <c r="X335" t="inlineStr">
        <is>
          <t>0.00</t>
        </is>
      </c>
      <c r="Y335" t="inlineStr"/>
      <c r="Z335" t="inlineStr">
        <is>
          <t>SARVER S.L.</t>
        </is>
      </c>
      <c r="AA335" t="inlineStr">
        <is>
          <t>OTROS FABRICANTES</t>
        </is>
      </c>
      <c r="AB335" t="inlineStr">
        <is>
          <t>1359900000500</t>
        </is>
      </c>
      <c r="AC335" t="inlineStr"/>
      <c r="AD335" s="164" t="n">
        <v>0</v>
      </c>
      <c r="AE335" s="185" t="n">
        <v>0</v>
      </c>
      <c r="AG335" s="167" t="inlineStr">
        <is>
          <t>7218|JA2593_1001</t>
        </is>
      </c>
      <c r="AH335" s="46">
        <f>IF(M335=0,"-",M335-J335)</f>
        <v/>
      </c>
      <c r="AI335" s="46">
        <f>IF(AND(S335=0,M335&gt;0,L335=0),IF(AH335&gt;=120,"VERY HIGH",IF(AH335&gt;=90,"HIGH",IF(AH335&gt;=60,"MEDIUM",IF(AH335&lt;60,"LOW")))),"-")</f>
        <v/>
      </c>
      <c r="AJ335" s="12" t="n"/>
      <c r="AK335" s="41">
        <f>IF(AND(W335="X",M335&lt;=$AJ$2),"YES","")</f>
        <v/>
      </c>
      <c r="AL335" s="38">
        <f>IF(AND(W335="X",M335&lt;=$AJ$2),S335,"")</f>
        <v/>
      </c>
      <c r="AM335" s="26">
        <f>IF(AND(W335="X",M335&gt;$AJ$2),"YES","")</f>
        <v/>
      </c>
      <c r="AN335" s="89">
        <f>IF(AND(W335="X",M335&gt;$AJ$2),S335,"")</f>
        <v/>
      </c>
      <c r="AO335" s="35">
        <f>IF(AND(W335="",M335&gt;0,$AJ$2&gt;M335,L335=""),1,0)</f>
        <v/>
      </c>
      <c r="AP335" s="26">
        <f>IF(AND(AK335="YES",W335="X"),"X","")</f>
        <v/>
      </c>
      <c r="AQ335" s="28">
        <f>IF(AP335="X",100%,0%)</f>
        <v/>
      </c>
      <c r="AR335" s="25">
        <f>IF(AND(T335&gt;0,L335=""),H335,"")</f>
        <v/>
      </c>
      <c r="AS335" s="25">
        <f>IF(AND(D335&gt;0,H335=0,G335=""),1,"")</f>
        <v/>
      </c>
      <c r="AT335" s="25">
        <f>IF(G335="BLOQ",1,"")</f>
        <v/>
      </c>
      <c r="AU335" s="25">
        <f>IF(L335="BLOQ",1,"")</f>
        <v/>
      </c>
      <c r="AV335" s="25">
        <f>MONTH(F335)</f>
        <v/>
      </c>
      <c r="AW335" s="65">
        <f>IF(AP335="",100%,0%)</f>
        <v/>
      </c>
      <c r="AX335" s="23" t="n"/>
      <c r="AY335" s="24">
        <f>IF(M335=0,"",M335-$AX$2)</f>
        <v/>
      </c>
      <c r="AZ335" s="66">
        <f>IF(AND(W335="",AY335&gt;0,AY335&lt;15),1,0)</f>
        <v/>
      </c>
      <c r="BA335" s="24">
        <f>IF(AND(W335="",AY335&gt;0,AY335&lt;15),T335,"")</f>
        <v/>
      </c>
      <c r="BB335" s="87">
        <f>IF(R335&lt;Q335,"X","")</f>
        <v/>
      </c>
      <c r="BC335" s="190" t="inlineStr">
        <is>
          <t>NO</t>
        </is>
      </c>
      <c r="BD335" s="190" t="inlineStr">
        <is>
          <t>NO</t>
        </is>
      </c>
    </row>
    <row r="336" ht="15" customHeight="1" s="162">
      <c r="A336" s="7" t="n">
        <v>335</v>
      </c>
      <c r="B336" t="inlineStr">
        <is>
          <t>39121412</t>
        </is>
      </c>
      <c r="C336" t="inlineStr">
        <is>
          <t>Carcasa de conector circular Amphenol Li</t>
        </is>
      </c>
      <c r="D336" t="inlineStr">
        <is>
          <t>1101832041</t>
        </is>
      </c>
      <c r="E336" t="inlineStr">
        <is>
          <t>1</t>
        </is>
      </c>
      <c r="F336" s="163" t="n">
        <v>45688</v>
      </c>
      <c r="G336" t="inlineStr"/>
      <c r="H336" t="inlineStr">
        <is>
          <t>4800002853</t>
        </is>
      </c>
      <c r="I336" t="inlineStr">
        <is>
          <t>400</t>
        </is>
      </c>
      <c r="J336" s="163" t="n">
        <v>45687</v>
      </c>
      <c r="K336" s="163" t="inlineStr"/>
      <c r="L336" t="inlineStr"/>
      <c r="M336" s="163" t="n">
        <v>45689</v>
      </c>
      <c r="N336" s="164" t="n">
        <v>0</v>
      </c>
      <c r="O336" s="164" t="n">
        <v>0</v>
      </c>
      <c r="P336" t="inlineStr"/>
      <c r="Q336" s="165" t="n">
        <v>1</v>
      </c>
      <c r="R336" s="165" t="n">
        <v>1</v>
      </c>
      <c r="S336" s="165" t="n">
        <v>1</v>
      </c>
      <c r="T336" s="165" t="n">
        <v>0</v>
      </c>
      <c r="U336" s="166" t="n">
        <v>0</v>
      </c>
      <c r="V336" s="166" t="n">
        <v>0</v>
      </c>
      <c r="W336" t="inlineStr">
        <is>
          <t>X</t>
        </is>
      </c>
      <c r="X336" t="inlineStr">
        <is>
          <t>0.00</t>
        </is>
      </c>
      <c r="Y336" t="inlineStr"/>
      <c r="Z336" t="inlineStr">
        <is>
          <t>AMIDATA, S.A.</t>
        </is>
      </c>
      <c r="AA336" t="inlineStr"/>
      <c r="AB336" t="inlineStr">
        <is>
          <t>2259368</t>
        </is>
      </c>
      <c r="AC336" t="inlineStr"/>
      <c r="AD336" s="164" t="n">
        <v>0</v>
      </c>
      <c r="AE336" s="185" t="n">
        <v>0</v>
      </c>
      <c r="AG336" s="167" t="inlineStr">
        <is>
          <t>7218|JA2585_1001</t>
        </is>
      </c>
      <c r="AH336" s="46">
        <f>IF(M336=0,"-",M336-J336)</f>
        <v/>
      </c>
      <c r="AI336" s="46">
        <f>IF(AND(S336=0,M336&gt;0,L336=0),IF(AH336&gt;=120,"VERY HIGH",IF(AH336&gt;=90,"HIGH",IF(AH336&gt;=60,"MEDIUM",IF(AH336&lt;60,"LOW")))),"-")</f>
        <v/>
      </c>
      <c r="AJ336" s="12" t="n"/>
      <c r="AK336" s="41">
        <f>IF(AND(W336="X",M336&lt;=$AJ$2),"YES","")</f>
        <v/>
      </c>
      <c r="AL336" s="38">
        <f>IF(AND(W336="X",M336&lt;=$AJ$2),S336,"")</f>
        <v/>
      </c>
      <c r="AM336" s="26">
        <f>IF(AND(W336="X",M336&gt;$AJ$2),"YES","")</f>
        <v/>
      </c>
      <c r="AN336" s="89">
        <f>IF(AND(W336="X",M336&gt;$AJ$2),S336,"")</f>
        <v/>
      </c>
      <c r="AO336" s="35">
        <f>IF(AND(W336="",M336&gt;0,$AJ$2&gt;M336,L336=""),1,0)</f>
        <v/>
      </c>
      <c r="AP336" s="26">
        <f>IF(AND(AK336="YES",W336="X"),"X","")</f>
        <v/>
      </c>
      <c r="AQ336" s="28">
        <f>IF(AP336="X",100%,0%)</f>
        <v/>
      </c>
      <c r="AR336" s="25">
        <f>IF(AND(T336&gt;0,L336=""),H336,"")</f>
        <v/>
      </c>
      <c r="AS336" s="25">
        <f>IF(AND(D336&gt;0,H336=0,G336=""),1,"")</f>
        <v/>
      </c>
      <c r="AT336" s="25">
        <f>IF(G336="BLOQ",1,"")</f>
        <v/>
      </c>
      <c r="AU336" s="25">
        <f>IF(L336="BLOQ",1,"")</f>
        <v/>
      </c>
      <c r="AV336" s="25">
        <f>MONTH(F336)</f>
        <v/>
      </c>
      <c r="AW336" s="65">
        <f>IF(AP336="",100%,0%)</f>
        <v/>
      </c>
      <c r="AX336" s="23" t="n"/>
      <c r="AY336" s="24">
        <f>IF(M336=0,"",M336-$AX$2)</f>
        <v/>
      </c>
      <c r="AZ336" s="66">
        <f>IF(AND(W336="",AY336&gt;0,AY336&lt;15),1,0)</f>
        <v/>
      </c>
      <c r="BA336" s="24">
        <f>IF(AND(W336="",AY336&gt;0,AY336&lt;15),T336,"")</f>
        <v/>
      </c>
      <c r="BB336" s="87">
        <f>IF(R336&lt;Q336,"X","")</f>
        <v/>
      </c>
      <c r="BC336" s="190" t="inlineStr">
        <is>
          <t>NO</t>
        </is>
      </c>
      <c r="BD336" s="190" t="inlineStr">
        <is>
          <t>NO</t>
        </is>
      </c>
    </row>
    <row r="337" ht="15" customHeight="1" s="162">
      <c r="A337" s="7" t="n">
        <v>336</v>
      </c>
      <c r="B337" t="inlineStr">
        <is>
          <t>55121612</t>
        </is>
      </c>
      <c r="C337" t="inlineStr">
        <is>
          <t>TMS-SCE-3/16-2.0-9</t>
        </is>
      </c>
      <c r="D337" t="inlineStr">
        <is>
          <t>1101832041</t>
        </is>
      </c>
      <c r="E337" t="inlineStr">
        <is>
          <t>2</t>
        </is>
      </c>
      <c r="F337" s="163" t="n">
        <v>45688</v>
      </c>
      <c r="G337" t="inlineStr"/>
      <c r="H337" t="inlineStr">
        <is>
          <t>4800002853</t>
        </is>
      </c>
      <c r="I337" t="inlineStr">
        <is>
          <t>410</t>
        </is>
      </c>
      <c r="J337" s="163" t="n">
        <v>45687</v>
      </c>
      <c r="K337" s="163" t="inlineStr"/>
      <c r="L337" t="inlineStr"/>
      <c r="M337" s="163" t="n">
        <v>45689</v>
      </c>
      <c r="N337" s="164" t="n">
        <v>0</v>
      </c>
      <c r="O337" s="164" t="n">
        <v>0</v>
      </c>
      <c r="P337" t="inlineStr"/>
      <c r="Q337" s="165" t="n">
        <v>1000</v>
      </c>
      <c r="R337" s="165" t="n">
        <v>1000</v>
      </c>
      <c r="S337" s="165" t="n">
        <v>1000</v>
      </c>
      <c r="T337" s="165" t="n">
        <v>0</v>
      </c>
      <c r="U337" s="166" t="n">
        <v>0</v>
      </c>
      <c r="V337" s="166" t="n">
        <v>0</v>
      </c>
      <c r="W337" t="inlineStr">
        <is>
          <t>X</t>
        </is>
      </c>
      <c r="X337" t="inlineStr">
        <is>
          <t>0.00</t>
        </is>
      </c>
      <c r="Y337" t="inlineStr"/>
      <c r="Z337" t="inlineStr">
        <is>
          <t>AMIDATA, S.A.</t>
        </is>
      </c>
      <c r="AA337" t="inlineStr"/>
      <c r="AB337" t="inlineStr">
        <is>
          <t>2657051</t>
        </is>
      </c>
      <c r="AC337" t="inlineStr"/>
      <c r="AD337" s="164" t="n">
        <v>0</v>
      </c>
      <c r="AE337" s="185" t="n">
        <v>0</v>
      </c>
      <c r="AG337" s="167" t="inlineStr">
        <is>
          <t>7218|JA2585_1001</t>
        </is>
      </c>
      <c r="AH337" s="46">
        <f>IF(M337=0,"-",M337-J337)</f>
        <v/>
      </c>
      <c r="AI337" s="46">
        <f>IF(AND(S337=0,M337&gt;0,L337=0),IF(AH337&gt;=120,"VERY HIGH",IF(AH337&gt;=90,"HIGH",IF(AH337&gt;=60,"MEDIUM",IF(AH337&lt;60,"LOW")))),"-")</f>
        <v/>
      </c>
      <c r="AJ337" s="12" t="n"/>
      <c r="AK337" s="41">
        <f>IF(AND(W337="X",M337&lt;=$AJ$2),"YES","")</f>
        <v/>
      </c>
      <c r="AL337" s="38">
        <f>IF(AND(W337="X",M337&lt;=$AJ$2),S337,"")</f>
        <v/>
      </c>
      <c r="AM337" s="26">
        <f>IF(AND(W337="X",M337&gt;$AJ$2),"YES","")</f>
        <v/>
      </c>
      <c r="AN337" s="89">
        <f>IF(AND(W337="X",M337&gt;$AJ$2),S337,"")</f>
        <v/>
      </c>
      <c r="AO337" s="35">
        <f>IF(AND(W337="",M337&gt;0,$AJ$2&gt;M337,L337=""),1,0)</f>
        <v/>
      </c>
      <c r="AP337" s="26">
        <f>IF(AND(AK337="YES",W337="X"),"X","")</f>
        <v/>
      </c>
      <c r="AQ337" s="28">
        <f>IF(AP337="X",100%,0%)</f>
        <v/>
      </c>
      <c r="AR337" s="25">
        <f>IF(AND(T337&gt;0,L337=""),H337,"")</f>
        <v/>
      </c>
      <c r="AS337" s="25">
        <f>IF(AND(D337&gt;0,H337=0,G337=""),1,"")</f>
        <v/>
      </c>
      <c r="AT337" s="25">
        <f>IF(G337="BLOQ",1,"")</f>
        <v/>
      </c>
      <c r="AU337" s="25">
        <f>IF(L337="BLOQ",1,"")</f>
        <v/>
      </c>
      <c r="AV337" s="25">
        <f>MONTH(F337)</f>
        <v/>
      </c>
      <c r="AW337" s="65">
        <f>IF(AP337="",100%,0%)</f>
        <v/>
      </c>
      <c r="AX337" s="23" t="n"/>
      <c r="AY337" s="24">
        <f>IF(M337=0,"",M337-$AX$2)</f>
        <v/>
      </c>
      <c r="AZ337" s="66">
        <f>IF(AND(W337="",AY337&gt;0,AY337&lt;15),1,0)</f>
        <v/>
      </c>
      <c r="BA337" s="24">
        <f>IF(AND(W337="",AY337&gt;0,AY337&lt;15),T337,"")</f>
        <v/>
      </c>
      <c r="BB337" s="87">
        <f>IF(R337&lt;Q337,"X","")</f>
        <v/>
      </c>
      <c r="BC337" s="190" t="inlineStr">
        <is>
          <t>NO</t>
        </is>
      </c>
      <c r="BD337" s="190" t="inlineStr">
        <is>
          <t>NO</t>
        </is>
      </c>
    </row>
    <row r="338" ht="15" customHeight="1" s="162">
      <c r="A338" s="7" t="n">
        <v>337</v>
      </c>
      <c r="B338" t="inlineStr">
        <is>
          <t>55121611</t>
        </is>
      </c>
      <c r="C338" t="inlineStr">
        <is>
          <t>Etiquetas termorretr&amp;#225;ctiles TE Conn</t>
        </is>
      </c>
      <c r="D338" t="inlineStr">
        <is>
          <t>1101832041</t>
        </is>
      </c>
      <c r="E338" t="inlineStr">
        <is>
          <t>3</t>
        </is>
      </c>
      <c r="F338" s="163" t="n">
        <v>45688</v>
      </c>
      <c r="G338" t="inlineStr"/>
      <c r="H338" t="inlineStr">
        <is>
          <t>4800002853</t>
        </is>
      </c>
      <c r="I338" t="inlineStr">
        <is>
          <t>420</t>
        </is>
      </c>
      <c r="J338" s="163" t="n">
        <v>45687</v>
      </c>
      <c r="K338" s="163" t="inlineStr"/>
      <c r="L338" t="inlineStr"/>
      <c r="M338" s="163" t="n">
        <v>45689</v>
      </c>
      <c r="N338" s="164" t="n">
        <v>0</v>
      </c>
      <c r="O338" s="164" t="n">
        <v>0</v>
      </c>
      <c r="P338" t="inlineStr"/>
      <c r="Q338" s="165" t="n">
        <v>10</v>
      </c>
      <c r="R338" s="165" t="n">
        <v>10</v>
      </c>
      <c r="S338" s="165" t="n">
        <v>10</v>
      </c>
      <c r="T338" s="165" t="n">
        <v>0</v>
      </c>
      <c r="U338" s="166" t="n">
        <v>0</v>
      </c>
      <c r="V338" s="166" t="n">
        <v>0</v>
      </c>
      <c r="W338" t="inlineStr">
        <is>
          <t>X</t>
        </is>
      </c>
      <c r="X338" t="inlineStr">
        <is>
          <t>0.00</t>
        </is>
      </c>
      <c r="Y338" t="inlineStr"/>
      <c r="Z338" t="inlineStr">
        <is>
          <t>AMIDATA, S.A.</t>
        </is>
      </c>
      <c r="AA338" t="inlineStr"/>
      <c r="AB338" t="inlineStr">
        <is>
          <t>2672556</t>
        </is>
      </c>
      <c r="AC338" t="inlineStr"/>
      <c r="AD338" s="164" t="n">
        <v>0</v>
      </c>
      <c r="AE338" s="185" t="n">
        <v>0</v>
      </c>
      <c r="AG338" s="167" t="inlineStr">
        <is>
          <t>7218|JA2585_1001</t>
        </is>
      </c>
      <c r="AH338" s="46">
        <f>IF(M338=0,"-",M338-J338)</f>
        <v/>
      </c>
      <c r="AI338" s="46">
        <f>IF(AND(S338=0,M338&gt;0,L338=0),IF(AH338&gt;=120,"VERY HIGH",IF(AH338&gt;=90,"HIGH",IF(AH338&gt;=60,"MEDIUM",IF(AH338&lt;60,"LOW")))),"-")</f>
        <v/>
      </c>
      <c r="AJ338" s="12" t="n"/>
      <c r="AK338" s="41">
        <f>IF(AND(W338="X",M338&lt;=$AJ$2),"YES","")</f>
        <v/>
      </c>
      <c r="AL338" s="38">
        <f>IF(AND(W338="X",M338&lt;=$AJ$2),S338,"")</f>
        <v/>
      </c>
      <c r="AM338" s="26">
        <f>IF(AND(W338="X",M338&gt;$AJ$2),"YES","")</f>
        <v/>
      </c>
      <c r="AN338" s="89">
        <f>IF(AND(W338="X",M338&gt;$AJ$2),S338,"")</f>
        <v/>
      </c>
      <c r="AO338" s="35">
        <f>IF(AND(W338="",M338&gt;0,$AJ$2&gt;M338,L338=""),1,0)</f>
        <v/>
      </c>
      <c r="AP338" s="26">
        <f>IF(AND(AK338="YES",W338="X"),"X","")</f>
        <v/>
      </c>
      <c r="AQ338" s="28">
        <f>IF(AP338="X",100%,0%)</f>
        <v/>
      </c>
      <c r="AR338" s="25">
        <f>IF(AND(T338&gt;0,L338=""),H338,"")</f>
        <v/>
      </c>
      <c r="AS338" s="25">
        <f>IF(AND(D338&gt;0,H338=0,G338=""),1,"")</f>
        <v/>
      </c>
      <c r="AT338" s="25">
        <f>IF(G338="BLOQ",1,"")</f>
        <v/>
      </c>
      <c r="AU338" s="25">
        <f>IF(L338="BLOQ",1,"")</f>
        <v/>
      </c>
      <c r="AV338" s="25">
        <f>MONTH(F338)</f>
        <v/>
      </c>
      <c r="AW338" s="65">
        <f>IF(AP338="",100%,0%)</f>
        <v/>
      </c>
      <c r="AX338" s="23" t="n"/>
      <c r="AY338" s="24">
        <f>IF(M338=0,"",M338-$AX$2)</f>
        <v/>
      </c>
      <c r="AZ338" s="66">
        <f>IF(AND(W338="",AY338&gt;0,AY338&lt;15),1,0)</f>
        <v/>
      </c>
      <c r="BA338" s="24">
        <f>IF(AND(W338="",AY338&gt;0,AY338&lt;15),T338,"")</f>
        <v/>
      </c>
      <c r="BB338" s="87">
        <f>IF(R338&lt;Q338,"X","")</f>
        <v/>
      </c>
      <c r="BC338" s="190" t="inlineStr">
        <is>
          <t>NO</t>
        </is>
      </c>
      <c r="BD338" s="190" t="inlineStr">
        <is>
          <t>NO</t>
        </is>
      </c>
    </row>
    <row r="339" ht="15" customHeight="1" s="162">
      <c r="A339" s="7" t="n">
        <v>338</v>
      </c>
      <c r="B339" t="inlineStr">
        <is>
          <t>32000000</t>
        </is>
      </c>
      <c r="C339" t="inlineStr">
        <is>
          <t>Conector circular MIL-C-38999 serie III</t>
        </is>
      </c>
      <c r="D339" t="inlineStr">
        <is>
          <t>1101832041</t>
        </is>
      </c>
      <c r="E339" t="inlineStr">
        <is>
          <t>4</t>
        </is>
      </c>
      <c r="F339" s="163" t="n">
        <v>45688</v>
      </c>
      <c r="G339" t="inlineStr"/>
      <c r="H339" t="inlineStr">
        <is>
          <t>4800002853</t>
        </is>
      </c>
      <c r="I339" t="inlineStr">
        <is>
          <t>430</t>
        </is>
      </c>
      <c r="J339" s="163" t="n">
        <v>45687</v>
      </c>
      <c r="K339" s="163" t="inlineStr"/>
      <c r="L339" t="inlineStr"/>
      <c r="M339" s="163" t="n">
        <v>45689</v>
      </c>
      <c r="N339" s="164" t="n">
        <v>0</v>
      </c>
      <c r="O339" s="164" t="n">
        <v>0</v>
      </c>
      <c r="P339" t="inlineStr"/>
      <c r="Q339" s="165" t="n">
        <v>2</v>
      </c>
      <c r="R339" s="165" t="n">
        <v>2</v>
      </c>
      <c r="S339" s="165" t="n">
        <v>2</v>
      </c>
      <c r="T339" s="165" t="n">
        <v>0</v>
      </c>
      <c r="U339" s="166" t="n">
        <v>0</v>
      </c>
      <c r="V339" s="166" t="n">
        <v>0</v>
      </c>
      <c r="W339" t="inlineStr">
        <is>
          <t>X</t>
        </is>
      </c>
      <c r="X339" t="inlineStr">
        <is>
          <t>0.00</t>
        </is>
      </c>
      <c r="Y339" t="inlineStr"/>
      <c r="Z339" t="inlineStr">
        <is>
          <t>AMIDATA, S.A.</t>
        </is>
      </c>
      <c r="AA339" t="inlineStr"/>
      <c r="AB339" t="inlineStr">
        <is>
          <t>2804922</t>
        </is>
      </c>
      <c r="AC339" t="inlineStr"/>
      <c r="AD339" s="164" t="n">
        <v>0</v>
      </c>
      <c r="AE339" s="185" t="n">
        <v>0</v>
      </c>
      <c r="AG339" s="167" t="inlineStr">
        <is>
          <t>7218|JA2585_1001</t>
        </is>
      </c>
      <c r="AH339" s="46">
        <f>IF(M339=0,"-",M339-J339)</f>
        <v/>
      </c>
      <c r="AI339" s="46">
        <f>IF(AND(S339=0,M339&gt;0,L339=0),IF(AH339&gt;=120,"VERY HIGH",IF(AH339&gt;=90,"HIGH",IF(AH339&gt;=60,"MEDIUM",IF(AH339&lt;60,"LOW")))),"-")</f>
        <v/>
      </c>
      <c r="AJ339" s="12" t="n"/>
      <c r="AK339" s="41">
        <f>IF(AND(W339="X",M339&lt;=$AJ$2),"YES","")</f>
        <v/>
      </c>
      <c r="AL339" s="38">
        <f>IF(AND(W339="X",M339&lt;=$AJ$2),S339,"")</f>
        <v/>
      </c>
      <c r="AM339" s="26">
        <f>IF(AND(W339="X",M339&gt;$AJ$2),"YES","")</f>
        <v/>
      </c>
      <c r="AN339" s="89">
        <f>IF(AND(W339="X",M339&gt;$AJ$2),S339,"")</f>
        <v/>
      </c>
      <c r="AO339" s="35">
        <f>IF(AND(W339="",M339&gt;0,$AJ$2&gt;M339,L339=""),1,0)</f>
        <v/>
      </c>
      <c r="AP339" s="26">
        <f>IF(AND(AK339="YES",W339="X"),"X","")</f>
        <v/>
      </c>
      <c r="AQ339" s="28">
        <f>IF(AP339="X",100%,0%)</f>
        <v/>
      </c>
      <c r="AR339" s="25">
        <f>IF(AND(T339&gt;0,L339=""),H339,"")</f>
        <v/>
      </c>
      <c r="AS339" s="25">
        <f>IF(AND(D339&gt;0,H339=0,G339=""),1,"")</f>
        <v/>
      </c>
      <c r="AT339" s="25">
        <f>IF(G339="BLOQ",1,"")</f>
        <v/>
      </c>
      <c r="AU339" s="25">
        <f>IF(L339="BLOQ",1,"")</f>
        <v/>
      </c>
      <c r="AV339" s="25">
        <f>MONTH(F339)</f>
        <v/>
      </c>
      <c r="AW339" s="65">
        <f>IF(AP339="",100%,0%)</f>
        <v/>
      </c>
      <c r="AX339" s="23" t="n"/>
      <c r="AY339" s="24">
        <f>IF(M339=0,"",M339-$AX$2)</f>
        <v/>
      </c>
      <c r="AZ339" s="66">
        <f>IF(AND(W339="",AY339&gt;0,AY339&lt;15),1,0)</f>
        <v/>
      </c>
      <c r="BA339" s="24">
        <f>IF(AND(W339="",AY339&gt;0,AY339&lt;15),T339,"")</f>
        <v/>
      </c>
      <c r="BB339" s="87">
        <f>IF(R339&lt;Q339,"X","")</f>
        <v/>
      </c>
      <c r="BC339" s="190" t="inlineStr">
        <is>
          <t>NO</t>
        </is>
      </c>
      <c r="BD339" s="190" t="inlineStr">
        <is>
          <t>NO</t>
        </is>
      </c>
    </row>
    <row r="340" ht="15" customHeight="1" s="162">
      <c r="A340" s="7" t="n">
        <v>339</v>
      </c>
      <c r="B340" t="inlineStr">
        <is>
          <t>1359900000500</t>
        </is>
      </c>
      <c r="C340" t="inlineStr">
        <is>
          <t>COMPRA DIRECTA ELECTRICOS/ELECTRONICOS</t>
        </is>
      </c>
      <c r="D340" t="inlineStr">
        <is>
          <t>1101832157</t>
        </is>
      </c>
      <c r="E340" t="inlineStr">
        <is>
          <t>1</t>
        </is>
      </c>
      <c r="F340" s="163" t="n">
        <v>45688</v>
      </c>
      <c r="G340" t="inlineStr"/>
      <c r="H340" t="inlineStr">
        <is>
          <t>4200596840</t>
        </is>
      </c>
      <c r="I340" t="inlineStr">
        <is>
          <t>30</t>
        </is>
      </c>
      <c r="J340" s="163" t="n">
        <v>45695</v>
      </c>
      <c r="K340" s="163" t="n">
        <v>45695</v>
      </c>
      <c r="L340" t="inlineStr"/>
      <c r="M340" s="163" t="n">
        <v>45709</v>
      </c>
      <c r="N340" s="164" t="n">
        <v>30</v>
      </c>
      <c r="O340" s="164" t="n">
        <v>8</v>
      </c>
      <c r="P340" t="inlineStr">
        <is>
          <t>Liberado</t>
        </is>
      </c>
      <c r="Q340" s="165" t="n">
        <v>1</v>
      </c>
      <c r="R340" s="165" t="n">
        <v>1</v>
      </c>
      <c r="S340" s="165" t="n">
        <v>1</v>
      </c>
      <c r="T340" s="165" t="n">
        <v>0</v>
      </c>
      <c r="U340" s="166" t="n">
        <v>0</v>
      </c>
      <c r="V340" s="166" t="n">
        <v>0</v>
      </c>
      <c r="W340" t="inlineStr">
        <is>
          <t>X</t>
        </is>
      </c>
      <c r="X340" t="inlineStr">
        <is>
          <t>0.00</t>
        </is>
      </c>
      <c r="Y340" t="inlineStr"/>
      <c r="Z340" t="inlineStr">
        <is>
          <t>(AEMSA)ALMACENES ELECTRICOS MADRILE</t>
        </is>
      </c>
      <c r="AA340" t="inlineStr">
        <is>
          <t>OTROS FABRICANTES</t>
        </is>
      </c>
      <c r="AB340" t="inlineStr">
        <is>
          <t>1359900000500</t>
        </is>
      </c>
      <c r="AC340" t="inlineStr"/>
      <c r="AD340" s="164" t="n">
        <v>0</v>
      </c>
      <c r="AE340" s="185" t="n">
        <v>0</v>
      </c>
      <c r="AG340" s="167" t="inlineStr">
        <is>
          <t>7218|JA2594_1001</t>
        </is>
      </c>
      <c r="AH340" s="46">
        <f>IF(M340=0,"-",M340-J340)</f>
        <v/>
      </c>
      <c r="AI340" s="46">
        <f>IF(AND(S340=0,M340&gt;0,L340=0),IF(AH340&gt;=120,"VERY HIGH",IF(AH340&gt;=90,"HIGH",IF(AH340&gt;=60,"MEDIUM",IF(AH340&lt;60,"LOW")))),"-")</f>
        <v/>
      </c>
      <c r="AJ340" s="12" t="n"/>
      <c r="AK340" s="41">
        <f>IF(AND(W340="X",M340&lt;=$AJ$2),"YES","")</f>
        <v/>
      </c>
      <c r="AL340" s="38">
        <f>IF(AND(W340="X",M340&lt;=$AJ$2),S340,"")</f>
        <v/>
      </c>
      <c r="AM340" s="26">
        <f>IF(AND(W340="X",M340&gt;$AJ$2),"YES","")</f>
        <v/>
      </c>
      <c r="AN340" s="89">
        <f>IF(AND(W340="X",M340&gt;$AJ$2),S340,"")</f>
        <v/>
      </c>
      <c r="AO340" s="35">
        <f>IF(AND(W340="",M340&gt;0,$AJ$2&gt;M340,L340=""),1,0)</f>
        <v/>
      </c>
      <c r="AP340" s="26">
        <f>IF(AND(AK340="YES",W340="X"),"X","")</f>
        <v/>
      </c>
      <c r="AQ340" s="28">
        <f>IF(AP340="X",100%,0%)</f>
        <v/>
      </c>
      <c r="AR340" s="25">
        <f>IF(AND(T340&gt;0,L340=""),H340,"")</f>
        <v/>
      </c>
      <c r="AS340" s="25">
        <f>IF(AND(D340&gt;0,H340=0,G340=""),1,"")</f>
        <v/>
      </c>
      <c r="AT340" s="25">
        <f>IF(G340="BLOQ",1,"")</f>
        <v/>
      </c>
      <c r="AU340" s="25">
        <f>IF(L340="BLOQ",1,"")</f>
        <v/>
      </c>
      <c r="AV340" s="25">
        <f>MONTH(F340)</f>
        <v/>
      </c>
      <c r="AW340" s="65">
        <f>IF(AP340="",100%,0%)</f>
        <v/>
      </c>
      <c r="AX340" s="23" t="n"/>
      <c r="AY340" s="24">
        <f>IF(M340=0,"",M340-$AX$2)</f>
        <v/>
      </c>
      <c r="AZ340" s="66">
        <f>IF(AND(W340="",AY340&gt;0,AY340&lt;15),1,0)</f>
        <v/>
      </c>
      <c r="BA340" s="24">
        <f>IF(AND(W340="",AY340&gt;0,AY340&lt;15),T340,"")</f>
        <v/>
      </c>
      <c r="BB340" s="87">
        <f>IF(R340&lt;Q340,"X","")</f>
        <v/>
      </c>
      <c r="BC340" s="190" t="inlineStr">
        <is>
          <t>NO</t>
        </is>
      </c>
      <c r="BD340" s="190" t="inlineStr">
        <is>
          <t>NO</t>
        </is>
      </c>
    </row>
    <row r="341" ht="15" customHeight="1" s="162">
      <c r="A341" s="7" t="n">
        <v>340</v>
      </c>
      <c r="B341" t="inlineStr">
        <is>
          <t>1359900000500</t>
        </is>
      </c>
      <c r="C341" t="inlineStr">
        <is>
          <t>COMPRA DIRECTA ELECTRICOS/ELECTRONICOS</t>
        </is>
      </c>
      <c r="D341" t="inlineStr">
        <is>
          <t>1101832157</t>
        </is>
      </c>
      <c r="E341" t="inlineStr">
        <is>
          <t>2</t>
        </is>
      </c>
      <c r="F341" s="163" t="n">
        <v>45688</v>
      </c>
      <c r="G341" t="inlineStr"/>
      <c r="H341" t="inlineStr">
        <is>
          <t>4200596840</t>
        </is>
      </c>
      <c r="I341" t="inlineStr">
        <is>
          <t>40</t>
        </is>
      </c>
      <c r="J341" s="163" t="n">
        <v>45695</v>
      </c>
      <c r="K341" s="163" t="n">
        <v>45695</v>
      </c>
      <c r="L341" t="inlineStr"/>
      <c r="M341" s="163" t="n">
        <v>45709</v>
      </c>
      <c r="N341" s="164" t="n">
        <v>30</v>
      </c>
      <c r="O341" s="164" t="n">
        <v>8</v>
      </c>
      <c r="P341" t="inlineStr">
        <is>
          <t>Liberado</t>
        </is>
      </c>
      <c r="Q341" s="165" t="n">
        <v>1</v>
      </c>
      <c r="R341" s="165" t="n">
        <v>1</v>
      </c>
      <c r="S341" s="165" t="n">
        <v>1</v>
      </c>
      <c r="T341" s="165" t="n">
        <v>0</v>
      </c>
      <c r="U341" s="166" t="n">
        <v>0</v>
      </c>
      <c r="V341" s="166" t="n">
        <v>0</v>
      </c>
      <c r="W341" t="inlineStr">
        <is>
          <t>X</t>
        </is>
      </c>
      <c r="X341" t="inlineStr">
        <is>
          <t>0.00</t>
        </is>
      </c>
      <c r="Y341" t="inlineStr"/>
      <c r="Z341" t="inlineStr">
        <is>
          <t>(AEMSA)ALMACENES ELECTRICOS MADRILE</t>
        </is>
      </c>
      <c r="AA341" t="inlineStr">
        <is>
          <t>OTROS FABRICANTES</t>
        </is>
      </c>
      <c r="AB341" t="inlineStr">
        <is>
          <t>1359900000500</t>
        </is>
      </c>
      <c r="AC341" t="inlineStr"/>
      <c r="AD341" s="164" t="n">
        <v>0</v>
      </c>
      <c r="AE341" s="185" t="n">
        <v>0</v>
      </c>
      <c r="AG341" s="167" t="inlineStr">
        <is>
          <t>7218|JA2594_1001</t>
        </is>
      </c>
      <c r="AH341" s="46">
        <f>IF(M341=0,"-",M341-J341)</f>
        <v/>
      </c>
      <c r="AI341" s="46">
        <f>IF(AND(S341=0,M341&gt;0,L341=0),IF(AH341&gt;=120,"VERY HIGH",IF(AH341&gt;=90,"HIGH",IF(AH341&gt;=60,"MEDIUM",IF(AH341&lt;60,"LOW")))),"-")</f>
        <v/>
      </c>
      <c r="AJ341" s="12" t="n"/>
      <c r="AK341" s="41">
        <f>IF(AND(W341="X",M341&lt;=$AJ$2),"YES","")</f>
        <v/>
      </c>
      <c r="AL341" s="38">
        <f>IF(AND(W341="X",M341&lt;=$AJ$2),S341,"")</f>
        <v/>
      </c>
      <c r="AM341" s="26">
        <f>IF(AND(W341="X",M341&gt;$AJ$2),"YES","")</f>
        <v/>
      </c>
      <c r="AN341" s="89">
        <f>IF(AND(W341="X",M341&gt;$AJ$2),S341,"")</f>
        <v/>
      </c>
      <c r="AO341" s="35">
        <f>IF(AND(W341="",M341&gt;0,$AJ$2&gt;M341,L341=""),1,0)</f>
        <v/>
      </c>
      <c r="AP341" s="26">
        <f>IF(AND(AK341="YES",W341="X"),"X","")</f>
        <v/>
      </c>
      <c r="AQ341" s="28">
        <f>IF(AP341="X",100%,0%)</f>
        <v/>
      </c>
      <c r="AR341" s="25">
        <f>IF(AND(T341&gt;0,L341=""),H341,"")</f>
        <v/>
      </c>
      <c r="AS341" s="25">
        <f>IF(AND(D341&gt;0,H341=0,G341=""),1,"")</f>
        <v/>
      </c>
      <c r="AT341" s="25">
        <f>IF(G341="BLOQ",1,"")</f>
        <v/>
      </c>
      <c r="AU341" s="25">
        <f>IF(L341="BLOQ",1,"")</f>
        <v/>
      </c>
      <c r="AV341" s="25">
        <f>MONTH(F341)</f>
        <v/>
      </c>
      <c r="AW341" s="65">
        <f>IF(AP341="",100%,0%)</f>
        <v/>
      </c>
      <c r="AX341" s="23" t="n"/>
      <c r="AY341" s="24">
        <f>IF(M341=0,"",M341-$AX$2)</f>
        <v/>
      </c>
      <c r="AZ341" s="66">
        <f>IF(AND(W341="",AY341&gt;0,AY341&lt;15),1,0)</f>
        <v/>
      </c>
      <c r="BA341" s="24">
        <f>IF(AND(W341="",AY341&gt;0,AY341&lt;15),T341,"")</f>
        <v/>
      </c>
      <c r="BB341" s="87">
        <f>IF(R341&lt;Q341,"X","")</f>
        <v/>
      </c>
      <c r="BC341" s="190" t="inlineStr">
        <is>
          <t>NO</t>
        </is>
      </c>
      <c r="BD341" s="190" t="inlineStr">
        <is>
          <t>NO</t>
        </is>
      </c>
    </row>
    <row r="342" ht="15" customHeight="1" s="162">
      <c r="A342" s="7" t="n">
        <v>341</v>
      </c>
      <c r="B342" t="inlineStr">
        <is>
          <t>32000000</t>
        </is>
      </c>
      <c r="C342" t="inlineStr">
        <is>
          <t>Conector circular MIL-C-38999 serie III</t>
        </is>
      </c>
      <c r="D342" t="inlineStr">
        <is>
          <t>1101832199</t>
        </is>
      </c>
      <c r="E342" t="inlineStr">
        <is>
          <t>1</t>
        </is>
      </c>
      <c r="F342" s="163" t="n">
        <v>45688</v>
      </c>
      <c r="G342" t="inlineStr"/>
      <c r="H342" t="inlineStr">
        <is>
          <t>4800002855</t>
        </is>
      </c>
      <c r="I342" t="inlineStr">
        <is>
          <t>110</t>
        </is>
      </c>
      <c r="J342" s="163" t="n">
        <v>45688</v>
      </c>
      <c r="K342" s="163" t="inlineStr"/>
      <c r="L342" t="inlineStr"/>
      <c r="M342" s="163" t="n">
        <v>45689</v>
      </c>
      <c r="N342" s="164" t="n">
        <v>0</v>
      </c>
      <c r="O342" s="164" t="n">
        <v>0</v>
      </c>
      <c r="P342" t="inlineStr"/>
      <c r="Q342" s="165" t="n">
        <v>1</v>
      </c>
      <c r="R342" s="165" t="n">
        <v>1</v>
      </c>
      <c r="S342" s="165" t="n">
        <v>1</v>
      </c>
      <c r="T342" s="165" t="n">
        <v>0</v>
      </c>
      <c r="U342" s="166" t="n">
        <v>0</v>
      </c>
      <c r="V342" s="166" t="n">
        <v>0</v>
      </c>
      <c r="W342" t="inlineStr">
        <is>
          <t>X</t>
        </is>
      </c>
      <c r="X342" t="inlineStr">
        <is>
          <t>0.00</t>
        </is>
      </c>
      <c r="Y342" t="inlineStr"/>
      <c r="Z342" t="inlineStr">
        <is>
          <t>AMIDATA, S.A.</t>
        </is>
      </c>
      <c r="AA342" t="inlineStr"/>
      <c r="AB342" t="inlineStr">
        <is>
          <t>2804851</t>
        </is>
      </c>
      <c r="AC342" t="inlineStr"/>
      <c r="AD342" s="164" t="n">
        <v>0</v>
      </c>
      <c r="AE342" s="185" t="n">
        <v>0</v>
      </c>
      <c r="AG342" s="167" t="inlineStr">
        <is>
          <t>7218|JA2585_1001</t>
        </is>
      </c>
      <c r="AH342" s="46">
        <f>IF(M342=0,"-",M342-J342)</f>
        <v/>
      </c>
      <c r="AI342" s="46">
        <f>IF(AND(S342=0,M342&gt;0,L342=0),IF(AH342&gt;=120,"VERY HIGH",IF(AH342&gt;=90,"HIGH",IF(AH342&gt;=60,"MEDIUM",IF(AH342&lt;60,"LOW")))),"-")</f>
        <v/>
      </c>
      <c r="AJ342" s="12" t="n"/>
      <c r="AK342" s="41">
        <f>IF(AND(W342="X",M342&lt;=$AJ$2),"YES","")</f>
        <v/>
      </c>
      <c r="AL342" s="38">
        <f>IF(AND(W342="X",M342&lt;=$AJ$2),S342,"")</f>
        <v/>
      </c>
      <c r="AM342" s="26">
        <f>IF(AND(W342="X",M342&gt;$AJ$2),"YES","")</f>
        <v/>
      </c>
      <c r="AN342" s="89">
        <f>IF(AND(W342="X",M342&gt;$AJ$2),S342,"")</f>
        <v/>
      </c>
      <c r="AO342" s="35">
        <f>IF(AND(W342="",M342&gt;0,$AJ$2&gt;M342,L342=""),1,0)</f>
        <v/>
      </c>
      <c r="AP342" s="26">
        <f>IF(AND(AK342="YES",W342="X"),"X","")</f>
        <v/>
      </c>
      <c r="AQ342" s="28">
        <f>IF(AP342="X",100%,0%)</f>
        <v/>
      </c>
      <c r="AR342" s="25">
        <f>IF(AND(T342&gt;0,L342=""),H342,"")</f>
        <v/>
      </c>
      <c r="AS342" s="25">
        <f>IF(AND(D342&gt;0,H342=0,G342=""),1,"")</f>
        <v/>
      </c>
      <c r="AT342" s="25">
        <f>IF(G342="BLOQ",1,"")</f>
        <v/>
      </c>
      <c r="AU342" s="25">
        <f>IF(L342="BLOQ",1,"")</f>
        <v/>
      </c>
      <c r="AV342" s="25">
        <f>MONTH(F342)</f>
        <v/>
      </c>
      <c r="AW342" s="65">
        <f>IF(AP342="",100%,0%)</f>
        <v/>
      </c>
      <c r="AX342" s="23" t="n"/>
      <c r="AY342" s="24">
        <f>IF(M342=0,"",M342-$AX$2)</f>
        <v/>
      </c>
      <c r="AZ342" s="66">
        <f>IF(AND(W342="",AY342&gt;0,AY342&lt;15),1,0)</f>
        <v/>
      </c>
      <c r="BA342" s="24">
        <f>IF(AND(W342="",AY342&gt;0,AY342&lt;15),T342,"")</f>
        <v/>
      </c>
      <c r="BB342" s="87">
        <f>IF(R342&lt;Q342,"X","")</f>
        <v/>
      </c>
      <c r="BC342" s="190" t="inlineStr">
        <is>
          <t>NO</t>
        </is>
      </c>
      <c r="BD342" s="190" t="inlineStr">
        <is>
          <t>NO</t>
        </is>
      </c>
    </row>
    <row r="343" ht="15" customHeight="1" s="162">
      <c r="A343" s="7" t="n">
        <v>342</v>
      </c>
      <c r="B343" t="inlineStr">
        <is>
          <t>39121432</t>
        </is>
      </c>
      <c r="C343" t="inlineStr">
        <is>
          <t>Terminal de leng&amp;#252;eta hembra aislado</t>
        </is>
      </c>
      <c r="D343" t="inlineStr">
        <is>
          <t>1101832711</t>
        </is>
      </c>
      <c r="E343" t="inlineStr">
        <is>
          <t>1</t>
        </is>
      </c>
      <c r="F343" s="163" t="n">
        <v>45691</v>
      </c>
      <c r="G343" t="inlineStr"/>
      <c r="H343" t="inlineStr">
        <is>
          <t>4800002856</t>
        </is>
      </c>
      <c r="I343" t="inlineStr">
        <is>
          <t>210</t>
        </is>
      </c>
      <c r="J343" s="163" t="n">
        <v>45691</v>
      </c>
      <c r="K343" s="163" t="inlineStr"/>
      <c r="L343" t="inlineStr"/>
      <c r="M343" s="163" t="n">
        <v>45692</v>
      </c>
      <c r="N343" s="164" t="n">
        <v>0</v>
      </c>
      <c r="O343" s="164" t="n">
        <v>0</v>
      </c>
      <c r="P343" t="inlineStr"/>
      <c r="Q343" s="165" t="n">
        <v>200</v>
      </c>
      <c r="R343" s="165" t="n">
        <v>200</v>
      </c>
      <c r="S343" s="165" t="n">
        <v>200</v>
      </c>
      <c r="T343" s="165" t="n">
        <v>0</v>
      </c>
      <c r="U343" s="166" t="n">
        <v>0</v>
      </c>
      <c r="V343" s="166" t="n">
        <v>0</v>
      </c>
      <c r="W343" t="inlineStr">
        <is>
          <t>X</t>
        </is>
      </c>
      <c r="X343" t="inlineStr">
        <is>
          <t>0.00</t>
        </is>
      </c>
      <c r="Y343" t="inlineStr"/>
      <c r="Z343" t="inlineStr">
        <is>
          <t>AMIDATA, S.A.</t>
        </is>
      </c>
      <c r="AA343" t="inlineStr"/>
      <c r="AB343" t="inlineStr">
        <is>
          <t>2455446</t>
        </is>
      </c>
      <c r="AC343" t="inlineStr"/>
      <c r="AD343" s="164" t="n">
        <v>0</v>
      </c>
      <c r="AE343" s="185" t="n">
        <v>0</v>
      </c>
      <c r="AG343" s="167" t="inlineStr">
        <is>
          <t>7218|JA2585_1001</t>
        </is>
      </c>
      <c r="AH343" s="46">
        <f>IF(M343=0,"-",M343-J343)</f>
        <v/>
      </c>
      <c r="AI343" s="46">
        <f>IF(AND(S343=0,M343&gt;0,L343=0),IF(AH343&gt;=120,"VERY HIGH",IF(AH343&gt;=90,"HIGH",IF(AH343&gt;=60,"MEDIUM",IF(AH343&lt;60,"LOW")))),"-")</f>
        <v/>
      </c>
      <c r="AJ343" s="12" t="n"/>
      <c r="AK343" s="41">
        <f>IF(AND(W343="X",M343&lt;=$AJ$2),"YES","")</f>
        <v/>
      </c>
      <c r="AL343" s="38">
        <f>IF(AND(W343="X",M343&lt;=$AJ$2),S343,"")</f>
        <v/>
      </c>
      <c r="AM343" s="26">
        <f>IF(AND(W343="X",M343&gt;$AJ$2),"YES","")</f>
        <v/>
      </c>
      <c r="AN343" s="89">
        <f>IF(AND(W343="X",M343&gt;$AJ$2),S343,"")</f>
        <v/>
      </c>
      <c r="AO343" s="35">
        <f>IF(AND(W343="",M343&gt;0,$AJ$2&gt;M343,L343=""),1,0)</f>
        <v/>
      </c>
      <c r="AP343" s="26">
        <f>IF(AND(AK343="YES",W343="X"),"X","")</f>
        <v/>
      </c>
      <c r="AQ343" s="28">
        <f>IF(AP343="X",100%,0%)</f>
        <v/>
      </c>
      <c r="AR343" s="25">
        <f>IF(AND(T343&gt;0,L343=""),H343,"")</f>
        <v/>
      </c>
      <c r="AS343" s="25">
        <f>IF(AND(D343&gt;0,H343=0,G343=""),1,"")</f>
        <v/>
      </c>
      <c r="AT343" s="25">
        <f>IF(G343="BLOQ",1,"")</f>
        <v/>
      </c>
      <c r="AU343" s="25">
        <f>IF(L343="BLOQ",1,"")</f>
        <v/>
      </c>
      <c r="AV343" s="25">
        <f>MONTH(F343)</f>
        <v/>
      </c>
      <c r="AW343" s="65">
        <f>IF(AP343="",100%,0%)</f>
        <v/>
      </c>
      <c r="AX343" s="23" t="n"/>
      <c r="AY343" s="24">
        <f>IF(M343=0,"",M343-$AX$2)</f>
        <v/>
      </c>
      <c r="AZ343" s="66">
        <f>IF(AND(W343="",AY343&gt;0,AY343&lt;15),1,0)</f>
        <v/>
      </c>
      <c r="BA343" s="24">
        <f>IF(AND(W343="",AY343&gt;0,AY343&lt;15),T343,"")</f>
        <v/>
      </c>
      <c r="BB343" s="87">
        <f>IF(R343&lt;Q343,"X","")</f>
        <v/>
      </c>
      <c r="BC343" s="190" t="inlineStr">
        <is>
          <t>NO</t>
        </is>
      </c>
      <c r="BD343" s="190" t="inlineStr">
        <is>
          <t>NO</t>
        </is>
      </c>
    </row>
    <row r="344" ht="15" customHeight="1" s="162">
      <c r="A344" s="7" t="n">
        <v>343</v>
      </c>
      <c r="B344" t="inlineStr">
        <is>
          <t>46171509</t>
        </is>
      </c>
      <c r="C344" t="inlineStr">
        <is>
          <t>Armario para llaves con 20 ganchos Secur</t>
        </is>
      </c>
      <c r="D344" t="inlineStr">
        <is>
          <t>1101832948</t>
        </is>
      </c>
      <c r="E344" t="inlineStr">
        <is>
          <t>1</t>
        </is>
      </c>
      <c r="F344" s="163" t="n">
        <v>45692</v>
      </c>
      <c r="G344" t="inlineStr"/>
      <c r="H344" t="inlineStr">
        <is>
          <t>4800002856</t>
        </is>
      </c>
      <c r="I344" t="inlineStr">
        <is>
          <t>590</t>
        </is>
      </c>
      <c r="J344" s="163" t="n">
        <v>45691</v>
      </c>
      <c r="K344" s="163" t="inlineStr"/>
      <c r="L344" t="inlineStr"/>
      <c r="M344" s="163" t="n">
        <v>45693</v>
      </c>
      <c r="N344" s="164" t="n">
        <v>0</v>
      </c>
      <c r="O344" s="164" t="n">
        <v>0</v>
      </c>
      <c r="P344" t="inlineStr"/>
      <c r="Q344" s="165" t="n">
        <v>1</v>
      </c>
      <c r="R344" s="165" t="n">
        <v>1</v>
      </c>
      <c r="S344" s="165" t="n">
        <v>1</v>
      </c>
      <c r="T344" s="165" t="n">
        <v>0</v>
      </c>
      <c r="U344" s="166" t="n">
        <v>0</v>
      </c>
      <c r="V344" s="166" t="n">
        <v>0</v>
      </c>
      <c r="W344" t="inlineStr">
        <is>
          <t>X</t>
        </is>
      </c>
      <c r="X344" t="inlineStr">
        <is>
          <t>0.00</t>
        </is>
      </c>
      <c r="Y344" t="inlineStr"/>
      <c r="Z344" t="inlineStr">
        <is>
          <t>AMIDATA, S.A.</t>
        </is>
      </c>
      <c r="AA344" t="inlineStr"/>
      <c r="AB344" t="inlineStr">
        <is>
          <t>0219734</t>
        </is>
      </c>
      <c r="AC344" t="inlineStr"/>
      <c r="AD344" s="164" t="n">
        <v>0</v>
      </c>
      <c r="AE344" s="185" t="n">
        <v>0</v>
      </c>
      <c r="AG344" s="167" t="inlineStr">
        <is>
          <t>7218|JA2593_1001</t>
        </is>
      </c>
      <c r="AH344" s="46">
        <f>IF(M344=0,"-",M344-J344)</f>
        <v/>
      </c>
      <c r="AI344" s="46">
        <f>IF(AND(S344=0,M344&gt;0,L344=0),IF(AH344&gt;=120,"VERY HIGH",IF(AH344&gt;=90,"HIGH",IF(AH344&gt;=60,"MEDIUM",IF(AH344&lt;60,"LOW")))),"-")</f>
        <v/>
      </c>
      <c r="AJ344" s="12" t="n"/>
      <c r="AK344" s="41">
        <f>IF(AND(W344="X",M344&lt;=$AJ$2),"YES","")</f>
        <v/>
      </c>
      <c r="AL344" s="38">
        <f>IF(AND(W344="X",M344&lt;=$AJ$2),S344,"")</f>
        <v/>
      </c>
      <c r="AM344" s="26">
        <f>IF(AND(W344="X",M344&gt;$AJ$2),"YES","")</f>
        <v/>
      </c>
      <c r="AN344" s="89">
        <f>IF(AND(W344="X",M344&gt;$AJ$2),S344,"")</f>
        <v/>
      </c>
      <c r="AO344" s="35">
        <f>IF(AND(W344="",M344&gt;0,$AJ$2&gt;M344,L344=""),1,0)</f>
        <v/>
      </c>
      <c r="AP344" s="26">
        <f>IF(AND(AK344="YES",W344="X"),"X","")</f>
        <v/>
      </c>
      <c r="AQ344" s="28">
        <f>IF(AP344="X",100%,0%)</f>
        <v/>
      </c>
      <c r="AR344" s="25">
        <f>IF(AND(T344&gt;0,L344=""),H344,"")</f>
        <v/>
      </c>
      <c r="AS344" s="25">
        <f>IF(AND(D344&gt;0,H344=0,G344=""),1,"")</f>
        <v/>
      </c>
      <c r="AT344" s="25">
        <f>IF(G344="BLOQ",1,"")</f>
        <v/>
      </c>
      <c r="AU344" s="25">
        <f>IF(L344="BLOQ",1,"")</f>
        <v/>
      </c>
      <c r="AV344" s="25">
        <f>MONTH(F344)</f>
        <v/>
      </c>
      <c r="AW344" s="65">
        <f>IF(AP344="",100%,0%)</f>
        <v/>
      </c>
      <c r="AX344" s="23" t="n"/>
      <c r="AY344" s="24">
        <f>IF(M344=0,"",M344-$AX$2)</f>
        <v/>
      </c>
      <c r="AZ344" s="66">
        <f>IF(AND(W344="",AY344&gt;0,AY344&lt;15),1,0)</f>
        <v/>
      </c>
      <c r="BA344" s="24">
        <f>IF(AND(W344="",AY344&gt;0,AY344&lt;15),T344,"")</f>
        <v/>
      </c>
      <c r="BB344" s="87">
        <f>IF(R344&lt;Q344,"X","")</f>
        <v/>
      </c>
      <c r="BC344" s="190" t="inlineStr">
        <is>
          <t>NO</t>
        </is>
      </c>
      <c r="BD344" s="190" t="inlineStr">
        <is>
          <t>NO</t>
        </is>
      </c>
    </row>
    <row r="345" ht="15" customHeight="1" s="162">
      <c r="A345" s="7" t="n">
        <v>344</v>
      </c>
      <c r="B345" t="inlineStr">
        <is>
          <t>1359900000500</t>
        </is>
      </c>
      <c r="C345" t="inlineStr">
        <is>
          <t>COMPRA DIRECTA ELECTRICOS/ELECTRONICOS</t>
        </is>
      </c>
      <c r="D345" t="inlineStr">
        <is>
          <t>1101833067</t>
        </is>
      </c>
      <c r="E345" t="inlineStr">
        <is>
          <t>1</t>
        </is>
      </c>
      <c r="F345" s="163" t="n">
        <v>45692</v>
      </c>
      <c r="G345" t="inlineStr"/>
      <c r="H345" t="inlineStr">
        <is>
          <t>4200597455</t>
        </is>
      </c>
      <c r="I345" t="inlineStr">
        <is>
          <t>10</t>
        </is>
      </c>
      <c r="J345" s="163" t="n">
        <v>45700</v>
      </c>
      <c r="K345" s="163" t="n">
        <v>45701</v>
      </c>
      <c r="L345" t="inlineStr"/>
      <c r="M345" s="163" t="n">
        <v>45714</v>
      </c>
      <c r="N345" s="164" t="n">
        <v>30</v>
      </c>
      <c r="O345" s="164" t="n">
        <v>8</v>
      </c>
      <c r="P345" t="inlineStr">
        <is>
          <t>Liberado</t>
        </is>
      </c>
      <c r="Q345" s="165" t="n">
        <v>1</v>
      </c>
      <c r="R345" s="165" t="n">
        <v>1</v>
      </c>
      <c r="S345" s="165" t="n">
        <v>1</v>
      </c>
      <c r="T345" s="165" t="n">
        <v>0</v>
      </c>
      <c r="U345" s="166" t="n">
        <v>0</v>
      </c>
      <c r="V345" s="166" t="n">
        <v>0</v>
      </c>
      <c r="W345" t="inlineStr">
        <is>
          <t>X</t>
        </is>
      </c>
      <c r="X345" t="inlineStr">
        <is>
          <t>0.00</t>
        </is>
      </c>
      <c r="Y345" t="inlineStr"/>
      <c r="Z345" t="inlineStr">
        <is>
          <t>(AEMSA)ALMACENES ELECTRICOS MADRILE</t>
        </is>
      </c>
      <c r="AA345" t="inlineStr">
        <is>
          <t>OTROS FABRICANTES</t>
        </is>
      </c>
      <c r="AB345" t="inlineStr">
        <is>
          <t>1359900000500</t>
        </is>
      </c>
      <c r="AC345" t="inlineStr"/>
      <c r="AD345" s="164" t="n">
        <v>0</v>
      </c>
      <c r="AE345" s="185" t="n">
        <v>0</v>
      </c>
      <c r="AG345" s="167" t="inlineStr">
        <is>
          <t>7218|JA2594_1001</t>
        </is>
      </c>
      <c r="AH345" s="46">
        <f>IF(M345=0,"-",M345-J345)</f>
        <v/>
      </c>
      <c r="AI345" s="46">
        <f>IF(AND(S345=0,M345&gt;0,L345=0),IF(AH345&gt;=120,"VERY HIGH",IF(AH345&gt;=90,"HIGH",IF(AH345&gt;=60,"MEDIUM",IF(AH345&lt;60,"LOW")))),"-")</f>
        <v/>
      </c>
      <c r="AJ345" s="12" t="n"/>
      <c r="AK345" s="41">
        <f>IF(AND(W345="X",M345&lt;=$AJ$2),"YES","")</f>
        <v/>
      </c>
      <c r="AL345" s="38">
        <f>IF(AND(W345="X",M345&lt;=$AJ$2),S345,"")</f>
        <v/>
      </c>
      <c r="AM345" s="26">
        <f>IF(AND(W345="X",M345&gt;$AJ$2),"YES","")</f>
        <v/>
      </c>
      <c r="AN345" s="89">
        <f>IF(AND(W345="X",M345&gt;$AJ$2),S345,"")</f>
        <v/>
      </c>
      <c r="AO345" s="35">
        <f>IF(AND(W345="",M345&gt;0,$AJ$2&gt;M345,L345=""),1,0)</f>
        <v/>
      </c>
      <c r="AP345" s="26">
        <f>IF(AND(AK345="YES",W345="X"),"X","")</f>
        <v/>
      </c>
      <c r="AQ345" s="28">
        <f>IF(AP345="X",100%,0%)</f>
        <v/>
      </c>
      <c r="AR345" s="25">
        <f>IF(AND(T345&gt;0,L345=""),H345,"")</f>
        <v/>
      </c>
      <c r="AS345" s="25">
        <f>IF(AND(D345&gt;0,H345=0,G345=""),1,"")</f>
        <v/>
      </c>
      <c r="AT345" s="25">
        <f>IF(G345="BLOQ",1,"")</f>
        <v/>
      </c>
      <c r="AU345" s="25">
        <f>IF(L345="BLOQ",1,"")</f>
        <v/>
      </c>
      <c r="AV345" s="25">
        <f>MONTH(F345)</f>
        <v/>
      </c>
      <c r="AW345" s="65">
        <f>IF(AP345="",100%,0%)</f>
        <v/>
      </c>
      <c r="AX345" s="23" t="n"/>
      <c r="AY345" s="24">
        <f>IF(M345=0,"",M345-$AX$2)</f>
        <v/>
      </c>
      <c r="AZ345" s="66">
        <f>IF(AND(W345="",AY345&gt;0,AY345&lt;15),1,0)</f>
        <v/>
      </c>
      <c r="BA345" s="24">
        <f>IF(AND(W345="",AY345&gt;0,AY345&lt;15),T345,"")</f>
        <v/>
      </c>
      <c r="BB345" s="87">
        <f>IF(R345&lt;Q345,"X","")</f>
        <v/>
      </c>
      <c r="BC345" s="190" t="inlineStr">
        <is>
          <t>NO</t>
        </is>
      </c>
      <c r="BD345" s="190" t="inlineStr">
        <is>
          <t>NO</t>
        </is>
      </c>
    </row>
    <row r="346" ht="15" customHeight="1" s="162">
      <c r="A346" s="7" t="n">
        <v>345</v>
      </c>
      <c r="B346" t="inlineStr">
        <is>
          <t>1359900000500</t>
        </is>
      </c>
      <c r="C346" t="inlineStr">
        <is>
          <t>COMPRA DIRECTA ELECTRICOS/ELECTRONICOS</t>
        </is>
      </c>
      <c r="D346" t="inlineStr">
        <is>
          <t>1101833096</t>
        </is>
      </c>
      <c r="E346" t="inlineStr">
        <is>
          <t>1</t>
        </is>
      </c>
      <c r="F346" s="163" t="n">
        <v>45692</v>
      </c>
      <c r="G346" t="inlineStr"/>
      <c r="H346" t="inlineStr">
        <is>
          <t>4200597455</t>
        </is>
      </c>
      <c r="I346" t="inlineStr">
        <is>
          <t>20</t>
        </is>
      </c>
      <c r="J346" s="163" t="n">
        <v>45700</v>
      </c>
      <c r="K346" s="163" t="n">
        <v>45701</v>
      </c>
      <c r="L346" t="inlineStr"/>
      <c r="M346" s="163" t="n">
        <v>45714</v>
      </c>
      <c r="N346" s="164" t="n">
        <v>30</v>
      </c>
      <c r="O346" s="164" t="n">
        <v>8</v>
      </c>
      <c r="P346" t="inlineStr">
        <is>
          <t>Liberado</t>
        </is>
      </c>
      <c r="Q346" s="165" t="n">
        <v>1</v>
      </c>
      <c r="R346" s="165" t="n">
        <v>1</v>
      </c>
      <c r="S346" s="165" t="n">
        <v>1</v>
      </c>
      <c r="T346" s="165" t="n">
        <v>0</v>
      </c>
      <c r="U346" s="166" t="n">
        <v>0</v>
      </c>
      <c r="V346" s="166" t="n">
        <v>0</v>
      </c>
      <c r="W346" t="inlineStr">
        <is>
          <t>X</t>
        </is>
      </c>
      <c r="X346" t="inlineStr">
        <is>
          <t>0.00</t>
        </is>
      </c>
      <c r="Y346" t="inlineStr"/>
      <c r="Z346" t="inlineStr">
        <is>
          <t>(AEMSA)ALMACENES ELECTRICOS MADRILE</t>
        </is>
      </c>
      <c r="AA346" t="inlineStr">
        <is>
          <t>OTROS FABRICANTES</t>
        </is>
      </c>
      <c r="AB346" t="inlineStr">
        <is>
          <t>1359900000500</t>
        </is>
      </c>
      <c r="AC346" t="inlineStr"/>
      <c r="AD346" s="164" t="n">
        <v>0</v>
      </c>
      <c r="AE346" s="185" t="n">
        <v>0</v>
      </c>
      <c r="AG346" s="167" t="inlineStr">
        <is>
          <t>7218|JA2594_1001</t>
        </is>
      </c>
      <c r="AH346" s="46">
        <f>IF(M346=0,"-",M346-J346)</f>
        <v/>
      </c>
      <c r="AI346" s="46">
        <f>IF(AND(S346=0,M346&gt;0,L346=0),IF(AH346&gt;=120,"VERY HIGH",IF(AH346&gt;=90,"HIGH",IF(AH346&gt;=60,"MEDIUM",IF(AH346&lt;60,"LOW")))),"-")</f>
        <v/>
      </c>
      <c r="AJ346" s="12" t="n"/>
      <c r="AK346" s="41">
        <f>IF(AND(W346="X",M346&lt;=$AJ$2),"YES","")</f>
        <v/>
      </c>
      <c r="AL346" s="38">
        <f>IF(AND(W346="X",M346&lt;=$AJ$2),S346,"")</f>
        <v/>
      </c>
      <c r="AM346" s="26">
        <f>IF(AND(W346="X",M346&gt;$AJ$2),"YES","")</f>
        <v/>
      </c>
      <c r="AN346" s="89">
        <f>IF(AND(W346="X",M346&gt;$AJ$2),S346,"")</f>
        <v/>
      </c>
      <c r="AO346" s="35">
        <f>IF(AND(W346="",M346&gt;0,$AJ$2&gt;M346,L346=""),1,0)</f>
        <v/>
      </c>
      <c r="AP346" s="26">
        <f>IF(AND(AK346="YES",W346="X"),"X","")</f>
        <v/>
      </c>
      <c r="AQ346" s="28">
        <f>IF(AP346="X",100%,0%)</f>
        <v/>
      </c>
      <c r="AR346" s="25">
        <f>IF(AND(T346&gt;0,L346=""),H346,"")</f>
        <v/>
      </c>
      <c r="AS346" s="25">
        <f>IF(AND(D346&gt;0,H346=0,G346=""),1,"")</f>
        <v/>
      </c>
      <c r="AT346" s="25">
        <f>IF(G346="BLOQ",1,"")</f>
        <v/>
      </c>
      <c r="AU346" s="25">
        <f>IF(L346="BLOQ",1,"")</f>
        <v/>
      </c>
      <c r="AV346" s="25">
        <f>MONTH(F346)</f>
        <v/>
      </c>
      <c r="AW346" s="65">
        <f>IF(AP346="",100%,0%)</f>
        <v/>
      </c>
      <c r="AX346" s="23" t="n"/>
      <c r="AY346" s="24">
        <f>IF(M346=0,"",M346-$AX$2)</f>
        <v/>
      </c>
      <c r="AZ346" s="66">
        <f>IF(AND(W346="",AY346&gt;0,AY346&lt;15),1,0)</f>
        <v/>
      </c>
      <c r="BA346" s="24">
        <f>IF(AND(W346="",AY346&gt;0,AY346&lt;15),T346,"")</f>
        <v/>
      </c>
      <c r="BB346" s="87">
        <f>IF(R346&lt;Q346,"X","")</f>
        <v/>
      </c>
      <c r="BC346" s="190" t="inlineStr">
        <is>
          <t>NO</t>
        </is>
      </c>
      <c r="BD346" s="190" t="inlineStr">
        <is>
          <t>NO</t>
        </is>
      </c>
    </row>
    <row r="347" ht="15" customHeight="1" s="162">
      <c r="A347" s="7" t="n">
        <v>346</v>
      </c>
      <c r="B347" t="inlineStr">
        <is>
          <t>1359900000500</t>
        </is>
      </c>
      <c r="C347" t="inlineStr">
        <is>
          <t>COMPRA DIRECTA ELECTRICOS/ELECTRONICOS</t>
        </is>
      </c>
      <c r="D347" t="inlineStr">
        <is>
          <t>1101833136</t>
        </is>
      </c>
      <c r="E347" t="inlineStr">
        <is>
          <t>1</t>
        </is>
      </c>
      <c r="F347" s="163" t="n">
        <v>45692</v>
      </c>
      <c r="G347" t="inlineStr"/>
      <c r="H347" t="inlineStr">
        <is>
          <t>4200597461</t>
        </is>
      </c>
      <c r="I347" t="inlineStr">
        <is>
          <t>30</t>
        </is>
      </c>
      <c r="J347" s="163" t="n">
        <v>45700</v>
      </c>
      <c r="K347" s="163" t="n">
        <v>45701</v>
      </c>
      <c r="L347" t="inlineStr"/>
      <c r="M347" s="163" t="n">
        <v>45714</v>
      </c>
      <c r="N347" s="164" t="n">
        <v>30</v>
      </c>
      <c r="O347" s="164" t="n">
        <v>8</v>
      </c>
      <c r="P347" t="inlineStr">
        <is>
          <t>Liberado</t>
        </is>
      </c>
      <c r="Q347" s="165" t="n">
        <v>1</v>
      </c>
      <c r="R347" s="165" t="n">
        <v>1</v>
      </c>
      <c r="S347" s="165" t="n">
        <v>1</v>
      </c>
      <c r="T347" s="165" t="n">
        <v>0</v>
      </c>
      <c r="U347" s="166" t="n">
        <v>0</v>
      </c>
      <c r="V347" s="166" t="n">
        <v>0</v>
      </c>
      <c r="W347" t="inlineStr">
        <is>
          <t>X</t>
        </is>
      </c>
      <c r="X347" t="inlineStr">
        <is>
          <t>0.00</t>
        </is>
      </c>
      <c r="Y347" t="inlineStr"/>
      <c r="Z347" t="inlineStr">
        <is>
          <t>(AEMSA)ALMACENES ELECTRICOS MADRILE</t>
        </is>
      </c>
      <c r="AA347" t="inlineStr">
        <is>
          <t>OTROS FABRICANTES</t>
        </is>
      </c>
      <c r="AB347" t="inlineStr">
        <is>
          <t>1359900000500</t>
        </is>
      </c>
      <c r="AC347" t="inlineStr"/>
      <c r="AD347" s="164" t="n">
        <v>0</v>
      </c>
      <c r="AE347" s="185" t="n">
        <v>0</v>
      </c>
      <c r="AG347" s="167" t="inlineStr">
        <is>
          <t>7218|JA2585_1001</t>
        </is>
      </c>
      <c r="AH347" s="46">
        <f>IF(M347=0,"-",M347-J347)</f>
        <v/>
      </c>
      <c r="AI347" s="46">
        <f>IF(AND(S347=0,M347&gt;0,L347=0),IF(AH347&gt;=120,"VERY HIGH",IF(AH347&gt;=90,"HIGH",IF(AH347&gt;=60,"MEDIUM",IF(AH347&lt;60,"LOW")))),"-")</f>
        <v/>
      </c>
      <c r="AJ347" s="12" t="n"/>
      <c r="AK347" s="41">
        <f>IF(AND(W347="X",M347&lt;=$AJ$2),"YES","")</f>
        <v/>
      </c>
      <c r="AL347" s="38">
        <f>IF(AND(W347="X",M347&lt;=$AJ$2),S347,"")</f>
        <v/>
      </c>
      <c r="AM347" s="26">
        <f>IF(AND(W347="X",M347&gt;$AJ$2),"YES","")</f>
        <v/>
      </c>
      <c r="AN347" s="89">
        <f>IF(AND(W347="X",M347&gt;$AJ$2),S347,"")</f>
        <v/>
      </c>
      <c r="AO347" s="35">
        <f>IF(AND(W347="",M347&gt;0,$AJ$2&gt;M347,L347=""),1,0)</f>
        <v/>
      </c>
      <c r="AP347" s="26">
        <f>IF(AND(AK347="YES",W347="X"),"X","")</f>
        <v/>
      </c>
      <c r="AQ347" s="28">
        <f>IF(AP347="X",100%,0%)</f>
        <v/>
      </c>
      <c r="AR347" s="25">
        <f>IF(AND(T347&gt;0,L347=""),H347,"")</f>
        <v/>
      </c>
      <c r="AS347" s="25">
        <f>IF(AND(D347&gt;0,H347=0,G347=""),1,"")</f>
        <v/>
      </c>
      <c r="AT347" s="25">
        <f>IF(G347="BLOQ",1,"")</f>
        <v/>
      </c>
      <c r="AU347" s="25">
        <f>IF(L347="BLOQ",1,"")</f>
        <v/>
      </c>
      <c r="AV347" s="25">
        <f>MONTH(F347)</f>
        <v/>
      </c>
      <c r="AW347" s="65">
        <f>IF(AP347="",100%,0%)</f>
        <v/>
      </c>
      <c r="AX347" s="23" t="n"/>
      <c r="AY347" s="24">
        <f>IF(M347=0,"",M347-$AX$2)</f>
        <v/>
      </c>
      <c r="AZ347" s="66">
        <f>IF(AND(W347="",AY347&gt;0,AY347&lt;15),1,0)</f>
        <v/>
      </c>
      <c r="BA347" s="24">
        <f>IF(AND(W347="",AY347&gt;0,AY347&lt;15),T347,"")</f>
        <v/>
      </c>
      <c r="BB347" s="87">
        <f>IF(R347&lt;Q347,"X","")</f>
        <v/>
      </c>
      <c r="BC347" s="190" t="inlineStr">
        <is>
          <t>NO</t>
        </is>
      </c>
      <c r="BD347" s="190" t="inlineStr">
        <is>
          <t>NO</t>
        </is>
      </c>
    </row>
    <row r="348" ht="15" customHeight="1" s="162">
      <c r="A348" s="7" t="n">
        <v>347</v>
      </c>
      <c r="B348" t="inlineStr">
        <is>
          <t>1589903560200</t>
        </is>
      </c>
      <c r="C348" t="inlineStr">
        <is>
          <t>BASE REGULAR 0.6M</t>
        </is>
      </c>
      <c r="D348" t="inlineStr">
        <is>
          <t>1101833790</t>
        </is>
      </c>
      <c r="E348" t="inlineStr">
        <is>
          <t>1</t>
        </is>
      </c>
      <c r="F348" s="163" t="n">
        <v>45693</v>
      </c>
      <c r="G348" t="inlineStr"/>
      <c r="H348" t="inlineStr">
        <is>
          <t>4200597875</t>
        </is>
      </c>
      <c r="I348" t="inlineStr">
        <is>
          <t>10</t>
        </is>
      </c>
      <c r="J348" s="163" t="n">
        <v>45702</v>
      </c>
      <c r="K348" s="163" t="n">
        <v>45707</v>
      </c>
      <c r="L348" t="inlineStr"/>
      <c r="M348" s="163" t="n">
        <v>45716</v>
      </c>
      <c r="N348" s="164" t="n">
        <v>40</v>
      </c>
      <c r="O348" s="164" t="n">
        <v>8</v>
      </c>
      <c r="P348" t="inlineStr">
        <is>
          <t>Liberado</t>
        </is>
      </c>
      <c r="Q348" s="165" t="n">
        <v>4</v>
      </c>
      <c r="R348" s="165" t="n">
        <v>4</v>
      </c>
      <c r="S348" s="165" t="n">
        <v>4</v>
      </c>
      <c r="T348" s="165" t="n">
        <v>0</v>
      </c>
      <c r="U348" s="166" t="n">
        <v>4</v>
      </c>
      <c r="V348" s="166" t="n">
        <v>0</v>
      </c>
      <c r="W348" t="inlineStr">
        <is>
          <t>X</t>
        </is>
      </c>
      <c r="X348" t="inlineStr">
        <is>
          <t>0.00</t>
        </is>
      </c>
      <c r="Y348" t="inlineStr"/>
      <c r="Z348" t="inlineStr">
        <is>
          <t>LAYHER IBERICA, S.L.</t>
        </is>
      </c>
      <c r="AA348" t="inlineStr">
        <is>
          <t>LAYHER</t>
        </is>
      </c>
      <c r="AB348" t="inlineStr">
        <is>
          <t>4001.060</t>
        </is>
      </c>
      <c r="AC348" t="inlineStr"/>
      <c r="AD348" s="164" t="n">
        <v>0</v>
      </c>
      <c r="AE348" s="185" t="n">
        <v>0</v>
      </c>
      <c r="AG348" s="167" t="inlineStr">
        <is>
          <t>7218|S24B05_S1075</t>
        </is>
      </c>
      <c r="AH348" s="46">
        <f>IF(M348=0,"-",M348-J348)</f>
        <v/>
      </c>
      <c r="AI348" s="46">
        <f>IF(AND(S348=0,M348&gt;0,L348=0),IF(AH348&gt;=120,"VERY HIGH",IF(AH348&gt;=90,"HIGH",IF(AH348&gt;=60,"MEDIUM",IF(AH348&lt;60,"LOW")))),"-")</f>
        <v/>
      </c>
      <c r="AJ348" s="12" t="n"/>
      <c r="AK348" s="41">
        <f>IF(AND(W348="X",M348&lt;=$AJ$2),"YES","")</f>
        <v/>
      </c>
      <c r="AL348" s="38">
        <f>IF(AND(W348="X",M348&lt;=$AJ$2),S348,"")</f>
        <v/>
      </c>
      <c r="AM348" s="26">
        <f>IF(AND(W348="X",M348&gt;$AJ$2),"YES","")</f>
        <v/>
      </c>
      <c r="AN348" s="89">
        <f>IF(AND(W348="X",M348&gt;$AJ$2),S348,"")</f>
        <v/>
      </c>
      <c r="AO348" s="35">
        <f>IF(AND(W348="",M348&gt;0,$AJ$2&gt;M348,L348=""),1,0)</f>
        <v/>
      </c>
      <c r="AP348" s="26">
        <f>IF(AND(AK348="YES",W348="X"),"X","")</f>
        <v/>
      </c>
      <c r="AQ348" s="28">
        <f>IF(AP348="X",100%,0%)</f>
        <v/>
      </c>
      <c r="AR348" s="25">
        <f>IF(AND(T348&gt;0,L348=""),H348,"")</f>
        <v/>
      </c>
      <c r="AS348" s="25">
        <f>IF(AND(D348&gt;0,H348=0,G348=""),1,"")</f>
        <v/>
      </c>
      <c r="AT348" s="25">
        <f>IF(G348="BLOQ",1,"")</f>
        <v/>
      </c>
      <c r="AU348" s="25">
        <f>IF(L348="BLOQ",1,"")</f>
        <v/>
      </c>
      <c r="AV348" s="25">
        <f>MONTH(F348)</f>
        <v/>
      </c>
      <c r="AW348" s="65">
        <f>IF(AP348="",100%,0%)</f>
        <v/>
      </c>
      <c r="AX348" s="23" t="n"/>
      <c r="AY348" s="24">
        <f>IF(M348=0,"",M348-$AX$2)</f>
        <v/>
      </c>
      <c r="AZ348" s="66">
        <f>IF(AND(W348="",AY348&gt;0,AY348&lt;15),1,0)</f>
        <v/>
      </c>
      <c r="BA348" s="24">
        <f>IF(AND(W348="",AY348&gt;0,AY348&lt;15),T348,"")</f>
        <v/>
      </c>
      <c r="BB348" s="87">
        <f>IF(R348&lt;Q348,"X","")</f>
        <v/>
      </c>
      <c r="BC348" s="190" t="inlineStr">
        <is>
          <t>NO</t>
        </is>
      </c>
      <c r="BD348" s="190" t="inlineStr">
        <is>
          <t>NO</t>
        </is>
      </c>
    </row>
    <row r="349" ht="15" customHeight="1" s="162">
      <c r="A349" s="7" t="n">
        <v>348</v>
      </c>
      <c r="B349" t="inlineStr">
        <is>
          <t>1589903560300</t>
        </is>
      </c>
      <c r="C349" t="inlineStr">
        <is>
          <t>EXTENSION HORIZONT 1,09X1,57M</t>
        </is>
      </c>
      <c r="D349" t="inlineStr">
        <is>
          <t>1101833790</t>
        </is>
      </c>
      <c r="E349" t="inlineStr">
        <is>
          <t>2</t>
        </is>
      </c>
      <c r="F349" s="163" t="n">
        <v>45693</v>
      </c>
      <c r="G349" t="inlineStr"/>
      <c r="H349" t="inlineStr">
        <is>
          <t>4200597875</t>
        </is>
      </c>
      <c r="I349" t="inlineStr">
        <is>
          <t>20</t>
        </is>
      </c>
      <c r="J349" s="163" t="n">
        <v>45702</v>
      </c>
      <c r="K349" s="163" t="n">
        <v>45707</v>
      </c>
      <c r="L349" t="inlineStr"/>
      <c r="M349" s="163" t="n">
        <v>45716</v>
      </c>
      <c r="N349" s="164" t="n">
        <v>40</v>
      </c>
      <c r="O349" s="164" t="n">
        <v>8</v>
      </c>
      <c r="P349" t="inlineStr">
        <is>
          <t>Liberado</t>
        </is>
      </c>
      <c r="Q349" s="165" t="n">
        <v>8</v>
      </c>
      <c r="R349" s="165" t="n">
        <v>8</v>
      </c>
      <c r="S349" s="165" t="n">
        <v>8</v>
      </c>
      <c r="T349" s="165" t="n">
        <v>0</v>
      </c>
      <c r="U349" s="166" t="n">
        <v>8</v>
      </c>
      <c r="V349" s="166" t="n">
        <v>0</v>
      </c>
      <c r="W349" t="inlineStr">
        <is>
          <t>X</t>
        </is>
      </c>
      <c r="X349" t="inlineStr">
        <is>
          <t>0.00</t>
        </is>
      </c>
      <c r="Y349" t="inlineStr"/>
      <c r="Z349" t="inlineStr">
        <is>
          <t>LAYHER IBERICA, S.L.</t>
        </is>
      </c>
      <c r="AA349" t="inlineStr">
        <is>
          <t>LAYHER</t>
        </is>
      </c>
      <c r="AB349" t="inlineStr">
        <is>
          <t>2606.001</t>
        </is>
      </c>
      <c r="AC349" t="inlineStr"/>
      <c r="AD349" s="164" t="n">
        <v>0</v>
      </c>
      <c r="AE349" s="185" t="n">
        <v>0</v>
      </c>
      <c r="AG349" s="167" t="inlineStr">
        <is>
          <t>7218|S24B05_S1075</t>
        </is>
      </c>
      <c r="AH349" s="46">
        <f>IF(M349=0,"-",M349-J349)</f>
        <v/>
      </c>
      <c r="AI349" s="46">
        <f>IF(AND(S349=0,M349&gt;0,L349=0),IF(AH349&gt;=120,"VERY HIGH",IF(AH349&gt;=90,"HIGH",IF(AH349&gt;=60,"MEDIUM",IF(AH349&lt;60,"LOW")))),"-")</f>
        <v/>
      </c>
      <c r="AJ349" s="12" t="n"/>
      <c r="AK349" s="41">
        <f>IF(AND(W349="X",M349&lt;=$AJ$2),"YES","")</f>
        <v/>
      </c>
      <c r="AL349" s="38">
        <f>IF(AND(W349="X",M349&lt;=$AJ$2),S349,"")</f>
        <v/>
      </c>
      <c r="AM349" s="26">
        <f>IF(AND(W349="X",M349&gt;$AJ$2),"YES","")</f>
        <v/>
      </c>
      <c r="AN349" s="89">
        <f>IF(AND(W349="X",M349&gt;$AJ$2),S349,"")</f>
        <v/>
      </c>
      <c r="AO349" s="35">
        <f>IF(AND(W349="",M349&gt;0,$AJ$2&gt;M349,L349=""),1,0)</f>
        <v/>
      </c>
      <c r="AP349" s="26">
        <f>IF(AND(AK349="YES",W349="X"),"X","")</f>
        <v/>
      </c>
      <c r="AQ349" s="28">
        <f>IF(AP349="X",100%,0%)</f>
        <v/>
      </c>
      <c r="AR349" s="25">
        <f>IF(AND(T349&gt;0,L349=""),H349,"")</f>
        <v/>
      </c>
      <c r="AS349" s="25">
        <f>IF(AND(D349&gt;0,H349=0,G349=""),1,"")</f>
        <v/>
      </c>
      <c r="AT349" s="25">
        <f>IF(G349="BLOQ",1,"")</f>
        <v/>
      </c>
      <c r="AU349" s="25">
        <f>IF(L349="BLOQ",1,"")</f>
        <v/>
      </c>
      <c r="AV349" s="25">
        <f>MONTH(F349)</f>
        <v/>
      </c>
      <c r="AW349" s="65">
        <f>IF(AP349="",100%,0%)</f>
        <v/>
      </c>
      <c r="AX349" s="23" t="n"/>
      <c r="AY349" s="24">
        <f>IF(M349=0,"",M349-$AX$2)</f>
        <v/>
      </c>
      <c r="AZ349" s="66">
        <f>IF(AND(W349="",AY349&gt;0,AY349&lt;15),1,0)</f>
        <v/>
      </c>
      <c r="BA349" s="24">
        <f>IF(AND(W349="",AY349&gt;0,AY349&lt;15),T349,"")</f>
        <v/>
      </c>
      <c r="BB349" s="87">
        <f>IF(R349&lt;Q349,"X","")</f>
        <v/>
      </c>
      <c r="BC349" s="190" t="inlineStr">
        <is>
          <t>NO</t>
        </is>
      </c>
      <c r="BD349" s="190" t="inlineStr">
        <is>
          <t>NO</t>
        </is>
      </c>
    </row>
    <row r="350" ht="15" customHeight="1" s="162">
      <c r="A350" s="7" t="n">
        <v>349</v>
      </c>
      <c r="B350" t="inlineStr">
        <is>
          <t>1589903560400</t>
        </is>
      </c>
      <c r="C350" t="inlineStr">
        <is>
          <t>EXTENSION HORIZONTAL 1,57X2,57M</t>
        </is>
      </c>
      <c r="D350" t="inlineStr">
        <is>
          <t>1101833790</t>
        </is>
      </c>
      <c r="E350" t="inlineStr">
        <is>
          <t>3</t>
        </is>
      </c>
      <c r="F350" s="163" t="n">
        <v>45693</v>
      </c>
      <c r="G350" t="inlineStr"/>
      <c r="H350" t="inlineStr">
        <is>
          <t>4200597875</t>
        </is>
      </c>
      <c r="I350" t="inlineStr">
        <is>
          <t>30</t>
        </is>
      </c>
      <c r="J350" s="163" t="n">
        <v>45702</v>
      </c>
      <c r="K350" s="163" t="n">
        <v>45707</v>
      </c>
      <c r="L350" t="inlineStr"/>
      <c r="M350" s="163" t="n">
        <v>45716</v>
      </c>
      <c r="N350" s="164" t="n">
        <v>40</v>
      </c>
      <c r="O350" s="164" t="n">
        <v>8</v>
      </c>
      <c r="P350" t="inlineStr">
        <is>
          <t>Liberado</t>
        </is>
      </c>
      <c r="Q350" s="165" t="n">
        <v>4</v>
      </c>
      <c r="R350" s="165" t="n">
        <v>4</v>
      </c>
      <c r="S350" s="165" t="n">
        <v>4</v>
      </c>
      <c r="T350" s="165" t="n">
        <v>0</v>
      </c>
      <c r="U350" s="166" t="n">
        <v>4</v>
      </c>
      <c r="V350" s="166" t="n">
        <v>0</v>
      </c>
      <c r="W350" t="inlineStr">
        <is>
          <t>X</t>
        </is>
      </c>
      <c r="X350" t="inlineStr">
        <is>
          <t>0.00</t>
        </is>
      </c>
      <c r="Y350" t="inlineStr"/>
      <c r="Z350" t="inlineStr">
        <is>
          <t>LAYHER IBERICA, S.L.</t>
        </is>
      </c>
      <c r="AA350" t="inlineStr">
        <is>
          <t>LAYHER</t>
        </is>
      </c>
      <c r="AB350" t="inlineStr">
        <is>
          <t>2606.000</t>
        </is>
      </c>
      <c r="AC350" t="inlineStr"/>
      <c r="AD350" s="164" t="n">
        <v>0</v>
      </c>
      <c r="AE350" s="185" t="n">
        <v>0</v>
      </c>
      <c r="AG350" s="167" t="inlineStr">
        <is>
          <t>7218|S24B05_S1075</t>
        </is>
      </c>
      <c r="AH350" s="46">
        <f>IF(M350=0,"-",M350-J350)</f>
        <v/>
      </c>
      <c r="AI350" s="46">
        <f>IF(AND(S350=0,M350&gt;0,L350=0),IF(AH350&gt;=120,"VERY HIGH",IF(AH350&gt;=90,"HIGH",IF(AH350&gt;=60,"MEDIUM",IF(AH350&lt;60,"LOW")))),"-")</f>
        <v/>
      </c>
      <c r="AJ350" s="12" t="n"/>
      <c r="AK350" s="41">
        <f>IF(AND(W350="X",M350&lt;=$AJ$2),"YES","")</f>
        <v/>
      </c>
      <c r="AL350" s="38">
        <f>IF(AND(W350="X",M350&lt;=$AJ$2),S350,"")</f>
        <v/>
      </c>
      <c r="AM350" s="26">
        <f>IF(AND(W350="X",M350&gt;$AJ$2),"YES","")</f>
        <v/>
      </c>
      <c r="AN350" s="89">
        <f>IF(AND(W350="X",M350&gt;$AJ$2),S350,"")</f>
        <v/>
      </c>
      <c r="AO350" s="35">
        <f>IF(AND(W350="",M350&gt;0,$AJ$2&gt;M350,L350=""),1,0)</f>
        <v/>
      </c>
      <c r="AP350" s="26">
        <f>IF(AND(AK350="YES",W350="X"),"X","")</f>
        <v/>
      </c>
      <c r="AQ350" s="28">
        <f>IF(AP350="X",100%,0%)</f>
        <v/>
      </c>
      <c r="AR350" s="25">
        <f>IF(AND(T350&gt;0,L350=""),H350,"")</f>
        <v/>
      </c>
      <c r="AS350" s="25">
        <f>IF(AND(D350&gt;0,H350=0,G350=""),1,"")</f>
        <v/>
      </c>
      <c r="AT350" s="25">
        <f>IF(G350="BLOQ",1,"")</f>
        <v/>
      </c>
      <c r="AU350" s="25">
        <f>IF(L350="BLOQ",1,"")</f>
        <v/>
      </c>
      <c r="AV350" s="25">
        <f>MONTH(F350)</f>
        <v/>
      </c>
      <c r="AW350" s="65">
        <f>IF(AP350="",100%,0%)</f>
        <v/>
      </c>
      <c r="AX350" s="23" t="n"/>
      <c r="AY350" s="24">
        <f>IF(M350=0,"",M350-$AX$2)</f>
        <v/>
      </c>
      <c r="AZ350" s="66">
        <f>IF(AND(W350="",AY350&gt;0,AY350&lt;15),1,0)</f>
        <v/>
      </c>
      <c r="BA350" s="24">
        <f>IF(AND(W350="",AY350&gt;0,AY350&lt;15),T350,"")</f>
        <v/>
      </c>
      <c r="BB350" s="87">
        <f>IF(R350&lt;Q350,"X","")</f>
        <v/>
      </c>
      <c r="BC350" s="190" t="inlineStr">
        <is>
          <t>NO</t>
        </is>
      </c>
      <c r="BD350" s="190" t="inlineStr">
        <is>
          <t>NO</t>
        </is>
      </c>
    </row>
    <row r="351" ht="15" customHeight="1" s="162">
      <c r="A351" s="7" t="n">
        <v>350</v>
      </c>
      <c r="B351" t="inlineStr">
        <is>
          <t>1589903560500</t>
        </is>
      </c>
      <c r="C351" t="inlineStr">
        <is>
          <t>PUERTA ACC C/RODAPIE P/TORRE DE 073 T20</t>
        </is>
      </c>
      <c r="D351" t="inlineStr">
        <is>
          <t>1101833790</t>
        </is>
      </c>
      <c r="E351" t="inlineStr">
        <is>
          <t>4</t>
        </is>
      </c>
      <c r="F351" s="163" t="n">
        <v>45693</v>
      </c>
      <c r="G351" t="inlineStr"/>
      <c r="H351" t="inlineStr">
        <is>
          <t>4200597875</t>
        </is>
      </c>
      <c r="I351" t="inlineStr">
        <is>
          <t>40</t>
        </is>
      </c>
      <c r="J351" s="163" t="n">
        <v>45702</v>
      </c>
      <c r="K351" s="163" t="n">
        <v>45707</v>
      </c>
      <c r="L351" t="inlineStr"/>
      <c r="M351" s="163" t="n">
        <v>45716</v>
      </c>
      <c r="N351" s="164" t="n">
        <v>40</v>
      </c>
      <c r="O351" s="164" t="n">
        <v>8</v>
      </c>
      <c r="P351" t="inlineStr">
        <is>
          <t>Liberado</t>
        </is>
      </c>
      <c r="Q351" s="165" t="n">
        <v>1</v>
      </c>
      <c r="R351" s="165" t="n">
        <v>1</v>
      </c>
      <c r="S351" s="165" t="n">
        <v>1</v>
      </c>
      <c r="T351" s="165" t="n">
        <v>0</v>
      </c>
      <c r="U351" s="166" t="n">
        <v>1</v>
      </c>
      <c r="V351" s="166" t="n">
        <v>0</v>
      </c>
      <c r="W351" t="inlineStr">
        <is>
          <t>X</t>
        </is>
      </c>
      <c r="X351" t="inlineStr">
        <is>
          <t>0.00</t>
        </is>
      </c>
      <c r="Y351" t="inlineStr"/>
      <c r="Z351" t="inlineStr">
        <is>
          <t>LAYHER IBERICA, S.L.</t>
        </is>
      </c>
      <c r="AA351" t="inlineStr">
        <is>
          <t>LAYHER</t>
        </is>
      </c>
      <c r="AB351" t="inlineStr">
        <is>
          <t>2627073</t>
        </is>
      </c>
      <c r="AC351" t="inlineStr"/>
      <c r="AD351" s="164" t="n">
        <v>0</v>
      </c>
      <c r="AE351" s="185" t="n">
        <v>0</v>
      </c>
      <c r="AG351" s="167" t="inlineStr">
        <is>
          <t>7218|S24B05_S1075</t>
        </is>
      </c>
      <c r="AH351" s="46">
        <f>IF(M351=0,"-",M351-J351)</f>
        <v/>
      </c>
      <c r="AI351" s="46">
        <f>IF(AND(S351=0,M351&gt;0,L351=0),IF(AH351&gt;=120,"VERY HIGH",IF(AH351&gt;=90,"HIGH",IF(AH351&gt;=60,"MEDIUM",IF(AH351&lt;60,"LOW")))),"-")</f>
        <v/>
      </c>
      <c r="AJ351" s="12" t="n"/>
      <c r="AK351" s="41">
        <f>IF(AND(W351="X",M351&lt;=$AJ$2),"YES","")</f>
        <v/>
      </c>
      <c r="AL351" s="38">
        <f>IF(AND(W351="X",M351&lt;=$AJ$2),S351,"")</f>
        <v/>
      </c>
      <c r="AM351" s="26">
        <f>IF(AND(W351="X",M351&gt;$AJ$2),"YES","")</f>
        <v/>
      </c>
      <c r="AN351" s="89">
        <f>IF(AND(W351="X",M351&gt;$AJ$2),S351,"")</f>
        <v/>
      </c>
      <c r="AO351" s="35">
        <f>IF(AND(W351="",M351&gt;0,$AJ$2&gt;M351,L351=""),1,0)</f>
        <v/>
      </c>
      <c r="AP351" s="26">
        <f>IF(AND(AK351="YES",W351="X"),"X","")</f>
        <v/>
      </c>
      <c r="AQ351" s="28">
        <f>IF(AP351="X",100%,0%)</f>
        <v/>
      </c>
      <c r="AR351" s="25">
        <f>IF(AND(T351&gt;0,L351=""),H351,"")</f>
        <v/>
      </c>
      <c r="AS351" s="25">
        <f>IF(AND(D351&gt;0,H351=0,G351=""),1,"")</f>
        <v/>
      </c>
      <c r="AT351" s="25">
        <f>IF(G351="BLOQ",1,"")</f>
        <v/>
      </c>
      <c r="AU351" s="25">
        <f>IF(L351="BLOQ",1,"")</f>
        <v/>
      </c>
      <c r="AV351" s="25">
        <f>MONTH(F351)</f>
        <v/>
      </c>
      <c r="AW351" s="65">
        <f>IF(AP351="",100%,0%)</f>
        <v/>
      </c>
      <c r="AX351" s="23" t="n"/>
      <c r="AY351" s="24">
        <f>IF(M351=0,"",M351-$AX$2)</f>
        <v/>
      </c>
      <c r="AZ351" s="66">
        <f>IF(AND(W351="",AY351&gt;0,AY351&lt;15),1,0)</f>
        <v/>
      </c>
      <c r="BA351" s="24">
        <f>IF(AND(W351="",AY351&gt;0,AY351&lt;15),T351,"")</f>
        <v/>
      </c>
      <c r="BB351" s="87">
        <f>IF(R351&lt;Q351,"X","")</f>
        <v/>
      </c>
      <c r="BC351" s="190" t="inlineStr">
        <is>
          <t>NO</t>
        </is>
      </c>
      <c r="BD351" s="190" t="inlineStr">
        <is>
          <t>NO</t>
        </is>
      </c>
    </row>
    <row r="352" ht="15" customHeight="1" s="162">
      <c r="A352" s="7" t="n">
        <v>351</v>
      </c>
      <c r="B352" t="inlineStr">
        <is>
          <t>39122325</t>
        </is>
      </c>
      <c r="C352" t="inlineStr">
        <is>
          <t>Rel&amp;#233; modular Finder 58 Series, 4PDT</t>
        </is>
      </c>
      <c r="D352" t="inlineStr">
        <is>
          <t>1101834193</t>
        </is>
      </c>
      <c r="E352" t="inlineStr">
        <is>
          <t>1</t>
        </is>
      </c>
      <c r="F352" s="163" t="n">
        <v>45694</v>
      </c>
      <c r="G352" t="inlineStr"/>
      <c r="H352" t="inlineStr">
        <is>
          <t>4800002865</t>
        </is>
      </c>
      <c r="I352" t="inlineStr">
        <is>
          <t>460</t>
        </is>
      </c>
      <c r="J352" s="163" t="n">
        <v>45693</v>
      </c>
      <c r="K352" s="163" t="inlineStr"/>
      <c r="L352" t="inlineStr"/>
      <c r="M352" s="163" t="n">
        <v>45695</v>
      </c>
      <c r="N352" s="164" t="n">
        <v>0</v>
      </c>
      <c r="O352" s="164" t="n">
        <v>0</v>
      </c>
      <c r="P352" t="inlineStr"/>
      <c r="Q352" s="165" t="n">
        <v>2</v>
      </c>
      <c r="R352" s="165" t="n">
        <v>2</v>
      </c>
      <c r="S352" s="165" t="n">
        <v>2</v>
      </c>
      <c r="T352" s="165" t="n">
        <v>0</v>
      </c>
      <c r="U352" s="166" t="n">
        <v>0</v>
      </c>
      <c r="V352" s="166" t="n">
        <v>0</v>
      </c>
      <c r="W352" t="inlineStr">
        <is>
          <t>X</t>
        </is>
      </c>
      <c r="X352" t="inlineStr">
        <is>
          <t>0.00</t>
        </is>
      </c>
      <c r="Y352" t="inlineStr"/>
      <c r="Z352" t="inlineStr">
        <is>
          <t>AMIDATA, S.A.</t>
        </is>
      </c>
      <c r="AA352" t="inlineStr"/>
      <c r="AB352" t="inlineStr">
        <is>
          <t>6237292</t>
        </is>
      </c>
      <c r="AC352" t="inlineStr"/>
      <c r="AD352" s="164" t="n">
        <v>0</v>
      </c>
      <c r="AE352" s="185" t="n">
        <v>0</v>
      </c>
      <c r="AG352" s="167" t="inlineStr">
        <is>
          <t>7218|JA2593_1001</t>
        </is>
      </c>
      <c r="AH352" s="46">
        <f>IF(M352=0,"-",M352-J352)</f>
        <v/>
      </c>
      <c r="AI352" s="46">
        <f>IF(AND(S352=0,M352&gt;0,L352=0),IF(AH352&gt;=120,"VERY HIGH",IF(AH352&gt;=90,"HIGH",IF(AH352&gt;=60,"MEDIUM",IF(AH352&lt;60,"LOW")))),"-")</f>
        <v/>
      </c>
      <c r="AJ352" s="12" t="n"/>
      <c r="AK352" s="41">
        <f>IF(AND(W352="X",M352&lt;=$AJ$2),"YES","")</f>
        <v/>
      </c>
      <c r="AL352" s="38">
        <f>IF(AND(W352="X",M352&lt;=$AJ$2),S352,"")</f>
        <v/>
      </c>
      <c r="AM352" s="26">
        <f>IF(AND(W352="X",M352&gt;$AJ$2),"YES","")</f>
        <v/>
      </c>
      <c r="AN352" s="89">
        <f>IF(AND(W352="X",M352&gt;$AJ$2),S352,"")</f>
        <v/>
      </c>
      <c r="AO352" s="35">
        <f>IF(AND(W352="",M352&gt;0,$AJ$2&gt;M352,L352=""),1,0)</f>
        <v/>
      </c>
      <c r="AP352" s="26">
        <f>IF(AND(AK352="YES",W352="X"),"X","")</f>
        <v/>
      </c>
      <c r="AQ352" s="28">
        <f>IF(AP352="X",100%,0%)</f>
        <v/>
      </c>
      <c r="AR352" s="25">
        <f>IF(AND(T352&gt;0,L352=""),H352,"")</f>
        <v/>
      </c>
      <c r="AS352" s="25">
        <f>IF(AND(D352&gt;0,H352=0,G352=""),1,"")</f>
        <v/>
      </c>
      <c r="AT352" s="25">
        <f>IF(G352="BLOQ",1,"")</f>
        <v/>
      </c>
      <c r="AU352" s="25">
        <f>IF(L352="BLOQ",1,"")</f>
        <v/>
      </c>
      <c r="AV352" s="25">
        <f>MONTH(F352)</f>
        <v/>
      </c>
      <c r="AW352" s="65">
        <f>IF(AP352="",100%,0%)</f>
        <v/>
      </c>
      <c r="AX352" s="23" t="n"/>
      <c r="AY352" s="24">
        <f>IF(M352=0,"",M352-$AX$2)</f>
        <v/>
      </c>
      <c r="AZ352" s="66">
        <f>IF(AND(W352="",AY352&gt;0,AY352&lt;15),1,0)</f>
        <v/>
      </c>
      <c r="BA352" s="24">
        <f>IF(AND(W352="",AY352&gt;0,AY352&lt;15),T352,"")</f>
        <v/>
      </c>
      <c r="BB352" s="87">
        <f>IF(R352&lt;Q352,"X","")</f>
        <v/>
      </c>
      <c r="BC352" s="190" t="inlineStr">
        <is>
          <t>NO</t>
        </is>
      </c>
      <c r="BD352" s="190" t="inlineStr">
        <is>
          <t>NO</t>
        </is>
      </c>
    </row>
    <row r="353" ht="15" customHeight="1" s="162">
      <c r="A353" s="7" t="n">
        <v>352</v>
      </c>
      <c r="B353" t="inlineStr">
        <is>
          <t>39121432</t>
        </is>
      </c>
      <c r="C353" t="inlineStr">
        <is>
          <t>Terminal redondo no aislado de N&amp;#237;qu</t>
        </is>
      </c>
      <c r="D353" t="inlineStr">
        <is>
          <t>1101834195</t>
        </is>
      </c>
      <c r="E353" t="inlineStr">
        <is>
          <t>1</t>
        </is>
      </c>
      <c r="F353" s="163" t="n">
        <v>45694</v>
      </c>
      <c r="G353" t="inlineStr"/>
      <c r="H353" t="inlineStr">
        <is>
          <t>4800002865</t>
        </is>
      </c>
      <c r="I353" t="inlineStr">
        <is>
          <t>470</t>
        </is>
      </c>
      <c r="J353" s="163" t="n">
        <v>45693</v>
      </c>
      <c r="K353" s="163" t="inlineStr"/>
      <c r="L353" t="inlineStr"/>
      <c r="M353" s="163" t="n">
        <v>45695</v>
      </c>
      <c r="N353" s="164" t="n">
        <v>0</v>
      </c>
      <c r="O353" s="164" t="n">
        <v>0</v>
      </c>
      <c r="P353" t="inlineStr"/>
      <c r="Q353" s="165" t="n">
        <v>20</v>
      </c>
      <c r="R353" s="165" t="n">
        <v>20</v>
      </c>
      <c r="S353" s="165" t="n">
        <v>20</v>
      </c>
      <c r="T353" s="165" t="n">
        <v>0</v>
      </c>
      <c r="U353" s="166" t="n">
        <v>0</v>
      </c>
      <c r="V353" s="166" t="n">
        <v>0</v>
      </c>
      <c r="W353" t="inlineStr">
        <is>
          <t>X</t>
        </is>
      </c>
      <c r="X353" t="inlineStr">
        <is>
          <t>0.00</t>
        </is>
      </c>
      <c r="Y353" t="inlineStr"/>
      <c r="Z353" t="inlineStr">
        <is>
          <t>AMIDATA, S.A.</t>
        </is>
      </c>
      <c r="AA353" t="inlineStr"/>
      <c r="AB353" t="inlineStr">
        <is>
          <t>1611285</t>
        </is>
      </c>
      <c r="AC353" t="inlineStr"/>
      <c r="AD353" s="164" t="n">
        <v>0</v>
      </c>
      <c r="AE353" s="185" t="n">
        <v>0</v>
      </c>
      <c r="AG353" s="167" t="inlineStr">
        <is>
          <t>7218|JA2578_1001</t>
        </is>
      </c>
      <c r="AH353" s="46">
        <f>IF(M353=0,"-",M353-J353)</f>
        <v/>
      </c>
      <c r="AI353" s="46">
        <f>IF(AND(S353=0,M353&gt;0,L353=0),IF(AH353&gt;=120,"VERY HIGH",IF(AH353&gt;=90,"HIGH",IF(AH353&gt;=60,"MEDIUM",IF(AH353&lt;60,"LOW")))),"-")</f>
        <v/>
      </c>
      <c r="AJ353" s="12" t="n"/>
      <c r="AK353" s="41">
        <f>IF(AND(W353="X",M353&lt;=$AJ$2),"YES","")</f>
        <v/>
      </c>
      <c r="AL353" s="38">
        <f>IF(AND(W353="X",M353&lt;=$AJ$2),S353,"")</f>
        <v/>
      </c>
      <c r="AM353" s="26">
        <f>IF(AND(W353="X",M353&gt;$AJ$2),"YES","")</f>
        <v/>
      </c>
      <c r="AN353" s="89">
        <f>IF(AND(W353="X",M353&gt;$AJ$2),S353,"")</f>
        <v/>
      </c>
      <c r="AO353" s="35">
        <f>IF(AND(W353="",M353&gt;0,$AJ$2&gt;M353,L353=""),1,0)</f>
        <v/>
      </c>
      <c r="AP353" s="26">
        <f>IF(AND(AK353="YES",W353="X"),"X","")</f>
        <v/>
      </c>
      <c r="AQ353" s="28">
        <f>IF(AP353="X",100%,0%)</f>
        <v/>
      </c>
      <c r="AR353" s="25">
        <f>IF(AND(T353&gt;0,L353=""),H353,"")</f>
        <v/>
      </c>
      <c r="AS353" s="25">
        <f>IF(AND(D353&gt;0,H353=0,G353=""),1,"")</f>
        <v/>
      </c>
      <c r="AT353" s="25">
        <f>IF(G353="BLOQ",1,"")</f>
        <v/>
      </c>
      <c r="AU353" s="25">
        <f>IF(L353="BLOQ",1,"")</f>
        <v/>
      </c>
      <c r="AV353" s="25">
        <f>MONTH(F353)</f>
        <v/>
      </c>
      <c r="AW353" s="65">
        <f>IF(AP353="",100%,0%)</f>
        <v/>
      </c>
      <c r="AX353" s="23" t="n"/>
      <c r="AY353" s="24">
        <f>IF(M353=0,"",M353-$AX$2)</f>
        <v/>
      </c>
      <c r="AZ353" s="66">
        <f>IF(AND(W353="",AY353&gt;0,AY353&lt;15),1,0)</f>
        <v/>
      </c>
      <c r="BA353" s="24">
        <f>IF(AND(W353="",AY353&gt;0,AY353&lt;15),T353,"")</f>
        <v/>
      </c>
      <c r="BB353" s="87">
        <f>IF(R353&lt;Q353,"X","")</f>
        <v/>
      </c>
      <c r="BC353" s="190" t="inlineStr">
        <is>
          <t>NO</t>
        </is>
      </c>
      <c r="BD353" s="190" t="inlineStr">
        <is>
          <t>NO</t>
        </is>
      </c>
    </row>
    <row r="354" ht="15" customHeight="1" s="162">
      <c r="A354" s="7" t="n">
        <v>353</v>
      </c>
      <c r="B354" t="inlineStr">
        <is>
          <t>39121404</t>
        </is>
      </c>
      <c r="C354" t="inlineStr">
        <is>
          <t>Puntera hueca de crimpado TE Connectivit</t>
        </is>
      </c>
      <c r="D354" t="inlineStr">
        <is>
          <t>1101834195</t>
        </is>
      </c>
      <c r="E354" t="inlineStr">
        <is>
          <t>2</t>
        </is>
      </c>
      <c r="F354" s="163" t="n">
        <v>45694</v>
      </c>
      <c r="G354" t="inlineStr"/>
      <c r="H354" t="inlineStr">
        <is>
          <t>4800002865</t>
        </is>
      </c>
      <c r="I354" t="inlineStr">
        <is>
          <t>480</t>
        </is>
      </c>
      <c r="J354" s="163" t="n">
        <v>45693</v>
      </c>
      <c r="K354" s="163" t="inlineStr"/>
      <c r="L354" t="inlineStr"/>
      <c r="M354" s="163" t="n">
        <v>45695</v>
      </c>
      <c r="N354" s="164" t="n">
        <v>0</v>
      </c>
      <c r="O354" s="164" t="n">
        <v>0</v>
      </c>
      <c r="P354" t="inlineStr"/>
      <c r="Q354" s="165" t="n">
        <v>50</v>
      </c>
      <c r="R354" s="165" t="n">
        <v>50</v>
      </c>
      <c r="S354" s="165" t="n">
        <v>50</v>
      </c>
      <c r="T354" s="165" t="n">
        <v>0</v>
      </c>
      <c r="U354" s="166" t="n">
        <v>0</v>
      </c>
      <c r="V354" s="166" t="n">
        <v>0</v>
      </c>
      <c r="W354" t="inlineStr">
        <is>
          <t>X</t>
        </is>
      </c>
      <c r="X354" t="inlineStr">
        <is>
          <t>0.00</t>
        </is>
      </c>
      <c r="Y354" t="inlineStr"/>
      <c r="Z354" t="inlineStr">
        <is>
          <t>AMIDATA, S.A.</t>
        </is>
      </c>
      <c r="AA354" t="inlineStr"/>
      <c r="AB354" t="inlineStr">
        <is>
          <t>7187359</t>
        </is>
      </c>
      <c r="AC354" t="inlineStr"/>
      <c r="AD354" s="164" t="n">
        <v>0</v>
      </c>
      <c r="AE354" s="185" t="n">
        <v>0</v>
      </c>
      <c r="AG354" s="167" t="inlineStr">
        <is>
          <t>7218|JA2578_1001</t>
        </is>
      </c>
      <c r="AH354" s="46">
        <f>IF(M354=0,"-",M354-J354)</f>
        <v/>
      </c>
      <c r="AI354" s="46">
        <f>IF(AND(S354=0,M354&gt;0,L354=0),IF(AH354&gt;=120,"VERY HIGH",IF(AH354&gt;=90,"HIGH",IF(AH354&gt;=60,"MEDIUM",IF(AH354&lt;60,"LOW")))),"-")</f>
        <v/>
      </c>
      <c r="AJ354" s="12" t="n"/>
      <c r="AK354" s="41">
        <f>IF(AND(W354="X",M354&lt;=$AJ$2),"YES","")</f>
        <v/>
      </c>
      <c r="AL354" s="38">
        <f>IF(AND(W354="X",M354&lt;=$AJ$2),S354,"")</f>
        <v/>
      </c>
      <c r="AM354" s="26">
        <f>IF(AND(W354="X",M354&gt;$AJ$2),"YES","")</f>
        <v/>
      </c>
      <c r="AN354" s="89">
        <f>IF(AND(W354="X",M354&gt;$AJ$2),S354,"")</f>
        <v/>
      </c>
      <c r="AO354" s="35">
        <f>IF(AND(W354="",M354&gt;0,$AJ$2&gt;M354,L354=""),1,0)</f>
        <v/>
      </c>
      <c r="AP354" s="26">
        <f>IF(AND(AK354="YES",W354="X"),"X","")</f>
        <v/>
      </c>
      <c r="AQ354" s="28">
        <f>IF(AP354="X",100%,0%)</f>
        <v/>
      </c>
      <c r="AR354" s="25">
        <f>IF(AND(T354&gt;0,L354=""),H354,"")</f>
        <v/>
      </c>
      <c r="AS354" s="25">
        <f>IF(AND(D354&gt;0,H354=0,G354=""),1,"")</f>
        <v/>
      </c>
      <c r="AT354" s="25">
        <f>IF(G354="BLOQ",1,"")</f>
        <v/>
      </c>
      <c r="AU354" s="25">
        <f>IF(L354="BLOQ",1,"")</f>
        <v/>
      </c>
      <c r="AV354" s="25">
        <f>MONTH(F354)</f>
        <v/>
      </c>
      <c r="AW354" s="65">
        <f>IF(AP354="",100%,0%)</f>
        <v/>
      </c>
      <c r="AX354" s="23" t="n"/>
      <c r="AY354" s="24">
        <f>IF(M354=0,"",M354-$AX$2)</f>
        <v/>
      </c>
      <c r="AZ354" s="66">
        <f>IF(AND(W354="",AY354&gt;0,AY354&lt;15),1,0)</f>
        <v/>
      </c>
      <c r="BA354" s="24">
        <f>IF(AND(W354="",AY354&gt;0,AY354&lt;15),T354,"")</f>
        <v/>
      </c>
      <c r="BB354" s="87">
        <f>IF(R354&lt;Q354,"X","")</f>
        <v/>
      </c>
      <c r="BC354" s="190" t="inlineStr">
        <is>
          <t>NO</t>
        </is>
      </c>
      <c r="BD354" s="190" t="inlineStr">
        <is>
          <t>NO</t>
        </is>
      </c>
    </row>
    <row r="355" ht="15" customHeight="1" s="162">
      <c r="A355" s="7" t="n">
        <v>354</v>
      </c>
      <c r="B355" t="inlineStr">
        <is>
          <t>39121444</t>
        </is>
      </c>
      <c r="C355" t="inlineStr">
        <is>
          <t>Conector RJ45 Macho Bel-Stewart serie 94</t>
        </is>
      </c>
      <c r="D355" t="inlineStr">
        <is>
          <t>1101834195</t>
        </is>
      </c>
      <c r="E355" t="inlineStr">
        <is>
          <t>3</t>
        </is>
      </c>
      <c r="F355" s="163" t="n">
        <v>45694</v>
      </c>
      <c r="G355" t="inlineStr"/>
      <c r="H355" t="inlineStr">
        <is>
          <t>4800002865</t>
        </is>
      </c>
      <c r="I355" t="inlineStr">
        <is>
          <t>490</t>
        </is>
      </c>
      <c r="J355" s="163" t="n">
        <v>45693</v>
      </c>
      <c r="K355" s="163" t="inlineStr"/>
      <c r="L355" t="inlineStr"/>
      <c r="M355" s="163" t="n">
        <v>45695</v>
      </c>
      <c r="N355" s="164" t="n">
        <v>0</v>
      </c>
      <c r="O355" s="164" t="n">
        <v>0</v>
      </c>
      <c r="P355" t="inlineStr"/>
      <c r="Q355" s="165" t="n">
        <v>60</v>
      </c>
      <c r="R355" s="165" t="n">
        <v>60</v>
      </c>
      <c r="S355" s="165" t="n">
        <v>60</v>
      </c>
      <c r="T355" s="165" t="n">
        <v>0</v>
      </c>
      <c r="U355" s="166" t="n">
        <v>0</v>
      </c>
      <c r="V355" s="166" t="n">
        <v>0</v>
      </c>
      <c r="W355" t="inlineStr">
        <is>
          <t>X</t>
        </is>
      </c>
      <c r="X355" t="inlineStr">
        <is>
          <t>0.00</t>
        </is>
      </c>
      <c r="Y355" t="inlineStr"/>
      <c r="Z355" t="inlineStr">
        <is>
          <t>AMIDATA, S.A.</t>
        </is>
      </c>
      <c r="AA355" t="inlineStr"/>
      <c r="AB355" t="inlineStr">
        <is>
          <t>0477321</t>
        </is>
      </c>
      <c r="AC355" t="inlineStr"/>
      <c r="AD355" s="164" t="n">
        <v>0</v>
      </c>
      <c r="AE355" s="185" t="n">
        <v>0</v>
      </c>
      <c r="AG355" s="167" t="inlineStr">
        <is>
          <t>7218|JA2578_1001</t>
        </is>
      </c>
      <c r="AH355" s="46">
        <f>IF(M355=0,"-",M355-J355)</f>
        <v/>
      </c>
      <c r="AI355" s="46">
        <f>IF(AND(S355=0,M355&gt;0,L355=0),IF(AH355&gt;=120,"VERY HIGH",IF(AH355&gt;=90,"HIGH",IF(AH355&gt;=60,"MEDIUM",IF(AH355&lt;60,"LOW")))),"-")</f>
        <v/>
      </c>
      <c r="AJ355" s="12" t="n"/>
      <c r="AK355" s="41">
        <f>IF(AND(W355="X",M355&lt;=$AJ$2),"YES","")</f>
        <v/>
      </c>
      <c r="AL355" s="38">
        <f>IF(AND(W355="X",M355&lt;=$AJ$2),S355,"")</f>
        <v/>
      </c>
      <c r="AM355" s="26">
        <f>IF(AND(W355="X",M355&gt;$AJ$2),"YES","")</f>
        <v/>
      </c>
      <c r="AN355" s="89">
        <f>IF(AND(W355="X",M355&gt;$AJ$2),S355,"")</f>
        <v/>
      </c>
      <c r="AO355" s="35">
        <f>IF(AND(W355="",M355&gt;0,$AJ$2&gt;M355,L355=""),1,0)</f>
        <v/>
      </c>
      <c r="AP355" s="26">
        <f>IF(AND(AK355="YES",W355="X"),"X","")</f>
        <v/>
      </c>
      <c r="AQ355" s="28">
        <f>IF(AP355="X",100%,0%)</f>
        <v/>
      </c>
      <c r="AR355" s="25">
        <f>IF(AND(T355&gt;0,L355=""),H355,"")</f>
        <v/>
      </c>
      <c r="AS355" s="25">
        <f>IF(AND(D355&gt;0,H355=0,G355=""),1,"")</f>
        <v/>
      </c>
      <c r="AT355" s="25">
        <f>IF(G355="BLOQ",1,"")</f>
        <v/>
      </c>
      <c r="AU355" s="25">
        <f>IF(L355="BLOQ",1,"")</f>
        <v/>
      </c>
      <c r="AV355" s="25">
        <f>MONTH(F355)</f>
        <v/>
      </c>
      <c r="AW355" s="65">
        <f>IF(AP355="",100%,0%)</f>
        <v/>
      </c>
      <c r="AX355" s="23" t="n"/>
      <c r="AY355" s="24">
        <f>IF(M355=0,"",M355-$AX$2)</f>
        <v/>
      </c>
      <c r="AZ355" s="66">
        <f>IF(AND(W355="",AY355&gt;0,AY355&lt;15),1,0)</f>
        <v/>
      </c>
      <c r="BA355" s="24">
        <f>IF(AND(W355="",AY355&gt;0,AY355&lt;15),T355,"")</f>
        <v/>
      </c>
      <c r="BB355" s="87">
        <f>IF(R355&lt;Q355,"X","")</f>
        <v/>
      </c>
      <c r="BC355" s="190" t="inlineStr">
        <is>
          <t>NO</t>
        </is>
      </c>
      <c r="BD355" s="190" t="inlineStr">
        <is>
          <t>NO</t>
        </is>
      </c>
    </row>
    <row r="356" ht="15" customHeight="1" s="162">
      <c r="A356" s="7" t="n">
        <v>355</v>
      </c>
      <c r="B356" t="inlineStr">
        <is>
          <t>39121444</t>
        </is>
      </c>
      <c r="C356" t="inlineStr">
        <is>
          <t>Funda RS PRO RJ45 para uso con Conectore</t>
        </is>
      </c>
      <c r="D356" t="inlineStr">
        <is>
          <t>1101834195</t>
        </is>
      </c>
      <c r="E356" t="inlineStr">
        <is>
          <t>4</t>
        </is>
      </c>
      <c r="F356" s="163" t="n">
        <v>45694</v>
      </c>
      <c r="G356" t="inlineStr"/>
      <c r="H356" t="inlineStr">
        <is>
          <t>4800002865</t>
        </is>
      </c>
      <c r="I356" t="inlineStr">
        <is>
          <t>500</t>
        </is>
      </c>
      <c r="J356" s="163" t="n">
        <v>45693</v>
      </c>
      <c r="K356" s="163" t="inlineStr"/>
      <c r="L356" t="inlineStr"/>
      <c r="M356" s="163" t="n">
        <v>45695</v>
      </c>
      <c r="N356" s="164" t="n">
        <v>0</v>
      </c>
      <c r="O356" s="164" t="n">
        <v>0</v>
      </c>
      <c r="P356" t="inlineStr"/>
      <c r="Q356" s="165" t="n">
        <v>30</v>
      </c>
      <c r="R356" s="165" t="n">
        <v>30</v>
      </c>
      <c r="S356" s="165" t="n">
        <v>30</v>
      </c>
      <c r="T356" s="165" t="n">
        <v>0</v>
      </c>
      <c r="U356" s="166" t="n">
        <v>0</v>
      </c>
      <c r="V356" s="166" t="n">
        <v>0</v>
      </c>
      <c r="W356" t="inlineStr">
        <is>
          <t>X</t>
        </is>
      </c>
      <c r="X356" t="inlineStr">
        <is>
          <t>0.00</t>
        </is>
      </c>
      <c r="Y356" t="inlineStr"/>
      <c r="Z356" t="inlineStr">
        <is>
          <t>AMIDATA, S.A.</t>
        </is>
      </c>
      <c r="AA356" t="inlineStr"/>
      <c r="AB356" t="inlineStr">
        <is>
          <t>2022608</t>
        </is>
      </c>
      <c r="AC356" t="inlineStr"/>
      <c r="AD356" s="164" t="n">
        <v>0</v>
      </c>
      <c r="AE356" s="185" t="n">
        <v>0</v>
      </c>
      <c r="AG356" s="167" t="inlineStr">
        <is>
          <t>7218|JA2578_1001</t>
        </is>
      </c>
      <c r="AH356" s="46">
        <f>IF(M356=0,"-",M356-J356)</f>
        <v/>
      </c>
      <c r="AI356" s="46">
        <f>IF(AND(S356=0,M356&gt;0,L356=0),IF(AH356&gt;=120,"VERY HIGH",IF(AH356&gt;=90,"HIGH",IF(AH356&gt;=60,"MEDIUM",IF(AH356&lt;60,"LOW")))),"-")</f>
        <v/>
      </c>
      <c r="AJ356" s="12" t="n"/>
      <c r="AK356" s="41">
        <f>IF(AND(W356="X",M356&lt;=$AJ$2),"YES","")</f>
        <v/>
      </c>
      <c r="AL356" s="38">
        <f>IF(AND(W356="X",M356&lt;=$AJ$2),S356,"")</f>
        <v/>
      </c>
      <c r="AM356" s="26">
        <f>IF(AND(W356="X",M356&gt;$AJ$2),"YES","")</f>
        <v/>
      </c>
      <c r="AN356" s="89">
        <f>IF(AND(W356="X",M356&gt;$AJ$2),S356,"")</f>
        <v/>
      </c>
      <c r="AO356" s="35">
        <f>IF(AND(W356="",M356&gt;0,$AJ$2&gt;M356,L356=""),1,0)</f>
        <v/>
      </c>
      <c r="AP356" s="26">
        <f>IF(AND(AK356="YES",W356="X"),"X","")</f>
        <v/>
      </c>
      <c r="AQ356" s="28">
        <f>IF(AP356="X",100%,0%)</f>
        <v/>
      </c>
      <c r="AR356" s="25">
        <f>IF(AND(T356&gt;0,L356=""),H356,"")</f>
        <v/>
      </c>
      <c r="AS356" s="25">
        <f>IF(AND(D356&gt;0,H356=0,G356=""),1,"")</f>
        <v/>
      </c>
      <c r="AT356" s="25">
        <f>IF(G356="BLOQ",1,"")</f>
        <v/>
      </c>
      <c r="AU356" s="25">
        <f>IF(L356="BLOQ",1,"")</f>
        <v/>
      </c>
      <c r="AV356" s="25">
        <f>MONTH(F356)</f>
        <v/>
      </c>
      <c r="AW356" s="65">
        <f>IF(AP356="",100%,0%)</f>
        <v/>
      </c>
      <c r="AX356" s="23" t="n"/>
      <c r="AY356" s="24">
        <f>IF(M356=0,"",M356-$AX$2)</f>
        <v/>
      </c>
      <c r="AZ356" s="66">
        <f>IF(AND(W356="",AY356&gt;0,AY356&lt;15),1,0)</f>
        <v/>
      </c>
      <c r="BA356" s="24">
        <f>IF(AND(W356="",AY356&gt;0,AY356&lt;15),T356,"")</f>
        <v/>
      </c>
      <c r="BB356" s="87">
        <f>IF(R356&lt;Q356,"X","")</f>
        <v/>
      </c>
      <c r="BC356" s="190" t="inlineStr">
        <is>
          <t>NO</t>
        </is>
      </c>
      <c r="BD356" s="190" t="inlineStr">
        <is>
          <t>NO</t>
        </is>
      </c>
    </row>
    <row r="357" ht="15" customHeight="1" s="162">
      <c r="A357" s="7" t="n">
        <v>356</v>
      </c>
      <c r="B357" t="inlineStr">
        <is>
          <t>32000000</t>
        </is>
      </c>
      <c r="C357" t="inlineStr">
        <is>
          <t>Conector circular MIL-C-38999 serie III</t>
        </is>
      </c>
      <c r="D357" t="inlineStr">
        <is>
          <t>1101834197</t>
        </is>
      </c>
      <c r="E357" t="inlineStr">
        <is>
          <t>1</t>
        </is>
      </c>
      <c r="F357" s="163" t="n">
        <v>45694</v>
      </c>
      <c r="G357" t="inlineStr"/>
      <c r="H357" t="inlineStr">
        <is>
          <t>4800002865</t>
        </is>
      </c>
      <c r="I357" t="inlineStr">
        <is>
          <t>510</t>
        </is>
      </c>
      <c r="J357" s="163" t="n">
        <v>45693</v>
      </c>
      <c r="K357" s="163" t="inlineStr"/>
      <c r="L357" t="inlineStr"/>
      <c r="M357" s="163" t="n">
        <v>45695</v>
      </c>
      <c r="N357" s="164" t="n">
        <v>0</v>
      </c>
      <c r="O357" s="164" t="n">
        <v>0</v>
      </c>
      <c r="P357" t="inlineStr"/>
      <c r="Q357" s="165" t="n">
        <v>1</v>
      </c>
      <c r="R357" s="165" t="n">
        <v>1</v>
      </c>
      <c r="S357" s="165" t="n">
        <v>1</v>
      </c>
      <c r="T357" s="165" t="n">
        <v>0</v>
      </c>
      <c r="U357" s="166" t="n">
        <v>0</v>
      </c>
      <c r="V357" s="166" t="n">
        <v>0</v>
      </c>
      <c r="W357" t="inlineStr">
        <is>
          <t>X</t>
        </is>
      </c>
      <c r="X357" t="inlineStr">
        <is>
          <t>0.00</t>
        </is>
      </c>
      <c r="Y357" t="inlineStr"/>
      <c r="Z357" t="inlineStr">
        <is>
          <t>AMIDATA, S.A.</t>
        </is>
      </c>
      <c r="AA357" t="inlineStr"/>
      <c r="AB357" t="inlineStr">
        <is>
          <t>2804851</t>
        </is>
      </c>
      <c r="AC357" t="inlineStr"/>
      <c r="AD357" s="164" t="n">
        <v>0</v>
      </c>
      <c r="AE357" s="185" t="n">
        <v>0</v>
      </c>
      <c r="AG357" s="167" t="inlineStr">
        <is>
          <t>7218|JA2582_1001</t>
        </is>
      </c>
      <c r="AH357" s="46">
        <f>IF(M357=0,"-",M357-J357)</f>
        <v/>
      </c>
      <c r="AI357" s="46">
        <f>IF(AND(S357=0,M357&gt;0,L357=0),IF(AH357&gt;=120,"VERY HIGH",IF(AH357&gt;=90,"HIGH",IF(AH357&gt;=60,"MEDIUM",IF(AH357&lt;60,"LOW")))),"-")</f>
        <v/>
      </c>
      <c r="AJ357" s="12" t="n"/>
      <c r="AK357" s="41">
        <f>IF(AND(W357="X",M357&lt;=$AJ$2),"YES","")</f>
        <v/>
      </c>
      <c r="AL357" s="38">
        <f>IF(AND(W357="X",M357&lt;=$AJ$2),S357,"")</f>
        <v/>
      </c>
      <c r="AM357" s="26">
        <f>IF(AND(W357="X",M357&gt;$AJ$2),"YES","")</f>
        <v/>
      </c>
      <c r="AN357" s="89">
        <f>IF(AND(W357="X",M357&gt;$AJ$2),S357,"")</f>
        <v/>
      </c>
      <c r="AO357" s="35">
        <f>IF(AND(W357="",M357&gt;0,$AJ$2&gt;M357,L357=""),1,0)</f>
        <v/>
      </c>
      <c r="AP357" s="26">
        <f>IF(AND(AK357="YES",W357="X"),"X","")</f>
        <v/>
      </c>
      <c r="AQ357" s="28">
        <f>IF(AP357="X",100%,0%)</f>
        <v/>
      </c>
      <c r="AR357" s="25">
        <f>IF(AND(T357&gt;0,L357=""),H357,"")</f>
        <v/>
      </c>
      <c r="AS357" s="25">
        <f>IF(AND(D357&gt;0,H357=0,G357=""),1,"")</f>
        <v/>
      </c>
      <c r="AT357" s="25">
        <f>IF(G357="BLOQ",1,"")</f>
        <v/>
      </c>
      <c r="AU357" s="25">
        <f>IF(L357="BLOQ",1,"")</f>
        <v/>
      </c>
      <c r="AV357" s="25">
        <f>MONTH(F357)</f>
        <v/>
      </c>
      <c r="AW357" s="65">
        <f>IF(AP357="",100%,0%)</f>
        <v/>
      </c>
      <c r="AX357" s="23" t="n"/>
      <c r="AY357" s="24">
        <f>IF(M357=0,"",M357-$AX$2)</f>
        <v/>
      </c>
      <c r="AZ357" s="66">
        <f>IF(AND(W357="",AY357&gt;0,AY357&lt;15),1,0)</f>
        <v/>
      </c>
      <c r="BA357" s="24">
        <f>IF(AND(W357="",AY357&gt;0,AY357&lt;15),T357,"")</f>
        <v/>
      </c>
      <c r="BB357" s="87">
        <f>IF(R357&lt;Q357,"X","")</f>
        <v/>
      </c>
      <c r="BC357" s="190" t="inlineStr">
        <is>
          <t>NO</t>
        </is>
      </c>
      <c r="BD357" s="190" t="inlineStr">
        <is>
          <t>NO</t>
        </is>
      </c>
    </row>
    <row r="358" ht="15" customHeight="1" s="162">
      <c r="A358" s="7" t="n">
        <v>357</v>
      </c>
      <c r="B358" t="inlineStr">
        <is>
          <t>32000000</t>
        </is>
      </c>
      <c r="C358" t="inlineStr">
        <is>
          <t>Conector circular MIL-C-38999 serie III</t>
        </is>
      </c>
      <c r="D358" t="inlineStr">
        <is>
          <t>1101834197</t>
        </is>
      </c>
      <c r="E358" t="inlineStr">
        <is>
          <t>2</t>
        </is>
      </c>
      <c r="F358" s="163" t="n">
        <v>45694</v>
      </c>
      <c r="G358" t="inlineStr"/>
      <c r="H358" t="inlineStr">
        <is>
          <t>4800002865</t>
        </is>
      </c>
      <c r="I358" t="inlineStr">
        <is>
          <t>520</t>
        </is>
      </c>
      <c r="J358" s="163" t="n">
        <v>45693</v>
      </c>
      <c r="K358" s="163" t="inlineStr"/>
      <c r="L358" t="inlineStr"/>
      <c r="M358" s="163" t="n">
        <v>45695</v>
      </c>
      <c r="N358" s="164" t="n">
        <v>0</v>
      </c>
      <c r="O358" s="164" t="n">
        <v>0</v>
      </c>
      <c r="P358" t="inlineStr"/>
      <c r="Q358" s="165" t="n">
        <v>1</v>
      </c>
      <c r="R358" s="165" t="n">
        <v>1</v>
      </c>
      <c r="S358" s="165" t="n">
        <v>1</v>
      </c>
      <c r="T358" s="165" t="n">
        <v>0</v>
      </c>
      <c r="U358" s="166" t="n">
        <v>0</v>
      </c>
      <c r="V358" s="166" t="n">
        <v>0</v>
      </c>
      <c r="W358" t="inlineStr">
        <is>
          <t>X</t>
        </is>
      </c>
      <c r="X358" t="inlineStr">
        <is>
          <t>0.00</t>
        </is>
      </c>
      <c r="Y358" t="inlineStr"/>
      <c r="Z358" t="inlineStr">
        <is>
          <t>AMIDATA, S.A.</t>
        </is>
      </c>
      <c r="AA358" t="inlineStr"/>
      <c r="AB358" t="inlineStr">
        <is>
          <t>2804922</t>
        </is>
      </c>
      <c r="AC358" t="inlineStr"/>
      <c r="AD358" s="164" t="n">
        <v>0</v>
      </c>
      <c r="AE358" s="185" t="n">
        <v>0</v>
      </c>
      <c r="AG358" s="167" t="inlineStr">
        <is>
          <t>7218|JA2582_1001</t>
        </is>
      </c>
      <c r="AH358" s="46">
        <f>IF(M358=0,"-",M358-J358)</f>
        <v/>
      </c>
      <c r="AI358" s="46">
        <f>IF(AND(S358=0,M358&gt;0,L358=0),IF(AH358&gt;=120,"VERY HIGH",IF(AH358&gt;=90,"HIGH",IF(AH358&gt;=60,"MEDIUM",IF(AH358&lt;60,"LOW")))),"-")</f>
        <v/>
      </c>
      <c r="AJ358" s="12" t="n"/>
      <c r="AK358" s="41">
        <f>IF(AND(W358="X",M358&lt;=$AJ$2),"YES","")</f>
        <v/>
      </c>
      <c r="AL358" s="38">
        <f>IF(AND(W358="X",M358&lt;=$AJ$2),S358,"")</f>
        <v/>
      </c>
      <c r="AM358" s="26">
        <f>IF(AND(W358="X",M358&gt;$AJ$2),"YES","")</f>
        <v/>
      </c>
      <c r="AN358" s="89">
        <f>IF(AND(W358="X",M358&gt;$AJ$2),S358,"")</f>
        <v/>
      </c>
      <c r="AO358" s="35">
        <f>IF(AND(W358="",M358&gt;0,$AJ$2&gt;M358,L358=""),1,0)</f>
        <v/>
      </c>
      <c r="AP358" s="26">
        <f>IF(AND(AK358="YES",W358="X"),"X","")</f>
        <v/>
      </c>
      <c r="AQ358" s="28">
        <f>IF(AP358="X",100%,0%)</f>
        <v/>
      </c>
      <c r="AR358" s="25">
        <f>IF(AND(T358&gt;0,L358=""),H358,"")</f>
        <v/>
      </c>
      <c r="AS358" s="25">
        <f>IF(AND(D358&gt;0,H358=0,G358=""),1,"")</f>
        <v/>
      </c>
      <c r="AT358" s="25">
        <f>IF(G358="BLOQ",1,"")</f>
        <v/>
      </c>
      <c r="AU358" s="25">
        <f>IF(L358="BLOQ",1,"")</f>
        <v/>
      </c>
      <c r="AV358" s="25">
        <f>MONTH(F358)</f>
        <v/>
      </c>
      <c r="AW358" s="65">
        <f>IF(AP358="",100%,0%)</f>
        <v/>
      </c>
      <c r="AX358" s="23" t="n"/>
      <c r="AY358" s="24">
        <f>IF(M358=0,"",M358-$AX$2)</f>
        <v/>
      </c>
      <c r="AZ358" s="66">
        <f>IF(AND(W358="",AY358&gt;0,AY358&lt;15),1,0)</f>
        <v/>
      </c>
      <c r="BA358" s="24">
        <f>IF(AND(W358="",AY358&gt;0,AY358&lt;15),T358,"")</f>
        <v/>
      </c>
      <c r="BB358" s="87">
        <f>IF(R358&lt;Q358,"X","")</f>
        <v/>
      </c>
      <c r="BC358" s="190" t="inlineStr">
        <is>
          <t>NO</t>
        </is>
      </c>
      <c r="BD358" s="190" t="inlineStr">
        <is>
          <t>NO</t>
        </is>
      </c>
    </row>
    <row r="359" ht="15" customHeight="1" s="162">
      <c r="A359" s="7" t="n">
        <v>358</v>
      </c>
      <c r="B359" t="inlineStr">
        <is>
          <t>39121302</t>
        </is>
      </c>
      <c r="C359" t="inlineStr">
        <is>
          <t>Abrazadera de Pared Schneider Electric d</t>
        </is>
      </c>
      <c r="D359" t="inlineStr">
        <is>
          <t>1101834197</t>
        </is>
      </c>
      <c r="E359" t="inlineStr">
        <is>
          <t>3</t>
        </is>
      </c>
      <c r="F359" s="163" t="n">
        <v>45694</v>
      </c>
      <c r="G359" t="inlineStr"/>
      <c r="H359" t="inlineStr">
        <is>
          <t>4800002865</t>
        </is>
      </c>
      <c r="I359" t="inlineStr">
        <is>
          <t>530</t>
        </is>
      </c>
      <c r="J359" s="163" t="n">
        <v>45693</v>
      </c>
      <c r="K359" s="163" t="inlineStr"/>
      <c r="L359" t="inlineStr"/>
      <c r="M359" s="163" t="n">
        <v>45695</v>
      </c>
      <c r="N359" s="164" t="n">
        <v>0</v>
      </c>
      <c r="O359" s="164" t="n">
        <v>0</v>
      </c>
      <c r="P359" t="inlineStr"/>
      <c r="Q359" s="165" t="n">
        <v>8</v>
      </c>
      <c r="R359" s="165" t="n">
        <v>8</v>
      </c>
      <c r="S359" s="165" t="n">
        <v>8</v>
      </c>
      <c r="T359" s="165" t="n">
        <v>0</v>
      </c>
      <c r="U359" s="166" t="n">
        <v>0</v>
      </c>
      <c r="V359" s="166" t="n">
        <v>0</v>
      </c>
      <c r="W359" t="inlineStr">
        <is>
          <t>X</t>
        </is>
      </c>
      <c r="X359" t="inlineStr">
        <is>
          <t>0.00</t>
        </is>
      </c>
      <c r="Y359" t="inlineStr"/>
      <c r="Z359" t="inlineStr">
        <is>
          <t>AMIDATA, S.A.</t>
        </is>
      </c>
      <c r="AA359" t="inlineStr"/>
      <c r="AB359" t="inlineStr">
        <is>
          <t>6174450</t>
        </is>
      </c>
      <c r="AC359" t="inlineStr"/>
      <c r="AD359" s="164" t="n">
        <v>0</v>
      </c>
      <c r="AE359" s="185" t="n">
        <v>0</v>
      </c>
      <c r="AG359" s="167" t="inlineStr">
        <is>
          <t>7218|JA2582_1001</t>
        </is>
      </c>
      <c r="AH359" s="46">
        <f>IF(M359=0,"-",M359-J359)</f>
        <v/>
      </c>
      <c r="AI359" s="46">
        <f>IF(AND(S359=0,M359&gt;0,L359=0),IF(AH359&gt;=120,"VERY HIGH",IF(AH359&gt;=90,"HIGH",IF(AH359&gt;=60,"MEDIUM",IF(AH359&lt;60,"LOW")))),"-")</f>
        <v/>
      </c>
      <c r="AJ359" s="12" t="n"/>
      <c r="AK359" s="41">
        <f>IF(AND(W359="X",M359&lt;=$AJ$2),"YES","")</f>
        <v/>
      </c>
      <c r="AL359" s="38">
        <f>IF(AND(W359="X",M359&lt;=$AJ$2),S359,"")</f>
        <v/>
      </c>
      <c r="AM359" s="26">
        <f>IF(AND(W359="X",M359&gt;$AJ$2),"YES","")</f>
        <v/>
      </c>
      <c r="AN359" s="89">
        <f>IF(AND(W359="X",M359&gt;$AJ$2),S359,"")</f>
        <v/>
      </c>
      <c r="AO359" s="35">
        <f>IF(AND(W359="",M359&gt;0,$AJ$2&gt;M359,L359=""),1,0)</f>
        <v/>
      </c>
      <c r="AP359" s="26">
        <f>IF(AND(AK359="YES",W359="X"),"X","")</f>
        <v/>
      </c>
      <c r="AQ359" s="28">
        <f>IF(AP359="X",100%,0%)</f>
        <v/>
      </c>
      <c r="AR359" s="25">
        <f>IF(AND(T359&gt;0,L359=""),H359,"")</f>
        <v/>
      </c>
      <c r="AS359" s="25">
        <f>IF(AND(D359&gt;0,H359=0,G359=""),1,"")</f>
        <v/>
      </c>
      <c r="AT359" s="25">
        <f>IF(G359="BLOQ",1,"")</f>
        <v/>
      </c>
      <c r="AU359" s="25">
        <f>IF(L359="BLOQ",1,"")</f>
        <v/>
      </c>
      <c r="AV359" s="25">
        <f>MONTH(F359)</f>
        <v/>
      </c>
      <c r="AW359" s="65">
        <f>IF(AP359="",100%,0%)</f>
        <v/>
      </c>
      <c r="AX359" s="23" t="n"/>
      <c r="AY359" s="24">
        <f>IF(M359=0,"",M359-$AX$2)</f>
        <v/>
      </c>
      <c r="AZ359" s="66">
        <f>IF(AND(W359="",AY359&gt;0,AY359&lt;15),1,0)</f>
        <v/>
      </c>
      <c r="BA359" s="24">
        <f>IF(AND(W359="",AY359&gt;0,AY359&lt;15),T359,"")</f>
        <v/>
      </c>
      <c r="BB359" s="87">
        <f>IF(R359&lt;Q359,"X","")</f>
        <v/>
      </c>
      <c r="BC359" s="190" t="inlineStr">
        <is>
          <t>NO</t>
        </is>
      </c>
      <c r="BD359" s="190" t="inlineStr">
        <is>
          <t>NO</t>
        </is>
      </c>
    </row>
    <row r="360" ht="15" customHeight="1" s="162">
      <c r="A360" s="7" t="n">
        <v>359</v>
      </c>
      <c r="B360" t="inlineStr">
        <is>
          <t>39121412</t>
        </is>
      </c>
      <c r="C360" t="inlineStr">
        <is>
          <t>Carcasa de conector circular Amphenol Li</t>
        </is>
      </c>
      <c r="D360" t="inlineStr">
        <is>
          <t>1101834197</t>
        </is>
      </c>
      <c r="E360" t="inlineStr">
        <is>
          <t>4</t>
        </is>
      </c>
      <c r="F360" s="163" t="n">
        <v>45694</v>
      </c>
      <c r="G360" t="inlineStr"/>
      <c r="H360" t="inlineStr">
        <is>
          <t>4800002865</t>
        </is>
      </c>
      <c r="I360" t="inlineStr">
        <is>
          <t>540</t>
        </is>
      </c>
      <c r="J360" s="163" t="n">
        <v>45693</v>
      </c>
      <c r="K360" s="163" t="inlineStr"/>
      <c r="L360" t="inlineStr"/>
      <c r="M360" s="163" t="n">
        <v>45695</v>
      </c>
      <c r="N360" s="164" t="n">
        <v>0</v>
      </c>
      <c r="O360" s="164" t="n">
        <v>0</v>
      </c>
      <c r="P360" t="inlineStr"/>
      <c r="Q360" s="165" t="n">
        <v>1</v>
      </c>
      <c r="R360" s="165" t="n">
        <v>1</v>
      </c>
      <c r="S360" s="165" t="n">
        <v>1</v>
      </c>
      <c r="T360" s="165" t="n">
        <v>0</v>
      </c>
      <c r="U360" s="166" t="n">
        <v>0</v>
      </c>
      <c r="V360" s="166" t="n">
        <v>0</v>
      </c>
      <c r="W360" t="inlineStr">
        <is>
          <t>X</t>
        </is>
      </c>
      <c r="X360" t="inlineStr">
        <is>
          <t>0.00</t>
        </is>
      </c>
      <c r="Y360" t="inlineStr"/>
      <c r="Z360" t="inlineStr">
        <is>
          <t>AMIDATA, S.A.</t>
        </is>
      </c>
      <c r="AA360" t="inlineStr"/>
      <c r="AB360" t="inlineStr">
        <is>
          <t>2259368</t>
        </is>
      </c>
      <c r="AC360" t="inlineStr"/>
      <c r="AD360" s="164" t="n">
        <v>0</v>
      </c>
      <c r="AE360" s="185" t="n">
        <v>0</v>
      </c>
      <c r="AG360" s="167" t="inlineStr">
        <is>
          <t>7218|JA2582_1001</t>
        </is>
      </c>
      <c r="AH360" s="46">
        <f>IF(M360=0,"-",M360-J360)</f>
        <v/>
      </c>
      <c r="AI360" s="46">
        <f>IF(AND(S360=0,M360&gt;0,L360=0),IF(AH360&gt;=120,"VERY HIGH",IF(AH360&gt;=90,"HIGH",IF(AH360&gt;=60,"MEDIUM",IF(AH360&lt;60,"LOW")))),"-")</f>
        <v/>
      </c>
      <c r="AJ360" s="12" t="n"/>
      <c r="AK360" s="41">
        <f>IF(AND(W360="X",M360&lt;=$AJ$2),"YES","")</f>
        <v/>
      </c>
      <c r="AL360" s="38">
        <f>IF(AND(W360="X",M360&lt;=$AJ$2),S360,"")</f>
        <v/>
      </c>
      <c r="AM360" s="26">
        <f>IF(AND(W360="X",M360&gt;$AJ$2),"YES","")</f>
        <v/>
      </c>
      <c r="AN360" s="89">
        <f>IF(AND(W360="X",M360&gt;$AJ$2),S360,"")</f>
        <v/>
      </c>
      <c r="AO360" s="35">
        <f>IF(AND(W360="",M360&gt;0,$AJ$2&gt;M360,L360=""),1,0)</f>
        <v/>
      </c>
      <c r="AP360" s="26">
        <f>IF(AND(AK360="YES",W360="X"),"X","")</f>
        <v/>
      </c>
      <c r="AQ360" s="28">
        <f>IF(AP360="X",100%,0%)</f>
        <v/>
      </c>
      <c r="AR360" s="25">
        <f>IF(AND(T360&gt;0,L360=""),H360,"")</f>
        <v/>
      </c>
      <c r="AS360" s="25">
        <f>IF(AND(D360&gt;0,H360=0,G360=""),1,"")</f>
        <v/>
      </c>
      <c r="AT360" s="25">
        <f>IF(G360="BLOQ",1,"")</f>
        <v/>
      </c>
      <c r="AU360" s="25">
        <f>IF(L360="BLOQ",1,"")</f>
        <v/>
      </c>
      <c r="AV360" s="25">
        <f>MONTH(F360)</f>
        <v/>
      </c>
      <c r="AW360" s="65">
        <f>IF(AP360="",100%,0%)</f>
        <v/>
      </c>
      <c r="AX360" s="23" t="n"/>
      <c r="AY360" s="24">
        <f>IF(M360=0,"",M360-$AX$2)</f>
        <v/>
      </c>
      <c r="AZ360" s="66">
        <f>IF(AND(W360="",AY360&gt;0,AY360&lt;15),1,0)</f>
        <v/>
      </c>
      <c r="BA360" s="24">
        <f>IF(AND(W360="",AY360&gt;0,AY360&lt;15),T360,"")</f>
        <v/>
      </c>
      <c r="BB360" s="87">
        <f>IF(R360&lt;Q360,"X","")</f>
        <v/>
      </c>
      <c r="BC360" s="190" t="inlineStr">
        <is>
          <t>NO</t>
        </is>
      </c>
      <c r="BD360" s="190" t="inlineStr">
        <is>
          <t>NO</t>
        </is>
      </c>
    </row>
    <row r="361" ht="15" customHeight="1" s="162">
      <c r="A361" s="7" t="n">
        <v>360</v>
      </c>
      <c r="B361" t="inlineStr">
        <is>
          <t>26121609</t>
        </is>
      </c>
      <c r="C361" t="inlineStr">
        <is>
          <t>Cable Ethernet Cat6 U/UTP StarTech.com d</t>
        </is>
      </c>
      <c r="D361" t="inlineStr">
        <is>
          <t>1101834228</t>
        </is>
      </c>
      <c r="E361" t="inlineStr">
        <is>
          <t>1</t>
        </is>
      </c>
      <c r="F361" s="163" t="n">
        <v>45694</v>
      </c>
      <c r="G361" t="inlineStr"/>
      <c r="H361" t="inlineStr">
        <is>
          <t>4800002865</t>
        </is>
      </c>
      <c r="I361" t="inlineStr">
        <is>
          <t>620</t>
        </is>
      </c>
      <c r="J361" s="163" t="n">
        <v>45693</v>
      </c>
      <c r="K361" s="163" t="inlineStr"/>
      <c r="L361" t="inlineStr"/>
      <c r="M361" s="163" t="n">
        <v>45695</v>
      </c>
      <c r="N361" s="164" t="n">
        <v>0</v>
      </c>
      <c r="O361" s="164" t="n">
        <v>0</v>
      </c>
      <c r="P361" t="inlineStr"/>
      <c r="Q361" s="165" t="n">
        <v>7</v>
      </c>
      <c r="R361" s="165" t="n">
        <v>7</v>
      </c>
      <c r="S361" s="165" t="n">
        <v>7</v>
      </c>
      <c r="T361" s="165" t="n">
        <v>0</v>
      </c>
      <c r="U361" s="166" t="n">
        <v>0</v>
      </c>
      <c r="V361" s="166" t="n">
        <v>0</v>
      </c>
      <c r="W361" t="inlineStr">
        <is>
          <t>X</t>
        </is>
      </c>
      <c r="X361" t="inlineStr">
        <is>
          <t>0.00</t>
        </is>
      </c>
      <c r="Y361" t="inlineStr"/>
      <c r="Z361" t="inlineStr">
        <is>
          <t>AMIDATA, S.A.</t>
        </is>
      </c>
      <c r="AA361" t="inlineStr"/>
      <c r="AB361" t="inlineStr">
        <is>
          <t>1929573</t>
        </is>
      </c>
      <c r="AC361" t="inlineStr"/>
      <c r="AD361" s="164" t="n">
        <v>0</v>
      </c>
      <c r="AE361" s="185" t="n">
        <v>0</v>
      </c>
      <c r="AG361" s="167" t="inlineStr">
        <is>
          <t>7218|JA2585_1001</t>
        </is>
      </c>
      <c r="AH361" s="46">
        <f>IF(M361=0,"-",M361-J361)</f>
        <v/>
      </c>
      <c r="AI361" s="46">
        <f>IF(AND(S361=0,M361&gt;0,L361=0),IF(AH361&gt;=120,"VERY HIGH",IF(AH361&gt;=90,"HIGH",IF(AH361&gt;=60,"MEDIUM",IF(AH361&lt;60,"LOW")))),"-")</f>
        <v/>
      </c>
      <c r="AJ361" s="12" t="n"/>
      <c r="AK361" s="41">
        <f>IF(AND(W361="X",M361&lt;=$AJ$2),"YES","")</f>
        <v/>
      </c>
      <c r="AL361" s="38">
        <f>IF(AND(W361="X",M361&lt;=$AJ$2),S361,"")</f>
        <v/>
      </c>
      <c r="AM361" s="26">
        <f>IF(AND(W361="X",M361&gt;$AJ$2),"YES","")</f>
        <v/>
      </c>
      <c r="AN361" s="89">
        <f>IF(AND(W361="X",M361&gt;$AJ$2),S361,"")</f>
        <v/>
      </c>
      <c r="AO361" s="35">
        <f>IF(AND(W361="",M361&gt;0,$AJ$2&gt;M361,L361=""),1,0)</f>
        <v/>
      </c>
      <c r="AP361" s="26">
        <f>IF(AND(AK361="YES",W361="X"),"X","")</f>
        <v/>
      </c>
      <c r="AQ361" s="28">
        <f>IF(AP361="X",100%,0%)</f>
        <v/>
      </c>
      <c r="AR361" s="25">
        <f>IF(AND(T361&gt;0,L361=""),H361,"")</f>
        <v/>
      </c>
      <c r="AS361" s="25">
        <f>IF(AND(D361&gt;0,H361=0,G361=""),1,"")</f>
        <v/>
      </c>
      <c r="AT361" s="25">
        <f>IF(G361="BLOQ",1,"")</f>
        <v/>
      </c>
      <c r="AU361" s="25">
        <f>IF(L361="BLOQ",1,"")</f>
        <v/>
      </c>
      <c r="AV361" s="25">
        <f>MONTH(F361)</f>
        <v/>
      </c>
      <c r="AW361" s="65">
        <f>IF(AP361="",100%,0%)</f>
        <v/>
      </c>
      <c r="AX361" s="23" t="n"/>
      <c r="AY361" s="24">
        <f>IF(M361=0,"",M361-$AX$2)</f>
        <v/>
      </c>
      <c r="AZ361" s="66">
        <f>IF(AND(W361="",AY361&gt;0,AY361&lt;15),1,0)</f>
        <v/>
      </c>
      <c r="BA361" s="24">
        <f>IF(AND(W361="",AY361&gt;0,AY361&lt;15),T361,"")</f>
        <v/>
      </c>
      <c r="BB361" s="87">
        <f>IF(R361&lt;Q361,"X","")</f>
        <v/>
      </c>
      <c r="BC361" s="190" t="inlineStr">
        <is>
          <t>NO</t>
        </is>
      </c>
      <c r="BD361" s="190" t="inlineStr">
        <is>
          <t>NO</t>
        </is>
      </c>
    </row>
    <row r="362" ht="15" customHeight="1" s="162">
      <c r="A362" s="7" t="n">
        <v>361</v>
      </c>
      <c r="B362" t="inlineStr">
        <is>
          <t>39121404</t>
        </is>
      </c>
      <c r="C362" t="inlineStr">
        <is>
          <t>Manguitos de soldadura, TE Connectivity,</t>
        </is>
      </c>
      <c r="D362" t="inlineStr">
        <is>
          <t>1101835057</t>
        </is>
      </c>
      <c r="E362" t="inlineStr">
        <is>
          <t>1</t>
        </is>
      </c>
      <c r="F362" s="163" t="n">
        <v>45695</v>
      </c>
      <c r="G362" t="inlineStr"/>
      <c r="H362" t="inlineStr">
        <is>
          <t>4800002869</t>
        </is>
      </c>
      <c r="I362" t="inlineStr">
        <is>
          <t>1020</t>
        </is>
      </c>
      <c r="J362" s="163" t="n">
        <v>45694</v>
      </c>
      <c r="K362" s="163" t="inlineStr"/>
      <c r="L362" t="inlineStr"/>
      <c r="M362" s="163" t="n">
        <v>45696</v>
      </c>
      <c r="N362" s="164" t="n">
        <v>0</v>
      </c>
      <c r="O362" s="164" t="n">
        <v>0</v>
      </c>
      <c r="P362" t="inlineStr"/>
      <c r="Q362" s="165" t="n">
        <v>5</v>
      </c>
      <c r="R362" s="165" t="n">
        <v>5</v>
      </c>
      <c r="S362" s="165" t="n">
        <v>5</v>
      </c>
      <c r="T362" s="165" t="n">
        <v>0</v>
      </c>
      <c r="U362" s="166" t="n">
        <v>0</v>
      </c>
      <c r="V362" s="166" t="n">
        <v>0</v>
      </c>
      <c r="W362" t="inlineStr">
        <is>
          <t>X</t>
        </is>
      </c>
      <c r="X362" t="inlineStr">
        <is>
          <t>0.00</t>
        </is>
      </c>
      <c r="Y362" t="inlineStr"/>
      <c r="Z362" t="inlineStr">
        <is>
          <t>AMIDATA, S.A.</t>
        </is>
      </c>
      <c r="AA362" t="inlineStr"/>
      <c r="AB362" t="inlineStr">
        <is>
          <t>2652726</t>
        </is>
      </c>
      <c r="AC362" t="inlineStr"/>
      <c r="AD362" s="164" t="n">
        <v>0</v>
      </c>
      <c r="AE362" s="185" t="n">
        <v>0</v>
      </c>
      <c r="AG362" s="167" t="inlineStr">
        <is>
          <t>7218|JA2594_1001</t>
        </is>
      </c>
      <c r="AH362" s="46">
        <f>IF(M362=0,"-",M362-J362)</f>
        <v/>
      </c>
      <c r="AI362" s="46">
        <f>IF(AND(S362=0,M362&gt;0,L362=0),IF(AH362&gt;=120,"VERY HIGH",IF(AH362&gt;=90,"HIGH",IF(AH362&gt;=60,"MEDIUM",IF(AH362&lt;60,"LOW")))),"-")</f>
        <v/>
      </c>
      <c r="AJ362" s="12" t="n"/>
      <c r="AK362" s="41">
        <f>IF(AND(W362="X",M362&lt;=$AJ$2),"YES","")</f>
        <v/>
      </c>
      <c r="AL362" s="38">
        <f>IF(AND(W362="X",M362&lt;=$AJ$2),S362,"")</f>
        <v/>
      </c>
      <c r="AM362" s="26">
        <f>IF(AND(W362="X",M362&gt;$AJ$2),"YES","")</f>
        <v/>
      </c>
      <c r="AN362" s="89">
        <f>IF(AND(W362="X",M362&gt;$AJ$2),S362,"")</f>
        <v/>
      </c>
      <c r="AO362" s="35">
        <f>IF(AND(W362="",M362&gt;0,$AJ$2&gt;M362,L362=""),1,0)</f>
        <v/>
      </c>
      <c r="AP362" s="26">
        <f>IF(AND(AK362="YES",W362="X"),"X","")</f>
        <v/>
      </c>
      <c r="AQ362" s="28">
        <f>IF(AP362="X",100%,0%)</f>
        <v/>
      </c>
      <c r="AR362" s="25">
        <f>IF(AND(T362&gt;0,L362=""),H362,"")</f>
        <v/>
      </c>
      <c r="AS362" s="25">
        <f>IF(AND(D362&gt;0,H362=0,G362=""),1,"")</f>
        <v/>
      </c>
      <c r="AT362" s="25">
        <f>IF(G362="BLOQ",1,"")</f>
        <v/>
      </c>
      <c r="AU362" s="25">
        <f>IF(L362="BLOQ",1,"")</f>
        <v/>
      </c>
      <c r="AV362" s="25">
        <f>MONTH(F362)</f>
        <v/>
      </c>
      <c r="AW362" s="65">
        <f>IF(AP362="",100%,0%)</f>
        <v/>
      </c>
      <c r="AX362" s="23" t="n"/>
      <c r="AY362" s="24">
        <f>IF(M362=0,"",M362-$AX$2)</f>
        <v/>
      </c>
      <c r="AZ362" s="66">
        <f>IF(AND(W362="",AY362&gt;0,AY362&lt;15),1,0)</f>
        <v/>
      </c>
      <c r="BA362" s="24">
        <f>IF(AND(W362="",AY362&gt;0,AY362&lt;15),T362,"")</f>
        <v/>
      </c>
      <c r="BB362" s="87">
        <f>IF(R362&lt;Q362,"X","")</f>
        <v/>
      </c>
      <c r="BC362" s="190" t="inlineStr">
        <is>
          <t>NO</t>
        </is>
      </c>
      <c r="BD362" s="190" t="inlineStr">
        <is>
          <t>NO</t>
        </is>
      </c>
    </row>
    <row r="363" ht="15" customHeight="1" s="162">
      <c r="A363" s="7" t="n">
        <v>362</v>
      </c>
      <c r="B363" t="inlineStr">
        <is>
          <t>31163102</t>
        </is>
      </c>
      <c r="C363" t="inlineStr">
        <is>
          <t>Puntera hueca de crimpado RS PRO, Aislad</t>
        </is>
      </c>
      <c r="D363" t="inlineStr">
        <is>
          <t>1101835057</t>
        </is>
      </c>
      <c r="E363" t="inlineStr">
        <is>
          <t>2</t>
        </is>
      </c>
      <c r="F363" s="163" t="n">
        <v>45695</v>
      </c>
      <c r="G363" t="inlineStr"/>
      <c r="H363" t="inlineStr">
        <is>
          <t>4800002869</t>
        </is>
      </c>
      <c r="I363" t="inlineStr">
        <is>
          <t>1030</t>
        </is>
      </c>
      <c r="J363" s="163" t="n">
        <v>45694</v>
      </c>
      <c r="K363" s="163" t="inlineStr"/>
      <c r="L363" t="inlineStr"/>
      <c r="M363" s="163" t="n">
        <v>45696</v>
      </c>
      <c r="N363" s="164" t="n">
        <v>0</v>
      </c>
      <c r="O363" s="164" t="n">
        <v>0</v>
      </c>
      <c r="P363" t="inlineStr"/>
      <c r="Q363" s="165" t="n">
        <v>1</v>
      </c>
      <c r="R363" s="165" t="n">
        <v>1</v>
      </c>
      <c r="S363" s="165" t="n">
        <v>1</v>
      </c>
      <c r="T363" s="165" t="n">
        <v>0</v>
      </c>
      <c r="U363" s="166" t="n">
        <v>0</v>
      </c>
      <c r="V363" s="166" t="n">
        <v>0</v>
      </c>
      <c r="W363" t="inlineStr">
        <is>
          <t>X</t>
        </is>
      </c>
      <c r="X363" t="inlineStr">
        <is>
          <t>0.00</t>
        </is>
      </c>
      <c r="Y363" t="inlineStr"/>
      <c r="Z363" t="inlineStr">
        <is>
          <t>AMIDATA, S.A.</t>
        </is>
      </c>
      <c r="AA363" t="inlineStr"/>
      <c r="AB363" t="inlineStr">
        <is>
          <t>458689A</t>
        </is>
      </c>
      <c r="AC363" t="inlineStr"/>
      <c r="AD363" s="164" t="n">
        <v>0</v>
      </c>
      <c r="AE363" s="185" t="n">
        <v>0</v>
      </c>
      <c r="AG363" s="167" t="inlineStr">
        <is>
          <t>7218|JA2594_1001</t>
        </is>
      </c>
      <c r="AH363" s="46">
        <f>IF(M363=0,"-",M363-J363)</f>
        <v/>
      </c>
      <c r="AI363" s="46">
        <f>IF(AND(S363=0,M363&gt;0,L363=0),IF(AH363&gt;=120,"VERY HIGH",IF(AH363&gt;=90,"HIGH",IF(AH363&gt;=60,"MEDIUM",IF(AH363&lt;60,"LOW")))),"-")</f>
        <v/>
      </c>
      <c r="AJ363" s="12" t="n"/>
      <c r="AK363" s="41">
        <f>IF(AND(W363="X",M363&lt;=$AJ$2),"YES","")</f>
        <v/>
      </c>
      <c r="AL363" s="38">
        <f>IF(AND(W363="X",M363&lt;=$AJ$2),S363,"")</f>
        <v/>
      </c>
      <c r="AM363" s="26">
        <f>IF(AND(W363="X",M363&gt;$AJ$2),"YES","")</f>
        <v/>
      </c>
      <c r="AN363" s="89">
        <f>IF(AND(W363="X",M363&gt;$AJ$2),S363,"")</f>
        <v/>
      </c>
      <c r="AO363" s="35">
        <f>IF(AND(W363="",M363&gt;0,$AJ$2&gt;M363,L363=""),1,0)</f>
        <v/>
      </c>
      <c r="AP363" s="26">
        <f>IF(AND(AK363="YES",W363="X"),"X","")</f>
        <v/>
      </c>
      <c r="AQ363" s="28">
        <f>IF(AP363="X",100%,0%)</f>
        <v/>
      </c>
      <c r="AR363" s="25">
        <f>IF(AND(T363&gt;0,L363=""),H363,"")</f>
        <v/>
      </c>
      <c r="AS363" s="25">
        <f>IF(AND(D363&gt;0,H363=0,G363=""),1,"")</f>
        <v/>
      </c>
      <c r="AT363" s="25">
        <f>IF(G363="BLOQ",1,"")</f>
        <v/>
      </c>
      <c r="AU363" s="25">
        <f>IF(L363="BLOQ",1,"")</f>
        <v/>
      </c>
      <c r="AV363" s="25">
        <f>MONTH(F363)</f>
        <v/>
      </c>
      <c r="AW363" s="65">
        <f>IF(AP363="",100%,0%)</f>
        <v/>
      </c>
      <c r="AX363" s="23" t="n"/>
      <c r="AY363" s="24">
        <f>IF(M363=0,"",M363-$AX$2)</f>
        <v/>
      </c>
      <c r="AZ363" s="66">
        <f>IF(AND(W363="",AY363&gt;0,AY363&lt;15),1,0)</f>
        <v/>
      </c>
      <c r="BA363" s="24">
        <f>IF(AND(W363="",AY363&gt;0,AY363&lt;15),T363,"")</f>
        <v/>
      </c>
      <c r="BB363" s="87">
        <f>IF(R363&lt;Q363,"X","")</f>
        <v/>
      </c>
      <c r="BC363" s="190" t="inlineStr">
        <is>
          <t>NO</t>
        </is>
      </c>
      <c r="BD363" s="190" t="inlineStr">
        <is>
          <t>NO</t>
        </is>
      </c>
    </row>
    <row r="364" ht="15" customHeight="1" s="162">
      <c r="A364" s="7" t="n">
        <v>363</v>
      </c>
      <c r="B364" t="inlineStr">
        <is>
          <t>39121603</t>
        </is>
      </c>
      <c r="C364" t="inlineStr">
        <is>
          <t>Interruptor autom&amp;#225;tico 2P, 32A, Cur</t>
        </is>
      </c>
      <c r="D364" t="inlineStr">
        <is>
          <t>1101835341</t>
        </is>
      </c>
      <c r="E364" t="inlineStr">
        <is>
          <t>1</t>
        </is>
      </c>
      <c r="F364" s="163" t="n">
        <v>45698</v>
      </c>
      <c r="G364" t="inlineStr"/>
      <c r="H364" t="inlineStr">
        <is>
          <t>4800002871</t>
        </is>
      </c>
      <c r="I364" t="inlineStr">
        <is>
          <t>230</t>
        </is>
      </c>
      <c r="J364" s="163" t="n">
        <v>45696</v>
      </c>
      <c r="K364" s="163" t="inlineStr"/>
      <c r="L364" t="inlineStr"/>
      <c r="M364" s="163" t="n">
        <v>45699</v>
      </c>
      <c r="N364" s="164" t="n">
        <v>0</v>
      </c>
      <c r="O364" s="164" t="n">
        <v>0</v>
      </c>
      <c r="P364" t="inlineStr"/>
      <c r="Q364" s="165" t="n">
        <v>1</v>
      </c>
      <c r="R364" s="165" t="n">
        <v>1</v>
      </c>
      <c r="S364" s="165" t="n">
        <v>1</v>
      </c>
      <c r="T364" s="165" t="n">
        <v>0</v>
      </c>
      <c r="U364" s="166" t="n">
        <v>0</v>
      </c>
      <c r="V364" s="166" t="n">
        <v>0</v>
      </c>
      <c r="W364" t="inlineStr">
        <is>
          <t>X</t>
        </is>
      </c>
      <c r="X364" t="inlineStr">
        <is>
          <t>0.00</t>
        </is>
      </c>
      <c r="Y364" t="inlineStr"/>
      <c r="Z364" t="inlineStr">
        <is>
          <t>AMIDATA, S.A.</t>
        </is>
      </c>
      <c r="AA364" t="inlineStr"/>
      <c r="AB364" t="inlineStr">
        <is>
          <t>7349670</t>
        </is>
      </c>
      <c r="AC364" t="inlineStr"/>
      <c r="AD364" s="164" t="n">
        <v>0</v>
      </c>
      <c r="AE364" s="185" t="n">
        <v>0</v>
      </c>
      <c r="AG364" s="167" t="inlineStr">
        <is>
          <t>7218|JA2594_1001</t>
        </is>
      </c>
      <c r="AH364" s="46">
        <f>IF(M364=0,"-",M364-J364)</f>
        <v/>
      </c>
      <c r="AI364" s="46">
        <f>IF(AND(S364=0,M364&gt;0,L364=0),IF(AH364&gt;=120,"VERY HIGH",IF(AH364&gt;=90,"HIGH",IF(AH364&gt;=60,"MEDIUM",IF(AH364&lt;60,"LOW")))),"-")</f>
        <v/>
      </c>
      <c r="AJ364" s="12" t="n"/>
      <c r="AK364" s="41">
        <f>IF(AND(W364="X",M364&lt;=$AJ$2),"YES","")</f>
        <v/>
      </c>
      <c r="AL364" s="38">
        <f>IF(AND(W364="X",M364&lt;=$AJ$2),S364,"")</f>
        <v/>
      </c>
      <c r="AM364" s="26">
        <f>IF(AND(W364="X",M364&gt;$AJ$2),"YES","")</f>
        <v/>
      </c>
      <c r="AN364" s="89">
        <f>IF(AND(W364="X",M364&gt;$AJ$2),S364,"")</f>
        <v/>
      </c>
      <c r="AO364" s="35">
        <f>IF(AND(W364="",M364&gt;0,$AJ$2&gt;M364,L364=""),1,0)</f>
        <v/>
      </c>
      <c r="AP364" s="26">
        <f>IF(AND(AK364="YES",W364="X"),"X","")</f>
        <v/>
      </c>
      <c r="AQ364" s="28">
        <f>IF(AP364="X",100%,0%)</f>
        <v/>
      </c>
      <c r="AR364" s="25">
        <f>IF(AND(T364&gt;0,L364=""),H364,"")</f>
        <v/>
      </c>
      <c r="AS364" s="25">
        <f>IF(AND(D364&gt;0,H364=0,G364=""),1,"")</f>
        <v/>
      </c>
      <c r="AT364" s="25">
        <f>IF(G364="BLOQ",1,"")</f>
        <v/>
      </c>
      <c r="AU364" s="25">
        <f>IF(L364="BLOQ",1,"")</f>
        <v/>
      </c>
      <c r="AV364" s="25">
        <f>MONTH(F364)</f>
        <v/>
      </c>
      <c r="AW364" s="65">
        <f>IF(AP364="",100%,0%)</f>
        <v/>
      </c>
      <c r="AX364" s="23" t="n"/>
      <c r="AY364" s="24">
        <f>IF(M364=0,"",M364-$AX$2)</f>
        <v/>
      </c>
      <c r="AZ364" s="66">
        <f>IF(AND(W364="",AY364&gt;0,AY364&lt;15),1,0)</f>
        <v/>
      </c>
      <c r="BA364" s="24">
        <f>IF(AND(W364="",AY364&gt;0,AY364&lt;15),T364,"")</f>
        <v/>
      </c>
      <c r="BB364" s="87">
        <f>IF(R364&lt;Q364,"X","")</f>
        <v/>
      </c>
      <c r="BC364" s="190" t="inlineStr">
        <is>
          <t>NO</t>
        </is>
      </c>
      <c r="BD364" s="190" t="inlineStr">
        <is>
          <t>NO</t>
        </is>
      </c>
    </row>
    <row r="365" ht="15" customHeight="1" s="162">
      <c r="A365" s="7" t="n">
        <v>364</v>
      </c>
      <c r="B365" t="inlineStr">
        <is>
          <t>1359900000500</t>
        </is>
      </c>
      <c r="C365" t="inlineStr">
        <is>
          <t>COMPRA DIRECTA ELECTRICOS/ELECTRONICOS</t>
        </is>
      </c>
      <c r="D365" t="inlineStr">
        <is>
          <t>1101835527</t>
        </is>
      </c>
      <c r="E365" t="inlineStr">
        <is>
          <t>1</t>
        </is>
      </c>
      <c r="F365" s="163" t="n">
        <v>45698</v>
      </c>
      <c r="G365" t="inlineStr"/>
      <c r="H365" t="inlineStr">
        <is>
          <t>4200597749</t>
        </is>
      </c>
      <c r="I365" t="inlineStr">
        <is>
          <t>20</t>
        </is>
      </c>
      <c r="J365" s="163" t="n">
        <v>45701</v>
      </c>
      <c r="K365" s="163" t="n">
        <v>45701</v>
      </c>
      <c r="L365" t="inlineStr"/>
      <c r="M365" s="163" t="n">
        <v>45715</v>
      </c>
      <c r="N365" s="164" t="n">
        <v>30</v>
      </c>
      <c r="O365" s="164" t="n">
        <v>8</v>
      </c>
      <c r="P365" t="inlineStr">
        <is>
          <t>Liberado</t>
        </is>
      </c>
      <c r="Q365" s="165" t="n">
        <v>1</v>
      </c>
      <c r="R365" s="165" t="n">
        <v>1</v>
      </c>
      <c r="S365" s="165" t="n">
        <v>1</v>
      </c>
      <c r="T365" s="165" t="n">
        <v>0</v>
      </c>
      <c r="U365" s="166" t="n">
        <v>0</v>
      </c>
      <c r="V365" s="166" t="n">
        <v>0</v>
      </c>
      <c r="W365" t="inlineStr">
        <is>
          <t>X</t>
        </is>
      </c>
      <c r="X365" t="inlineStr">
        <is>
          <t>0.00</t>
        </is>
      </c>
      <c r="Y365" t="inlineStr"/>
      <c r="Z365" t="inlineStr">
        <is>
          <t>(AEMSA)ALMACENES ELECTRICOS MADRILE</t>
        </is>
      </c>
      <c r="AA365" t="inlineStr">
        <is>
          <t>OTROS FABRICANTES</t>
        </is>
      </c>
      <c r="AB365" t="inlineStr">
        <is>
          <t>1359900000500</t>
        </is>
      </c>
      <c r="AC365" t="inlineStr"/>
      <c r="AD365" s="164" t="n">
        <v>0</v>
      </c>
      <c r="AE365" s="185" t="n">
        <v>0</v>
      </c>
      <c r="AG365" s="167" t="inlineStr">
        <is>
          <t>7218|JA2593_1001</t>
        </is>
      </c>
      <c r="AH365" s="46">
        <f>IF(M365=0,"-",M365-J365)</f>
        <v/>
      </c>
      <c r="AI365" s="46">
        <f>IF(AND(S365=0,M365&gt;0,L365=0),IF(AH365&gt;=120,"VERY HIGH",IF(AH365&gt;=90,"HIGH",IF(AH365&gt;=60,"MEDIUM",IF(AH365&lt;60,"LOW")))),"-")</f>
        <v/>
      </c>
      <c r="AJ365" s="12" t="n"/>
      <c r="AK365" s="41">
        <f>IF(AND(W365="X",M365&lt;=$AJ$2),"YES","")</f>
        <v/>
      </c>
      <c r="AL365" s="38">
        <f>IF(AND(W365="X",M365&lt;=$AJ$2),S365,"")</f>
        <v/>
      </c>
      <c r="AM365" s="26">
        <f>IF(AND(W365="X",M365&gt;$AJ$2),"YES","")</f>
        <v/>
      </c>
      <c r="AN365" s="89">
        <f>IF(AND(W365="X",M365&gt;$AJ$2),S365,"")</f>
        <v/>
      </c>
      <c r="AO365" s="35">
        <f>IF(AND(W365="",M365&gt;0,$AJ$2&gt;M365,L365=""),1,0)</f>
        <v/>
      </c>
      <c r="AP365" s="26">
        <f>IF(AND(AK365="YES",W365="X"),"X","")</f>
        <v/>
      </c>
      <c r="AQ365" s="28">
        <f>IF(AP365="X",100%,0%)</f>
        <v/>
      </c>
      <c r="AR365" s="25">
        <f>IF(AND(T365&gt;0,L365=""),H365,"")</f>
        <v/>
      </c>
      <c r="AS365" s="25">
        <f>IF(AND(D365&gt;0,H365=0,G365=""),1,"")</f>
        <v/>
      </c>
      <c r="AT365" s="25">
        <f>IF(G365="BLOQ",1,"")</f>
        <v/>
      </c>
      <c r="AU365" s="25">
        <f>IF(L365="BLOQ",1,"")</f>
        <v/>
      </c>
      <c r="AV365" s="25">
        <f>MONTH(F365)</f>
        <v/>
      </c>
      <c r="AW365" s="65">
        <f>IF(AP365="",100%,0%)</f>
        <v/>
      </c>
      <c r="AX365" s="23" t="n"/>
      <c r="AY365" s="24">
        <f>IF(M365=0,"",M365-$AX$2)</f>
        <v/>
      </c>
      <c r="AZ365" s="66">
        <f>IF(AND(W365="",AY365&gt;0,AY365&lt;15),1,0)</f>
        <v/>
      </c>
      <c r="BA365" s="24">
        <f>IF(AND(W365="",AY365&gt;0,AY365&lt;15),T365,"")</f>
        <v/>
      </c>
      <c r="BB365" s="87">
        <f>IF(R365&lt;Q365,"X","")</f>
        <v/>
      </c>
      <c r="BC365" s="190" t="inlineStr">
        <is>
          <t>NO</t>
        </is>
      </c>
      <c r="BD365" s="190" t="inlineStr">
        <is>
          <t>NO</t>
        </is>
      </c>
    </row>
    <row r="366" ht="15" customHeight="1" s="162">
      <c r="A366" s="7" t="n">
        <v>365</v>
      </c>
      <c r="B366" t="inlineStr">
        <is>
          <t>1359900000500</t>
        </is>
      </c>
      <c r="C366" t="inlineStr">
        <is>
          <t>COMPRA DIRECTA ELECTRICOS/ELECTRONICOS</t>
        </is>
      </c>
      <c r="D366" t="inlineStr">
        <is>
          <t>1101835527</t>
        </is>
      </c>
      <c r="E366" t="inlineStr">
        <is>
          <t>2</t>
        </is>
      </c>
      <c r="F366" s="163" t="n">
        <v>45698</v>
      </c>
      <c r="G366" t="inlineStr"/>
      <c r="H366" t="inlineStr">
        <is>
          <t>4200597749</t>
        </is>
      </c>
      <c r="I366" t="inlineStr">
        <is>
          <t>30</t>
        </is>
      </c>
      <c r="J366" s="163" t="n">
        <v>45701</v>
      </c>
      <c r="K366" s="163" t="n">
        <v>45701</v>
      </c>
      <c r="L366" t="inlineStr"/>
      <c r="M366" s="163" t="n">
        <v>45715</v>
      </c>
      <c r="N366" s="164" t="n">
        <v>30</v>
      </c>
      <c r="O366" s="164" t="n">
        <v>8</v>
      </c>
      <c r="P366" t="inlineStr">
        <is>
          <t>Liberado</t>
        </is>
      </c>
      <c r="Q366" s="165" t="n">
        <v>1</v>
      </c>
      <c r="R366" s="165" t="n">
        <v>1</v>
      </c>
      <c r="S366" s="165" t="n">
        <v>1</v>
      </c>
      <c r="T366" s="165" t="n">
        <v>0</v>
      </c>
      <c r="U366" s="166" t="n">
        <v>0</v>
      </c>
      <c r="V366" s="166" t="n">
        <v>0</v>
      </c>
      <c r="W366" t="inlineStr">
        <is>
          <t>X</t>
        </is>
      </c>
      <c r="X366" t="inlineStr">
        <is>
          <t>0.00</t>
        </is>
      </c>
      <c r="Y366" t="inlineStr"/>
      <c r="Z366" t="inlineStr">
        <is>
          <t>(AEMSA)ALMACENES ELECTRICOS MADRILE</t>
        </is>
      </c>
      <c r="AA366" t="inlineStr">
        <is>
          <t>OTROS FABRICANTES</t>
        </is>
      </c>
      <c r="AB366" t="inlineStr">
        <is>
          <t>1359900000500</t>
        </is>
      </c>
      <c r="AC366" t="inlineStr"/>
      <c r="AD366" s="164" t="n">
        <v>0</v>
      </c>
      <c r="AE366" s="185" t="n">
        <v>0</v>
      </c>
      <c r="AG366" s="167" t="inlineStr">
        <is>
          <t>7218|JA2593_1001</t>
        </is>
      </c>
      <c r="AH366" s="46">
        <f>IF(M366=0,"-",M366-J366)</f>
        <v/>
      </c>
      <c r="AI366" s="46">
        <f>IF(AND(S366=0,M366&gt;0,L366=0),IF(AH366&gt;=120,"VERY HIGH",IF(AH366&gt;=90,"HIGH",IF(AH366&gt;=60,"MEDIUM",IF(AH366&lt;60,"LOW")))),"-")</f>
        <v/>
      </c>
      <c r="AJ366" s="12" t="n"/>
      <c r="AK366" s="41">
        <f>IF(AND(W366="X",M366&lt;=$AJ$2),"YES","")</f>
        <v/>
      </c>
      <c r="AL366" s="38">
        <f>IF(AND(W366="X",M366&lt;=$AJ$2),S366,"")</f>
        <v/>
      </c>
      <c r="AM366" s="26">
        <f>IF(AND(W366="X",M366&gt;$AJ$2),"YES","")</f>
        <v/>
      </c>
      <c r="AN366" s="89">
        <f>IF(AND(W366="X",M366&gt;$AJ$2),S366,"")</f>
        <v/>
      </c>
      <c r="AO366" s="35">
        <f>IF(AND(W366="",M366&gt;0,$AJ$2&gt;M366,L366=""),1,0)</f>
        <v/>
      </c>
      <c r="AP366" s="26">
        <f>IF(AND(AK366="YES",W366="X"),"X","")</f>
        <v/>
      </c>
      <c r="AQ366" s="28">
        <f>IF(AP366="X",100%,0%)</f>
        <v/>
      </c>
      <c r="AR366" s="25">
        <f>IF(AND(T366&gt;0,L366=""),H366,"")</f>
        <v/>
      </c>
      <c r="AS366" s="25">
        <f>IF(AND(D366&gt;0,H366=0,G366=""),1,"")</f>
        <v/>
      </c>
      <c r="AT366" s="25">
        <f>IF(G366="BLOQ",1,"")</f>
        <v/>
      </c>
      <c r="AU366" s="25">
        <f>IF(L366="BLOQ",1,"")</f>
        <v/>
      </c>
      <c r="AV366" s="25">
        <f>MONTH(F366)</f>
        <v/>
      </c>
      <c r="AW366" s="65">
        <f>IF(AP366="",100%,0%)</f>
        <v/>
      </c>
      <c r="AX366" s="23" t="n"/>
      <c r="AY366" s="24">
        <f>IF(M366=0,"",M366-$AX$2)</f>
        <v/>
      </c>
      <c r="AZ366" s="66">
        <f>IF(AND(W366="",AY366&gt;0,AY366&lt;15),1,0)</f>
        <v/>
      </c>
      <c r="BA366" s="24">
        <f>IF(AND(W366="",AY366&gt;0,AY366&lt;15),T366,"")</f>
        <v/>
      </c>
      <c r="BB366" s="87">
        <f>IF(R366&lt;Q366,"X","")</f>
        <v/>
      </c>
      <c r="BC366" s="190" t="inlineStr">
        <is>
          <t>NO</t>
        </is>
      </c>
      <c r="BD366" s="190" t="inlineStr">
        <is>
          <t>NO</t>
        </is>
      </c>
    </row>
    <row r="367" ht="15" customHeight="1" s="162">
      <c r="A367" s="7" t="n">
        <v>366</v>
      </c>
      <c r="B367" t="inlineStr">
        <is>
          <t>1359900000500</t>
        </is>
      </c>
      <c r="C367" t="inlineStr">
        <is>
          <t>COMPRA DIRECTA ELECTRICOS/ELECTRONICOS</t>
        </is>
      </c>
      <c r="D367" t="inlineStr">
        <is>
          <t>1101835529</t>
        </is>
      </c>
      <c r="E367" t="inlineStr">
        <is>
          <t>1</t>
        </is>
      </c>
      <c r="F367" s="163" t="n">
        <v>45698</v>
      </c>
      <c r="G367" t="inlineStr"/>
      <c r="H367" t="inlineStr">
        <is>
          <t>4200597749</t>
        </is>
      </c>
      <c r="I367" t="inlineStr">
        <is>
          <t>40</t>
        </is>
      </c>
      <c r="J367" s="163" t="n">
        <v>45701</v>
      </c>
      <c r="K367" s="163" t="n">
        <v>45701</v>
      </c>
      <c r="L367" t="inlineStr"/>
      <c r="M367" s="163" t="n">
        <v>45715</v>
      </c>
      <c r="N367" s="164" t="n">
        <v>30</v>
      </c>
      <c r="O367" s="164" t="n">
        <v>8</v>
      </c>
      <c r="P367" t="inlineStr">
        <is>
          <t>Liberado</t>
        </is>
      </c>
      <c r="Q367" s="165" t="n">
        <v>1</v>
      </c>
      <c r="R367" s="165" t="n">
        <v>1</v>
      </c>
      <c r="S367" s="165" t="n">
        <v>1</v>
      </c>
      <c r="T367" s="165" t="n">
        <v>0</v>
      </c>
      <c r="U367" s="166" t="n">
        <v>0</v>
      </c>
      <c r="V367" s="166" t="n">
        <v>0</v>
      </c>
      <c r="W367" t="inlineStr">
        <is>
          <t>X</t>
        </is>
      </c>
      <c r="X367" t="inlineStr">
        <is>
          <t>0.00</t>
        </is>
      </c>
      <c r="Y367" t="inlineStr"/>
      <c r="Z367" t="inlineStr">
        <is>
          <t>(AEMSA)ALMACENES ELECTRICOS MADRILE</t>
        </is>
      </c>
      <c r="AA367" t="inlineStr">
        <is>
          <t>OTROS FABRICANTES</t>
        </is>
      </c>
      <c r="AB367" t="inlineStr">
        <is>
          <t>1359900000500</t>
        </is>
      </c>
      <c r="AC367" t="inlineStr"/>
      <c r="AD367" s="164" t="n">
        <v>0</v>
      </c>
      <c r="AE367" s="185" t="n">
        <v>0</v>
      </c>
      <c r="AG367" s="167" t="inlineStr">
        <is>
          <t>7218|JA2593_1001</t>
        </is>
      </c>
      <c r="AH367" s="46">
        <f>IF(M367=0,"-",M367-J367)</f>
        <v/>
      </c>
      <c r="AI367" s="46">
        <f>IF(AND(S367=0,M367&gt;0,L367=0),IF(AH367&gt;=120,"VERY HIGH",IF(AH367&gt;=90,"HIGH",IF(AH367&gt;=60,"MEDIUM",IF(AH367&lt;60,"LOW")))),"-")</f>
        <v/>
      </c>
      <c r="AJ367" s="12" t="n"/>
      <c r="AK367" s="41">
        <f>IF(AND(W367="X",M367&lt;=$AJ$2),"YES","")</f>
        <v/>
      </c>
      <c r="AL367" s="38">
        <f>IF(AND(W367="X",M367&lt;=$AJ$2),S367,"")</f>
        <v/>
      </c>
      <c r="AM367" s="26">
        <f>IF(AND(W367="X",M367&gt;$AJ$2),"YES","")</f>
        <v/>
      </c>
      <c r="AN367" s="89">
        <f>IF(AND(W367="X",M367&gt;$AJ$2),S367,"")</f>
        <v/>
      </c>
      <c r="AO367" s="35">
        <f>IF(AND(W367="",M367&gt;0,$AJ$2&gt;M367,L367=""),1,0)</f>
        <v/>
      </c>
      <c r="AP367" s="26">
        <f>IF(AND(AK367="YES",W367="X"),"X","")</f>
        <v/>
      </c>
      <c r="AQ367" s="28">
        <f>IF(AP367="X",100%,0%)</f>
        <v/>
      </c>
      <c r="AR367" s="25">
        <f>IF(AND(T367&gt;0,L367=""),H367,"")</f>
        <v/>
      </c>
      <c r="AS367" s="25">
        <f>IF(AND(D367&gt;0,H367=0,G367=""),1,"")</f>
        <v/>
      </c>
      <c r="AT367" s="25">
        <f>IF(G367="BLOQ",1,"")</f>
        <v/>
      </c>
      <c r="AU367" s="25">
        <f>IF(L367="BLOQ",1,"")</f>
        <v/>
      </c>
      <c r="AV367" s="25">
        <f>MONTH(F367)</f>
        <v/>
      </c>
      <c r="AW367" s="65">
        <f>IF(AP367="",100%,0%)</f>
        <v/>
      </c>
      <c r="AX367" s="23" t="n"/>
      <c r="AY367" s="24">
        <f>IF(M367=0,"",M367-$AX$2)</f>
        <v/>
      </c>
      <c r="AZ367" s="66">
        <f>IF(AND(W367="",AY367&gt;0,AY367&lt;15),1,0)</f>
        <v/>
      </c>
      <c r="BA367" s="24">
        <f>IF(AND(W367="",AY367&gt;0,AY367&lt;15),T367,"")</f>
        <v/>
      </c>
      <c r="BB367" s="87">
        <f>IF(R367&lt;Q367,"X","")</f>
        <v/>
      </c>
      <c r="BC367" s="190" t="inlineStr">
        <is>
          <t>NO</t>
        </is>
      </c>
      <c r="BD367" s="190" t="inlineStr">
        <is>
          <t>NO</t>
        </is>
      </c>
    </row>
    <row r="368" ht="15" customHeight="1" s="162">
      <c r="A368" s="7" t="n">
        <v>367</v>
      </c>
      <c r="B368" t="inlineStr">
        <is>
          <t>1359900000500</t>
        </is>
      </c>
      <c r="C368" t="inlineStr">
        <is>
          <t>COMPRA DIRECTA ELECTRICOS/ELECTRONICOS</t>
        </is>
      </c>
      <c r="D368" t="inlineStr">
        <is>
          <t>1101835535</t>
        </is>
      </c>
      <c r="E368" t="inlineStr">
        <is>
          <t>1</t>
        </is>
      </c>
      <c r="F368" s="163" t="n">
        <v>45698</v>
      </c>
      <c r="G368" t="inlineStr"/>
      <c r="H368" t="inlineStr">
        <is>
          <t>4200597749</t>
        </is>
      </c>
      <c r="I368" t="inlineStr">
        <is>
          <t>50</t>
        </is>
      </c>
      <c r="J368" s="163" t="n">
        <v>45701</v>
      </c>
      <c r="K368" s="163" t="n">
        <v>45701</v>
      </c>
      <c r="L368" t="inlineStr"/>
      <c r="M368" s="163" t="n">
        <v>45715</v>
      </c>
      <c r="N368" s="164" t="n">
        <v>30</v>
      </c>
      <c r="O368" s="164" t="n">
        <v>8</v>
      </c>
      <c r="P368" t="inlineStr">
        <is>
          <t>Liberado</t>
        </is>
      </c>
      <c r="Q368" s="165" t="n">
        <v>1</v>
      </c>
      <c r="R368" s="165" t="n">
        <v>1</v>
      </c>
      <c r="S368" s="165" t="n">
        <v>1</v>
      </c>
      <c r="T368" s="165" t="n">
        <v>0</v>
      </c>
      <c r="U368" s="166" t="n">
        <v>0</v>
      </c>
      <c r="V368" s="166" t="n">
        <v>0</v>
      </c>
      <c r="W368" t="inlineStr">
        <is>
          <t>X</t>
        </is>
      </c>
      <c r="X368" t="inlineStr">
        <is>
          <t>0.00</t>
        </is>
      </c>
      <c r="Y368" t="inlineStr"/>
      <c r="Z368" t="inlineStr">
        <is>
          <t>(AEMSA)ALMACENES ELECTRICOS MADRILE</t>
        </is>
      </c>
      <c r="AA368" t="inlineStr">
        <is>
          <t>OTROS FABRICANTES</t>
        </is>
      </c>
      <c r="AB368" t="inlineStr">
        <is>
          <t>1359900000500</t>
        </is>
      </c>
      <c r="AC368" t="inlineStr"/>
      <c r="AD368" s="164" t="n">
        <v>0</v>
      </c>
      <c r="AE368" s="185" t="n">
        <v>0</v>
      </c>
      <c r="AG368" s="167" t="inlineStr">
        <is>
          <t>7218|JA2593_1001</t>
        </is>
      </c>
      <c r="AH368" s="46">
        <f>IF(M368=0,"-",M368-J368)</f>
        <v/>
      </c>
      <c r="AI368" s="46">
        <f>IF(AND(S368=0,M368&gt;0,L368=0),IF(AH368&gt;=120,"VERY HIGH",IF(AH368&gt;=90,"HIGH",IF(AH368&gt;=60,"MEDIUM",IF(AH368&lt;60,"LOW")))),"-")</f>
        <v/>
      </c>
      <c r="AJ368" s="12" t="n"/>
      <c r="AK368" s="41">
        <f>IF(AND(W368="X",M368&lt;=$AJ$2),"YES","")</f>
        <v/>
      </c>
      <c r="AL368" s="38">
        <f>IF(AND(W368="X",M368&lt;=$AJ$2),S368,"")</f>
        <v/>
      </c>
      <c r="AM368" s="26">
        <f>IF(AND(W368="X",M368&gt;$AJ$2),"YES","")</f>
        <v/>
      </c>
      <c r="AN368" s="89">
        <f>IF(AND(W368="X",M368&gt;$AJ$2),S368,"")</f>
        <v/>
      </c>
      <c r="AO368" s="35">
        <f>IF(AND(W368="",M368&gt;0,$AJ$2&gt;M368,L368=""),1,0)</f>
        <v/>
      </c>
      <c r="AP368" s="26">
        <f>IF(AND(AK368="YES",W368="X"),"X","")</f>
        <v/>
      </c>
      <c r="AQ368" s="28">
        <f>IF(AP368="X",100%,0%)</f>
        <v/>
      </c>
      <c r="AR368" s="25">
        <f>IF(AND(T368&gt;0,L368=""),H368,"")</f>
        <v/>
      </c>
      <c r="AS368" s="25">
        <f>IF(AND(D368&gt;0,H368=0,G368=""),1,"")</f>
        <v/>
      </c>
      <c r="AT368" s="25">
        <f>IF(G368="BLOQ",1,"")</f>
        <v/>
      </c>
      <c r="AU368" s="25">
        <f>IF(L368="BLOQ",1,"")</f>
        <v/>
      </c>
      <c r="AV368" s="25">
        <f>MONTH(F368)</f>
        <v/>
      </c>
      <c r="AW368" s="65">
        <f>IF(AP368="",100%,0%)</f>
        <v/>
      </c>
      <c r="AX368" s="23" t="n"/>
      <c r="AY368" s="24">
        <f>IF(M368=0,"",M368-$AX$2)</f>
        <v/>
      </c>
      <c r="AZ368" s="66">
        <f>IF(AND(W368="",AY368&gt;0,AY368&lt;15),1,0)</f>
        <v/>
      </c>
      <c r="BA368" s="24">
        <f>IF(AND(W368="",AY368&gt;0,AY368&lt;15),T368,"")</f>
        <v/>
      </c>
      <c r="BB368" s="87">
        <f>IF(R368&lt;Q368,"X","")</f>
        <v/>
      </c>
      <c r="BC368" s="190" t="inlineStr">
        <is>
          <t>NO</t>
        </is>
      </c>
      <c r="BD368" s="190" t="inlineStr">
        <is>
          <t>NO</t>
        </is>
      </c>
    </row>
    <row r="369" ht="15" customHeight="1" s="162">
      <c r="A369" s="7" t="n">
        <v>368</v>
      </c>
      <c r="B369" t="inlineStr">
        <is>
          <t>1359900000500</t>
        </is>
      </c>
      <c r="C369" t="inlineStr">
        <is>
          <t>COMPRA DIRECTA ELECTRICOS/ELECTRONICOS</t>
        </is>
      </c>
      <c r="D369" t="inlineStr">
        <is>
          <t>1101835562</t>
        </is>
      </c>
      <c r="E369" t="inlineStr">
        <is>
          <t>1</t>
        </is>
      </c>
      <c r="F369" s="163" t="n">
        <v>45698</v>
      </c>
      <c r="G369" t="inlineStr"/>
      <c r="H369" t="inlineStr">
        <is>
          <t>4200597766</t>
        </is>
      </c>
      <c r="I369" t="inlineStr">
        <is>
          <t>30</t>
        </is>
      </c>
      <c r="J369" s="163" t="n">
        <v>45701</v>
      </c>
      <c r="K369" s="163" t="n">
        <v>45701</v>
      </c>
      <c r="L369" t="inlineStr"/>
      <c r="M369" s="163" t="n">
        <v>45715</v>
      </c>
      <c r="N369" s="164" t="n">
        <v>30</v>
      </c>
      <c r="O369" s="164" t="n">
        <v>8</v>
      </c>
      <c r="P369" t="inlineStr">
        <is>
          <t>Liberado</t>
        </is>
      </c>
      <c r="Q369" s="165" t="n">
        <v>1</v>
      </c>
      <c r="R369" s="165" t="n">
        <v>1</v>
      </c>
      <c r="S369" s="165" t="n">
        <v>1</v>
      </c>
      <c r="T369" s="165" t="n">
        <v>0</v>
      </c>
      <c r="U369" s="166" t="n">
        <v>0</v>
      </c>
      <c r="V369" s="166" t="n">
        <v>0</v>
      </c>
      <c r="W369" t="inlineStr">
        <is>
          <t>X</t>
        </is>
      </c>
      <c r="X369" t="inlineStr">
        <is>
          <t>0.00</t>
        </is>
      </c>
      <c r="Y369" t="inlineStr"/>
      <c r="Z369" t="inlineStr">
        <is>
          <t>SARVER S.L.</t>
        </is>
      </c>
      <c r="AA369" t="inlineStr">
        <is>
          <t>OTROS FABRICANTES</t>
        </is>
      </c>
      <c r="AB369" t="inlineStr">
        <is>
          <t>1359900000500</t>
        </is>
      </c>
      <c r="AC369" t="inlineStr"/>
      <c r="AD369" s="164" t="n">
        <v>0</v>
      </c>
      <c r="AE369" s="185" t="n">
        <v>0</v>
      </c>
      <c r="AG369" s="167" t="inlineStr">
        <is>
          <t>7218|JA2594_1001</t>
        </is>
      </c>
      <c r="AH369" s="46">
        <f>IF(M369=0,"-",M369-J369)</f>
        <v/>
      </c>
      <c r="AI369" s="46">
        <f>IF(AND(S369=0,M369&gt;0,L369=0),IF(AH369&gt;=120,"VERY HIGH",IF(AH369&gt;=90,"HIGH",IF(AH369&gt;=60,"MEDIUM",IF(AH369&lt;60,"LOW")))),"-")</f>
        <v/>
      </c>
      <c r="AJ369" s="12" t="n"/>
      <c r="AK369" s="41">
        <f>IF(AND(W369="X",M369&lt;=$AJ$2),"YES","")</f>
        <v/>
      </c>
      <c r="AL369" s="38">
        <f>IF(AND(W369="X",M369&lt;=$AJ$2),S369,"")</f>
        <v/>
      </c>
      <c r="AM369" s="26">
        <f>IF(AND(W369="X",M369&gt;$AJ$2),"YES","")</f>
        <v/>
      </c>
      <c r="AN369" s="89">
        <f>IF(AND(W369="X",M369&gt;$AJ$2),S369,"")</f>
        <v/>
      </c>
      <c r="AO369" s="35">
        <f>IF(AND(W369="",M369&gt;0,$AJ$2&gt;M369,L369=""),1,0)</f>
        <v/>
      </c>
      <c r="AP369" s="26">
        <f>IF(AND(AK369="YES",W369="X"),"X","")</f>
        <v/>
      </c>
      <c r="AQ369" s="28">
        <f>IF(AP369="X",100%,0%)</f>
        <v/>
      </c>
      <c r="AR369" s="25">
        <f>IF(AND(T369&gt;0,L369=""),H369,"")</f>
        <v/>
      </c>
      <c r="AS369" s="25">
        <f>IF(AND(D369&gt;0,H369=0,G369=""),1,"")</f>
        <v/>
      </c>
      <c r="AT369" s="25">
        <f>IF(G369="BLOQ",1,"")</f>
        <v/>
      </c>
      <c r="AU369" s="25">
        <f>IF(L369="BLOQ",1,"")</f>
        <v/>
      </c>
      <c r="AV369" s="25">
        <f>MONTH(F369)</f>
        <v/>
      </c>
      <c r="AW369" s="65">
        <f>IF(AP369="",100%,0%)</f>
        <v/>
      </c>
      <c r="AX369" s="23" t="n"/>
      <c r="AY369" s="24">
        <f>IF(M369=0,"",M369-$AX$2)</f>
        <v/>
      </c>
      <c r="AZ369" s="66">
        <f>IF(AND(W369="",AY369&gt;0,AY369&lt;15),1,0)</f>
        <v/>
      </c>
      <c r="BA369" s="24">
        <f>IF(AND(W369="",AY369&gt;0,AY369&lt;15),T369,"")</f>
        <v/>
      </c>
      <c r="BB369" s="87">
        <f>IF(R369&lt;Q369,"X","")</f>
        <v/>
      </c>
      <c r="BC369" s="190" t="inlineStr">
        <is>
          <t>NO</t>
        </is>
      </c>
      <c r="BD369" s="190" t="inlineStr">
        <is>
          <t>NO</t>
        </is>
      </c>
    </row>
    <row r="370" ht="15" customHeight="1" s="162">
      <c r="A370" s="7" t="n">
        <v>369</v>
      </c>
      <c r="B370" t="inlineStr">
        <is>
          <t>1709800000500</t>
        </is>
      </c>
      <c r="C370" t="inlineStr">
        <is>
          <t>COMPRA DIRECTA FERRETERIA Y HERRAMIENTAS</t>
        </is>
      </c>
      <c r="D370" t="inlineStr">
        <is>
          <t>1101836333</t>
        </is>
      </c>
      <c r="E370" t="inlineStr">
        <is>
          <t>1</t>
        </is>
      </c>
      <c r="F370" s="163" t="n">
        <v>45699</v>
      </c>
      <c r="G370" t="inlineStr"/>
      <c r="H370" t="inlineStr">
        <is>
          <t>4200597997</t>
        </is>
      </c>
      <c r="I370" t="inlineStr">
        <is>
          <t>10</t>
        </is>
      </c>
      <c r="J370" s="163" t="n">
        <v>45702</v>
      </c>
      <c r="K370" s="163" t="n">
        <v>45706</v>
      </c>
      <c r="L370" t="inlineStr"/>
      <c r="M370" s="163" t="n">
        <v>45716</v>
      </c>
      <c r="N370" s="164" t="n">
        <v>30</v>
      </c>
      <c r="O370" s="164" t="n">
        <v>8</v>
      </c>
      <c r="P370" t="inlineStr">
        <is>
          <t>Liberado</t>
        </is>
      </c>
      <c r="Q370" s="165" t="n">
        <v>1</v>
      </c>
      <c r="R370" s="165" t="n">
        <v>1</v>
      </c>
      <c r="S370" s="165" t="n">
        <v>1</v>
      </c>
      <c r="T370" s="165" t="n">
        <v>0</v>
      </c>
      <c r="U370" s="166" t="n">
        <v>0</v>
      </c>
      <c r="V370" s="166" t="n">
        <v>0</v>
      </c>
      <c r="W370" t="inlineStr">
        <is>
          <t>X</t>
        </is>
      </c>
      <c r="X370" t="inlineStr">
        <is>
          <t>0.00</t>
        </is>
      </c>
      <c r="Y370" t="inlineStr"/>
      <c r="Z370" t="inlineStr">
        <is>
          <t>ABACO SUYTEC, S.A.U.</t>
        </is>
      </c>
      <c r="AA370" t="inlineStr">
        <is>
          <t>OTROS FABRICANTES</t>
        </is>
      </c>
      <c r="AB370" t="inlineStr">
        <is>
          <t>1709800000500</t>
        </is>
      </c>
      <c r="AC370" t="inlineStr"/>
      <c r="AD370" s="164" t="n">
        <v>0</v>
      </c>
      <c r="AE370" s="185" t="n">
        <v>0</v>
      </c>
      <c r="AG370" s="167" t="inlineStr">
        <is>
          <t>7218|S24B05_S1075</t>
        </is>
      </c>
      <c r="AH370" s="46">
        <f>IF(M370=0,"-",M370-J370)</f>
        <v/>
      </c>
      <c r="AI370" s="46">
        <f>IF(AND(S370=0,M370&gt;0,L370=0),IF(AH370&gt;=120,"VERY HIGH",IF(AH370&gt;=90,"HIGH",IF(AH370&gt;=60,"MEDIUM",IF(AH370&lt;60,"LOW")))),"-")</f>
        <v/>
      </c>
      <c r="AJ370" s="12" t="n"/>
      <c r="AK370" s="41">
        <f>IF(AND(W370="X",M370&lt;=$AJ$2),"YES","")</f>
        <v/>
      </c>
      <c r="AL370" s="38">
        <f>IF(AND(W370="X",M370&lt;=$AJ$2),S370,"")</f>
        <v/>
      </c>
      <c r="AM370" s="26">
        <f>IF(AND(W370="X",M370&gt;$AJ$2),"YES","")</f>
        <v/>
      </c>
      <c r="AN370" s="89">
        <f>IF(AND(W370="X",M370&gt;$AJ$2),S370,"")</f>
        <v/>
      </c>
      <c r="AO370" s="35">
        <f>IF(AND(W370="",M370&gt;0,$AJ$2&gt;M370,L370=""),1,0)</f>
        <v/>
      </c>
      <c r="AP370" s="26">
        <f>IF(AND(AK370="YES",W370="X"),"X","")</f>
        <v/>
      </c>
      <c r="AQ370" s="28">
        <f>IF(AP370="X",100%,0%)</f>
        <v/>
      </c>
      <c r="AR370" s="25">
        <f>IF(AND(T370&gt;0,L370=""),H370,"")</f>
        <v/>
      </c>
      <c r="AS370" s="25">
        <f>IF(AND(D370&gt;0,H370=0,G370=""),1,"")</f>
        <v/>
      </c>
      <c r="AT370" s="25">
        <f>IF(G370="BLOQ",1,"")</f>
        <v/>
      </c>
      <c r="AU370" s="25">
        <f>IF(L370="BLOQ",1,"")</f>
        <v/>
      </c>
      <c r="AV370" s="25">
        <f>MONTH(F370)</f>
        <v/>
      </c>
      <c r="AW370" s="65">
        <f>IF(AP370="",100%,0%)</f>
        <v/>
      </c>
      <c r="AX370" s="23" t="n"/>
      <c r="AY370" s="24">
        <f>IF(M370=0,"",M370-$AX$2)</f>
        <v/>
      </c>
      <c r="AZ370" s="66">
        <f>IF(AND(W370="",AY370&gt;0,AY370&lt;15),1,0)</f>
        <v/>
      </c>
      <c r="BA370" s="24">
        <f>IF(AND(W370="",AY370&gt;0,AY370&lt;15),T370,"")</f>
        <v/>
      </c>
      <c r="BB370" s="87">
        <f>IF(R370&lt;Q370,"X","")</f>
        <v/>
      </c>
      <c r="BC370" s="190" t="inlineStr">
        <is>
          <t>NO</t>
        </is>
      </c>
      <c r="BD370" s="190" t="inlineStr">
        <is>
          <t>NO</t>
        </is>
      </c>
    </row>
    <row r="371" ht="15" customHeight="1" s="162">
      <c r="A371" s="7" t="n">
        <v>370</v>
      </c>
      <c r="B371" t="inlineStr">
        <is>
          <t>1359900000500</t>
        </is>
      </c>
      <c r="C371" t="inlineStr">
        <is>
          <t>COMPRA DIRECTA ELECTRICOS/ELECTRONICOS</t>
        </is>
      </c>
      <c r="D371" t="inlineStr">
        <is>
          <t>1101836579</t>
        </is>
      </c>
      <c r="E371" t="inlineStr">
        <is>
          <t>1</t>
        </is>
      </c>
      <c r="F371" s="163" t="n">
        <v>45700</v>
      </c>
      <c r="G371" t="inlineStr"/>
      <c r="H371" t="inlineStr">
        <is>
          <t>4200598014</t>
        </is>
      </c>
      <c r="I371" t="inlineStr">
        <is>
          <t>10</t>
        </is>
      </c>
      <c r="J371" s="163" t="n">
        <v>45702</v>
      </c>
      <c r="K371" s="163" t="n">
        <v>45706</v>
      </c>
      <c r="L371" t="inlineStr"/>
      <c r="M371" s="163" t="n">
        <v>45716</v>
      </c>
      <c r="N371" s="164" t="n">
        <v>30</v>
      </c>
      <c r="O371" s="164" t="n">
        <v>8</v>
      </c>
      <c r="P371" t="inlineStr">
        <is>
          <t>Liberado</t>
        </is>
      </c>
      <c r="Q371" s="165" t="n">
        <v>1</v>
      </c>
      <c r="R371" s="165" t="n">
        <v>1</v>
      </c>
      <c r="S371" s="165" t="n">
        <v>1</v>
      </c>
      <c r="T371" s="165" t="n">
        <v>0</v>
      </c>
      <c r="U371" s="166" t="n">
        <v>0</v>
      </c>
      <c r="V371" s="166" t="n">
        <v>0</v>
      </c>
      <c r="W371" t="inlineStr">
        <is>
          <t>X</t>
        </is>
      </c>
      <c r="X371" t="inlineStr">
        <is>
          <t>0.00</t>
        </is>
      </c>
      <c r="Y371" t="inlineStr"/>
      <c r="Z371" t="inlineStr">
        <is>
          <t>(AEMSA)ALMACENES ELECTRICOS MADRILE</t>
        </is>
      </c>
      <c r="AA371" t="inlineStr">
        <is>
          <t>OTROS FABRICANTES</t>
        </is>
      </c>
      <c r="AB371" t="inlineStr">
        <is>
          <t>1359900000500</t>
        </is>
      </c>
      <c r="AC371" t="inlineStr"/>
      <c r="AD371" s="164" t="n">
        <v>0</v>
      </c>
      <c r="AE371" s="185" t="n">
        <v>0</v>
      </c>
      <c r="AG371" s="167" t="inlineStr">
        <is>
          <t>7218|JA2593_1001</t>
        </is>
      </c>
      <c r="AH371" s="46">
        <f>IF(M371=0,"-",M371-J371)</f>
        <v/>
      </c>
      <c r="AI371" s="46">
        <f>IF(AND(S371=0,M371&gt;0,L371=0),IF(AH371&gt;=120,"VERY HIGH",IF(AH371&gt;=90,"HIGH",IF(AH371&gt;=60,"MEDIUM",IF(AH371&lt;60,"LOW")))),"-")</f>
        <v/>
      </c>
      <c r="AJ371" s="12" t="n"/>
      <c r="AK371" s="41">
        <f>IF(AND(W371="X",M371&lt;=$AJ$2),"YES","")</f>
        <v/>
      </c>
      <c r="AL371" s="38">
        <f>IF(AND(W371="X",M371&lt;=$AJ$2),S371,"")</f>
        <v/>
      </c>
      <c r="AM371" s="26">
        <f>IF(AND(W371="X",M371&gt;$AJ$2),"YES","")</f>
        <v/>
      </c>
      <c r="AN371" s="89">
        <f>IF(AND(W371="X",M371&gt;$AJ$2),S371,"")</f>
        <v/>
      </c>
      <c r="AO371" s="35">
        <f>IF(AND(W371="",M371&gt;0,$AJ$2&gt;M371,L371=""),1,0)</f>
        <v/>
      </c>
      <c r="AP371" s="26">
        <f>IF(AND(AK371="YES",W371="X"),"X","")</f>
        <v/>
      </c>
      <c r="AQ371" s="28">
        <f>IF(AP371="X",100%,0%)</f>
        <v/>
      </c>
      <c r="AR371" s="25">
        <f>IF(AND(T371&gt;0,L371=""),H371,"")</f>
        <v/>
      </c>
      <c r="AS371" s="25">
        <f>IF(AND(D371&gt;0,H371=0,G371=""),1,"")</f>
        <v/>
      </c>
      <c r="AT371" s="25">
        <f>IF(G371="BLOQ",1,"")</f>
        <v/>
      </c>
      <c r="AU371" s="25">
        <f>IF(L371="BLOQ",1,"")</f>
        <v/>
      </c>
      <c r="AV371" s="25">
        <f>MONTH(F371)</f>
        <v/>
      </c>
      <c r="AW371" s="65">
        <f>IF(AP371="",100%,0%)</f>
        <v/>
      </c>
      <c r="AX371" s="23" t="n"/>
      <c r="AY371" s="24">
        <f>IF(M371=0,"",M371-$AX$2)</f>
        <v/>
      </c>
      <c r="AZ371" s="66">
        <f>IF(AND(W371="",AY371&gt;0,AY371&lt;15),1,0)</f>
        <v/>
      </c>
      <c r="BA371" s="24">
        <f>IF(AND(W371="",AY371&gt;0,AY371&lt;15),T371,"")</f>
        <v/>
      </c>
      <c r="BB371" s="87">
        <f>IF(R371&lt;Q371,"X","")</f>
        <v/>
      </c>
      <c r="BC371" s="190" t="inlineStr">
        <is>
          <t>NO</t>
        </is>
      </c>
      <c r="BD371" s="190" t="inlineStr">
        <is>
          <t>NO</t>
        </is>
      </c>
    </row>
    <row r="372" ht="15" customHeight="1" s="162">
      <c r="A372" s="7" t="n">
        <v>371</v>
      </c>
      <c r="B372" t="inlineStr">
        <is>
          <t>1359900000500</t>
        </is>
      </c>
      <c r="C372" t="inlineStr">
        <is>
          <t>COMPRA DIRECTA ELECTRICOS/ELECTRONICOS</t>
        </is>
      </c>
      <c r="D372" t="inlineStr">
        <is>
          <t>1101836579</t>
        </is>
      </c>
      <c r="E372" t="inlineStr">
        <is>
          <t>2</t>
        </is>
      </c>
      <c r="F372" s="163" t="n">
        <v>45700</v>
      </c>
      <c r="G372" t="inlineStr"/>
      <c r="H372" t="inlineStr">
        <is>
          <t>4200598014</t>
        </is>
      </c>
      <c r="I372" t="inlineStr">
        <is>
          <t>20</t>
        </is>
      </c>
      <c r="J372" s="163" t="n">
        <v>45702</v>
      </c>
      <c r="K372" s="163" t="n">
        <v>45706</v>
      </c>
      <c r="L372" t="inlineStr"/>
      <c r="M372" s="163" t="n">
        <v>45716</v>
      </c>
      <c r="N372" s="164" t="n">
        <v>30</v>
      </c>
      <c r="O372" s="164" t="n">
        <v>8</v>
      </c>
      <c r="P372" t="inlineStr">
        <is>
          <t>Liberado</t>
        </is>
      </c>
      <c r="Q372" s="165" t="n">
        <v>1</v>
      </c>
      <c r="R372" s="165" t="n">
        <v>1</v>
      </c>
      <c r="S372" s="165" t="n">
        <v>1</v>
      </c>
      <c r="T372" s="165" t="n">
        <v>0</v>
      </c>
      <c r="U372" s="166" t="n">
        <v>0</v>
      </c>
      <c r="V372" s="166" t="n">
        <v>0</v>
      </c>
      <c r="W372" t="inlineStr">
        <is>
          <t>X</t>
        </is>
      </c>
      <c r="X372" t="inlineStr">
        <is>
          <t>0.00</t>
        </is>
      </c>
      <c r="Y372" t="inlineStr"/>
      <c r="Z372" t="inlineStr">
        <is>
          <t>(AEMSA)ALMACENES ELECTRICOS MADRILE</t>
        </is>
      </c>
      <c r="AA372" t="inlineStr">
        <is>
          <t>OTROS FABRICANTES</t>
        </is>
      </c>
      <c r="AB372" t="inlineStr">
        <is>
          <t>1359900000500</t>
        </is>
      </c>
      <c r="AC372" t="inlineStr"/>
      <c r="AD372" s="164" t="n">
        <v>0</v>
      </c>
      <c r="AE372" s="185" t="n">
        <v>0</v>
      </c>
      <c r="AG372" s="167" t="inlineStr">
        <is>
          <t>7218|JA2593_1001</t>
        </is>
      </c>
      <c r="AH372" s="46">
        <f>IF(M372=0,"-",M372-J372)</f>
        <v/>
      </c>
      <c r="AI372" s="46">
        <f>IF(AND(S372=0,M372&gt;0,L372=0),IF(AH372&gt;=120,"VERY HIGH",IF(AH372&gt;=90,"HIGH",IF(AH372&gt;=60,"MEDIUM",IF(AH372&lt;60,"LOW")))),"-")</f>
        <v/>
      </c>
      <c r="AJ372" s="12" t="n"/>
      <c r="AK372" s="41">
        <f>IF(AND(W372="X",M372&lt;=$AJ$2),"YES","")</f>
        <v/>
      </c>
      <c r="AL372" s="38">
        <f>IF(AND(W372="X",M372&lt;=$AJ$2),S372,"")</f>
        <v/>
      </c>
      <c r="AM372" s="26">
        <f>IF(AND(W372="X",M372&gt;$AJ$2),"YES","")</f>
        <v/>
      </c>
      <c r="AN372" s="89">
        <f>IF(AND(W372="X",M372&gt;$AJ$2),S372,"")</f>
        <v/>
      </c>
      <c r="AO372" s="35">
        <f>IF(AND(W372="",M372&gt;0,$AJ$2&gt;M372,L372=""),1,0)</f>
        <v/>
      </c>
      <c r="AP372" s="26">
        <f>IF(AND(AK372="YES",W372="X"),"X","")</f>
        <v/>
      </c>
      <c r="AQ372" s="28">
        <f>IF(AP372="X",100%,0%)</f>
        <v/>
      </c>
      <c r="AR372" s="25">
        <f>IF(AND(T372&gt;0,L372=""),H372,"")</f>
        <v/>
      </c>
      <c r="AS372" s="25">
        <f>IF(AND(D372&gt;0,H372=0,G372=""),1,"")</f>
        <v/>
      </c>
      <c r="AT372" s="25">
        <f>IF(G372="BLOQ",1,"")</f>
        <v/>
      </c>
      <c r="AU372" s="25">
        <f>IF(L372="BLOQ",1,"")</f>
        <v/>
      </c>
      <c r="AV372" s="25">
        <f>MONTH(F372)</f>
        <v/>
      </c>
      <c r="AW372" s="65">
        <f>IF(AP372="",100%,0%)</f>
        <v/>
      </c>
      <c r="AX372" s="23" t="n"/>
      <c r="AY372" s="24">
        <f>IF(M372=0,"",M372-$AX$2)</f>
        <v/>
      </c>
      <c r="AZ372" s="66">
        <f>IF(AND(W372="",AY372&gt;0,AY372&lt;15),1,0)</f>
        <v/>
      </c>
      <c r="BA372" s="24">
        <f>IF(AND(W372="",AY372&gt;0,AY372&lt;15),T372,"")</f>
        <v/>
      </c>
      <c r="BB372" s="87">
        <f>IF(R372&lt;Q372,"X","")</f>
        <v/>
      </c>
      <c r="BC372" s="190" t="inlineStr">
        <is>
          <t>NO</t>
        </is>
      </c>
      <c r="BD372" s="190" t="inlineStr">
        <is>
          <t>NO</t>
        </is>
      </c>
    </row>
    <row r="373" ht="15" customHeight="1" s="162">
      <c r="A373" s="7" t="n">
        <v>372</v>
      </c>
      <c r="B373" t="inlineStr">
        <is>
          <t>1359900000500</t>
        </is>
      </c>
      <c r="C373" t="inlineStr">
        <is>
          <t>COMPRA DIRECTA ELECTRICOS/ELECTRONICOS</t>
        </is>
      </c>
      <c r="D373" t="inlineStr">
        <is>
          <t>1101836584</t>
        </is>
      </c>
      <c r="E373" t="inlineStr">
        <is>
          <t>1</t>
        </is>
      </c>
      <c r="F373" s="163" t="n">
        <v>45700</v>
      </c>
      <c r="G373" t="inlineStr"/>
      <c r="H373" t="inlineStr">
        <is>
          <t>4200598014</t>
        </is>
      </c>
      <c r="I373" t="inlineStr">
        <is>
          <t>30</t>
        </is>
      </c>
      <c r="J373" s="163" t="n">
        <v>45702</v>
      </c>
      <c r="K373" s="163" t="n">
        <v>45706</v>
      </c>
      <c r="L373" t="inlineStr"/>
      <c r="M373" s="163" t="n">
        <v>45716</v>
      </c>
      <c r="N373" s="164" t="n">
        <v>30</v>
      </c>
      <c r="O373" s="164" t="n">
        <v>8</v>
      </c>
      <c r="P373" t="inlineStr">
        <is>
          <t>Liberado</t>
        </is>
      </c>
      <c r="Q373" s="165" t="n">
        <v>1</v>
      </c>
      <c r="R373" s="165" t="n">
        <v>1</v>
      </c>
      <c r="S373" s="165" t="n">
        <v>1</v>
      </c>
      <c r="T373" s="165" t="n">
        <v>0</v>
      </c>
      <c r="U373" s="166" t="n">
        <v>0</v>
      </c>
      <c r="V373" s="166" t="n">
        <v>0</v>
      </c>
      <c r="W373" t="inlineStr">
        <is>
          <t>X</t>
        </is>
      </c>
      <c r="X373" t="inlineStr">
        <is>
          <t>0.00</t>
        </is>
      </c>
      <c r="Y373" t="inlineStr"/>
      <c r="Z373" t="inlineStr">
        <is>
          <t>(AEMSA)ALMACENES ELECTRICOS MADRILE</t>
        </is>
      </c>
      <c r="AA373" t="inlineStr">
        <is>
          <t>OTROS FABRICANTES</t>
        </is>
      </c>
      <c r="AB373" t="inlineStr">
        <is>
          <t>1359900000500</t>
        </is>
      </c>
      <c r="AC373" t="inlineStr"/>
      <c r="AD373" s="164" t="n">
        <v>0</v>
      </c>
      <c r="AE373" s="185" t="n">
        <v>0</v>
      </c>
      <c r="AG373" s="167" t="inlineStr">
        <is>
          <t>7218|JA2594_1001</t>
        </is>
      </c>
      <c r="AH373" s="46">
        <f>IF(M373=0,"-",M373-J373)</f>
        <v/>
      </c>
      <c r="AI373" s="46">
        <f>IF(AND(S373=0,M373&gt;0,L373=0),IF(AH373&gt;=120,"VERY HIGH",IF(AH373&gt;=90,"HIGH",IF(AH373&gt;=60,"MEDIUM",IF(AH373&lt;60,"LOW")))),"-")</f>
        <v/>
      </c>
      <c r="AJ373" s="12" t="n"/>
      <c r="AK373" s="41">
        <f>IF(AND(W373="X",M373&lt;=$AJ$2),"YES","")</f>
        <v/>
      </c>
      <c r="AL373" s="38">
        <f>IF(AND(W373="X",M373&lt;=$AJ$2),S373,"")</f>
        <v/>
      </c>
      <c r="AM373" s="26">
        <f>IF(AND(W373="X",M373&gt;$AJ$2),"YES","")</f>
        <v/>
      </c>
      <c r="AN373" s="89">
        <f>IF(AND(W373="X",M373&gt;$AJ$2),S373,"")</f>
        <v/>
      </c>
      <c r="AO373" s="35">
        <f>IF(AND(W373="",M373&gt;0,$AJ$2&gt;M373,L373=""),1,0)</f>
        <v/>
      </c>
      <c r="AP373" s="26">
        <f>IF(AND(AK373="YES",W373="X"),"X","")</f>
        <v/>
      </c>
      <c r="AQ373" s="28">
        <f>IF(AP373="X",100%,0%)</f>
        <v/>
      </c>
      <c r="AR373" s="25">
        <f>IF(AND(T373&gt;0,L373=""),H373,"")</f>
        <v/>
      </c>
      <c r="AS373" s="25">
        <f>IF(AND(D373&gt;0,H373=0,G373=""),1,"")</f>
        <v/>
      </c>
      <c r="AT373" s="25">
        <f>IF(G373="BLOQ",1,"")</f>
        <v/>
      </c>
      <c r="AU373" s="25">
        <f>IF(L373="BLOQ",1,"")</f>
        <v/>
      </c>
      <c r="AV373" s="25">
        <f>MONTH(F373)</f>
        <v/>
      </c>
      <c r="AW373" s="65">
        <f>IF(AP373="",100%,0%)</f>
        <v/>
      </c>
      <c r="AX373" s="23" t="n"/>
      <c r="AY373" s="24">
        <f>IF(M373=0,"",M373-$AX$2)</f>
        <v/>
      </c>
      <c r="AZ373" s="66">
        <f>IF(AND(W373="",AY373&gt;0,AY373&lt;15),1,0)</f>
        <v/>
      </c>
      <c r="BA373" s="24">
        <f>IF(AND(W373="",AY373&gt;0,AY373&lt;15),T373,"")</f>
        <v/>
      </c>
      <c r="BB373" s="87">
        <f>IF(R373&lt;Q373,"X","")</f>
        <v/>
      </c>
      <c r="BC373" s="190" t="inlineStr">
        <is>
          <t>NO</t>
        </is>
      </c>
      <c r="BD373" s="190" t="inlineStr">
        <is>
          <t>NO</t>
        </is>
      </c>
    </row>
    <row r="374" ht="15" customHeight="1" s="162">
      <c r="A374" s="7" t="n">
        <v>373</v>
      </c>
      <c r="B374" t="inlineStr">
        <is>
          <t>1359900000500</t>
        </is>
      </c>
      <c r="C374" t="inlineStr">
        <is>
          <t>COMPRA DIRECTA ELECTRICOS/ELECTRONICOS</t>
        </is>
      </c>
      <c r="D374" t="inlineStr">
        <is>
          <t>1101836584</t>
        </is>
      </c>
      <c r="E374" t="inlineStr">
        <is>
          <t>2</t>
        </is>
      </c>
      <c r="F374" s="163" t="n">
        <v>45700</v>
      </c>
      <c r="G374" t="inlineStr"/>
      <c r="H374" t="inlineStr">
        <is>
          <t>4200598014</t>
        </is>
      </c>
      <c r="I374" t="inlineStr">
        <is>
          <t>40</t>
        </is>
      </c>
      <c r="J374" s="163" t="n">
        <v>45702</v>
      </c>
      <c r="K374" s="163" t="n">
        <v>45706</v>
      </c>
      <c r="L374" t="inlineStr"/>
      <c r="M374" s="163" t="n">
        <v>45716</v>
      </c>
      <c r="N374" s="164" t="n">
        <v>30</v>
      </c>
      <c r="O374" s="164" t="n">
        <v>8</v>
      </c>
      <c r="P374" t="inlineStr">
        <is>
          <t>Liberado</t>
        </is>
      </c>
      <c r="Q374" s="165" t="n">
        <v>1</v>
      </c>
      <c r="R374" s="165" t="n">
        <v>1</v>
      </c>
      <c r="S374" s="165" t="n">
        <v>1</v>
      </c>
      <c r="T374" s="165" t="n">
        <v>0</v>
      </c>
      <c r="U374" s="166" t="n">
        <v>0</v>
      </c>
      <c r="V374" s="166" t="n">
        <v>0</v>
      </c>
      <c r="W374" t="inlineStr">
        <is>
          <t>X</t>
        </is>
      </c>
      <c r="X374" t="inlineStr">
        <is>
          <t>0.00</t>
        </is>
      </c>
      <c r="Y374" t="inlineStr"/>
      <c r="Z374" t="inlineStr">
        <is>
          <t>(AEMSA)ALMACENES ELECTRICOS MADRILE</t>
        </is>
      </c>
      <c r="AA374" t="inlineStr">
        <is>
          <t>OTROS FABRICANTES</t>
        </is>
      </c>
      <c r="AB374" t="inlineStr">
        <is>
          <t>1359900000500</t>
        </is>
      </c>
      <c r="AC374" t="inlineStr"/>
      <c r="AD374" s="164" t="n">
        <v>0</v>
      </c>
      <c r="AE374" s="185" t="n">
        <v>0</v>
      </c>
      <c r="AG374" s="167" t="inlineStr">
        <is>
          <t>7218|JA2594_1001</t>
        </is>
      </c>
      <c r="AH374" s="46">
        <f>IF(M374=0,"-",M374-J374)</f>
        <v/>
      </c>
      <c r="AI374" s="46">
        <f>IF(AND(S374=0,M374&gt;0,L374=0),IF(AH374&gt;=120,"VERY HIGH",IF(AH374&gt;=90,"HIGH",IF(AH374&gt;=60,"MEDIUM",IF(AH374&lt;60,"LOW")))),"-")</f>
        <v/>
      </c>
      <c r="AJ374" s="12" t="n"/>
      <c r="AK374" s="41">
        <f>IF(AND(W374="X",M374&lt;=$AJ$2),"YES","")</f>
        <v/>
      </c>
      <c r="AL374" s="38">
        <f>IF(AND(W374="X",M374&lt;=$AJ$2),S374,"")</f>
        <v/>
      </c>
      <c r="AM374" s="26">
        <f>IF(AND(W374="X",M374&gt;$AJ$2),"YES","")</f>
        <v/>
      </c>
      <c r="AN374" s="89">
        <f>IF(AND(W374="X",M374&gt;$AJ$2),S374,"")</f>
        <v/>
      </c>
      <c r="AO374" s="35">
        <f>IF(AND(W374="",M374&gt;0,$AJ$2&gt;M374,L374=""),1,0)</f>
        <v/>
      </c>
      <c r="AP374" s="26">
        <f>IF(AND(AK374="YES",W374="X"),"X","")</f>
        <v/>
      </c>
      <c r="AQ374" s="28">
        <f>IF(AP374="X",100%,0%)</f>
        <v/>
      </c>
      <c r="AR374" s="25">
        <f>IF(AND(T374&gt;0,L374=""),H374,"")</f>
        <v/>
      </c>
      <c r="AS374" s="25">
        <f>IF(AND(D374&gt;0,H374=0,G374=""),1,"")</f>
        <v/>
      </c>
      <c r="AT374" s="25">
        <f>IF(G374="BLOQ",1,"")</f>
        <v/>
      </c>
      <c r="AU374" s="25">
        <f>IF(L374="BLOQ",1,"")</f>
        <v/>
      </c>
      <c r="AV374" s="25">
        <f>MONTH(F374)</f>
        <v/>
      </c>
      <c r="AW374" s="65">
        <f>IF(AP374="",100%,0%)</f>
        <v/>
      </c>
      <c r="AX374" s="23" t="n"/>
      <c r="AY374" s="24">
        <f>IF(M374=0,"",M374-$AX$2)</f>
        <v/>
      </c>
      <c r="AZ374" s="66">
        <f>IF(AND(W374="",AY374&gt;0,AY374&lt;15),1,0)</f>
        <v/>
      </c>
      <c r="BA374" s="24">
        <f>IF(AND(W374="",AY374&gt;0,AY374&lt;15),T374,"")</f>
        <v/>
      </c>
      <c r="BB374" s="87">
        <f>IF(R374&lt;Q374,"X","")</f>
        <v/>
      </c>
      <c r="BC374" s="190" t="inlineStr">
        <is>
          <t>NO</t>
        </is>
      </c>
      <c r="BD374" s="190" t="inlineStr">
        <is>
          <t>NO</t>
        </is>
      </c>
    </row>
    <row r="375" ht="15" customHeight="1" s="162">
      <c r="A375" s="7" t="n">
        <v>374</v>
      </c>
      <c r="B375" t="inlineStr">
        <is>
          <t>1359900000500</t>
        </is>
      </c>
      <c r="C375" t="inlineStr">
        <is>
          <t>COMPRA DIRECTA ELECTRICOS/ELECTRONICOS</t>
        </is>
      </c>
      <c r="D375" t="inlineStr">
        <is>
          <t>1101836593</t>
        </is>
      </c>
      <c r="E375" t="inlineStr">
        <is>
          <t>1</t>
        </is>
      </c>
      <c r="F375" s="163" t="n">
        <v>45700</v>
      </c>
      <c r="G375" t="inlineStr"/>
      <c r="H375" t="inlineStr">
        <is>
          <t>4200598014</t>
        </is>
      </c>
      <c r="I375" t="inlineStr">
        <is>
          <t>50</t>
        </is>
      </c>
      <c r="J375" s="163" t="n">
        <v>45702</v>
      </c>
      <c r="K375" s="163" t="n">
        <v>45706</v>
      </c>
      <c r="L375" t="inlineStr"/>
      <c r="M375" s="163" t="n">
        <v>45716</v>
      </c>
      <c r="N375" s="164" t="n">
        <v>30</v>
      </c>
      <c r="O375" s="164" t="n">
        <v>8</v>
      </c>
      <c r="P375" t="inlineStr">
        <is>
          <t>Liberado</t>
        </is>
      </c>
      <c r="Q375" s="165" t="n">
        <v>1</v>
      </c>
      <c r="R375" s="165" t="n">
        <v>1</v>
      </c>
      <c r="S375" s="165" t="n">
        <v>1</v>
      </c>
      <c r="T375" s="165" t="n">
        <v>0</v>
      </c>
      <c r="U375" s="166" t="n">
        <v>0</v>
      </c>
      <c r="V375" s="166" t="n">
        <v>0</v>
      </c>
      <c r="W375" t="inlineStr">
        <is>
          <t>X</t>
        </is>
      </c>
      <c r="X375" t="inlineStr">
        <is>
          <t>0.00</t>
        </is>
      </c>
      <c r="Y375" t="inlineStr"/>
      <c r="Z375" t="inlineStr">
        <is>
          <t>(AEMSA)ALMACENES ELECTRICOS MADRILE</t>
        </is>
      </c>
      <c r="AA375" t="inlineStr">
        <is>
          <t>OTROS FABRICANTES</t>
        </is>
      </c>
      <c r="AB375" t="inlineStr">
        <is>
          <t>1359900000500</t>
        </is>
      </c>
      <c r="AC375" t="inlineStr"/>
      <c r="AD375" s="164" t="n">
        <v>0</v>
      </c>
      <c r="AE375" s="185" t="n">
        <v>0</v>
      </c>
      <c r="AG375" s="167" t="inlineStr">
        <is>
          <t>7218|JA2593_1001</t>
        </is>
      </c>
      <c r="AH375" s="46">
        <f>IF(M375=0,"-",M375-J375)</f>
        <v/>
      </c>
      <c r="AI375" s="46">
        <f>IF(AND(S375=0,M375&gt;0,L375=0),IF(AH375&gt;=120,"VERY HIGH",IF(AH375&gt;=90,"HIGH",IF(AH375&gt;=60,"MEDIUM",IF(AH375&lt;60,"LOW")))),"-")</f>
        <v/>
      </c>
      <c r="AJ375" s="12" t="n"/>
      <c r="AK375" s="41">
        <f>IF(AND(W375="X",M375&lt;=$AJ$2),"YES","")</f>
        <v/>
      </c>
      <c r="AL375" s="38">
        <f>IF(AND(W375="X",M375&lt;=$AJ$2),S375,"")</f>
        <v/>
      </c>
      <c r="AM375" s="26">
        <f>IF(AND(W375="X",M375&gt;$AJ$2),"YES","")</f>
        <v/>
      </c>
      <c r="AN375" s="89">
        <f>IF(AND(W375="X",M375&gt;$AJ$2),S375,"")</f>
        <v/>
      </c>
      <c r="AO375" s="35">
        <f>IF(AND(W375="",M375&gt;0,$AJ$2&gt;M375,L375=""),1,0)</f>
        <v/>
      </c>
      <c r="AP375" s="26">
        <f>IF(AND(AK375="YES",W375="X"),"X","")</f>
        <v/>
      </c>
      <c r="AQ375" s="28">
        <f>IF(AP375="X",100%,0%)</f>
        <v/>
      </c>
      <c r="AR375" s="25">
        <f>IF(AND(T375&gt;0,L375=""),H375,"")</f>
        <v/>
      </c>
      <c r="AS375" s="25">
        <f>IF(AND(D375&gt;0,H375=0,G375=""),1,"")</f>
        <v/>
      </c>
      <c r="AT375" s="25">
        <f>IF(G375="BLOQ",1,"")</f>
        <v/>
      </c>
      <c r="AU375" s="25">
        <f>IF(L375="BLOQ",1,"")</f>
        <v/>
      </c>
      <c r="AV375" s="25">
        <f>MONTH(F375)</f>
        <v/>
      </c>
      <c r="AW375" s="65">
        <f>IF(AP375="",100%,0%)</f>
        <v/>
      </c>
      <c r="AX375" s="23" t="n"/>
      <c r="AY375" s="24">
        <f>IF(M375=0,"",M375-$AX$2)</f>
        <v/>
      </c>
      <c r="AZ375" s="66">
        <f>IF(AND(W375="",AY375&gt;0,AY375&lt;15),1,0)</f>
        <v/>
      </c>
      <c r="BA375" s="24">
        <f>IF(AND(W375="",AY375&gt;0,AY375&lt;15),T375,"")</f>
        <v/>
      </c>
      <c r="BB375" s="87">
        <f>IF(R375&lt;Q375,"X","")</f>
        <v/>
      </c>
      <c r="BC375" s="190" t="inlineStr">
        <is>
          <t>NO</t>
        </is>
      </c>
      <c r="BD375" s="190" t="inlineStr">
        <is>
          <t>NO</t>
        </is>
      </c>
    </row>
    <row r="376" ht="15" customHeight="1" s="162">
      <c r="A376" s="7" t="n">
        <v>375</v>
      </c>
      <c r="B376" t="inlineStr">
        <is>
          <t>39121708</t>
        </is>
      </c>
      <c r="C376" t="inlineStr">
        <is>
          <t>Tira de jumpers Entrelec serie JB5, para</t>
        </is>
      </c>
      <c r="D376" t="inlineStr">
        <is>
          <t>1101837083</t>
        </is>
      </c>
      <c r="E376" t="inlineStr">
        <is>
          <t>1</t>
        </is>
      </c>
      <c r="F376" s="163" t="n">
        <v>45701</v>
      </c>
      <c r="G376" t="inlineStr"/>
      <c r="H376" t="inlineStr">
        <is>
          <t>4800002882</t>
        </is>
      </c>
      <c r="I376" t="inlineStr">
        <is>
          <t>300</t>
        </is>
      </c>
      <c r="J376" s="163" t="n">
        <v>45700</v>
      </c>
      <c r="K376" s="163" t="inlineStr"/>
      <c r="L376" t="inlineStr"/>
      <c r="M376" s="163" t="n">
        <v>45702</v>
      </c>
      <c r="N376" s="164" t="n">
        <v>0</v>
      </c>
      <c r="O376" s="164" t="n">
        <v>0</v>
      </c>
      <c r="P376" t="inlineStr"/>
      <c r="Q376" s="165" t="n">
        <v>5</v>
      </c>
      <c r="R376" s="165" t="n">
        <v>5</v>
      </c>
      <c r="S376" s="165" t="n">
        <v>5</v>
      </c>
      <c r="T376" s="165" t="n">
        <v>0</v>
      </c>
      <c r="U376" s="166" t="n">
        <v>0</v>
      </c>
      <c r="V376" s="166" t="n">
        <v>0</v>
      </c>
      <c r="W376" t="inlineStr">
        <is>
          <t>X</t>
        </is>
      </c>
      <c r="X376" t="inlineStr">
        <is>
          <t>0.00</t>
        </is>
      </c>
      <c r="Y376" t="inlineStr"/>
      <c r="Z376" t="inlineStr">
        <is>
          <t>AMIDATA, S.A.</t>
        </is>
      </c>
      <c r="AA376" t="inlineStr"/>
      <c r="AB376" t="inlineStr">
        <is>
          <t>6663468</t>
        </is>
      </c>
      <c r="AC376" t="inlineStr"/>
      <c r="AD376" s="164" t="n">
        <v>0</v>
      </c>
      <c r="AE376" s="185" t="n">
        <v>0</v>
      </c>
      <c r="AG376" s="167" t="inlineStr">
        <is>
          <t>7218|JA2585_1001</t>
        </is>
      </c>
      <c r="AH376" s="46">
        <f>IF(M376=0,"-",M376-J376)</f>
        <v/>
      </c>
      <c r="AI376" s="46">
        <f>IF(AND(S376=0,M376&gt;0,L376=0),IF(AH376&gt;=120,"VERY HIGH",IF(AH376&gt;=90,"HIGH",IF(AH376&gt;=60,"MEDIUM",IF(AH376&lt;60,"LOW")))),"-")</f>
        <v/>
      </c>
      <c r="AJ376" s="12" t="n"/>
      <c r="AK376" s="41">
        <f>IF(AND(W376="X",M376&lt;=$AJ$2),"YES","")</f>
        <v/>
      </c>
      <c r="AL376" s="38">
        <f>IF(AND(W376="X",M376&lt;=$AJ$2),S376,"")</f>
        <v/>
      </c>
      <c r="AM376" s="26">
        <f>IF(AND(W376="X",M376&gt;$AJ$2),"YES","")</f>
        <v/>
      </c>
      <c r="AN376" s="89">
        <f>IF(AND(W376="X",M376&gt;$AJ$2),S376,"")</f>
        <v/>
      </c>
      <c r="AO376" s="35">
        <f>IF(AND(W376="",M376&gt;0,$AJ$2&gt;M376,L376=""),1,0)</f>
        <v/>
      </c>
      <c r="AP376" s="26">
        <f>IF(AND(AK376="YES",W376="X"),"X","")</f>
        <v/>
      </c>
      <c r="AQ376" s="28">
        <f>IF(AP376="X",100%,0%)</f>
        <v/>
      </c>
      <c r="AR376" s="25">
        <f>IF(AND(T376&gt;0,L376=""),H376,"")</f>
        <v/>
      </c>
      <c r="AS376" s="25">
        <f>IF(AND(D376&gt;0,H376=0,G376=""),1,"")</f>
        <v/>
      </c>
      <c r="AT376" s="25">
        <f>IF(G376="BLOQ",1,"")</f>
        <v/>
      </c>
      <c r="AU376" s="25">
        <f>IF(L376="BLOQ",1,"")</f>
        <v/>
      </c>
      <c r="AV376" s="25">
        <f>MONTH(F376)</f>
        <v/>
      </c>
      <c r="AW376" s="65">
        <f>IF(AP376="",100%,0%)</f>
        <v/>
      </c>
      <c r="AX376" s="23" t="n"/>
      <c r="AY376" s="24">
        <f>IF(M376=0,"",M376-$AX$2)</f>
        <v/>
      </c>
      <c r="AZ376" s="66">
        <f>IF(AND(W376="",AY376&gt;0,AY376&lt;15),1,0)</f>
        <v/>
      </c>
      <c r="BA376" s="24">
        <f>IF(AND(W376="",AY376&gt;0,AY376&lt;15),T376,"")</f>
        <v/>
      </c>
      <c r="BB376" s="87">
        <f>IF(R376&lt;Q376,"X","")</f>
        <v/>
      </c>
      <c r="BC376" s="190" t="inlineStr">
        <is>
          <t>NO</t>
        </is>
      </c>
      <c r="BD376" s="190" t="inlineStr">
        <is>
          <t>NO</t>
        </is>
      </c>
    </row>
    <row r="377" ht="15" customHeight="1" s="162">
      <c r="A377" s="7" t="n">
        <v>376</v>
      </c>
      <c r="B377" t="inlineStr">
        <is>
          <t>39121004</t>
        </is>
      </c>
      <c r="C377" t="inlineStr">
        <is>
          <t>Fuente de alimentaci&amp;#243;n conmutada TD</t>
        </is>
      </c>
      <c r="D377" t="inlineStr">
        <is>
          <t>1101837083</t>
        </is>
      </c>
      <c r="E377" t="inlineStr">
        <is>
          <t>2</t>
        </is>
      </c>
      <c r="F377" s="163" t="n">
        <v>45701</v>
      </c>
      <c r="G377" t="inlineStr"/>
      <c r="H377" t="inlineStr">
        <is>
          <t>4800002882</t>
        </is>
      </c>
      <c r="I377" t="inlineStr">
        <is>
          <t>310</t>
        </is>
      </c>
      <c r="J377" s="163" t="n">
        <v>45700</v>
      </c>
      <c r="K377" s="163" t="inlineStr"/>
      <c r="L377" t="inlineStr"/>
      <c r="M377" s="163" t="n">
        <v>45702</v>
      </c>
      <c r="N377" s="164" t="n">
        <v>0</v>
      </c>
      <c r="O377" s="164" t="n">
        <v>0</v>
      </c>
      <c r="P377" t="inlineStr"/>
      <c r="Q377" s="165" t="n">
        <v>1</v>
      </c>
      <c r="R377" s="165" t="n">
        <v>1</v>
      </c>
      <c r="S377" s="165" t="n">
        <v>1</v>
      </c>
      <c r="T377" s="165" t="n">
        <v>0</v>
      </c>
      <c r="U377" s="166" t="n">
        <v>0</v>
      </c>
      <c r="V377" s="166" t="n">
        <v>0</v>
      </c>
      <c r="W377" t="inlineStr">
        <is>
          <t>X</t>
        </is>
      </c>
      <c r="X377" t="inlineStr">
        <is>
          <t>0.00</t>
        </is>
      </c>
      <c r="Y377" t="inlineStr"/>
      <c r="Z377" t="inlineStr">
        <is>
          <t>AMIDATA, S.A.</t>
        </is>
      </c>
      <c r="AA377" t="inlineStr"/>
      <c r="AB377" t="inlineStr">
        <is>
          <t>6352177</t>
        </is>
      </c>
      <c r="AC377" t="inlineStr"/>
      <c r="AD377" s="164" t="n">
        <v>0</v>
      </c>
      <c r="AE377" s="185" t="n">
        <v>0</v>
      </c>
      <c r="AG377" s="167" t="inlineStr">
        <is>
          <t>7218|JA2585_1001</t>
        </is>
      </c>
      <c r="AH377" s="46">
        <f>IF(M377=0,"-",M377-J377)</f>
        <v/>
      </c>
      <c r="AI377" s="46">
        <f>IF(AND(S377=0,M377&gt;0,L377=0),IF(AH377&gt;=120,"VERY HIGH",IF(AH377&gt;=90,"HIGH",IF(AH377&gt;=60,"MEDIUM",IF(AH377&lt;60,"LOW")))),"-")</f>
        <v/>
      </c>
      <c r="AJ377" s="12" t="n"/>
      <c r="AK377" s="41">
        <f>IF(AND(W377="X",M377&lt;=$AJ$2),"YES","")</f>
        <v/>
      </c>
      <c r="AL377" s="38">
        <f>IF(AND(W377="X",M377&lt;=$AJ$2),S377,"")</f>
        <v/>
      </c>
      <c r="AM377" s="26">
        <f>IF(AND(W377="X",M377&gt;$AJ$2),"YES","")</f>
        <v/>
      </c>
      <c r="AN377" s="89">
        <f>IF(AND(W377="X",M377&gt;$AJ$2),S377,"")</f>
        <v/>
      </c>
      <c r="AO377" s="35">
        <f>IF(AND(W377="",M377&gt;0,$AJ$2&gt;M377,L377=""),1,0)</f>
        <v/>
      </c>
      <c r="AP377" s="26">
        <f>IF(AND(AK377="YES",W377="X"),"X","")</f>
        <v/>
      </c>
      <c r="AQ377" s="28">
        <f>IF(AP377="X",100%,0%)</f>
        <v/>
      </c>
      <c r="AR377" s="25">
        <f>IF(AND(T377&gt;0,L377=""),H377,"")</f>
        <v/>
      </c>
      <c r="AS377" s="25">
        <f>IF(AND(D377&gt;0,H377=0,G377=""),1,"")</f>
        <v/>
      </c>
      <c r="AT377" s="25">
        <f>IF(G377="BLOQ",1,"")</f>
        <v/>
      </c>
      <c r="AU377" s="25">
        <f>IF(L377="BLOQ",1,"")</f>
        <v/>
      </c>
      <c r="AV377" s="25">
        <f>MONTH(F377)</f>
        <v/>
      </c>
      <c r="AW377" s="65">
        <f>IF(AP377="",100%,0%)</f>
        <v/>
      </c>
      <c r="AX377" s="23" t="n"/>
      <c r="AY377" s="24">
        <f>IF(M377=0,"",M377-$AX$2)</f>
        <v/>
      </c>
      <c r="AZ377" s="66">
        <f>IF(AND(W377="",AY377&gt;0,AY377&lt;15),1,0)</f>
        <v/>
      </c>
      <c r="BA377" s="24">
        <f>IF(AND(W377="",AY377&gt;0,AY377&lt;15),T377,"")</f>
        <v/>
      </c>
      <c r="BB377" s="87">
        <f>IF(R377&lt;Q377,"X","")</f>
        <v/>
      </c>
      <c r="BC377" s="190" t="inlineStr">
        <is>
          <t>NO</t>
        </is>
      </c>
      <c r="BD377" s="190" t="inlineStr">
        <is>
          <t>NO</t>
        </is>
      </c>
    </row>
    <row r="378" ht="15" customHeight="1" s="162">
      <c r="A378" s="7" t="n">
        <v>377</v>
      </c>
      <c r="B378" t="inlineStr">
        <is>
          <t>31161816</t>
        </is>
      </c>
      <c r="C378" t="inlineStr">
        <is>
          <t>Separador roscado hexagonal Macho/Hembra</t>
        </is>
      </c>
      <c r="D378" t="inlineStr">
        <is>
          <t>1101837083</t>
        </is>
      </c>
      <c r="E378" t="inlineStr">
        <is>
          <t>3</t>
        </is>
      </c>
      <c r="F378" s="163" t="n">
        <v>45701</v>
      </c>
      <c r="G378" t="inlineStr"/>
      <c r="H378" t="inlineStr">
        <is>
          <t>4800002882</t>
        </is>
      </c>
      <c r="I378" t="inlineStr">
        <is>
          <t>320</t>
        </is>
      </c>
      <c r="J378" s="163" t="n">
        <v>45700</v>
      </c>
      <c r="K378" s="163" t="inlineStr"/>
      <c r="L378" t="inlineStr"/>
      <c r="M378" s="163" t="n">
        <v>45702</v>
      </c>
      <c r="N378" s="164" t="n">
        <v>0</v>
      </c>
      <c r="O378" s="164" t="n">
        <v>0</v>
      </c>
      <c r="P378" t="inlineStr"/>
      <c r="Q378" s="165" t="n">
        <v>50</v>
      </c>
      <c r="R378" s="165" t="n">
        <v>50</v>
      </c>
      <c r="S378" s="165" t="n">
        <v>50</v>
      </c>
      <c r="T378" s="165" t="n">
        <v>0</v>
      </c>
      <c r="U378" s="166" t="n">
        <v>0</v>
      </c>
      <c r="V378" s="166" t="n">
        <v>0</v>
      </c>
      <c r="W378" t="inlineStr">
        <is>
          <t>X</t>
        </is>
      </c>
      <c r="X378" t="inlineStr">
        <is>
          <t>0.00</t>
        </is>
      </c>
      <c r="Y378" t="inlineStr"/>
      <c r="Z378" t="inlineStr">
        <is>
          <t>AMIDATA, S.A.</t>
        </is>
      </c>
      <c r="AA378" t="inlineStr"/>
      <c r="AB378" t="inlineStr">
        <is>
          <t>0606686</t>
        </is>
      </c>
      <c r="AC378" t="inlineStr"/>
      <c r="AD378" s="164" t="n">
        <v>0</v>
      </c>
      <c r="AE378" s="185" t="n">
        <v>0</v>
      </c>
      <c r="AG378" s="167" t="inlineStr">
        <is>
          <t>7218|JA2585_1001</t>
        </is>
      </c>
      <c r="AH378" s="46">
        <f>IF(M378=0,"-",M378-J378)</f>
        <v/>
      </c>
      <c r="AI378" s="46">
        <f>IF(AND(S378=0,M378&gt;0,L378=0),IF(AH378&gt;=120,"VERY HIGH",IF(AH378&gt;=90,"HIGH",IF(AH378&gt;=60,"MEDIUM",IF(AH378&lt;60,"LOW")))),"-")</f>
        <v/>
      </c>
      <c r="AJ378" s="12" t="n"/>
      <c r="AK378" s="41">
        <f>IF(AND(W378="X",M378&lt;=$AJ$2),"YES","")</f>
        <v/>
      </c>
      <c r="AL378" s="38">
        <f>IF(AND(W378="X",M378&lt;=$AJ$2),S378,"")</f>
        <v/>
      </c>
      <c r="AM378" s="26">
        <f>IF(AND(W378="X",M378&gt;$AJ$2),"YES","")</f>
        <v/>
      </c>
      <c r="AN378" s="89">
        <f>IF(AND(W378="X",M378&gt;$AJ$2),S378,"")</f>
        <v/>
      </c>
      <c r="AO378" s="35">
        <f>IF(AND(W378="",M378&gt;0,$AJ$2&gt;M378,L378=""),1,0)</f>
        <v/>
      </c>
      <c r="AP378" s="26">
        <f>IF(AND(AK378="YES",W378="X"),"X","")</f>
        <v/>
      </c>
      <c r="AQ378" s="28">
        <f>IF(AP378="X",100%,0%)</f>
        <v/>
      </c>
      <c r="AR378" s="25">
        <f>IF(AND(T378&gt;0,L378=""),H378,"")</f>
        <v/>
      </c>
      <c r="AS378" s="25">
        <f>IF(AND(D378&gt;0,H378=0,G378=""),1,"")</f>
        <v/>
      </c>
      <c r="AT378" s="25">
        <f>IF(G378="BLOQ",1,"")</f>
        <v/>
      </c>
      <c r="AU378" s="25">
        <f>IF(L378="BLOQ",1,"")</f>
        <v/>
      </c>
      <c r="AV378" s="25">
        <f>MONTH(F378)</f>
        <v/>
      </c>
      <c r="AW378" s="65">
        <f>IF(AP378="",100%,0%)</f>
        <v/>
      </c>
      <c r="AX378" s="23" t="n"/>
      <c r="AY378" s="24">
        <f>IF(M378=0,"",M378-$AX$2)</f>
        <v/>
      </c>
      <c r="AZ378" s="66">
        <f>IF(AND(W378="",AY378&gt;0,AY378&lt;15),1,0)</f>
        <v/>
      </c>
      <c r="BA378" s="24">
        <f>IF(AND(W378="",AY378&gt;0,AY378&lt;15),T378,"")</f>
        <v/>
      </c>
      <c r="BB378" s="87">
        <f>IF(R378&lt;Q378,"X","")</f>
        <v/>
      </c>
      <c r="BC378" s="190" t="inlineStr">
        <is>
          <t>NO</t>
        </is>
      </c>
      <c r="BD378" s="190" t="inlineStr">
        <is>
          <t>NO</t>
        </is>
      </c>
    </row>
    <row r="379" ht="15" customHeight="1" s="162">
      <c r="A379" s="7" t="n">
        <v>378</v>
      </c>
      <c r="B379" t="inlineStr">
        <is>
          <t>24102007</t>
        </is>
      </c>
      <c r="C379" t="inlineStr">
        <is>
          <t>Estante voladizo 2U RS PRO, ventilado de</t>
        </is>
      </c>
      <c r="D379" t="inlineStr">
        <is>
          <t>1101837083</t>
        </is>
      </c>
      <c r="E379" t="inlineStr">
        <is>
          <t>4</t>
        </is>
      </c>
      <c r="F379" s="163" t="n">
        <v>45701</v>
      </c>
      <c r="G379" t="inlineStr"/>
      <c r="H379" t="inlineStr">
        <is>
          <t>4800002882</t>
        </is>
      </c>
      <c r="I379" t="inlineStr">
        <is>
          <t>330</t>
        </is>
      </c>
      <c r="J379" s="163" t="n">
        <v>45700</v>
      </c>
      <c r="K379" s="163" t="inlineStr"/>
      <c r="L379" t="inlineStr"/>
      <c r="M379" s="163" t="n">
        <v>45702</v>
      </c>
      <c r="N379" s="164" t="n">
        <v>0</v>
      </c>
      <c r="O379" s="164" t="n">
        <v>0</v>
      </c>
      <c r="P379" t="inlineStr"/>
      <c r="Q379" s="165" t="n">
        <v>2</v>
      </c>
      <c r="R379" s="165" t="n">
        <v>2</v>
      </c>
      <c r="S379" s="165" t="n">
        <v>2</v>
      </c>
      <c r="T379" s="165" t="n">
        <v>0</v>
      </c>
      <c r="U379" s="166" t="n">
        <v>0</v>
      </c>
      <c r="V379" s="166" t="n">
        <v>0</v>
      </c>
      <c r="W379" t="inlineStr">
        <is>
          <t>X</t>
        </is>
      </c>
      <c r="X379" t="inlineStr">
        <is>
          <t>0.00</t>
        </is>
      </c>
      <c r="Y379" t="inlineStr"/>
      <c r="Z379" t="inlineStr">
        <is>
          <t>AMIDATA, S.A.</t>
        </is>
      </c>
      <c r="AA379" t="inlineStr"/>
      <c r="AB379" t="inlineStr">
        <is>
          <t>8020282</t>
        </is>
      </c>
      <c r="AC379" t="inlineStr"/>
      <c r="AD379" s="164" t="n">
        <v>0</v>
      </c>
      <c r="AE379" s="185" t="n">
        <v>0</v>
      </c>
      <c r="AG379" s="167" t="inlineStr">
        <is>
          <t>7218|JA2585_1001</t>
        </is>
      </c>
      <c r="AH379" s="46">
        <f>IF(M379=0,"-",M379-J379)</f>
        <v/>
      </c>
      <c r="AI379" s="46">
        <f>IF(AND(S379=0,M379&gt;0,L379=0),IF(AH379&gt;=120,"VERY HIGH",IF(AH379&gt;=90,"HIGH",IF(AH379&gt;=60,"MEDIUM",IF(AH379&lt;60,"LOW")))),"-")</f>
        <v/>
      </c>
      <c r="AJ379" s="12" t="n"/>
      <c r="AK379" s="41">
        <f>IF(AND(W379="X",M379&lt;=$AJ$2),"YES","")</f>
        <v/>
      </c>
      <c r="AL379" s="38">
        <f>IF(AND(W379="X",M379&lt;=$AJ$2),S379,"")</f>
        <v/>
      </c>
      <c r="AM379" s="26">
        <f>IF(AND(W379="X",M379&gt;$AJ$2),"YES","")</f>
        <v/>
      </c>
      <c r="AN379" s="89">
        <f>IF(AND(W379="X",M379&gt;$AJ$2),S379,"")</f>
        <v/>
      </c>
      <c r="AO379" s="35">
        <f>IF(AND(W379="",M379&gt;0,$AJ$2&gt;M379,L379=""),1,0)</f>
        <v/>
      </c>
      <c r="AP379" s="26">
        <f>IF(AND(AK379="YES",W379="X"),"X","")</f>
        <v/>
      </c>
      <c r="AQ379" s="28">
        <f>IF(AP379="X",100%,0%)</f>
        <v/>
      </c>
      <c r="AR379" s="25">
        <f>IF(AND(T379&gt;0,L379=""),H379,"")</f>
        <v/>
      </c>
      <c r="AS379" s="25">
        <f>IF(AND(D379&gt;0,H379=0,G379=""),1,"")</f>
        <v/>
      </c>
      <c r="AT379" s="25">
        <f>IF(G379="BLOQ",1,"")</f>
        <v/>
      </c>
      <c r="AU379" s="25">
        <f>IF(L379="BLOQ",1,"")</f>
        <v/>
      </c>
      <c r="AV379" s="25">
        <f>MONTH(F379)</f>
        <v/>
      </c>
      <c r="AW379" s="65">
        <f>IF(AP379="",100%,0%)</f>
        <v/>
      </c>
      <c r="AX379" s="23" t="n"/>
      <c r="AY379" s="24">
        <f>IF(M379=0,"",M379-$AX$2)</f>
        <v/>
      </c>
      <c r="AZ379" s="66">
        <f>IF(AND(W379="",AY379&gt;0,AY379&lt;15),1,0)</f>
        <v/>
      </c>
      <c r="BA379" s="24">
        <f>IF(AND(W379="",AY379&gt;0,AY379&lt;15),T379,"")</f>
        <v/>
      </c>
      <c r="BB379" s="87">
        <f>IF(R379&lt;Q379,"X","")</f>
        <v/>
      </c>
      <c r="BC379" s="190" t="inlineStr">
        <is>
          <t>NO</t>
        </is>
      </c>
      <c r="BD379" s="190" t="inlineStr">
        <is>
          <t>NO</t>
        </is>
      </c>
    </row>
    <row r="380" ht="15" customHeight="1" s="162">
      <c r="A380" s="7" t="n">
        <v>379</v>
      </c>
      <c r="B380" t="inlineStr">
        <is>
          <t>46151501</t>
        </is>
      </c>
      <c r="C380" t="inlineStr">
        <is>
          <t>Barrera Retr&amp;#225;ctil Tensator, Negro,</t>
        </is>
      </c>
      <c r="D380" t="inlineStr">
        <is>
          <t>1101837105</t>
        </is>
      </c>
      <c r="E380" t="inlineStr">
        <is>
          <t>1</t>
        </is>
      </c>
      <c r="F380" s="163" t="n">
        <v>45701</v>
      </c>
      <c r="G380" t="inlineStr"/>
      <c r="H380" t="inlineStr">
        <is>
          <t>4800002882</t>
        </is>
      </c>
      <c r="I380" t="inlineStr">
        <is>
          <t>470</t>
        </is>
      </c>
      <c r="J380" s="163" t="n">
        <v>45700</v>
      </c>
      <c r="K380" s="163" t="inlineStr"/>
      <c r="L380" t="inlineStr"/>
      <c r="M380" s="163" t="n">
        <v>45702</v>
      </c>
      <c r="N380" s="164" t="n">
        <v>0</v>
      </c>
      <c r="O380" s="164" t="n">
        <v>0</v>
      </c>
      <c r="P380" t="inlineStr"/>
      <c r="Q380" s="165" t="n">
        <v>5</v>
      </c>
      <c r="R380" s="165" t="n">
        <v>5</v>
      </c>
      <c r="S380" s="165" t="n">
        <v>5</v>
      </c>
      <c r="T380" s="165" t="n">
        <v>0</v>
      </c>
      <c r="U380" s="166" t="n">
        <v>0</v>
      </c>
      <c r="V380" s="166" t="n">
        <v>0</v>
      </c>
      <c r="W380" t="inlineStr">
        <is>
          <t>X</t>
        </is>
      </c>
      <c r="X380" t="inlineStr">
        <is>
          <t>0.00</t>
        </is>
      </c>
      <c r="Y380" t="inlineStr"/>
      <c r="Z380" t="inlineStr">
        <is>
          <t>AMIDATA, S.A.</t>
        </is>
      </c>
      <c r="AA380" t="inlineStr"/>
      <c r="AB380" t="inlineStr">
        <is>
          <t>7682624</t>
        </is>
      </c>
      <c r="AC380" t="inlineStr"/>
      <c r="AD380" s="164" t="n">
        <v>0</v>
      </c>
      <c r="AE380" s="185" t="n">
        <v>0</v>
      </c>
      <c r="AG380" s="167" t="inlineStr">
        <is>
          <t>7218|S24B05_S1075</t>
        </is>
      </c>
      <c r="AH380" s="46">
        <f>IF(M380=0,"-",M380-J380)</f>
        <v/>
      </c>
      <c r="AI380" s="46">
        <f>IF(AND(S380=0,M380&gt;0,L380=0),IF(AH380&gt;=120,"VERY HIGH",IF(AH380&gt;=90,"HIGH",IF(AH380&gt;=60,"MEDIUM",IF(AH380&lt;60,"LOW")))),"-")</f>
        <v/>
      </c>
      <c r="AJ380" s="12" t="n"/>
      <c r="AK380" s="41">
        <f>IF(AND(W380="X",M380&lt;=$AJ$2),"YES","")</f>
        <v/>
      </c>
      <c r="AL380" s="38">
        <f>IF(AND(W380="X",M380&lt;=$AJ$2),S380,"")</f>
        <v/>
      </c>
      <c r="AM380" s="26">
        <f>IF(AND(W380="X",M380&gt;$AJ$2),"YES","")</f>
        <v/>
      </c>
      <c r="AN380" s="89">
        <f>IF(AND(W380="X",M380&gt;$AJ$2),S380,"")</f>
        <v/>
      </c>
      <c r="AO380" s="35">
        <f>IF(AND(W380="",M380&gt;0,$AJ$2&gt;M380,L380=""),1,0)</f>
        <v/>
      </c>
      <c r="AP380" s="26">
        <f>IF(AND(AK380="YES",W380="X"),"X","")</f>
        <v/>
      </c>
      <c r="AQ380" s="28">
        <f>IF(AP380="X",100%,0%)</f>
        <v/>
      </c>
      <c r="AR380" s="25">
        <f>IF(AND(T380&gt;0,L380=""),H380,"")</f>
        <v/>
      </c>
      <c r="AS380" s="25">
        <f>IF(AND(D380&gt;0,H380=0,G380=""),1,"")</f>
        <v/>
      </c>
      <c r="AT380" s="25">
        <f>IF(G380="BLOQ",1,"")</f>
        <v/>
      </c>
      <c r="AU380" s="25">
        <f>IF(L380="BLOQ",1,"")</f>
        <v/>
      </c>
      <c r="AV380" s="25">
        <f>MONTH(F380)</f>
        <v/>
      </c>
      <c r="AW380" s="65">
        <f>IF(AP380="",100%,0%)</f>
        <v/>
      </c>
      <c r="AX380" s="23" t="n"/>
      <c r="AY380" s="24">
        <f>IF(M380=0,"",M380-$AX$2)</f>
        <v/>
      </c>
      <c r="AZ380" s="66">
        <f>IF(AND(W380="",AY380&gt;0,AY380&lt;15),1,0)</f>
        <v/>
      </c>
      <c r="BA380" s="24">
        <f>IF(AND(W380="",AY380&gt;0,AY380&lt;15),T380,"")</f>
        <v/>
      </c>
      <c r="BB380" s="87">
        <f>IF(R380&lt;Q380,"X","")</f>
        <v/>
      </c>
      <c r="BC380" s="190" t="inlineStr">
        <is>
          <t>NO</t>
        </is>
      </c>
      <c r="BD380" s="190" t="inlineStr">
        <is>
          <t>NO</t>
        </is>
      </c>
    </row>
    <row r="381" ht="15" customHeight="1" s="162">
      <c r="A381" s="7" t="n">
        <v>380</v>
      </c>
      <c r="B381" t="inlineStr">
        <is>
          <t>39121432</t>
        </is>
      </c>
      <c r="C381" t="inlineStr">
        <is>
          <t>Terminal de leng&amp;#252;eta hembra aislado</t>
        </is>
      </c>
      <c r="D381" t="inlineStr">
        <is>
          <t>1101837370</t>
        </is>
      </c>
      <c r="E381" t="inlineStr">
        <is>
          <t>1</t>
        </is>
      </c>
      <c r="F381" s="163" t="n">
        <v>45701</v>
      </c>
      <c r="G381" t="inlineStr"/>
      <c r="H381" t="inlineStr">
        <is>
          <t>4800002888</t>
        </is>
      </c>
      <c r="I381" t="inlineStr">
        <is>
          <t>340</t>
        </is>
      </c>
      <c r="J381" s="163" t="n">
        <v>45701</v>
      </c>
      <c r="K381" s="163" t="inlineStr"/>
      <c r="L381" t="inlineStr"/>
      <c r="M381" s="163" t="n">
        <v>45702</v>
      </c>
      <c r="N381" s="164" t="n">
        <v>0</v>
      </c>
      <c r="O381" s="164" t="n">
        <v>0</v>
      </c>
      <c r="P381" t="inlineStr"/>
      <c r="Q381" s="165" t="n">
        <v>400</v>
      </c>
      <c r="R381" s="165" t="n">
        <v>400</v>
      </c>
      <c r="S381" s="165" t="n">
        <v>400</v>
      </c>
      <c r="T381" s="165" t="n">
        <v>0</v>
      </c>
      <c r="U381" s="166" t="n">
        <v>0</v>
      </c>
      <c r="V381" s="166" t="n">
        <v>0</v>
      </c>
      <c r="W381" t="inlineStr">
        <is>
          <t>X</t>
        </is>
      </c>
      <c r="X381" t="inlineStr">
        <is>
          <t>0.00</t>
        </is>
      </c>
      <c r="Y381" t="inlineStr"/>
      <c r="Z381" t="inlineStr">
        <is>
          <t>AMIDATA, S.A.</t>
        </is>
      </c>
      <c r="AA381" t="inlineStr"/>
      <c r="AB381" t="inlineStr">
        <is>
          <t>2455446</t>
        </is>
      </c>
      <c r="AC381" t="inlineStr"/>
      <c r="AD381" s="164" t="n">
        <v>0</v>
      </c>
      <c r="AE381" s="185" t="n">
        <v>0</v>
      </c>
      <c r="AG381" s="167" t="inlineStr">
        <is>
          <t>7218|JA2585_1001</t>
        </is>
      </c>
      <c r="AH381" s="46">
        <f>IF(M381=0,"-",M381-J381)</f>
        <v/>
      </c>
      <c r="AI381" s="46">
        <f>IF(AND(S381=0,M381&gt;0,L381=0),IF(AH381&gt;=120,"VERY HIGH",IF(AH381&gt;=90,"HIGH",IF(AH381&gt;=60,"MEDIUM",IF(AH381&lt;60,"LOW")))),"-")</f>
        <v/>
      </c>
      <c r="AJ381" s="12" t="n"/>
      <c r="AK381" s="41">
        <f>IF(AND(W381="X",M381&lt;=$AJ$2),"YES","")</f>
        <v/>
      </c>
      <c r="AL381" s="38">
        <f>IF(AND(W381="X",M381&lt;=$AJ$2),S381,"")</f>
        <v/>
      </c>
      <c r="AM381" s="26">
        <f>IF(AND(W381="X",M381&gt;$AJ$2),"YES","")</f>
        <v/>
      </c>
      <c r="AN381" s="89">
        <f>IF(AND(W381="X",M381&gt;$AJ$2),S381,"")</f>
        <v/>
      </c>
      <c r="AO381" s="35">
        <f>IF(AND(W381="",M381&gt;0,$AJ$2&gt;M381,L381=""),1,0)</f>
        <v/>
      </c>
      <c r="AP381" s="26">
        <f>IF(AND(AK381="YES",W381="X"),"X","")</f>
        <v/>
      </c>
      <c r="AQ381" s="28">
        <f>IF(AP381="X",100%,0%)</f>
        <v/>
      </c>
      <c r="AR381" s="25">
        <f>IF(AND(T381&gt;0,L381=""),H381,"")</f>
        <v/>
      </c>
      <c r="AS381" s="25">
        <f>IF(AND(D381&gt;0,H381=0,G381=""),1,"")</f>
        <v/>
      </c>
      <c r="AT381" s="25">
        <f>IF(G381="BLOQ",1,"")</f>
        <v/>
      </c>
      <c r="AU381" s="25">
        <f>IF(L381="BLOQ",1,"")</f>
        <v/>
      </c>
      <c r="AV381" s="25">
        <f>MONTH(F381)</f>
        <v/>
      </c>
      <c r="AW381" s="65">
        <f>IF(AP381="",100%,0%)</f>
        <v/>
      </c>
      <c r="AX381" s="23" t="n"/>
      <c r="AY381" s="24">
        <f>IF(M381=0,"",M381-$AX$2)</f>
        <v/>
      </c>
      <c r="AZ381" s="66">
        <f>IF(AND(W381="",AY381&gt;0,AY381&lt;15),1,0)</f>
        <v/>
      </c>
      <c r="BA381" s="24">
        <f>IF(AND(W381="",AY381&gt;0,AY381&lt;15),T381,"")</f>
        <v/>
      </c>
      <c r="BB381" s="87">
        <f>IF(R381&lt;Q381,"X","")</f>
        <v/>
      </c>
      <c r="BC381" s="190" t="inlineStr">
        <is>
          <t>NO</t>
        </is>
      </c>
      <c r="BD381" s="190" t="inlineStr">
        <is>
          <t>NO</t>
        </is>
      </c>
    </row>
    <row r="382" ht="15" customHeight="1" s="162">
      <c r="A382" s="7" t="n">
        <v>381</v>
      </c>
      <c r="B382" t="inlineStr">
        <is>
          <t>39121432</t>
        </is>
      </c>
      <c r="C382" t="inlineStr">
        <is>
          <t>Terminal de leng&amp;#252;eta hembra aislado</t>
        </is>
      </c>
      <c r="D382" t="inlineStr">
        <is>
          <t>1101837764</t>
        </is>
      </c>
      <c r="E382" t="inlineStr">
        <is>
          <t>1</t>
        </is>
      </c>
      <c r="F382" s="163" t="n">
        <v>45702</v>
      </c>
      <c r="G382" t="inlineStr"/>
      <c r="H382" t="inlineStr">
        <is>
          <t>4800002890</t>
        </is>
      </c>
      <c r="I382" t="inlineStr">
        <is>
          <t>170</t>
        </is>
      </c>
      <c r="J382" s="163" t="n">
        <v>45702</v>
      </c>
      <c r="K382" s="163" t="inlineStr"/>
      <c r="L382" t="inlineStr"/>
      <c r="M382" s="163" t="n">
        <v>45703</v>
      </c>
      <c r="N382" s="164" t="n">
        <v>0</v>
      </c>
      <c r="O382" s="164" t="n">
        <v>0</v>
      </c>
      <c r="P382" t="inlineStr"/>
      <c r="Q382" s="165" t="n">
        <v>500</v>
      </c>
      <c r="R382" s="165" t="n">
        <v>500</v>
      </c>
      <c r="S382" s="165" t="n">
        <v>500</v>
      </c>
      <c r="T382" s="165" t="n">
        <v>0</v>
      </c>
      <c r="U382" s="166" t="n">
        <v>0</v>
      </c>
      <c r="V382" s="166" t="n">
        <v>0</v>
      </c>
      <c r="W382" t="inlineStr">
        <is>
          <t>X</t>
        </is>
      </c>
      <c r="X382" t="inlineStr">
        <is>
          <t>0.00</t>
        </is>
      </c>
      <c r="Y382" t="inlineStr"/>
      <c r="Z382" t="inlineStr">
        <is>
          <t>AMIDATA, S.A.</t>
        </is>
      </c>
      <c r="AA382" t="inlineStr"/>
      <c r="AB382" t="inlineStr">
        <is>
          <t>2455446</t>
        </is>
      </c>
      <c r="AC382" t="inlineStr"/>
      <c r="AD382" s="164" t="n">
        <v>0</v>
      </c>
      <c r="AE382" s="185" t="n">
        <v>0</v>
      </c>
      <c r="AG382" s="167" t="inlineStr">
        <is>
          <t>7218|JA2585_1001</t>
        </is>
      </c>
      <c r="AH382" s="46">
        <f>IF(M382=0,"-",M382-J382)</f>
        <v/>
      </c>
      <c r="AI382" s="46">
        <f>IF(AND(S382=0,M382&gt;0,L382=0),IF(AH382&gt;=120,"VERY HIGH",IF(AH382&gt;=90,"HIGH",IF(AH382&gt;=60,"MEDIUM",IF(AH382&lt;60,"LOW")))),"-")</f>
        <v/>
      </c>
      <c r="AJ382" s="12" t="n"/>
      <c r="AK382" s="41">
        <f>IF(AND(W382="X",M382&lt;=$AJ$2),"YES","")</f>
        <v/>
      </c>
      <c r="AL382" s="38">
        <f>IF(AND(W382="X",M382&lt;=$AJ$2),S382,"")</f>
        <v/>
      </c>
      <c r="AM382" s="26">
        <f>IF(AND(W382="X",M382&gt;$AJ$2),"YES","")</f>
        <v/>
      </c>
      <c r="AN382" s="89">
        <f>IF(AND(W382="X",M382&gt;$AJ$2),S382,"")</f>
        <v/>
      </c>
      <c r="AO382" s="35">
        <f>IF(AND(W382="",M382&gt;0,$AJ$2&gt;M382,L382=""),1,0)</f>
        <v/>
      </c>
      <c r="AP382" s="26">
        <f>IF(AND(AK382="YES",W382="X"),"X","")</f>
        <v/>
      </c>
      <c r="AQ382" s="28">
        <f>IF(AP382="X",100%,0%)</f>
        <v/>
      </c>
      <c r="AR382" s="25">
        <f>IF(AND(T382&gt;0,L382=""),H382,"")</f>
        <v/>
      </c>
      <c r="AS382" s="25">
        <f>IF(AND(D382&gt;0,H382=0,G382=""),1,"")</f>
        <v/>
      </c>
      <c r="AT382" s="25">
        <f>IF(G382="BLOQ",1,"")</f>
        <v/>
      </c>
      <c r="AU382" s="25">
        <f>IF(L382="BLOQ",1,"")</f>
        <v/>
      </c>
      <c r="AV382" s="25">
        <f>MONTH(F382)</f>
        <v/>
      </c>
      <c r="AW382" s="65">
        <f>IF(AP382="",100%,0%)</f>
        <v/>
      </c>
      <c r="AX382" s="23" t="n"/>
      <c r="AY382" s="24">
        <f>IF(M382=0,"",M382-$AX$2)</f>
        <v/>
      </c>
      <c r="AZ382" s="66">
        <f>IF(AND(W382="",AY382&gt;0,AY382&lt;15),1,0)</f>
        <v/>
      </c>
      <c r="BA382" s="24">
        <f>IF(AND(W382="",AY382&gt;0,AY382&lt;15),T382,"")</f>
        <v/>
      </c>
      <c r="BB382" s="87">
        <f>IF(R382&lt;Q382,"X","")</f>
        <v/>
      </c>
      <c r="BC382" s="190" t="inlineStr">
        <is>
          <t>NO</t>
        </is>
      </c>
      <c r="BD382" s="190" t="inlineStr">
        <is>
          <t>NO</t>
        </is>
      </c>
    </row>
    <row r="383" ht="15" customHeight="1" s="162">
      <c r="A383" s="7" t="n">
        <v>382</v>
      </c>
      <c r="B383" t="inlineStr"/>
      <c r="C383" t="inlineStr">
        <is>
          <t>MONTAJE EQUIPO CABINA SIMULADOR A320</t>
        </is>
      </c>
      <c r="D383" t="inlineStr">
        <is>
          <t>1101837770</t>
        </is>
      </c>
      <c r="E383" t="inlineStr">
        <is>
          <t>1</t>
        </is>
      </c>
      <c r="F383" s="163" t="n">
        <v>45702</v>
      </c>
      <c r="G383" t="inlineStr"/>
      <c r="H383" t="inlineStr">
        <is>
          <t>4300340863</t>
        </is>
      </c>
      <c r="I383" t="inlineStr">
        <is>
          <t>10</t>
        </is>
      </c>
      <c r="J383" s="163" t="n">
        <v>45705</v>
      </c>
      <c r="K383" s="163" t="n">
        <v>45709</v>
      </c>
      <c r="L383" t="inlineStr"/>
      <c r="M383" s="163" t="n">
        <v>45737</v>
      </c>
      <c r="N383" s="164" t="n">
        <v>0</v>
      </c>
      <c r="O383" s="164" t="n">
        <v>0</v>
      </c>
      <c r="P383" t="inlineStr">
        <is>
          <t>Liberado</t>
        </is>
      </c>
      <c r="Q383" s="166" t="n">
        <v>1</v>
      </c>
      <c r="R383" s="164" t="n">
        <v>1</v>
      </c>
      <c r="S383" s="164" t="n">
        <v>0</v>
      </c>
      <c r="T383" s="164" t="n">
        <v>0</v>
      </c>
      <c r="U383" s="166" t="n">
        <v>0</v>
      </c>
      <c r="V383" s="166" t="n">
        <v>0</v>
      </c>
      <c r="W383" t="inlineStr">
        <is>
          <t>X</t>
        </is>
      </c>
      <c r="X383" t="inlineStr">
        <is>
          <t>0.00</t>
        </is>
      </c>
      <c r="Y383" t="inlineStr"/>
      <c r="Z383" t="inlineStr">
        <is>
          <t>AUXITEL, S.L.</t>
        </is>
      </c>
      <c r="AA383" t="inlineStr"/>
      <c r="AB383" t="inlineStr"/>
      <c r="AC383" t="inlineStr"/>
      <c r="AD383" s="164" t="n">
        <v>0</v>
      </c>
      <c r="AE383" s="185" t="n">
        <v>0</v>
      </c>
      <c r="AG383" s="167" t="inlineStr">
        <is>
          <t>7218|JA2593_1001</t>
        </is>
      </c>
      <c r="AH383" s="46">
        <f>IF(M383=0,"-",M383-J383)</f>
        <v/>
      </c>
      <c r="AI383" s="46">
        <f>IF(AND(S383=0,M383&gt;0,L383=0),IF(AH383&gt;=120,"VERY HIGH",IF(AH383&gt;=90,"HIGH",IF(AH383&gt;=60,"MEDIUM",IF(AH383&lt;60,"LOW")))),"-")</f>
        <v/>
      </c>
      <c r="AJ383" s="12" t="n"/>
      <c r="AK383" s="41">
        <f>IF(AND(W383="X",M383&lt;=$AJ$2),"YES","")</f>
        <v/>
      </c>
      <c r="AL383" s="38">
        <f>IF(AND(W383="X",M383&lt;=$AJ$2),S383,"")</f>
        <v/>
      </c>
      <c r="AM383" s="26">
        <f>IF(AND(W383="X",M383&gt;$AJ$2),"YES","")</f>
        <v/>
      </c>
      <c r="AN383" s="89">
        <f>IF(AND(W383="X",M383&gt;$AJ$2),S383,"")</f>
        <v/>
      </c>
      <c r="AO383" s="35">
        <f>IF(AND(W383="",M383&gt;0,$AJ$2&gt;M383,L383=""),1,0)</f>
        <v/>
      </c>
      <c r="AP383" s="26">
        <f>IF(AND(AK383="YES",W383="X"),"X","")</f>
        <v/>
      </c>
      <c r="AQ383" s="28">
        <f>IF(AP383="X",100%,0%)</f>
        <v/>
      </c>
      <c r="AR383" s="25">
        <f>IF(AND(T383&gt;0,L383=""),H383,"")</f>
        <v/>
      </c>
      <c r="AS383" s="25">
        <f>IF(AND(D383&gt;0,H383=0,G383=""),1,"")</f>
        <v/>
      </c>
      <c r="AT383" s="25">
        <f>IF(G383="BLOQ",1,"")</f>
        <v/>
      </c>
      <c r="AU383" s="25">
        <f>IF(L383="BLOQ",1,"")</f>
        <v/>
      </c>
      <c r="AV383" s="25">
        <f>MONTH(F383)</f>
        <v/>
      </c>
      <c r="AW383" s="65">
        <f>IF(AP383="",100%,0%)</f>
        <v/>
      </c>
      <c r="AX383" s="23" t="n"/>
      <c r="AY383" s="24">
        <f>IF(M383=0,"",M383-$AX$2)</f>
        <v/>
      </c>
      <c r="AZ383" s="66">
        <f>IF(AND(W383="",AY383&gt;0,AY383&lt;15),1,0)</f>
        <v/>
      </c>
      <c r="BA383" s="24">
        <f>IF(AND(W383="",AY383&gt;0,AY383&lt;15),T383,"")</f>
        <v/>
      </c>
      <c r="BB383" s="87">
        <f>IF(R383&lt;Q383,"X","")</f>
        <v/>
      </c>
      <c r="BC383" s="190" t="inlineStr">
        <is>
          <t>NO</t>
        </is>
      </c>
      <c r="BD383" s="190" t="inlineStr">
        <is>
          <t>NO</t>
        </is>
      </c>
    </row>
    <row r="384" ht="15" customHeight="1" s="162">
      <c r="A384" s="7" t="n">
        <v>383</v>
      </c>
      <c r="B384" t="inlineStr">
        <is>
          <t>43211503</t>
        </is>
      </c>
      <c r="C384" t="inlineStr">
        <is>
          <t>ASUS TUF Gaming P1 - Alfombrilla de rat�</t>
        </is>
      </c>
      <c r="D384" t="inlineStr">
        <is>
          <t>1101837809</t>
        </is>
      </c>
      <c r="E384" t="inlineStr">
        <is>
          <t>1</t>
        </is>
      </c>
      <c r="F384" s="163" t="n">
        <v>45702</v>
      </c>
      <c r="G384" t="inlineStr"/>
      <c r="H384" t="inlineStr">
        <is>
          <t>4800002872</t>
        </is>
      </c>
      <c r="I384" t="inlineStr">
        <is>
          <t>600</t>
        </is>
      </c>
      <c r="J384" s="163" t="n">
        <v>45698</v>
      </c>
      <c r="K384" s="163" t="inlineStr"/>
      <c r="L384" t="inlineStr"/>
      <c r="M384" s="163" t="n">
        <v>45705</v>
      </c>
      <c r="N384" s="164" t="n">
        <v>0</v>
      </c>
      <c r="O384" s="164" t="n">
        <v>0</v>
      </c>
      <c r="P384" t="inlineStr"/>
      <c r="Q384" s="165" t="n">
        <v>1</v>
      </c>
      <c r="R384" s="165" t="n">
        <v>1</v>
      </c>
      <c r="S384" s="165" t="n">
        <v>1</v>
      </c>
      <c r="T384" s="165" t="n">
        <v>0</v>
      </c>
      <c r="U384" s="166" t="n">
        <v>0</v>
      </c>
      <c r="V384" s="166" t="n">
        <v>0</v>
      </c>
      <c r="W384" t="inlineStr">
        <is>
          <t>X</t>
        </is>
      </c>
      <c r="X384" t="inlineStr">
        <is>
          <t>0.00</t>
        </is>
      </c>
      <c r="Y384" t="inlineStr"/>
      <c r="Z384" t="inlineStr">
        <is>
          <t>TD SYNNEX SPAIN, S.L.U.</t>
        </is>
      </c>
      <c r="AA384" t="inlineStr"/>
      <c r="AB384" t="inlineStr">
        <is>
          <t>7202896</t>
        </is>
      </c>
      <c r="AC384" t="inlineStr"/>
      <c r="AD384" s="164" t="n">
        <v>0</v>
      </c>
      <c r="AE384" s="185" t="n">
        <v>0</v>
      </c>
      <c r="AG384" s="167" t="inlineStr">
        <is>
          <t>7218|S24B05_S1075</t>
        </is>
      </c>
      <c r="AH384" s="46">
        <f>IF(M384=0,"-",M384-J384)</f>
        <v/>
      </c>
      <c r="AI384" s="46">
        <f>IF(AND(S384=0,M384&gt;0,L384=0),IF(AH384&gt;=120,"VERY HIGH",IF(AH384&gt;=90,"HIGH",IF(AH384&gt;=60,"MEDIUM",IF(AH384&lt;60,"LOW")))),"-")</f>
        <v/>
      </c>
      <c r="AJ384" s="12" t="n"/>
      <c r="AK384" s="41">
        <f>IF(AND(W384="X",M384&lt;=$AJ$2),"YES","")</f>
        <v/>
      </c>
      <c r="AL384" s="38">
        <f>IF(AND(W384="X",M384&lt;=$AJ$2),S384,"")</f>
        <v/>
      </c>
      <c r="AM384" s="26">
        <f>IF(AND(W384="X",M384&gt;$AJ$2),"YES","")</f>
        <v/>
      </c>
      <c r="AN384" s="89">
        <f>IF(AND(W384="X",M384&gt;$AJ$2),S384,"")</f>
        <v/>
      </c>
      <c r="AO384" s="35">
        <f>IF(AND(W384="",M384&gt;0,$AJ$2&gt;M384,L384=""),1,0)</f>
        <v/>
      </c>
      <c r="AP384" s="26">
        <f>IF(AND(AK384="YES",W384="X"),"X","")</f>
        <v/>
      </c>
      <c r="AQ384" s="28">
        <f>IF(AP384="X",100%,0%)</f>
        <v/>
      </c>
      <c r="AR384" s="25">
        <f>IF(AND(T384&gt;0,L384=""),H384,"")</f>
        <v/>
      </c>
      <c r="AS384" s="25">
        <f>IF(AND(D384&gt;0,H384=0,G384=""),1,"")</f>
        <v/>
      </c>
      <c r="AT384" s="25">
        <f>IF(G384="BLOQ",1,"")</f>
        <v/>
      </c>
      <c r="AU384" s="25">
        <f>IF(L384="BLOQ",1,"")</f>
        <v/>
      </c>
      <c r="AV384" s="25">
        <f>MONTH(F384)</f>
        <v/>
      </c>
      <c r="AW384" s="65">
        <f>IF(AP384="",100%,0%)</f>
        <v/>
      </c>
      <c r="AX384" s="23" t="n"/>
      <c r="AY384" s="24">
        <f>IF(M384=0,"",M384-$AX$2)</f>
        <v/>
      </c>
      <c r="AZ384" s="66">
        <f>IF(AND(W384="",AY384&gt;0,AY384&lt;15),1,0)</f>
        <v/>
      </c>
      <c r="BA384" s="24">
        <f>IF(AND(W384="",AY384&gt;0,AY384&lt;15),T384,"")</f>
        <v/>
      </c>
      <c r="BB384" s="87">
        <f>IF(R384&lt;Q384,"X","")</f>
        <v/>
      </c>
      <c r="BC384" s="190" t="inlineStr">
        <is>
          <t>NO</t>
        </is>
      </c>
      <c r="BD384" s="190" t="inlineStr">
        <is>
          <t>NO</t>
        </is>
      </c>
    </row>
    <row r="385" ht="15" customHeight="1" s="162">
      <c r="A385" s="7" t="n">
        <v>384</v>
      </c>
      <c r="B385" t="inlineStr">
        <is>
          <t>43211708</t>
        </is>
      </c>
      <c r="C385" t="inlineStr">
        <is>
          <t>CHERRY MW 3000 - Rat�n - diestro - infra</t>
        </is>
      </c>
      <c r="D385" t="inlineStr">
        <is>
          <t>1101837809</t>
        </is>
      </c>
      <c r="E385" t="inlineStr">
        <is>
          <t>2</t>
        </is>
      </c>
      <c r="F385" s="163" t="n">
        <v>45702</v>
      </c>
      <c r="G385" t="inlineStr"/>
      <c r="H385" t="inlineStr">
        <is>
          <t>4800002872</t>
        </is>
      </c>
      <c r="I385" t="inlineStr">
        <is>
          <t>610</t>
        </is>
      </c>
      <c r="J385" s="163" t="n">
        <v>45698</v>
      </c>
      <c r="K385" s="163" t="inlineStr"/>
      <c r="L385" t="inlineStr"/>
      <c r="M385" s="163" t="n">
        <v>45705</v>
      </c>
      <c r="N385" s="164" t="n">
        <v>0</v>
      </c>
      <c r="O385" s="164" t="n">
        <v>0</v>
      </c>
      <c r="P385" t="inlineStr"/>
      <c r="Q385" s="165" t="n">
        <v>1</v>
      </c>
      <c r="R385" s="165" t="n">
        <v>1</v>
      </c>
      <c r="S385" s="165" t="n">
        <v>1</v>
      </c>
      <c r="T385" s="165" t="n">
        <v>0</v>
      </c>
      <c r="U385" s="166" t="n">
        <v>0</v>
      </c>
      <c r="V385" s="166" t="n">
        <v>0</v>
      </c>
      <c r="W385" t="inlineStr">
        <is>
          <t>X</t>
        </is>
      </c>
      <c r="X385" t="inlineStr">
        <is>
          <t>0.00</t>
        </is>
      </c>
      <c r="Y385" t="inlineStr"/>
      <c r="Z385" t="inlineStr">
        <is>
          <t>TD SYNNEX SPAIN, S.L.U.</t>
        </is>
      </c>
      <c r="AA385" t="inlineStr"/>
      <c r="AB385" t="inlineStr">
        <is>
          <t>2418108</t>
        </is>
      </c>
      <c r="AC385" t="inlineStr"/>
      <c r="AD385" s="164" t="n">
        <v>0</v>
      </c>
      <c r="AE385" s="185" t="n">
        <v>0</v>
      </c>
      <c r="AG385" s="167" t="inlineStr">
        <is>
          <t>7218|S24B05_S1075</t>
        </is>
      </c>
      <c r="AH385" s="46">
        <f>IF(M385=0,"-",M385-J385)</f>
        <v/>
      </c>
      <c r="AI385" s="46">
        <f>IF(AND(S385=0,M385&gt;0,L385=0),IF(AH385&gt;=120,"VERY HIGH",IF(AH385&gt;=90,"HIGH",IF(AH385&gt;=60,"MEDIUM",IF(AH385&lt;60,"LOW")))),"-")</f>
        <v/>
      </c>
      <c r="AJ385" s="12" t="n"/>
      <c r="AK385" s="41">
        <f>IF(AND(W385="X",M385&lt;=$AJ$2),"YES","")</f>
        <v/>
      </c>
      <c r="AL385" s="38">
        <f>IF(AND(W385="X",M385&lt;=$AJ$2),S385,"")</f>
        <v/>
      </c>
      <c r="AM385" s="26">
        <f>IF(AND(W385="X",M385&gt;$AJ$2),"YES","")</f>
        <v/>
      </c>
      <c r="AN385" s="89">
        <f>IF(AND(W385="X",M385&gt;$AJ$2),S385,"")</f>
        <v/>
      </c>
      <c r="AO385" s="35">
        <f>IF(AND(W385="",M385&gt;0,$AJ$2&gt;M385,L385=""),1,0)</f>
        <v/>
      </c>
      <c r="AP385" s="26">
        <f>IF(AND(AK385="YES",W385="X"),"X","")</f>
        <v/>
      </c>
      <c r="AQ385" s="28">
        <f>IF(AP385="X",100%,0%)</f>
        <v/>
      </c>
      <c r="AR385" s="25">
        <f>IF(AND(T385&gt;0,L385=""),H385,"")</f>
        <v/>
      </c>
      <c r="AS385" s="25">
        <f>IF(AND(D385&gt;0,H385=0,G385=""),1,"")</f>
        <v/>
      </c>
      <c r="AT385" s="25">
        <f>IF(G385="BLOQ",1,"")</f>
        <v/>
      </c>
      <c r="AU385" s="25">
        <f>IF(L385="BLOQ",1,"")</f>
        <v/>
      </c>
      <c r="AV385" s="25">
        <f>MONTH(F385)</f>
        <v/>
      </c>
      <c r="AW385" s="65">
        <f>IF(AP385="",100%,0%)</f>
        <v/>
      </c>
      <c r="AX385" s="23" t="n"/>
      <c r="AY385" s="24">
        <f>IF(M385=0,"",M385-$AX$2)</f>
        <v/>
      </c>
      <c r="AZ385" s="66">
        <f>IF(AND(W385="",AY385&gt;0,AY385&lt;15),1,0)</f>
        <v/>
      </c>
      <c r="BA385" s="24">
        <f>IF(AND(W385="",AY385&gt;0,AY385&lt;15),T385,"")</f>
        <v/>
      </c>
      <c r="BB385" s="87">
        <f>IF(R385&lt;Q385,"X","")</f>
        <v/>
      </c>
      <c r="BC385" s="190" t="inlineStr">
        <is>
          <t>NO</t>
        </is>
      </c>
      <c r="BD385" s="190" t="inlineStr">
        <is>
          <t>NO</t>
        </is>
      </c>
    </row>
    <row r="386" ht="15" customHeight="1" s="162">
      <c r="A386" s="7" t="n">
        <v>385</v>
      </c>
      <c r="B386" t="inlineStr">
        <is>
          <t>43211503</t>
        </is>
      </c>
      <c r="C386" t="inlineStr">
        <is>
          <t>ASUS TUF Gaming P1 - Alfombrilla de rat�</t>
        </is>
      </c>
      <c r="D386" t="inlineStr">
        <is>
          <t>1101837818</t>
        </is>
      </c>
      <c r="E386" t="inlineStr">
        <is>
          <t>1</t>
        </is>
      </c>
      <c r="F386" s="163" t="n">
        <v>45702</v>
      </c>
      <c r="G386" t="inlineStr"/>
      <c r="H386" t="inlineStr">
        <is>
          <t>4800002872</t>
        </is>
      </c>
      <c r="I386" t="inlineStr">
        <is>
          <t>620</t>
        </is>
      </c>
      <c r="J386" s="163" t="n">
        <v>45698</v>
      </c>
      <c r="K386" s="163" t="inlineStr"/>
      <c r="L386" t="inlineStr"/>
      <c r="M386" s="163" t="n">
        <v>45705</v>
      </c>
      <c r="N386" s="164" t="n">
        <v>0</v>
      </c>
      <c r="O386" s="164" t="n">
        <v>0</v>
      </c>
      <c r="P386" t="inlineStr"/>
      <c r="Q386" s="165" t="n">
        <v>1</v>
      </c>
      <c r="R386" s="165" t="n">
        <v>1</v>
      </c>
      <c r="S386" s="165" t="n">
        <v>1</v>
      </c>
      <c r="T386" s="165" t="n">
        <v>0</v>
      </c>
      <c r="U386" s="166" t="n">
        <v>0</v>
      </c>
      <c r="V386" s="166" t="n">
        <v>0</v>
      </c>
      <c r="W386" t="inlineStr">
        <is>
          <t>X</t>
        </is>
      </c>
      <c r="X386" t="inlineStr">
        <is>
          <t>0.00</t>
        </is>
      </c>
      <c r="Y386" t="inlineStr"/>
      <c r="Z386" t="inlineStr">
        <is>
          <t>TD SYNNEX SPAIN, S.L.U.</t>
        </is>
      </c>
      <c r="AA386" t="inlineStr"/>
      <c r="AB386" t="inlineStr">
        <is>
          <t>7202896</t>
        </is>
      </c>
      <c r="AC386" t="inlineStr"/>
      <c r="AD386" s="164" t="n">
        <v>0</v>
      </c>
      <c r="AE386" s="185" t="n">
        <v>0</v>
      </c>
      <c r="AG386" s="167" t="inlineStr">
        <is>
          <t>7218|S24B05_S1075</t>
        </is>
      </c>
      <c r="AH386" s="46">
        <f>IF(M386=0,"-",M386-J386)</f>
        <v/>
      </c>
      <c r="AI386" s="46">
        <f>IF(AND(S386=0,M386&gt;0,L386=0),IF(AH386&gt;=120,"VERY HIGH",IF(AH386&gt;=90,"HIGH",IF(AH386&gt;=60,"MEDIUM",IF(AH386&lt;60,"LOW")))),"-")</f>
        <v/>
      </c>
      <c r="AJ386" s="12" t="n"/>
      <c r="AK386" s="41">
        <f>IF(AND(W386="X",M386&lt;=$AJ$2),"YES","")</f>
        <v/>
      </c>
      <c r="AL386" s="38">
        <f>IF(AND(W386="X",M386&lt;=$AJ$2),S386,"")</f>
        <v/>
      </c>
      <c r="AM386" s="26">
        <f>IF(AND(W386="X",M386&gt;$AJ$2),"YES","")</f>
        <v/>
      </c>
      <c r="AN386" s="89">
        <f>IF(AND(W386="X",M386&gt;$AJ$2),S386,"")</f>
        <v/>
      </c>
      <c r="AO386" s="35">
        <f>IF(AND(W386="",M386&gt;0,$AJ$2&gt;M386,L386=""),1,0)</f>
        <v/>
      </c>
      <c r="AP386" s="26">
        <f>IF(AND(AK386="YES",W386="X"),"X","")</f>
        <v/>
      </c>
      <c r="AQ386" s="28">
        <f>IF(AP386="X",100%,0%)</f>
        <v/>
      </c>
      <c r="AR386" s="25">
        <f>IF(AND(T386&gt;0,L386=""),H386,"")</f>
        <v/>
      </c>
      <c r="AS386" s="25">
        <f>IF(AND(D386&gt;0,H386=0,G386=""),1,"")</f>
        <v/>
      </c>
      <c r="AT386" s="25">
        <f>IF(G386="BLOQ",1,"")</f>
        <v/>
      </c>
      <c r="AU386" s="25">
        <f>IF(L386="BLOQ",1,"")</f>
        <v/>
      </c>
      <c r="AV386" s="25">
        <f>MONTH(F386)</f>
        <v/>
      </c>
      <c r="AW386" s="65">
        <f>IF(AP386="",100%,0%)</f>
        <v/>
      </c>
      <c r="AX386" s="23" t="n"/>
      <c r="AY386" s="24">
        <f>IF(M386=0,"",M386-$AX$2)</f>
        <v/>
      </c>
      <c r="AZ386" s="66">
        <f>IF(AND(W386="",AY386&gt;0,AY386&lt;15),1,0)</f>
        <v/>
      </c>
      <c r="BA386" s="24">
        <f>IF(AND(W386="",AY386&gt;0,AY386&lt;15),T386,"")</f>
        <v/>
      </c>
      <c r="BB386" s="87">
        <f>IF(R386&lt;Q386,"X","")</f>
        <v/>
      </c>
      <c r="BC386" s="190" t="inlineStr">
        <is>
          <t>NO</t>
        </is>
      </c>
      <c r="BD386" s="190" t="inlineStr">
        <is>
          <t>NO</t>
        </is>
      </c>
    </row>
    <row r="387" ht="15" customHeight="1" s="162">
      <c r="A387" s="7" t="n">
        <v>386</v>
      </c>
      <c r="B387" t="inlineStr"/>
      <c r="C387" t="inlineStr">
        <is>
          <t>TRABAJOS SIMULADOR A320</t>
        </is>
      </c>
      <c r="D387" t="inlineStr">
        <is>
          <t>1101838192</t>
        </is>
      </c>
      <c r="E387" t="inlineStr">
        <is>
          <t>1</t>
        </is>
      </c>
      <c r="F387" s="163" t="n">
        <v>45705</v>
      </c>
      <c r="G387" t="inlineStr"/>
      <c r="H387" t="inlineStr">
        <is>
          <t>4300340871</t>
        </is>
      </c>
      <c r="I387" t="inlineStr">
        <is>
          <t>10</t>
        </is>
      </c>
      <c r="J387" s="163" t="n">
        <v>45705</v>
      </c>
      <c r="K387" s="163" t="n">
        <v>45707</v>
      </c>
      <c r="L387" t="inlineStr"/>
      <c r="M387" s="163" t="n">
        <v>45728</v>
      </c>
      <c r="N387" s="164" t="n">
        <v>0</v>
      </c>
      <c r="O387" s="164" t="n">
        <v>0</v>
      </c>
      <c r="P387" t="inlineStr">
        <is>
          <t>Liberado</t>
        </is>
      </c>
      <c r="Q387" s="166" t="n">
        <v>1</v>
      </c>
      <c r="R387" s="164" t="n">
        <v>1</v>
      </c>
      <c r="S387" s="164" t="n">
        <v>0</v>
      </c>
      <c r="T387" s="164" t="n">
        <v>0</v>
      </c>
      <c r="U387" s="166" t="n">
        <v>0</v>
      </c>
      <c r="V387" s="166" t="n">
        <v>0</v>
      </c>
      <c r="W387" t="inlineStr">
        <is>
          <t>X</t>
        </is>
      </c>
      <c r="X387" t="inlineStr">
        <is>
          <t>0.00</t>
        </is>
      </c>
      <c r="Y387" t="inlineStr"/>
      <c r="Z387" t="inlineStr">
        <is>
          <t>PENTATEL COMUNICACIONES, S.L.</t>
        </is>
      </c>
      <c r="AA387" t="inlineStr"/>
      <c r="AB387" t="inlineStr"/>
      <c r="AC387" t="inlineStr"/>
      <c r="AD387" s="164" t="n">
        <v>0</v>
      </c>
      <c r="AE387" s="185" t="n">
        <v>0</v>
      </c>
      <c r="AG387" s="167" t="inlineStr">
        <is>
          <t>7218|JA2594_1001</t>
        </is>
      </c>
      <c r="AH387" s="46">
        <f>IF(M387=0,"-",M387-J387)</f>
        <v/>
      </c>
      <c r="AI387" s="46">
        <f>IF(AND(S387=0,M387&gt;0,L387=0),IF(AH387&gt;=120,"VERY HIGH",IF(AH387&gt;=90,"HIGH",IF(AH387&gt;=60,"MEDIUM",IF(AH387&lt;60,"LOW")))),"-")</f>
        <v/>
      </c>
      <c r="AJ387" s="12" t="n"/>
      <c r="AK387" s="41">
        <f>IF(AND(W387="X",M387&lt;=$AJ$2),"YES","")</f>
        <v/>
      </c>
      <c r="AL387" s="38">
        <f>IF(AND(W387="X",M387&lt;=$AJ$2),S387,"")</f>
        <v/>
      </c>
      <c r="AM387" s="26">
        <f>IF(AND(W387="X",M387&gt;$AJ$2),"YES","")</f>
        <v/>
      </c>
      <c r="AN387" s="89">
        <f>IF(AND(W387="X",M387&gt;$AJ$2),S387,"")</f>
        <v/>
      </c>
      <c r="AO387" s="35">
        <f>IF(AND(W387="",M387&gt;0,$AJ$2&gt;M387,L387=""),1,0)</f>
        <v/>
      </c>
      <c r="AP387" s="26">
        <f>IF(AND(AK387="YES",W387="X"),"X","")</f>
        <v/>
      </c>
      <c r="AQ387" s="28">
        <f>IF(AP387="X",100%,0%)</f>
        <v/>
      </c>
      <c r="AR387" s="25">
        <f>IF(AND(T387&gt;0,L387=""),H387,"")</f>
        <v/>
      </c>
      <c r="AS387" s="25">
        <f>IF(AND(D387&gt;0,H387=0,G387=""),1,"")</f>
        <v/>
      </c>
      <c r="AT387" s="25">
        <f>IF(G387="BLOQ",1,"")</f>
        <v/>
      </c>
      <c r="AU387" s="25">
        <f>IF(L387="BLOQ",1,"")</f>
        <v/>
      </c>
      <c r="AV387" s="25">
        <f>MONTH(F387)</f>
        <v/>
      </c>
      <c r="AW387" s="65">
        <f>IF(AP387="",100%,0%)</f>
        <v/>
      </c>
      <c r="AX387" s="23" t="n"/>
      <c r="AY387" s="24">
        <f>IF(M387=0,"",M387-$AX$2)</f>
        <v/>
      </c>
      <c r="AZ387" s="66">
        <f>IF(AND(W387="",AY387&gt;0,AY387&lt;15),1,0)</f>
        <v/>
      </c>
      <c r="BA387" s="24">
        <f>IF(AND(W387="",AY387&gt;0,AY387&lt;15),T387,"")</f>
        <v/>
      </c>
      <c r="BB387" s="87">
        <f>IF(R387&lt;Q387,"X","")</f>
        <v/>
      </c>
      <c r="BC387" s="190" t="inlineStr">
        <is>
          <t>NO</t>
        </is>
      </c>
      <c r="BD387" s="190" t="inlineStr">
        <is>
          <t>NO</t>
        </is>
      </c>
    </row>
    <row r="388" ht="15" customHeight="1" s="162">
      <c r="A388" s="7" t="n">
        <v>387</v>
      </c>
      <c r="B388" t="inlineStr">
        <is>
          <t>1709800000500</t>
        </is>
      </c>
      <c r="C388" t="inlineStr">
        <is>
          <t>COMPRA DIRECTA FERRETERIA Y HERRAMIENTAS</t>
        </is>
      </c>
      <c r="D388" t="inlineStr">
        <is>
          <t>1101838768</t>
        </is>
      </c>
      <c r="E388" t="inlineStr">
        <is>
          <t>1</t>
        </is>
      </c>
      <c r="F388" s="163" t="n">
        <v>45706</v>
      </c>
      <c r="G388" t="inlineStr"/>
      <c r="H388" t="inlineStr">
        <is>
          <t>4200599497</t>
        </is>
      </c>
      <c r="I388" t="inlineStr">
        <is>
          <t>30</t>
        </is>
      </c>
      <c r="J388" s="163" t="n">
        <v>45713</v>
      </c>
      <c r="K388" s="163" t="n">
        <v>45713</v>
      </c>
      <c r="L388" t="inlineStr"/>
      <c r="M388" s="163" t="n">
        <v>45727</v>
      </c>
      <c r="N388" s="164" t="n">
        <v>30</v>
      </c>
      <c r="O388" s="164" t="n">
        <v>8</v>
      </c>
      <c r="P388" t="inlineStr">
        <is>
          <t>Liberado</t>
        </is>
      </c>
      <c r="Q388" s="165" t="n">
        <v>1</v>
      </c>
      <c r="R388" s="165" t="n">
        <v>1</v>
      </c>
      <c r="S388" s="165" t="n">
        <v>1</v>
      </c>
      <c r="T388" s="165" t="n">
        <v>0</v>
      </c>
      <c r="U388" s="166" t="n">
        <v>0</v>
      </c>
      <c r="V388" s="166" t="n">
        <v>0</v>
      </c>
      <c r="W388" t="inlineStr">
        <is>
          <t>X</t>
        </is>
      </c>
      <c r="X388" t="inlineStr">
        <is>
          <t>0.00</t>
        </is>
      </c>
      <c r="Y388" t="inlineStr"/>
      <c r="Z388" t="inlineStr">
        <is>
          <t>(AEMSA)ALMACENES ELECTRICOS MADRILE</t>
        </is>
      </c>
      <c r="AA388" t="inlineStr">
        <is>
          <t>OTROS FABRICANTES</t>
        </is>
      </c>
      <c r="AB388" t="inlineStr">
        <is>
          <t>1709800000500</t>
        </is>
      </c>
      <c r="AC388" t="inlineStr"/>
      <c r="AD388" s="164" t="n">
        <v>0</v>
      </c>
      <c r="AE388" s="185" t="n">
        <v>0</v>
      </c>
      <c r="AG388" s="167" t="inlineStr">
        <is>
          <t>7218|JA2594_1001</t>
        </is>
      </c>
      <c r="AH388" s="46">
        <f>IF(M388=0,"-",M388-J388)</f>
        <v/>
      </c>
      <c r="AI388" s="46">
        <f>IF(AND(S388=0,M388&gt;0,L388=0),IF(AH388&gt;=120,"VERY HIGH",IF(AH388&gt;=90,"HIGH",IF(AH388&gt;=60,"MEDIUM",IF(AH388&lt;60,"LOW")))),"-")</f>
        <v/>
      </c>
      <c r="AJ388" s="12" t="n"/>
      <c r="AK388" s="41">
        <f>IF(AND(W388="X",M388&lt;=$AJ$2),"YES","")</f>
        <v/>
      </c>
      <c r="AL388" s="38">
        <f>IF(AND(W388="X",M388&lt;=$AJ$2),S388,"")</f>
        <v/>
      </c>
      <c r="AM388" s="26">
        <f>IF(AND(W388="X",M388&gt;$AJ$2),"YES","")</f>
        <v/>
      </c>
      <c r="AN388" s="89">
        <f>IF(AND(W388="X",M388&gt;$AJ$2),S388,"")</f>
        <v/>
      </c>
      <c r="AO388" s="35">
        <f>IF(AND(W388="",M388&gt;0,$AJ$2&gt;M388,L388=""),1,0)</f>
        <v/>
      </c>
      <c r="AP388" s="26">
        <f>IF(AND(AK388="YES",W388="X"),"X","")</f>
        <v/>
      </c>
      <c r="AQ388" s="28">
        <f>IF(AP388="X",100%,0%)</f>
        <v/>
      </c>
      <c r="AR388" s="25">
        <f>IF(AND(T388&gt;0,L388=""),H388,"")</f>
        <v/>
      </c>
      <c r="AS388" s="25">
        <f>IF(AND(D388&gt;0,H388=0,G388=""),1,"")</f>
        <v/>
      </c>
      <c r="AT388" s="25">
        <f>IF(G388="BLOQ",1,"")</f>
        <v/>
      </c>
      <c r="AU388" s="25">
        <f>IF(L388="BLOQ",1,"")</f>
        <v/>
      </c>
      <c r="AV388" s="25">
        <f>MONTH(F388)</f>
        <v/>
      </c>
      <c r="AW388" s="65">
        <f>IF(AP388="",100%,0%)</f>
        <v/>
      </c>
      <c r="AX388" s="23" t="n"/>
      <c r="AY388" s="24">
        <f>IF(M388=0,"",M388-$AX$2)</f>
        <v/>
      </c>
      <c r="AZ388" s="66">
        <f>IF(AND(W388="",AY388&gt;0,AY388&lt;15),1,0)</f>
        <v/>
      </c>
      <c r="BA388" s="24">
        <f>IF(AND(W388="",AY388&gt;0,AY388&lt;15),T388,"")</f>
        <v/>
      </c>
      <c r="BB388" s="87">
        <f>IF(R388&lt;Q388,"X","")</f>
        <v/>
      </c>
      <c r="BC388" s="190" t="inlineStr">
        <is>
          <t>NO</t>
        </is>
      </c>
      <c r="BD388" s="190" t="inlineStr">
        <is>
          <t>NO</t>
        </is>
      </c>
    </row>
    <row r="389" ht="15" customHeight="1" s="162">
      <c r="A389" s="7" t="n">
        <v>388</v>
      </c>
      <c r="B389" t="inlineStr">
        <is>
          <t>1709800000500</t>
        </is>
      </c>
      <c r="C389" t="inlineStr">
        <is>
          <t>COMPRA DIRECTA FERRETERIA Y HERRAMIENTAS</t>
        </is>
      </c>
      <c r="D389" t="inlineStr">
        <is>
          <t>1101839340</t>
        </is>
      </c>
      <c r="E389" t="inlineStr">
        <is>
          <t>1</t>
        </is>
      </c>
      <c r="F389" s="163" t="n">
        <v>45707</v>
      </c>
      <c r="G389" t="inlineStr"/>
      <c r="H389" t="inlineStr">
        <is>
          <t>4200599594</t>
        </is>
      </c>
      <c r="I389" t="inlineStr">
        <is>
          <t>10</t>
        </is>
      </c>
      <c r="J389" s="163" t="n">
        <v>45713</v>
      </c>
      <c r="K389" s="163" t="n">
        <v>45713</v>
      </c>
      <c r="L389" t="inlineStr"/>
      <c r="M389" s="163" t="n">
        <v>45727</v>
      </c>
      <c r="N389" s="164" t="n">
        <v>30</v>
      </c>
      <c r="O389" s="164" t="n">
        <v>8</v>
      </c>
      <c r="P389" t="inlineStr">
        <is>
          <t>Liberado</t>
        </is>
      </c>
      <c r="Q389" s="165" t="n">
        <v>1</v>
      </c>
      <c r="R389" s="165" t="n">
        <v>1</v>
      </c>
      <c r="S389" s="165" t="n">
        <v>1</v>
      </c>
      <c r="T389" s="165" t="n">
        <v>0</v>
      </c>
      <c r="U389" s="166" t="n">
        <v>0</v>
      </c>
      <c r="V389" s="166" t="n">
        <v>0</v>
      </c>
      <c r="W389" t="inlineStr">
        <is>
          <t>X</t>
        </is>
      </c>
      <c r="X389" t="inlineStr">
        <is>
          <t>0.00</t>
        </is>
      </c>
      <c r="Y389" t="inlineStr"/>
      <c r="Z389" t="inlineStr">
        <is>
          <t>FELIPE DE MARCO, S.A.</t>
        </is>
      </c>
      <c r="AA389" t="inlineStr">
        <is>
          <t>OTROS FABRICANTES</t>
        </is>
      </c>
      <c r="AB389" t="inlineStr">
        <is>
          <t>1709800000500</t>
        </is>
      </c>
      <c r="AC389" t="inlineStr"/>
      <c r="AD389" s="164" t="n">
        <v>0</v>
      </c>
      <c r="AE389" s="185" t="n">
        <v>0</v>
      </c>
      <c r="AG389" s="167" t="inlineStr">
        <is>
          <t>7218|JA2594_1001</t>
        </is>
      </c>
      <c r="AH389" s="46">
        <f>IF(M389=0,"-",M389-J389)</f>
        <v/>
      </c>
      <c r="AI389" s="46">
        <f>IF(AND(S389=0,M389&gt;0,L389=0),IF(AH389&gt;=120,"VERY HIGH",IF(AH389&gt;=90,"HIGH",IF(AH389&gt;=60,"MEDIUM",IF(AH389&lt;60,"LOW")))),"-")</f>
        <v/>
      </c>
      <c r="AJ389" s="12" t="n"/>
      <c r="AK389" s="41">
        <f>IF(AND(W389="X",M389&lt;=$AJ$2),"YES","")</f>
        <v/>
      </c>
      <c r="AL389" s="38">
        <f>IF(AND(W389="X",M389&lt;=$AJ$2),S389,"")</f>
        <v/>
      </c>
      <c r="AM389" s="26">
        <f>IF(AND(W389="X",M389&gt;$AJ$2),"YES","")</f>
        <v/>
      </c>
      <c r="AN389" s="89">
        <f>IF(AND(W389="X",M389&gt;$AJ$2),S389,"")</f>
        <v/>
      </c>
      <c r="AO389" s="35">
        <f>IF(AND(W389="",M389&gt;0,$AJ$2&gt;M389,L389=""),1,0)</f>
        <v/>
      </c>
      <c r="AP389" s="26">
        <f>IF(AND(AK389="YES",W389="X"),"X","")</f>
        <v/>
      </c>
      <c r="AQ389" s="28">
        <f>IF(AP389="X",100%,0%)</f>
        <v/>
      </c>
      <c r="AR389" s="25">
        <f>IF(AND(T389&gt;0,L389=""),H389,"")</f>
        <v/>
      </c>
      <c r="AS389" s="25">
        <f>IF(AND(D389&gt;0,H389=0,G389=""),1,"")</f>
        <v/>
      </c>
      <c r="AT389" s="25">
        <f>IF(G389="BLOQ",1,"")</f>
        <v/>
      </c>
      <c r="AU389" s="25">
        <f>IF(L389="BLOQ",1,"")</f>
        <v/>
      </c>
      <c r="AV389" s="25">
        <f>MONTH(F389)</f>
        <v/>
      </c>
      <c r="AW389" s="65">
        <f>IF(AP389="",100%,0%)</f>
        <v/>
      </c>
      <c r="AX389" s="23" t="n"/>
      <c r="AY389" s="24">
        <f>IF(M389=0,"",M389-$AX$2)</f>
        <v/>
      </c>
      <c r="AZ389" s="66">
        <f>IF(AND(W389="",AY389&gt;0,AY389&lt;15),1,0)</f>
        <v/>
      </c>
      <c r="BA389" s="24">
        <f>IF(AND(W389="",AY389&gt;0,AY389&lt;15),T389,"")</f>
        <v/>
      </c>
      <c r="BB389" s="87">
        <f>IF(R389&lt;Q389,"X","")</f>
        <v/>
      </c>
      <c r="BC389" s="190" t="inlineStr">
        <is>
          <t>NO</t>
        </is>
      </c>
      <c r="BD389" s="190" t="inlineStr">
        <is>
          <t>NO</t>
        </is>
      </c>
    </row>
    <row r="390" ht="15" customHeight="1" s="162">
      <c r="A390" s="7" t="n">
        <v>389</v>
      </c>
      <c r="B390" t="inlineStr">
        <is>
          <t>7889090900000</t>
        </is>
      </c>
      <c r="C390" t="inlineStr">
        <is>
          <t>ROPA LABORAL CATALOGO INDRA</t>
        </is>
      </c>
      <c r="D390" t="inlineStr">
        <is>
          <t>1101839366</t>
        </is>
      </c>
      <c r="E390" t="inlineStr">
        <is>
          <t>1</t>
        </is>
      </c>
      <c r="F390" s="163" t="n">
        <v>45707</v>
      </c>
      <c r="G390" t="inlineStr"/>
      <c r="H390" t="inlineStr">
        <is>
          <t>4900010383</t>
        </is>
      </c>
      <c r="I390" t="inlineStr">
        <is>
          <t>10</t>
        </is>
      </c>
      <c r="J390" s="163" t="n">
        <v>45707</v>
      </c>
      <c r="K390" s="163" t="inlineStr"/>
      <c r="L390" t="inlineStr"/>
      <c r="M390" s="163" t="n">
        <v>45707</v>
      </c>
      <c r="N390" s="164" t="n">
        <v>40</v>
      </c>
      <c r="O390" s="164" t="n">
        <v>8</v>
      </c>
      <c r="P390" t="inlineStr"/>
      <c r="Q390" s="165" t="n">
        <v>1</v>
      </c>
      <c r="R390" s="165" t="n">
        <v>1</v>
      </c>
      <c r="S390" s="165" t="n">
        <v>1</v>
      </c>
      <c r="T390" s="165" t="n">
        <v>0</v>
      </c>
      <c r="U390" s="166" t="n">
        <v>0</v>
      </c>
      <c r="V390" s="166" t="n">
        <v>0</v>
      </c>
      <c r="W390" t="inlineStr">
        <is>
          <t>X</t>
        </is>
      </c>
      <c r="X390" t="inlineStr">
        <is>
          <t>0.00</t>
        </is>
      </c>
      <c r="Y390" t="inlineStr"/>
      <c r="Z390" t="inlineStr">
        <is>
          <t>VESTUARIO Y PROTECCION LABORAL JOYS</t>
        </is>
      </c>
      <c r="AA390" t="inlineStr">
        <is>
          <t>INDRA SISTEMAS S.A.</t>
        </is>
      </c>
      <c r="AB390" t="inlineStr">
        <is>
          <t>7889090900000</t>
        </is>
      </c>
      <c r="AC390" t="inlineStr"/>
      <c r="AD390" s="164" t="n">
        <v>0</v>
      </c>
      <c r="AE390" s="185" t="n">
        <v>0</v>
      </c>
      <c r="AG390" s="167" t="inlineStr">
        <is>
          <t>7218|JA2594_1001</t>
        </is>
      </c>
      <c r="AH390" s="46">
        <f>IF(M390=0,"-",M390-J390)</f>
        <v/>
      </c>
      <c r="AI390" s="46">
        <f>IF(AND(S390=0,M390&gt;0,L390=0),IF(AH390&gt;=120,"VERY HIGH",IF(AH390&gt;=90,"HIGH",IF(AH390&gt;=60,"MEDIUM",IF(AH390&lt;60,"LOW")))),"-")</f>
        <v/>
      </c>
      <c r="AJ390" s="12" t="n"/>
      <c r="AK390" s="41">
        <f>IF(AND(W390="X",M390&lt;=$AJ$2),"YES","")</f>
        <v/>
      </c>
      <c r="AL390" s="38">
        <f>IF(AND(W390="X",M390&lt;=$AJ$2),S390,"")</f>
        <v/>
      </c>
      <c r="AM390" s="26">
        <f>IF(AND(W390="X",M390&gt;$AJ$2),"YES","")</f>
        <v/>
      </c>
      <c r="AN390" s="89">
        <f>IF(AND(W390="X",M390&gt;$AJ$2),S390,"")</f>
        <v/>
      </c>
      <c r="AO390" s="35">
        <f>IF(AND(W390="",M390&gt;0,$AJ$2&gt;M390,L390=""),1,0)</f>
        <v/>
      </c>
      <c r="AP390" s="26">
        <f>IF(AND(AK390="YES",W390="X"),"X","")</f>
        <v/>
      </c>
      <c r="AQ390" s="28">
        <f>IF(AP390="X",100%,0%)</f>
        <v/>
      </c>
      <c r="AR390" s="25">
        <f>IF(AND(T390&gt;0,L390=""),H390,"")</f>
        <v/>
      </c>
      <c r="AS390" s="25">
        <f>IF(AND(D390&gt;0,H390=0,G390=""),1,"")</f>
        <v/>
      </c>
      <c r="AT390" s="25">
        <f>IF(G390="BLOQ",1,"")</f>
        <v/>
      </c>
      <c r="AU390" s="25">
        <f>IF(L390="BLOQ",1,"")</f>
        <v/>
      </c>
      <c r="AV390" s="25">
        <f>MONTH(F390)</f>
        <v/>
      </c>
      <c r="AW390" s="65">
        <f>IF(AP390="",100%,0%)</f>
        <v/>
      </c>
      <c r="AX390" s="23" t="n"/>
      <c r="AY390" s="24">
        <f>IF(M390=0,"",M390-$AX$2)</f>
        <v/>
      </c>
      <c r="AZ390" s="66">
        <f>IF(AND(W390="",AY390&gt;0,AY390&lt;15),1,0)</f>
        <v/>
      </c>
      <c r="BA390" s="24">
        <f>IF(AND(W390="",AY390&gt;0,AY390&lt;15),T390,"")</f>
        <v/>
      </c>
      <c r="BB390" s="87">
        <f>IF(R390&lt;Q390,"X","")</f>
        <v/>
      </c>
      <c r="BC390" s="190" t="inlineStr">
        <is>
          <t>NO</t>
        </is>
      </c>
      <c r="BD390" s="190" t="inlineStr">
        <is>
          <t>NO</t>
        </is>
      </c>
    </row>
    <row r="391" ht="15" customHeight="1" s="162">
      <c r="A391" s="7" t="n">
        <v>390</v>
      </c>
      <c r="B391" t="inlineStr">
        <is>
          <t>31201600</t>
        </is>
      </c>
      <c r="C391" t="inlineStr">
        <is>
          <t>Adhesivo instant&amp;#225;neo Loctite 401 de</t>
        </is>
      </c>
      <c r="D391" t="inlineStr">
        <is>
          <t>1101841110</t>
        </is>
      </c>
      <c r="E391" t="inlineStr">
        <is>
          <t>1</t>
        </is>
      </c>
      <c r="F391" s="163" t="n">
        <v>45712</v>
      </c>
      <c r="G391" t="inlineStr"/>
      <c r="H391" t="inlineStr">
        <is>
          <t>4800002908</t>
        </is>
      </c>
      <c r="I391" t="inlineStr">
        <is>
          <t>240</t>
        </is>
      </c>
      <c r="J391" s="163" t="n">
        <v>45712</v>
      </c>
      <c r="K391" s="163" t="inlineStr"/>
      <c r="L391" t="inlineStr"/>
      <c r="M391" s="163" t="n">
        <v>45713</v>
      </c>
      <c r="N391" s="164" t="n">
        <v>0</v>
      </c>
      <c r="O391" s="164" t="n">
        <v>0</v>
      </c>
      <c r="P391" t="inlineStr"/>
      <c r="Q391" s="165" t="n">
        <v>1</v>
      </c>
      <c r="R391" s="165" t="n">
        <v>1</v>
      </c>
      <c r="S391" s="165" t="n">
        <v>1</v>
      </c>
      <c r="T391" s="165" t="n">
        <v>0</v>
      </c>
      <c r="U391" s="166" t="n">
        <v>0</v>
      </c>
      <c r="V391" s="166" t="n">
        <v>0</v>
      </c>
      <c r="W391" t="inlineStr">
        <is>
          <t>X</t>
        </is>
      </c>
      <c r="X391" t="inlineStr">
        <is>
          <t>0.00</t>
        </is>
      </c>
      <c r="Y391" t="inlineStr"/>
      <c r="Z391" t="inlineStr">
        <is>
          <t>AMIDATA, S.A.</t>
        </is>
      </c>
      <c r="AA391" t="inlineStr"/>
      <c r="AB391" t="inlineStr">
        <is>
          <t>0317715</t>
        </is>
      </c>
      <c r="AC391" t="inlineStr"/>
      <c r="AD391" s="164" t="n">
        <v>0</v>
      </c>
      <c r="AE391" s="185" t="n">
        <v>0</v>
      </c>
      <c r="AG391" s="167" t="inlineStr">
        <is>
          <t>7218|JA2593_1001</t>
        </is>
      </c>
      <c r="AH391" s="46">
        <f>IF(M391=0,"-",M391-J391)</f>
        <v/>
      </c>
      <c r="AI391" s="46">
        <f>IF(AND(S391=0,M391&gt;0,L391=0),IF(AH391&gt;=120,"VERY HIGH",IF(AH391&gt;=90,"HIGH",IF(AH391&gt;=60,"MEDIUM",IF(AH391&lt;60,"LOW")))),"-")</f>
        <v/>
      </c>
      <c r="AJ391" s="12" t="n"/>
      <c r="AK391" s="41">
        <f>IF(AND(W391="X",M391&lt;=$AJ$2),"YES","")</f>
        <v/>
      </c>
      <c r="AL391" s="38">
        <f>IF(AND(W391="X",M391&lt;=$AJ$2),S391,"")</f>
        <v/>
      </c>
      <c r="AM391" s="26">
        <f>IF(AND(W391="X",M391&gt;$AJ$2),"YES","")</f>
        <v/>
      </c>
      <c r="AN391" s="89">
        <f>IF(AND(W391="X",M391&gt;$AJ$2),S391,"")</f>
        <v/>
      </c>
      <c r="AO391" s="35">
        <f>IF(AND(W391="",M391&gt;0,$AJ$2&gt;M391,L391=""),1,0)</f>
        <v/>
      </c>
      <c r="AP391" s="26">
        <f>IF(AND(AK391="YES",W391="X"),"X","")</f>
        <v/>
      </c>
      <c r="AQ391" s="28">
        <f>IF(AP391="X",100%,0%)</f>
        <v/>
      </c>
      <c r="AR391" s="25">
        <f>IF(AND(T391&gt;0,L391=""),H391,"")</f>
        <v/>
      </c>
      <c r="AS391" s="25">
        <f>IF(AND(D391&gt;0,H391=0,G391=""),1,"")</f>
        <v/>
      </c>
      <c r="AT391" s="25">
        <f>IF(G391="BLOQ",1,"")</f>
        <v/>
      </c>
      <c r="AU391" s="25">
        <f>IF(L391="BLOQ",1,"")</f>
        <v/>
      </c>
      <c r="AV391" s="25">
        <f>MONTH(F391)</f>
        <v/>
      </c>
      <c r="AW391" s="65">
        <f>IF(AP391="",100%,0%)</f>
        <v/>
      </c>
      <c r="AX391" s="23" t="n"/>
      <c r="AY391" s="24">
        <f>IF(M391=0,"",M391-$AX$2)</f>
        <v/>
      </c>
      <c r="AZ391" s="66">
        <f>IF(AND(W391="",AY391&gt;0,AY391&lt;15),1,0)</f>
        <v/>
      </c>
      <c r="BA391" s="24">
        <f>IF(AND(W391="",AY391&gt;0,AY391&lt;15),T391,"")</f>
        <v/>
      </c>
      <c r="BB391" s="87">
        <f>IF(R391&lt;Q391,"X","")</f>
        <v/>
      </c>
      <c r="BC391" s="190" t="inlineStr">
        <is>
          <t>NO</t>
        </is>
      </c>
      <c r="BD391" s="190" t="inlineStr">
        <is>
          <t>NO</t>
        </is>
      </c>
    </row>
    <row r="392" ht="15" customHeight="1" s="162">
      <c r="A392" s="7" t="n">
        <v>391</v>
      </c>
      <c r="B392" t="inlineStr">
        <is>
          <t>1359900000500</t>
        </is>
      </c>
      <c r="C392" t="inlineStr">
        <is>
          <t>COMPRA DIRECTA ELECTRICOS/ELECTRONICOS</t>
        </is>
      </c>
      <c r="D392" t="inlineStr">
        <is>
          <t>1101841169</t>
        </is>
      </c>
      <c r="E392" t="inlineStr">
        <is>
          <t>1</t>
        </is>
      </c>
      <c r="F392" s="163" t="n">
        <v>45712</v>
      </c>
      <c r="G392" t="inlineStr"/>
      <c r="H392" t="inlineStr">
        <is>
          <t>4200600359</t>
        </is>
      </c>
      <c r="I392" t="inlineStr">
        <is>
          <t>30</t>
        </is>
      </c>
      <c r="J392" s="163" t="n">
        <v>45716</v>
      </c>
      <c r="K392" s="163" t="n">
        <v>45719</v>
      </c>
      <c r="L392" t="inlineStr"/>
      <c r="M392" s="163" t="n">
        <v>45730</v>
      </c>
      <c r="N392" s="164" t="n">
        <v>30</v>
      </c>
      <c r="O392" s="164" t="n">
        <v>8</v>
      </c>
      <c r="P392" t="inlineStr">
        <is>
          <t>Liberado</t>
        </is>
      </c>
      <c r="Q392" s="165" t="n">
        <v>1</v>
      </c>
      <c r="R392" s="165" t="n">
        <v>1</v>
      </c>
      <c r="S392" s="165" t="n">
        <v>1</v>
      </c>
      <c r="T392" s="165" t="n">
        <v>0</v>
      </c>
      <c r="U392" s="166" t="n">
        <v>0</v>
      </c>
      <c r="V392" s="166" t="n">
        <v>0</v>
      </c>
      <c r="W392" t="inlineStr">
        <is>
          <t>X</t>
        </is>
      </c>
      <c r="X392" t="inlineStr">
        <is>
          <t>0.00</t>
        </is>
      </c>
      <c r="Y392" t="inlineStr"/>
      <c r="Z392" t="inlineStr">
        <is>
          <t>SARVER S.L.</t>
        </is>
      </c>
      <c r="AA392" t="inlineStr">
        <is>
          <t>OTROS FABRICANTES</t>
        </is>
      </c>
      <c r="AB392" t="inlineStr">
        <is>
          <t>1359900000500</t>
        </is>
      </c>
      <c r="AC392" t="inlineStr"/>
      <c r="AD392" s="164" t="n">
        <v>0</v>
      </c>
      <c r="AE392" s="185" t="n">
        <v>0</v>
      </c>
      <c r="AG392" s="167" t="inlineStr">
        <is>
          <t>7218|JA2583_1001</t>
        </is>
      </c>
      <c r="AH392" s="46">
        <f>IF(M392=0,"-",M392-J392)</f>
        <v/>
      </c>
      <c r="AI392" s="46">
        <f>IF(AND(S392=0,M392&gt;0,L392=0),IF(AH392&gt;=120,"VERY HIGH",IF(AH392&gt;=90,"HIGH",IF(AH392&gt;=60,"MEDIUM",IF(AH392&lt;60,"LOW")))),"-")</f>
        <v/>
      </c>
      <c r="AJ392" s="12" t="n"/>
      <c r="AK392" s="41">
        <f>IF(AND(W392="X",M392&lt;=$AJ$2),"YES","")</f>
        <v/>
      </c>
      <c r="AL392" s="38">
        <f>IF(AND(W392="X",M392&lt;=$AJ$2),S392,"")</f>
        <v/>
      </c>
      <c r="AM392" s="26">
        <f>IF(AND(W392="X",M392&gt;$AJ$2),"YES","")</f>
        <v/>
      </c>
      <c r="AN392" s="89">
        <f>IF(AND(W392="X",M392&gt;$AJ$2),S392,"")</f>
        <v/>
      </c>
      <c r="AO392" s="35">
        <f>IF(AND(W392="",M392&gt;0,$AJ$2&gt;M392,L392=""),1,0)</f>
        <v/>
      </c>
      <c r="AP392" s="26">
        <f>IF(AND(AK392="YES",W392="X"),"X","")</f>
        <v/>
      </c>
      <c r="AQ392" s="28">
        <f>IF(AP392="X",100%,0%)</f>
        <v/>
      </c>
      <c r="AR392" s="25">
        <f>IF(AND(T392&gt;0,L392=""),H392,"")</f>
        <v/>
      </c>
      <c r="AS392" s="25">
        <f>IF(AND(D392&gt;0,H392=0,G392=""),1,"")</f>
        <v/>
      </c>
      <c r="AT392" s="25">
        <f>IF(G392="BLOQ",1,"")</f>
        <v/>
      </c>
      <c r="AU392" s="25">
        <f>IF(L392="BLOQ",1,"")</f>
        <v/>
      </c>
      <c r="AV392" s="25">
        <f>MONTH(F392)</f>
        <v/>
      </c>
      <c r="AW392" s="65">
        <f>IF(AP392="",100%,0%)</f>
        <v/>
      </c>
      <c r="AX392" s="23" t="n"/>
      <c r="AY392" s="24">
        <f>IF(M392=0,"",M392-$AX$2)</f>
        <v/>
      </c>
      <c r="AZ392" s="66">
        <f>IF(AND(W392="",AY392&gt;0,AY392&lt;15),1,0)</f>
        <v/>
      </c>
      <c r="BA392" s="24">
        <f>IF(AND(W392="",AY392&gt;0,AY392&lt;15),T392,"")</f>
        <v/>
      </c>
      <c r="BB392" s="87">
        <f>IF(R392&lt;Q392,"X","")</f>
        <v/>
      </c>
      <c r="BC392" s="190" t="inlineStr">
        <is>
          <t>NO</t>
        </is>
      </c>
      <c r="BD392" s="190" t="inlineStr">
        <is>
          <t>NO</t>
        </is>
      </c>
    </row>
    <row r="393" ht="15" customHeight="1" s="162">
      <c r="A393" s="7" t="n">
        <v>392</v>
      </c>
      <c r="B393" t="inlineStr">
        <is>
          <t>1359900000500</t>
        </is>
      </c>
      <c r="C393" t="inlineStr">
        <is>
          <t>COMPRA DIRECTA ELECTRICOS/ELECTRONICOS</t>
        </is>
      </c>
      <c r="D393" t="inlineStr">
        <is>
          <t>1101841171</t>
        </is>
      </c>
      <c r="E393" t="inlineStr">
        <is>
          <t>1</t>
        </is>
      </c>
      <c r="F393" s="163" t="n">
        <v>45712</v>
      </c>
      <c r="G393" t="inlineStr"/>
      <c r="H393" t="inlineStr">
        <is>
          <t>4200600366</t>
        </is>
      </c>
      <c r="I393" t="inlineStr">
        <is>
          <t>10</t>
        </is>
      </c>
      <c r="J393" s="163" t="n">
        <v>45716</v>
      </c>
      <c r="K393" s="163" t="n">
        <v>45719</v>
      </c>
      <c r="L393" t="inlineStr"/>
      <c r="M393" s="163" t="n">
        <v>45730</v>
      </c>
      <c r="N393" s="164" t="n">
        <v>30</v>
      </c>
      <c r="O393" s="164" t="n">
        <v>8</v>
      </c>
      <c r="P393" t="inlineStr">
        <is>
          <t>Liberado</t>
        </is>
      </c>
      <c r="Q393" s="165" t="n">
        <v>1</v>
      </c>
      <c r="R393" s="165" t="n">
        <v>1</v>
      </c>
      <c r="S393" s="165" t="n">
        <v>1</v>
      </c>
      <c r="T393" s="165" t="n">
        <v>0</v>
      </c>
      <c r="U393" s="166" t="n">
        <v>0</v>
      </c>
      <c r="V393" s="166" t="n">
        <v>0</v>
      </c>
      <c r="W393" t="inlineStr">
        <is>
          <t>X</t>
        </is>
      </c>
      <c r="X393" t="inlineStr">
        <is>
          <t>0.00</t>
        </is>
      </c>
      <c r="Y393" t="inlineStr"/>
      <c r="Z393" t="inlineStr">
        <is>
          <t>SARVER S.L.</t>
        </is>
      </c>
      <c r="AA393" t="inlineStr">
        <is>
          <t>OTROS FABRICANTES</t>
        </is>
      </c>
      <c r="AB393" t="inlineStr">
        <is>
          <t>1359900000500</t>
        </is>
      </c>
      <c r="AC393" t="inlineStr"/>
      <c r="AD393" s="164" t="n">
        <v>0</v>
      </c>
      <c r="AE393" s="185" t="n">
        <v>0</v>
      </c>
      <c r="AG393" s="167" t="inlineStr">
        <is>
          <t>7218|JA2583_1001</t>
        </is>
      </c>
      <c r="AH393" s="46">
        <f>IF(M393=0,"-",M393-J393)</f>
        <v/>
      </c>
      <c r="AI393" s="46">
        <f>IF(AND(S393=0,M393&gt;0,L393=0),IF(AH393&gt;=120,"VERY HIGH",IF(AH393&gt;=90,"HIGH",IF(AH393&gt;=60,"MEDIUM",IF(AH393&lt;60,"LOW")))),"-")</f>
        <v/>
      </c>
      <c r="AJ393" s="12" t="n"/>
      <c r="AK393" s="41">
        <f>IF(AND(W393="X",M393&lt;=$AJ$2),"YES","")</f>
        <v/>
      </c>
      <c r="AL393" s="38">
        <f>IF(AND(W393="X",M393&lt;=$AJ$2),S393,"")</f>
        <v/>
      </c>
      <c r="AM393" s="26">
        <f>IF(AND(W393="X",M393&gt;$AJ$2),"YES","")</f>
        <v/>
      </c>
      <c r="AN393" s="89">
        <f>IF(AND(W393="X",M393&gt;$AJ$2),S393,"")</f>
        <v/>
      </c>
      <c r="AO393" s="35">
        <f>IF(AND(W393="",M393&gt;0,$AJ$2&gt;M393,L393=""),1,0)</f>
        <v/>
      </c>
      <c r="AP393" s="26">
        <f>IF(AND(AK393="YES",W393="X"),"X","")</f>
        <v/>
      </c>
      <c r="AQ393" s="28">
        <f>IF(AP393="X",100%,0%)</f>
        <v/>
      </c>
      <c r="AR393" s="25">
        <f>IF(AND(T393&gt;0,L393=""),H393,"")</f>
        <v/>
      </c>
      <c r="AS393" s="25">
        <f>IF(AND(D393&gt;0,H393=0,G393=""),1,"")</f>
        <v/>
      </c>
      <c r="AT393" s="25">
        <f>IF(G393="BLOQ",1,"")</f>
        <v/>
      </c>
      <c r="AU393" s="25">
        <f>IF(L393="BLOQ",1,"")</f>
        <v/>
      </c>
      <c r="AV393" s="25">
        <f>MONTH(F393)</f>
        <v/>
      </c>
      <c r="AW393" s="65">
        <f>IF(AP393="",100%,0%)</f>
        <v/>
      </c>
      <c r="AX393" s="23" t="n"/>
      <c r="AY393" s="24">
        <f>IF(M393=0,"",M393-$AX$2)</f>
        <v/>
      </c>
      <c r="AZ393" s="66">
        <f>IF(AND(W393="",AY393&gt;0,AY393&lt;15),1,0)</f>
        <v/>
      </c>
      <c r="BA393" s="24">
        <f>IF(AND(W393="",AY393&gt;0,AY393&lt;15),T393,"")</f>
        <v/>
      </c>
      <c r="BB393" s="87">
        <f>IF(R393&lt;Q393,"X","")</f>
        <v/>
      </c>
      <c r="BC393" s="190" t="inlineStr">
        <is>
          <t>NO</t>
        </is>
      </c>
      <c r="BD393" s="190" t="inlineStr">
        <is>
          <t>NO</t>
        </is>
      </c>
    </row>
    <row r="394" ht="15" customHeight="1" s="162">
      <c r="A394" s="7" t="n">
        <v>393</v>
      </c>
      <c r="B394" t="inlineStr">
        <is>
          <t>1359900000500</t>
        </is>
      </c>
      <c r="C394" t="inlineStr">
        <is>
          <t>COMPRA DIRECTA ELECTRICOS/ELECTRONICOS</t>
        </is>
      </c>
      <c r="D394" t="inlineStr">
        <is>
          <t>1101841174</t>
        </is>
      </c>
      <c r="E394" t="inlineStr">
        <is>
          <t>1</t>
        </is>
      </c>
      <c r="F394" s="163" t="n">
        <v>45712</v>
      </c>
      <c r="G394" t="inlineStr"/>
      <c r="H394" t="inlineStr">
        <is>
          <t>4200600371</t>
        </is>
      </c>
      <c r="I394" t="inlineStr">
        <is>
          <t>10</t>
        </is>
      </c>
      <c r="J394" s="163" t="n">
        <v>45716</v>
      </c>
      <c r="K394" s="163" t="n">
        <v>45719</v>
      </c>
      <c r="L394" t="inlineStr"/>
      <c r="M394" s="163" t="n">
        <v>45730</v>
      </c>
      <c r="N394" s="164" t="n">
        <v>30</v>
      </c>
      <c r="O394" s="164" t="n">
        <v>8</v>
      </c>
      <c r="P394" t="inlineStr">
        <is>
          <t>Liberado</t>
        </is>
      </c>
      <c r="Q394" s="165" t="n">
        <v>1</v>
      </c>
      <c r="R394" s="165" t="n">
        <v>1</v>
      </c>
      <c r="S394" s="165" t="n">
        <v>1</v>
      </c>
      <c r="T394" s="165" t="n">
        <v>0</v>
      </c>
      <c r="U394" s="166" t="n">
        <v>0</v>
      </c>
      <c r="V394" s="166" t="n">
        <v>0</v>
      </c>
      <c r="W394" t="inlineStr">
        <is>
          <t>X</t>
        </is>
      </c>
      <c r="X394" t="inlineStr">
        <is>
          <t>0.00</t>
        </is>
      </c>
      <c r="Y394" t="inlineStr"/>
      <c r="Z394" t="inlineStr">
        <is>
          <t>SARVER S.L.</t>
        </is>
      </c>
      <c r="AA394" t="inlineStr">
        <is>
          <t>OTROS FABRICANTES</t>
        </is>
      </c>
      <c r="AB394" t="inlineStr">
        <is>
          <t>1359900000500</t>
        </is>
      </c>
      <c r="AC394" t="inlineStr"/>
      <c r="AD394" s="164" t="n">
        <v>0</v>
      </c>
      <c r="AE394" s="185" t="n">
        <v>0</v>
      </c>
      <c r="AG394" s="167" t="inlineStr">
        <is>
          <t>7218|JA2583_1001</t>
        </is>
      </c>
      <c r="AH394" s="46">
        <f>IF(M394=0,"-",M394-J394)</f>
        <v/>
      </c>
      <c r="AI394" s="46">
        <f>IF(AND(S394=0,M394&gt;0,L394=0),IF(AH394&gt;=120,"VERY HIGH",IF(AH394&gt;=90,"HIGH",IF(AH394&gt;=60,"MEDIUM",IF(AH394&lt;60,"LOW")))),"-")</f>
        <v/>
      </c>
      <c r="AJ394" s="12" t="n"/>
      <c r="AK394" s="41">
        <f>IF(AND(W394="X",M394&lt;=$AJ$2),"YES","")</f>
        <v/>
      </c>
      <c r="AL394" s="38">
        <f>IF(AND(W394="X",M394&lt;=$AJ$2),S394,"")</f>
        <v/>
      </c>
      <c r="AM394" s="26">
        <f>IF(AND(W394="X",M394&gt;$AJ$2),"YES","")</f>
        <v/>
      </c>
      <c r="AN394" s="89">
        <f>IF(AND(W394="X",M394&gt;$AJ$2),S394,"")</f>
        <v/>
      </c>
      <c r="AO394" s="35">
        <f>IF(AND(W394="",M394&gt;0,$AJ$2&gt;M394,L394=""),1,0)</f>
        <v/>
      </c>
      <c r="AP394" s="26">
        <f>IF(AND(AK394="YES",W394="X"),"X","")</f>
        <v/>
      </c>
      <c r="AQ394" s="28">
        <f>IF(AP394="X",100%,0%)</f>
        <v/>
      </c>
      <c r="AR394" s="25">
        <f>IF(AND(T394&gt;0,L394=""),H394,"")</f>
        <v/>
      </c>
      <c r="AS394" s="25">
        <f>IF(AND(D394&gt;0,H394=0,G394=""),1,"")</f>
        <v/>
      </c>
      <c r="AT394" s="25">
        <f>IF(G394="BLOQ",1,"")</f>
        <v/>
      </c>
      <c r="AU394" s="25">
        <f>IF(L394="BLOQ",1,"")</f>
        <v/>
      </c>
      <c r="AV394" s="25">
        <f>MONTH(F394)</f>
        <v/>
      </c>
      <c r="AW394" s="65">
        <f>IF(AP394="",100%,0%)</f>
        <v/>
      </c>
      <c r="AX394" s="23" t="n"/>
      <c r="AY394" s="24">
        <f>IF(M394=0,"",M394-$AX$2)</f>
        <v/>
      </c>
      <c r="AZ394" s="66">
        <f>IF(AND(W394="",AY394&gt;0,AY394&lt;15),1,0)</f>
        <v/>
      </c>
      <c r="BA394" s="24">
        <f>IF(AND(W394="",AY394&gt;0,AY394&lt;15),T394,"")</f>
        <v/>
      </c>
      <c r="BB394" s="87">
        <f>IF(R394&lt;Q394,"X","")</f>
        <v/>
      </c>
      <c r="BC394" s="190" t="inlineStr">
        <is>
          <t>NO</t>
        </is>
      </c>
      <c r="BD394" s="190" t="inlineStr">
        <is>
          <t>NO</t>
        </is>
      </c>
    </row>
    <row r="395" ht="15" customHeight="1" s="162">
      <c r="A395" s="7" t="n">
        <v>394</v>
      </c>
      <c r="B395" t="inlineStr">
        <is>
          <t>39121412</t>
        </is>
      </c>
      <c r="C395" t="inlineStr">
        <is>
          <t>Carcasa de conector circular Amphenol Li</t>
        </is>
      </c>
      <c r="D395" t="inlineStr">
        <is>
          <t>1101841553</t>
        </is>
      </c>
      <c r="E395" t="inlineStr">
        <is>
          <t>1</t>
        </is>
      </c>
      <c r="F395" s="163" t="n">
        <v>45713</v>
      </c>
      <c r="G395" t="inlineStr"/>
      <c r="H395" t="inlineStr">
        <is>
          <t>4800002909</t>
        </is>
      </c>
      <c r="I395" t="inlineStr">
        <is>
          <t>70</t>
        </is>
      </c>
      <c r="J395" s="163" t="n">
        <v>45713</v>
      </c>
      <c r="K395" s="163" t="inlineStr"/>
      <c r="L395" t="inlineStr"/>
      <c r="M395" s="163" t="n">
        <v>45714</v>
      </c>
      <c r="N395" s="164" t="n">
        <v>0</v>
      </c>
      <c r="O395" s="164" t="n">
        <v>0</v>
      </c>
      <c r="P395" t="inlineStr"/>
      <c r="Q395" s="165" t="n">
        <v>2</v>
      </c>
      <c r="R395" s="165" t="n">
        <v>2</v>
      </c>
      <c r="S395" s="165" t="n">
        <v>2</v>
      </c>
      <c r="T395" s="165" t="n">
        <v>0</v>
      </c>
      <c r="U395" s="166" t="n">
        <v>0</v>
      </c>
      <c r="V395" s="166" t="n">
        <v>0</v>
      </c>
      <c r="W395" t="inlineStr">
        <is>
          <t>X</t>
        </is>
      </c>
      <c r="X395" t="inlineStr">
        <is>
          <t>0.00</t>
        </is>
      </c>
      <c r="Y395" t="inlineStr"/>
      <c r="Z395" t="inlineStr">
        <is>
          <t>AMIDATA, S.A.</t>
        </is>
      </c>
      <c r="AA395" t="inlineStr"/>
      <c r="AB395" t="inlineStr">
        <is>
          <t>2067532</t>
        </is>
      </c>
      <c r="AC395" t="inlineStr"/>
      <c r="AD395" s="164" t="n">
        <v>0</v>
      </c>
      <c r="AE395" s="185" t="n">
        <v>0</v>
      </c>
      <c r="AG395" s="167" t="inlineStr">
        <is>
          <t>7218|JA2593_1001</t>
        </is>
      </c>
      <c r="AH395" s="46">
        <f>IF(M395=0,"-",M395-J395)</f>
        <v/>
      </c>
      <c r="AI395" s="46">
        <f>IF(AND(S395=0,M395&gt;0,L395=0),IF(AH395&gt;=120,"VERY HIGH",IF(AH395&gt;=90,"HIGH",IF(AH395&gt;=60,"MEDIUM",IF(AH395&lt;60,"LOW")))),"-")</f>
        <v/>
      </c>
      <c r="AJ395" s="12" t="n"/>
      <c r="AK395" s="41">
        <f>IF(AND(W395="X",M395&lt;=$AJ$2),"YES","")</f>
        <v/>
      </c>
      <c r="AL395" s="38">
        <f>IF(AND(W395="X",M395&lt;=$AJ$2),S395,"")</f>
        <v/>
      </c>
      <c r="AM395" s="26">
        <f>IF(AND(W395="X",M395&gt;$AJ$2),"YES","")</f>
        <v/>
      </c>
      <c r="AN395" s="89">
        <f>IF(AND(W395="X",M395&gt;$AJ$2),S395,"")</f>
        <v/>
      </c>
      <c r="AO395" s="35">
        <f>IF(AND(W395="",M395&gt;0,$AJ$2&gt;M395,L395=""),1,0)</f>
        <v/>
      </c>
      <c r="AP395" s="26">
        <f>IF(AND(AK395="YES",W395="X"),"X","")</f>
        <v/>
      </c>
      <c r="AQ395" s="28">
        <f>IF(AP395="X",100%,0%)</f>
        <v/>
      </c>
      <c r="AR395" s="25">
        <f>IF(AND(T395&gt;0,L395=""),H395,"")</f>
        <v/>
      </c>
      <c r="AS395" s="25">
        <f>IF(AND(D395&gt;0,H395=0,G395=""),1,"")</f>
        <v/>
      </c>
      <c r="AT395" s="25">
        <f>IF(G395="BLOQ",1,"")</f>
        <v/>
      </c>
      <c r="AU395" s="25">
        <f>IF(L395="BLOQ",1,"")</f>
        <v/>
      </c>
      <c r="AV395" s="25">
        <f>MONTH(F395)</f>
        <v/>
      </c>
      <c r="AW395" s="65">
        <f>IF(AP395="",100%,0%)</f>
        <v/>
      </c>
      <c r="AX395" s="23" t="n"/>
      <c r="AY395" s="24">
        <f>IF(M395=0,"",M395-$AX$2)</f>
        <v/>
      </c>
      <c r="AZ395" s="66">
        <f>IF(AND(W395="",AY395&gt;0,AY395&lt;15),1,0)</f>
        <v/>
      </c>
      <c r="BA395" s="24">
        <f>IF(AND(W395="",AY395&gt;0,AY395&lt;15),T395,"")</f>
        <v/>
      </c>
      <c r="BB395" s="87">
        <f>IF(R395&lt;Q395,"X","")</f>
        <v/>
      </c>
      <c r="BC395" s="190" t="inlineStr">
        <is>
          <t>NO</t>
        </is>
      </c>
      <c r="BD395" s="190" t="inlineStr">
        <is>
          <t>NO</t>
        </is>
      </c>
    </row>
    <row r="396" ht="15" customHeight="1" s="162">
      <c r="A396" s="7" t="n">
        <v>395</v>
      </c>
      <c r="B396" t="inlineStr">
        <is>
          <t>43201404</t>
        </is>
      </c>
      <c r="C396" t="inlineStr">
        <is>
          <t>Adaptador de red USB 3.0 StarTech.com, c</t>
        </is>
      </c>
      <c r="D396" t="inlineStr">
        <is>
          <t>1101841555</t>
        </is>
      </c>
      <c r="E396" t="inlineStr">
        <is>
          <t>1</t>
        </is>
      </c>
      <c r="F396" s="163" t="n">
        <v>45713</v>
      </c>
      <c r="G396" t="inlineStr"/>
      <c r="H396" t="inlineStr">
        <is>
          <t>4800002909</t>
        </is>
      </c>
      <c r="I396" t="inlineStr">
        <is>
          <t>110</t>
        </is>
      </c>
      <c r="J396" s="163" t="n">
        <v>45713</v>
      </c>
      <c r="K396" s="163" t="inlineStr"/>
      <c r="L396" t="inlineStr"/>
      <c r="M396" s="163" t="n">
        <v>45714</v>
      </c>
      <c r="N396" s="164" t="n">
        <v>0</v>
      </c>
      <c r="O396" s="164" t="n">
        <v>0</v>
      </c>
      <c r="P396" t="inlineStr"/>
      <c r="Q396" s="165" t="n">
        <v>1</v>
      </c>
      <c r="R396" s="165" t="n">
        <v>1</v>
      </c>
      <c r="S396" s="165" t="n">
        <v>1</v>
      </c>
      <c r="T396" s="165" t="n">
        <v>0</v>
      </c>
      <c r="U396" s="166" t="n">
        <v>0</v>
      </c>
      <c r="V396" s="166" t="n">
        <v>0</v>
      </c>
      <c r="W396" t="inlineStr">
        <is>
          <t>X</t>
        </is>
      </c>
      <c r="X396" t="inlineStr">
        <is>
          <t>0.00</t>
        </is>
      </c>
      <c r="Y396" t="inlineStr"/>
      <c r="Z396" t="inlineStr">
        <is>
          <t>AMIDATA, S.A.</t>
        </is>
      </c>
      <c r="AA396" t="inlineStr"/>
      <c r="AB396" t="inlineStr">
        <is>
          <t>1862768</t>
        </is>
      </c>
      <c r="AC396" t="inlineStr"/>
      <c r="AD396" s="164" t="n">
        <v>0</v>
      </c>
      <c r="AE396" s="185" t="n">
        <v>0</v>
      </c>
      <c r="AG396" s="167" t="inlineStr">
        <is>
          <t>7218|JA2585_1001</t>
        </is>
      </c>
      <c r="AH396" s="46">
        <f>IF(M396=0,"-",M396-J396)</f>
        <v/>
      </c>
      <c r="AI396" s="46">
        <f>IF(AND(S396=0,M396&gt;0,L396=0),IF(AH396&gt;=120,"VERY HIGH",IF(AH396&gt;=90,"HIGH",IF(AH396&gt;=60,"MEDIUM",IF(AH396&lt;60,"LOW")))),"-")</f>
        <v/>
      </c>
      <c r="AJ396" s="12" t="n"/>
      <c r="AK396" s="41">
        <f>IF(AND(W396="X",M396&lt;=$AJ$2),"YES","")</f>
        <v/>
      </c>
      <c r="AL396" s="38">
        <f>IF(AND(W396="X",M396&lt;=$AJ$2),S396,"")</f>
        <v/>
      </c>
      <c r="AM396" s="26">
        <f>IF(AND(W396="X",M396&gt;$AJ$2),"YES","")</f>
        <v/>
      </c>
      <c r="AN396" s="89">
        <f>IF(AND(W396="X",M396&gt;$AJ$2),S396,"")</f>
        <v/>
      </c>
      <c r="AO396" s="35">
        <f>IF(AND(W396="",M396&gt;0,$AJ$2&gt;M396,L396=""),1,0)</f>
        <v/>
      </c>
      <c r="AP396" s="26">
        <f>IF(AND(AK396="YES",W396="X"),"X","")</f>
        <v/>
      </c>
      <c r="AQ396" s="28">
        <f>IF(AP396="X",100%,0%)</f>
        <v/>
      </c>
      <c r="AR396" s="25">
        <f>IF(AND(T396&gt;0,L396=""),H396,"")</f>
        <v/>
      </c>
      <c r="AS396" s="25">
        <f>IF(AND(D396&gt;0,H396=0,G396=""),1,"")</f>
        <v/>
      </c>
      <c r="AT396" s="25">
        <f>IF(G396="BLOQ",1,"")</f>
        <v/>
      </c>
      <c r="AU396" s="25">
        <f>IF(L396="BLOQ",1,"")</f>
        <v/>
      </c>
      <c r="AV396" s="25">
        <f>MONTH(F396)</f>
        <v/>
      </c>
      <c r="AW396" s="65">
        <f>IF(AP396="",100%,0%)</f>
        <v/>
      </c>
      <c r="AX396" s="23" t="n"/>
      <c r="AY396" s="24">
        <f>IF(M396=0,"",M396-$AX$2)</f>
        <v/>
      </c>
      <c r="AZ396" s="66">
        <f>IF(AND(W396="",AY396&gt;0,AY396&lt;15),1,0)</f>
        <v/>
      </c>
      <c r="BA396" s="24">
        <f>IF(AND(W396="",AY396&gt;0,AY396&lt;15),T396,"")</f>
        <v/>
      </c>
      <c r="BB396" s="87">
        <f>IF(R396&lt;Q396,"X","")</f>
        <v/>
      </c>
      <c r="BC396" s="190" t="inlineStr">
        <is>
          <t>NO</t>
        </is>
      </c>
      <c r="BD396" s="190" t="inlineStr">
        <is>
          <t>NO</t>
        </is>
      </c>
    </row>
    <row r="397" ht="15" customHeight="1" s="162">
      <c r="A397" s="7" t="n">
        <v>396</v>
      </c>
      <c r="B397" t="inlineStr"/>
      <c r="C397" t="inlineStr">
        <is>
          <t>TRABAJOS SIMULADOR A320</t>
        </is>
      </c>
      <c r="D397" t="inlineStr">
        <is>
          <t>1101841755</t>
        </is>
      </c>
      <c r="E397" t="inlineStr">
        <is>
          <t>1</t>
        </is>
      </c>
      <c r="F397" s="163" t="n">
        <v>45713</v>
      </c>
      <c r="G397" t="inlineStr"/>
      <c r="H397" t="inlineStr">
        <is>
          <t>4300341780</t>
        </is>
      </c>
      <c r="I397" t="inlineStr">
        <is>
          <t>20</t>
        </is>
      </c>
      <c r="J397" s="163" t="n">
        <v>45719</v>
      </c>
      <c r="K397" s="163" t="n">
        <v>45720</v>
      </c>
      <c r="L397" t="inlineStr"/>
      <c r="M397" s="163" t="n">
        <v>45713</v>
      </c>
      <c r="N397" s="164" t="n">
        <v>0</v>
      </c>
      <c r="O397" s="164" t="n">
        <v>0</v>
      </c>
      <c r="P397" t="inlineStr">
        <is>
          <t>Liberado</t>
        </is>
      </c>
      <c r="Q397" s="166" t="n">
        <v>1</v>
      </c>
      <c r="R397" s="164" t="n">
        <v>1</v>
      </c>
      <c r="S397" s="164" t="n">
        <v>0</v>
      </c>
      <c r="T397" s="164" t="n">
        <v>0</v>
      </c>
      <c r="U397" s="166" t="n">
        <v>0</v>
      </c>
      <c r="V397" s="166" t="n">
        <v>0</v>
      </c>
      <c r="W397" t="inlineStr">
        <is>
          <t>X</t>
        </is>
      </c>
      <c r="X397" t="inlineStr">
        <is>
          <t>0.00</t>
        </is>
      </c>
      <c r="Y397" t="inlineStr"/>
      <c r="Z397" t="inlineStr">
        <is>
          <t>TALLERES SANTIAGO DATO, S.L.U.</t>
        </is>
      </c>
      <c r="AA397" t="inlineStr"/>
      <c r="AB397" t="inlineStr"/>
      <c r="AC397" t="inlineStr"/>
      <c r="AD397" s="164" t="n">
        <v>0</v>
      </c>
      <c r="AE397" s="185" t="n">
        <v>0</v>
      </c>
      <c r="AG397" s="167" t="inlineStr">
        <is>
          <t>7218|JA2593_1001</t>
        </is>
      </c>
      <c r="AH397" s="46">
        <f>IF(M397=0,"-",M397-J397)</f>
        <v/>
      </c>
      <c r="AI397" s="46">
        <f>IF(AND(S397=0,M397&gt;0,L397=0),IF(AH397&gt;=120,"VERY HIGH",IF(AH397&gt;=90,"HIGH",IF(AH397&gt;=60,"MEDIUM",IF(AH397&lt;60,"LOW")))),"-")</f>
        <v/>
      </c>
      <c r="AJ397" s="12" t="n"/>
      <c r="AK397" s="41">
        <f>IF(AND(W397="X",M397&lt;=$AJ$2),"YES","")</f>
        <v/>
      </c>
      <c r="AL397" s="38">
        <f>IF(AND(W397="X",M397&lt;=$AJ$2),S397,"")</f>
        <v/>
      </c>
      <c r="AM397" s="26">
        <f>IF(AND(W397="X",M397&gt;$AJ$2),"YES","")</f>
        <v/>
      </c>
      <c r="AN397" s="89">
        <f>IF(AND(W397="X",M397&gt;$AJ$2),S397,"")</f>
        <v/>
      </c>
      <c r="AO397" s="35">
        <f>IF(AND(W397="",M397&gt;0,$AJ$2&gt;M397,L397=""),1,0)</f>
        <v/>
      </c>
      <c r="AP397" s="26">
        <f>IF(AND(AK397="YES",W397="X"),"X","")</f>
        <v/>
      </c>
      <c r="AQ397" s="28">
        <f>IF(AP397="X",100%,0%)</f>
        <v/>
      </c>
      <c r="AR397" s="25">
        <f>IF(AND(T397&gt;0,L397=""),H397,"")</f>
        <v/>
      </c>
      <c r="AS397" s="25">
        <f>IF(AND(D397&gt;0,H397=0,G397=""),1,"")</f>
        <v/>
      </c>
      <c r="AT397" s="25">
        <f>IF(G397="BLOQ",1,"")</f>
        <v/>
      </c>
      <c r="AU397" s="25">
        <f>IF(L397="BLOQ",1,"")</f>
        <v/>
      </c>
      <c r="AV397" s="25">
        <f>MONTH(F397)</f>
        <v/>
      </c>
      <c r="AW397" s="65">
        <f>IF(AP397="",100%,0%)</f>
        <v/>
      </c>
      <c r="AX397" s="23" t="n"/>
      <c r="AY397" s="24">
        <f>IF(M397=0,"",M397-$AX$2)</f>
        <v/>
      </c>
      <c r="AZ397" s="66">
        <f>IF(AND(W397="",AY397&gt;0,AY397&lt;15),1,0)</f>
        <v/>
      </c>
      <c r="BA397" s="24">
        <f>IF(AND(W397="",AY397&gt;0,AY397&lt;15),T397,"")</f>
        <v/>
      </c>
      <c r="BB397" s="87">
        <f>IF(R397&lt;Q397,"X","")</f>
        <v/>
      </c>
      <c r="BC397" s="190" t="inlineStr">
        <is>
          <t>NO</t>
        </is>
      </c>
      <c r="BD397" s="190" t="inlineStr">
        <is>
          <t>NO</t>
        </is>
      </c>
    </row>
    <row r="398" ht="15" customHeight="1" s="162">
      <c r="A398" s="7" t="n">
        <v>397</v>
      </c>
      <c r="B398" t="inlineStr"/>
      <c r="C398" t="inlineStr">
        <is>
          <t>MODIFICACION SIMULADOR A320</t>
        </is>
      </c>
      <c r="D398" t="inlineStr">
        <is>
          <t>1101842371</t>
        </is>
      </c>
      <c r="E398" t="inlineStr">
        <is>
          <t>1</t>
        </is>
      </c>
      <c r="F398" s="163" t="n">
        <v>45714</v>
      </c>
      <c r="G398" t="inlineStr"/>
      <c r="H398" t="inlineStr">
        <is>
          <t>4300341835</t>
        </is>
      </c>
      <c r="I398" t="inlineStr">
        <is>
          <t>10</t>
        </is>
      </c>
      <c r="J398" s="163" t="n">
        <v>45720</v>
      </c>
      <c r="K398" s="163" t="n">
        <v>45722</v>
      </c>
      <c r="L398" t="inlineStr"/>
      <c r="M398" s="163" t="n">
        <v>45730</v>
      </c>
      <c r="N398" s="164" t="n">
        <v>0</v>
      </c>
      <c r="O398" s="164" t="n">
        <v>0</v>
      </c>
      <c r="P398" t="inlineStr">
        <is>
          <t>Liberado</t>
        </is>
      </c>
      <c r="Q398" s="166" t="n">
        <v>1</v>
      </c>
      <c r="R398" s="164" t="n">
        <v>1</v>
      </c>
      <c r="S398" s="164" t="n">
        <v>0</v>
      </c>
      <c r="T398" s="164" t="n">
        <v>0</v>
      </c>
      <c r="U398" s="166" t="n">
        <v>0</v>
      </c>
      <c r="V398" s="166" t="n">
        <v>0</v>
      </c>
      <c r="W398" t="inlineStr">
        <is>
          <t>X</t>
        </is>
      </c>
      <c r="X398" t="inlineStr">
        <is>
          <t>0.00</t>
        </is>
      </c>
      <c r="Y398" t="inlineStr"/>
      <c r="Z398" t="inlineStr">
        <is>
          <t>AUXITEL, S.L.</t>
        </is>
      </c>
      <c r="AA398" t="inlineStr"/>
      <c r="AB398" t="inlineStr"/>
      <c r="AC398" t="inlineStr"/>
      <c r="AD398" s="164" t="n">
        <v>0</v>
      </c>
      <c r="AE398" s="185" t="n">
        <v>0</v>
      </c>
      <c r="AG398" s="167" t="inlineStr">
        <is>
          <t>7218|JA2593_1001</t>
        </is>
      </c>
      <c r="AH398" s="46">
        <f>IF(M398=0,"-",M398-J398)</f>
        <v/>
      </c>
      <c r="AI398" s="46">
        <f>IF(AND(S398=0,M398&gt;0,L398=0),IF(AH398&gt;=120,"VERY HIGH",IF(AH398&gt;=90,"HIGH",IF(AH398&gt;=60,"MEDIUM",IF(AH398&lt;60,"LOW")))),"-")</f>
        <v/>
      </c>
      <c r="AJ398" s="12" t="n"/>
      <c r="AK398" s="41">
        <f>IF(AND(W398="X",M398&lt;=$AJ$2),"YES","")</f>
        <v/>
      </c>
      <c r="AL398" s="38">
        <f>IF(AND(W398="X",M398&lt;=$AJ$2),S398,"")</f>
        <v/>
      </c>
      <c r="AM398" s="26">
        <f>IF(AND(W398="X",M398&gt;$AJ$2),"YES","")</f>
        <v/>
      </c>
      <c r="AN398" s="89">
        <f>IF(AND(W398="X",M398&gt;$AJ$2),S398,"")</f>
        <v/>
      </c>
      <c r="AO398" s="35">
        <f>IF(AND(W398="",M398&gt;0,$AJ$2&gt;M398,L398=""),1,0)</f>
        <v/>
      </c>
      <c r="AP398" s="26">
        <f>IF(AND(AK398="YES",W398="X"),"X","")</f>
        <v/>
      </c>
      <c r="AQ398" s="28">
        <f>IF(AP398="X",100%,0%)</f>
        <v/>
      </c>
      <c r="AR398" s="25">
        <f>IF(AND(T398&gt;0,L398=""),H398,"")</f>
        <v/>
      </c>
      <c r="AS398" s="25">
        <f>IF(AND(D398&gt;0,H398=0,G398=""),1,"")</f>
        <v/>
      </c>
      <c r="AT398" s="25">
        <f>IF(G398="BLOQ",1,"")</f>
        <v/>
      </c>
      <c r="AU398" s="25">
        <f>IF(L398="BLOQ",1,"")</f>
        <v/>
      </c>
      <c r="AV398" s="25">
        <f>MONTH(F398)</f>
        <v/>
      </c>
      <c r="AW398" s="65">
        <f>IF(AP398="",100%,0%)</f>
        <v/>
      </c>
      <c r="AX398" s="23" t="n"/>
      <c r="AY398" s="24">
        <f>IF(M398=0,"",M398-$AX$2)</f>
        <v/>
      </c>
      <c r="AZ398" s="66">
        <f>IF(AND(W398="",AY398&gt;0,AY398&lt;15),1,0)</f>
        <v/>
      </c>
      <c r="BA398" s="24">
        <f>IF(AND(W398="",AY398&gt;0,AY398&lt;15),T398,"")</f>
        <v/>
      </c>
      <c r="BB398" s="87">
        <f>IF(R398&lt;Q398,"X","")</f>
        <v/>
      </c>
      <c r="BC398" s="190" t="inlineStr">
        <is>
          <t>NO</t>
        </is>
      </c>
      <c r="BD398" s="190" t="inlineStr">
        <is>
          <t>NO</t>
        </is>
      </c>
    </row>
    <row r="399" ht="15" customHeight="1" s="162">
      <c r="A399" s="7" t="n">
        <v>398</v>
      </c>
      <c r="B399" t="inlineStr">
        <is>
          <t>39122221</t>
        </is>
      </c>
      <c r="C399" t="inlineStr">
        <is>
          <t>Bloque de contactos Schneider Electric Z</t>
        </is>
      </c>
      <c r="D399" t="inlineStr">
        <is>
          <t>1101843367</t>
        </is>
      </c>
      <c r="E399" t="inlineStr">
        <is>
          <t>1</t>
        </is>
      </c>
      <c r="F399" s="163" t="n">
        <v>45716</v>
      </c>
      <c r="G399" t="inlineStr"/>
      <c r="H399" t="inlineStr">
        <is>
          <t>4800002913</t>
        </is>
      </c>
      <c r="I399" t="inlineStr">
        <is>
          <t>630</t>
        </is>
      </c>
      <c r="J399" s="163" t="n">
        <v>45715</v>
      </c>
      <c r="K399" s="163" t="inlineStr"/>
      <c r="L399" t="inlineStr"/>
      <c r="M399" s="163" t="n">
        <v>45717</v>
      </c>
      <c r="N399" s="164" t="n">
        <v>0</v>
      </c>
      <c r="O399" s="164" t="n">
        <v>0</v>
      </c>
      <c r="P399" t="inlineStr"/>
      <c r="Q399" s="165" t="n">
        <v>4</v>
      </c>
      <c r="R399" s="165" t="n">
        <v>4</v>
      </c>
      <c r="S399" s="165" t="n">
        <v>4</v>
      </c>
      <c r="T399" s="165" t="n">
        <v>0</v>
      </c>
      <c r="U399" s="166" t="n">
        <v>0</v>
      </c>
      <c r="V399" s="166" t="n">
        <v>0</v>
      </c>
      <c r="W399" t="inlineStr">
        <is>
          <t>X</t>
        </is>
      </c>
      <c r="X399" t="inlineStr">
        <is>
          <t>0.00</t>
        </is>
      </c>
      <c r="Y399" t="inlineStr"/>
      <c r="Z399" t="inlineStr">
        <is>
          <t>AMIDATA, S.A.</t>
        </is>
      </c>
      <c r="AA399" t="inlineStr"/>
      <c r="AB399" t="inlineStr">
        <is>
          <t>3310489</t>
        </is>
      </c>
      <c r="AC399" t="inlineStr"/>
      <c r="AD399" s="164" t="n">
        <v>0</v>
      </c>
      <c r="AE399" s="185" t="n">
        <v>0</v>
      </c>
      <c r="AG399" s="167" t="inlineStr">
        <is>
          <t>7218|JA2582_1001</t>
        </is>
      </c>
      <c r="AH399" s="46">
        <f>IF(M399=0,"-",M399-J399)</f>
        <v/>
      </c>
      <c r="AI399" s="46">
        <f>IF(AND(S399=0,M399&gt;0,L399=0),IF(AH399&gt;=120,"VERY HIGH",IF(AH399&gt;=90,"HIGH",IF(AH399&gt;=60,"MEDIUM",IF(AH399&lt;60,"LOW")))),"-")</f>
        <v/>
      </c>
      <c r="AJ399" s="12" t="n"/>
      <c r="AK399" s="41">
        <f>IF(AND(W399="X",M399&lt;=$AJ$2),"YES","")</f>
        <v/>
      </c>
      <c r="AL399" s="38">
        <f>IF(AND(W399="X",M399&lt;=$AJ$2),S399,"")</f>
        <v/>
      </c>
      <c r="AM399" s="26">
        <f>IF(AND(W399="X",M399&gt;$AJ$2),"YES","")</f>
        <v/>
      </c>
      <c r="AN399" s="89">
        <f>IF(AND(W399="X",M399&gt;$AJ$2),S399,"")</f>
        <v/>
      </c>
      <c r="AO399" s="35">
        <f>IF(AND(W399="",M399&gt;0,$AJ$2&gt;M399,L399=""),1,0)</f>
        <v/>
      </c>
      <c r="AP399" s="26">
        <f>IF(AND(AK399="YES",W399="X"),"X","")</f>
        <v/>
      </c>
      <c r="AQ399" s="28">
        <f>IF(AP399="X",100%,0%)</f>
        <v/>
      </c>
      <c r="AR399" s="25">
        <f>IF(AND(T399&gt;0,L399=""),H399,"")</f>
        <v/>
      </c>
      <c r="AS399" s="25">
        <f>IF(AND(D399&gt;0,H399=0,G399=""),1,"")</f>
        <v/>
      </c>
      <c r="AT399" s="25">
        <f>IF(G399="BLOQ",1,"")</f>
        <v/>
      </c>
      <c r="AU399" s="25">
        <f>IF(L399="BLOQ",1,"")</f>
        <v/>
      </c>
      <c r="AV399" s="25">
        <f>MONTH(F399)</f>
        <v/>
      </c>
      <c r="AW399" s="65">
        <f>IF(AP399="",100%,0%)</f>
        <v/>
      </c>
      <c r="AX399" s="23" t="n"/>
      <c r="AY399" s="24">
        <f>IF(M399=0,"",M399-$AX$2)</f>
        <v/>
      </c>
      <c r="AZ399" s="66">
        <f>IF(AND(W399="",AY399&gt;0,AY399&lt;15),1,0)</f>
        <v/>
      </c>
      <c r="BA399" s="24">
        <f>IF(AND(W399="",AY399&gt;0,AY399&lt;15),T399,"")</f>
        <v/>
      </c>
      <c r="BB399" s="87">
        <f>IF(R399&lt;Q399,"X","")</f>
        <v/>
      </c>
      <c r="BC399" s="190" t="inlineStr">
        <is>
          <t>NO</t>
        </is>
      </c>
      <c r="BD399" s="190" t="inlineStr">
        <is>
          <t>NO</t>
        </is>
      </c>
    </row>
    <row r="400" ht="15" customHeight="1" s="162">
      <c r="A400" s="7" t="n">
        <v>399</v>
      </c>
      <c r="B400" t="inlineStr"/>
      <c r="C400" t="inlineStr">
        <is>
          <t>ANALISIS DE LOS MEDIOS EXISTENTES</t>
        </is>
      </c>
      <c r="D400" t="inlineStr">
        <is>
          <t>1101843533</t>
        </is>
      </c>
      <c r="E400" t="inlineStr">
        <is>
          <t>1</t>
        </is>
      </c>
      <c r="F400" s="163" t="n">
        <v>45719</v>
      </c>
      <c r="G400" t="inlineStr"/>
      <c r="H400" t="inlineStr">
        <is>
          <t>4300341826</t>
        </is>
      </c>
      <c r="I400" t="inlineStr">
        <is>
          <t>10</t>
        </is>
      </c>
      <c r="J400" s="163" t="n">
        <v>45720</v>
      </c>
      <c r="K400" s="163" t="n">
        <v>45726</v>
      </c>
      <c r="L400" t="inlineStr"/>
      <c r="M400" s="163" t="n">
        <v>45808</v>
      </c>
      <c r="N400" s="164" t="n">
        <v>0</v>
      </c>
      <c r="O400" s="164" t="n">
        <v>0</v>
      </c>
      <c r="P400" t="inlineStr">
        <is>
          <t>Liberado</t>
        </is>
      </c>
      <c r="Q400" s="166" t="n">
        <v>1</v>
      </c>
      <c r="R400" s="164" t="n">
        <v>1</v>
      </c>
      <c r="S400" s="164" t="n">
        <v>0</v>
      </c>
      <c r="T400" s="164" t="n">
        <v>0</v>
      </c>
      <c r="U400" s="166" t="n">
        <v>0</v>
      </c>
      <c r="V400" s="166" t="n">
        <v>0</v>
      </c>
      <c r="W400" t="inlineStr">
        <is>
          <t>X</t>
        </is>
      </c>
      <c r="X400" t="inlineStr">
        <is>
          <t>0.00</t>
        </is>
      </c>
      <c r="Y400" t="inlineStr"/>
      <c r="Z400" t="inlineStr">
        <is>
          <t>HILTI ESPAÑOLA, S.A.</t>
        </is>
      </c>
      <c r="AA400" t="inlineStr"/>
      <c r="AB400" t="inlineStr"/>
      <c r="AC400" t="inlineStr"/>
      <c r="AD400" s="164" t="n">
        <v>1</v>
      </c>
      <c r="AE400" s="185" t="n">
        <v>1</v>
      </c>
      <c r="AG400" s="167" t="inlineStr">
        <is>
          <t>7218|JA2594_1001</t>
        </is>
      </c>
      <c r="AH400" s="46">
        <f>IF(M400=0,"-",M400-J400)</f>
        <v/>
      </c>
      <c r="AI400" s="46">
        <f>IF(AND(S400=0,M400&gt;0,L400=0),IF(AH400&gt;=120,"VERY HIGH",IF(AH400&gt;=90,"HIGH",IF(AH400&gt;=60,"MEDIUM",IF(AH400&lt;60,"LOW")))),"-")</f>
        <v/>
      </c>
      <c r="AJ400" s="12" t="n"/>
      <c r="AK400" s="41">
        <f>IF(AND(W400="X",M400&lt;=$AJ$2),"YES","")</f>
        <v/>
      </c>
      <c r="AL400" s="38">
        <f>IF(AND(W400="X",M400&lt;=$AJ$2),S400,"")</f>
        <v/>
      </c>
      <c r="AM400" s="26">
        <f>IF(AND(W400="X",M400&gt;$AJ$2),"YES","")</f>
        <v/>
      </c>
      <c r="AN400" s="89">
        <f>IF(AND(W400="X",M400&gt;$AJ$2),S400,"")</f>
        <v/>
      </c>
      <c r="AO400" s="35">
        <f>IF(AND(W400="",M400&gt;0,$AJ$2&gt;M400,L400=""),1,0)</f>
        <v/>
      </c>
      <c r="AP400" s="26">
        <f>IF(AND(AK400="YES",W400="X"),"X","")</f>
        <v/>
      </c>
      <c r="AQ400" s="28">
        <f>IF(AP400="X",100%,0%)</f>
        <v/>
      </c>
      <c r="AR400" s="25">
        <f>IF(AND(T400&gt;0,L400=""),H400,"")</f>
        <v/>
      </c>
      <c r="AS400" s="25">
        <f>IF(AND(D400&gt;0,H400=0,G400=""),1,"")</f>
        <v/>
      </c>
      <c r="AT400" s="25">
        <f>IF(G400="BLOQ",1,"")</f>
        <v/>
      </c>
      <c r="AU400" s="25">
        <f>IF(L400="BLOQ",1,"")</f>
        <v/>
      </c>
      <c r="AV400" s="25">
        <f>MONTH(F400)</f>
        <v/>
      </c>
      <c r="AW400" s="65">
        <f>IF(AP400="",100%,0%)</f>
        <v/>
      </c>
      <c r="AX400" s="23" t="n"/>
      <c r="AY400" s="24">
        <f>IF(M400=0,"",M400-$AX$2)</f>
        <v/>
      </c>
      <c r="AZ400" s="66">
        <f>IF(AND(W400="",AY400&gt;0,AY400&lt;15),1,0)</f>
        <v/>
      </c>
      <c r="BA400" s="24">
        <f>IF(AND(W400="",AY400&gt;0,AY400&lt;15),T400,"")</f>
        <v/>
      </c>
      <c r="BB400" s="87">
        <f>IF(R400&lt;Q400,"X","")</f>
        <v/>
      </c>
      <c r="BC400" s="190" t="inlineStr">
        <is>
          <t>NO</t>
        </is>
      </c>
      <c r="BD400" s="190" t="inlineStr">
        <is>
          <t>NO</t>
        </is>
      </c>
    </row>
    <row r="401" ht="15" customHeight="1" s="162">
      <c r="A401" s="7" t="n">
        <v>400</v>
      </c>
      <c r="B401" t="inlineStr"/>
      <c r="C401" t="inlineStr">
        <is>
          <t>TRABAJOS SIMULADOR A320</t>
        </is>
      </c>
      <c r="D401" t="inlineStr">
        <is>
          <t>1101843560</t>
        </is>
      </c>
      <c r="E401" t="inlineStr">
        <is>
          <t>1</t>
        </is>
      </c>
      <c r="F401" s="163" t="n">
        <v>45719</v>
      </c>
      <c r="G401" t="inlineStr"/>
      <c r="H401" t="inlineStr">
        <is>
          <t>4300341853</t>
        </is>
      </c>
      <c r="I401" t="inlineStr">
        <is>
          <t>10</t>
        </is>
      </c>
      <c r="J401" s="163" t="n">
        <v>45720</v>
      </c>
      <c r="K401" s="163" t="n">
        <v>45722</v>
      </c>
      <c r="L401" t="inlineStr"/>
      <c r="M401" s="163" t="n">
        <v>45742</v>
      </c>
      <c r="N401" s="164" t="n">
        <v>0</v>
      </c>
      <c r="O401" s="164" t="n">
        <v>0</v>
      </c>
      <c r="P401" t="inlineStr">
        <is>
          <t>Liberado</t>
        </is>
      </c>
      <c r="Q401" s="166" t="n">
        <v>1</v>
      </c>
      <c r="R401" s="164" t="n">
        <v>1</v>
      </c>
      <c r="S401" s="164" t="n">
        <v>0</v>
      </c>
      <c r="T401" s="164" t="n">
        <v>0</v>
      </c>
      <c r="U401" s="166" t="n">
        <v>0</v>
      </c>
      <c r="V401" s="166" t="n">
        <v>0</v>
      </c>
      <c r="W401" t="inlineStr">
        <is>
          <t>X</t>
        </is>
      </c>
      <c r="X401" t="inlineStr">
        <is>
          <t>0.00</t>
        </is>
      </c>
      <c r="Y401" t="inlineStr"/>
      <c r="Z401" t="inlineStr">
        <is>
          <t>PENTATEL COMUNICACIONES, S.L.</t>
        </is>
      </c>
      <c r="AA401" t="inlineStr"/>
      <c r="AB401" t="inlineStr"/>
      <c r="AC401" t="inlineStr"/>
      <c r="AD401" s="164" t="n">
        <v>0</v>
      </c>
      <c r="AE401" s="185" t="n">
        <v>0</v>
      </c>
      <c r="AG401" s="167" t="inlineStr">
        <is>
          <t>7218|JA2594_1001</t>
        </is>
      </c>
      <c r="AH401" s="46">
        <f>IF(M401=0,"-",M401-J401)</f>
        <v/>
      </c>
      <c r="AI401" s="46">
        <f>IF(AND(S401=0,M401&gt;0,L401=0),IF(AH401&gt;=120,"VERY HIGH",IF(AH401&gt;=90,"HIGH",IF(AH401&gt;=60,"MEDIUM",IF(AH401&lt;60,"LOW")))),"-")</f>
        <v/>
      </c>
      <c r="AJ401" s="12" t="n"/>
      <c r="AK401" s="41">
        <f>IF(AND(W401="X",M401&lt;=$AJ$2),"YES","")</f>
        <v/>
      </c>
      <c r="AL401" s="38">
        <f>IF(AND(W401="X",M401&lt;=$AJ$2),S401,"")</f>
        <v/>
      </c>
      <c r="AM401" s="26">
        <f>IF(AND(W401="X",M401&gt;$AJ$2),"YES","")</f>
        <v/>
      </c>
      <c r="AN401" s="89">
        <f>IF(AND(W401="X",M401&gt;$AJ$2),S401,"")</f>
        <v/>
      </c>
      <c r="AO401" s="35">
        <f>IF(AND(W401="",M401&gt;0,$AJ$2&gt;M401,L401=""),1,0)</f>
        <v/>
      </c>
      <c r="AP401" s="26">
        <f>IF(AND(AK401="YES",W401="X"),"X","")</f>
        <v/>
      </c>
      <c r="AQ401" s="28">
        <f>IF(AP401="X",100%,0%)</f>
        <v/>
      </c>
      <c r="AR401" s="25">
        <f>IF(AND(T401&gt;0,L401=""),H401,"")</f>
        <v/>
      </c>
      <c r="AS401" s="25">
        <f>IF(AND(D401&gt;0,H401=0,G401=""),1,"")</f>
        <v/>
      </c>
      <c r="AT401" s="25">
        <f>IF(G401="BLOQ",1,"")</f>
        <v/>
      </c>
      <c r="AU401" s="25">
        <f>IF(L401="BLOQ",1,"")</f>
        <v/>
      </c>
      <c r="AV401" s="25">
        <f>MONTH(F401)</f>
        <v/>
      </c>
      <c r="AW401" s="65">
        <f>IF(AP401="",100%,0%)</f>
        <v/>
      </c>
      <c r="AX401" s="23" t="n"/>
      <c r="AY401" s="24">
        <f>IF(M401=0,"",M401-$AX$2)</f>
        <v/>
      </c>
      <c r="AZ401" s="66">
        <f>IF(AND(W401="",AY401&gt;0,AY401&lt;15),1,0)</f>
        <v/>
      </c>
      <c r="BA401" s="24">
        <f>IF(AND(W401="",AY401&gt;0,AY401&lt;15),T401,"")</f>
        <v/>
      </c>
      <c r="BB401" s="87">
        <f>IF(R401&lt;Q401,"X","")</f>
        <v/>
      </c>
      <c r="BC401" s="190" t="inlineStr">
        <is>
          <t>NO</t>
        </is>
      </c>
      <c r="BD401" s="190" t="inlineStr">
        <is>
          <t>NO</t>
        </is>
      </c>
    </row>
    <row r="402" ht="15" customHeight="1" s="162">
      <c r="A402" s="7" t="n">
        <v>401</v>
      </c>
      <c r="B402" t="inlineStr">
        <is>
          <t>55121611</t>
        </is>
      </c>
      <c r="C402" t="inlineStr">
        <is>
          <t>Etiquetas termorretr&amp;#225;ctiles TE Conn</t>
        </is>
      </c>
      <c r="D402" t="inlineStr">
        <is>
          <t>1101844258</t>
        </is>
      </c>
      <c r="E402" t="inlineStr">
        <is>
          <t>1</t>
        </is>
      </c>
      <c r="F402" s="163" t="n">
        <v>45720</v>
      </c>
      <c r="G402" t="inlineStr"/>
      <c r="H402" t="inlineStr">
        <is>
          <t>4800002920</t>
        </is>
      </c>
      <c r="I402" t="inlineStr">
        <is>
          <t>220</t>
        </is>
      </c>
      <c r="J402" s="163" t="n">
        <v>45720</v>
      </c>
      <c r="K402" s="163" t="inlineStr"/>
      <c r="L402" t="inlineStr"/>
      <c r="M402" s="163" t="n">
        <v>45721</v>
      </c>
      <c r="N402" s="164" t="n">
        <v>0</v>
      </c>
      <c r="O402" s="164" t="n">
        <v>0</v>
      </c>
      <c r="P402" t="inlineStr"/>
      <c r="Q402" s="165" t="n">
        <v>1</v>
      </c>
      <c r="R402" s="165" t="n">
        <v>1</v>
      </c>
      <c r="S402" s="165" t="n">
        <v>1</v>
      </c>
      <c r="T402" s="165" t="n">
        <v>0</v>
      </c>
      <c r="U402" s="166" t="n">
        <v>0</v>
      </c>
      <c r="V402" s="166" t="n">
        <v>0</v>
      </c>
      <c r="W402" t="inlineStr">
        <is>
          <t>X</t>
        </is>
      </c>
      <c r="X402" t="inlineStr">
        <is>
          <t>0.00</t>
        </is>
      </c>
      <c r="Y402" t="inlineStr"/>
      <c r="Z402" t="inlineStr">
        <is>
          <t>AMIDATA, S.A.</t>
        </is>
      </c>
      <c r="AA402" t="inlineStr"/>
      <c r="AB402" t="inlineStr">
        <is>
          <t>2672433</t>
        </is>
      </c>
      <c r="AC402" t="inlineStr"/>
      <c r="AD402" s="164" t="n">
        <v>0</v>
      </c>
      <c r="AE402" s="185" t="n">
        <v>0</v>
      </c>
      <c r="AG402" s="167" t="inlineStr">
        <is>
          <t>7218|JA2593_1001</t>
        </is>
      </c>
      <c r="AH402" s="46">
        <f>IF(M402=0,"-",M402-J402)</f>
        <v/>
      </c>
      <c r="AI402" s="46">
        <f>IF(AND(S402=0,M402&gt;0,L402=0),IF(AH402&gt;=120,"VERY HIGH",IF(AH402&gt;=90,"HIGH",IF(AH402&gt;=60,"MEDIUM",IF(AH402&lt;60,"LOW")))),"-")</f>
        <v/>
      </c>
      <c r="AJ402" s="12" t="n"/>
      <c r="AK402" s="41">
        <f>IF(AND(W402="X",M402&lt;=$AJ$2),"YES","")</f>
        <v/>
      </c>
      <c r="AL402" s="38">
        <f>IF(AND(W402="X",M402&lt;=$AJ$2),S402,"")</f>
        <v/>
      </c>
      <c r="AM402" s="26">
        <f>IF(AND(W402="X",M402&gt;$AJ$2),"YES","")</f>
        <v/>
      </c>
      <c r="AN402" s="89">
        <f>IF(AND(W402="X",M402&gt;$AJ$2),S402,"")</f>
        <v/>
      </c>
      <c r="AO402" s="35">
        <f>IF(AND(W402="",M402&gt;0,$AJ$2&gt;M402,L402=""),1,0)</f>
        <v/>
      </c>
      <c r="AP402" s="26">
        <f>IF(AND(AK402="YES",W402="X"),"X","")</f>
        <v/>
      </c>
      <c r="AQ402" s="28">
        <f>IF(AP402="X",100%,0%)</f>
        <v/>
      </c>
      <c r="AR402" s="25">
        <f>IF(AND(T402&gt;0,L402=""),H402,"")</f>
        <v/>
      </c>
      <c r="AS402" s="25">
        <f>IF(AND(D402&gt;0,H402=0,G402=""),1,"")</f>
        <v/>
      </c>
      <c r="AT402" s="25">
        <f>IF(G402="BLOQ",1,"")</f>
        <v/>
      </c>
      <c r="AU402" s="25">
        <f>IF(L402="BLOQ",1,"")</f>
        <v/>
      </c>
      <c r="AV402" s="25">
        <f>MONTH(F402)</f>
        <v/>
      </c>
      <c r="AW402" s="65">
        <f>IF(AP402="",100%,0%)</f>
        <v/>
      </c>
      <c r="AX402" s="23" t="n"/>
      <c r="AY402" s="24">
        <f>IF(M402=0,"",M402-$AX$2)</f>
        <v/>
      </c>
      <c r="AZ402" s="66">
        <f>IF(AND(W402="",AY402&gt;0,AY402&lt;15),1,0)</f>
        <v/>
      </c>
      <c r="BA402" s="24">
        <f>IF(AND(W402="",AY402&gt;0,AY402&lt;15),T402,"")</f>
        <v/>
      </c>
      <c r="BB402" s="87">
        <f>IF(R402&lt;Q402,"X","")</f>
        <v/>
      </c>
      <c r="BC402" s="190" t="inlineStr">
        <is>
          <t>NO</t>
        </is>
      </c>
      <c r="BD402" s="190" t="inlineStr">
        <is>
          <t>NO</t>
        </is>
      </c>
    </row>
    <row r="403" ht="15" customHeight="1" s="162">
      <c r="A403" s="7" t="n">
        <v>402</v>
      </c>
      <c r="B403" t="inlineStr">
        <is>
          <t>32000000</t>
        </is>
      </c>
      <c r="C403" t="inlineStr">
        <is>
          <t>Carcasa de conector Molex 03-06-2042, Se</t>
        </is>
      </c>
      <c r="D403" t="inlineStr">
        <is>
          <t>1101844596</t>
        </is>
      </c>
      <c r="E403" t="inlineStr">
        <is>
          <t>1</t>
        </is>
      </c>
      <c r="F403" s="163" t="n">
        <v>45721</v>
      </c>
      <c r="G403" t="inlineStr"/>
      <c r="H403" t="inlineStr">
        <is>
          <t>4800002920</t>
        </is>
      </c>
      <c r="I403" t="inlineStr">
        <is>
          <t>570</t>
        </is>
      </c>
      <c r="J403" s="163" t="n">
        <v>45720</v>
      </c>
      <c r="K403" s="163" t="inlineStr"/>
      <c r="L403" t="inlineStr"/>
      <c r="M403" s="163" t="n">
        <v>45722</v>
      </c>
      <c r="N403" s="164" t="n">
        <v>0</v>
      </c>
      <c r="O403" s="164" t="n">
        <v>0</v>
      </c>
      <c r="P403" t="inlineStr"/>
      <c r="Q403" s="165" t="n">
        <v>200</v>
      </c>
      <c r="R403" s="165" t="n">
        <v>200</v>
      </c>
      <c r="S403" s="165" t="n">
        <v>200</v>
      </c>
      <c r="T403" s="165" t="n">
        <v>0</v>
      </c>
      <c r="U403" s="166" t="n">
        <v>0</v>
      </c>
      <c r="V403" s="166" t="n">
        <v>0</v>
      </c>
      <c r="W403" t="inlineStr">
        <is>
          <t>X</t>
        </is>
      </c>
      <c r="X403" t="inlineStr">
        <is>
          <t>0.00</t>
        </is>
      </c>
      <c r="Y403" t="inlineStr"/>
      <c r="Z403" t="inlineStr">
        <is>
          <t>AMIDATA, S.A.</t>
        </is>
      </c>
      <c r="AA403" t="inlineStr"/>
      <c r="AB403" t="inlineStr">
        <is>
          <t>6794855P</t>
        </is>
      </c>
      <c r="AC403" t="inlineStr"/>
      <c r="AD403" s="164" t="n">
        <v>0</v>
      </c>
      <c r="AE403" s="185" t="n">
        <v>0</v>
      </c>
      <c r="AG403" s="167" t="inlineStr">
        <is>
          <t>7218|JA2593_1001</t>
        </is>
      </c>
      <c r="AH403" s="46">
        <f>IF(M403=0,"-",M403-J403)</f>
        <v/>
      </c>
      <c r="AI403" s="46">
        <f>IF(AND(S403=0,M403&gt;0,L403=0),IF(AH403&gt;=120,"VERY HIGH",IF(AH403&gt;=90,"HIGH",IF(AH403&gt;=60,"MEDIUM",IF(AH403&lt;60,"LOW")))),"-")</f>
        <v/>
      </c>
      <c r="AJ403" s="12" t="n"/>
      <c r="AK403" s="41">
        <f>IF(AND(W403="X",M403&lt;=$AJ$2),"YES","")</f>
        <v/>
      </c>
      <c r="AL403" s="38">
        <f>IF(AND(W403="X",M403&lt;=$AJ$2),S403,"")</f>
        <v/>
      </c>
      <c r="AM403" s="26">
        <f>IF(AND(W403="X",M403&gt;$AJ$2),"YES","")</f>
        <v/>
      </c>
      <c r="AN403" s="89">
        <f>IF(AND(W403="X",M403&gt;$AJ$2),S403,"")</f>
        <v/>
      </c>
      <c r="AO403" s="35">
        <f>IF(AND(W403="",M403&gt;0,$AJ$2&gt;M403,L403=""),1,0)</f>
        <v/>
      </c>
      <c r="AP403" s="26">
        <f>IF(AND(AK403="YES",W403="X"),"X","")</f>
        <v/>
      </c>
      <c r="AQ403" s="28">
        <f>IF(AP403="X",100%,0%)</f>
        <v/>
      </c>
      <c r="AR403" s="25">
        <f>IF(AND(T403&gt;0,L403=""),H403,"")</f>
        <v/>
      </c>
      <c r="AS403" s="25">
        <f>IF(AND(D403&gt;0,H403=0,G403=""),1,"")</f>
        <v/>
      </c>
      <c r="AT403" s="25">
        <f>IF(G403="BLOQ",1,"")</f>
        <v/>
      </c>
      <c r="AU403" s="25">
        <f>IF(L403="BLOQ",1,"")</f>
        <v/>
      </c>
      <c r="AV403" s="25">
        <f>MONTH(F403)</f>
        <v/>
      </c>
      <c r="AW403" s="65">
        <f>IF(AP403="",100%,0%)</f>
        <v/>
      </c>
      <c r="AX403" s="23" t="n"/>
      <c r="AY403" s="24">
        <f>IF(M403=0,"",M403-$AX$2)</f>
        <v/>
      </c>
      <c r="AZ403" s="66">
        <f>IF(AND(W403="",AY403&gt;0,AY403&lt;15),1,0)</f>
        <v/>
      </c>
      <c r="BA403" s="24">
        <f>IF(AND(W403="",AY403&gt;0,AY403&lt;15),T403,"")</f>
        <v/>
      </c>
      <c r="BB403" s="87">
        <f>IF(R403&lt;Q403,"X","")</f>
        <v/>
      </c>
      <c r="BC403" s="190" t="inlineStr">
        <is>
          <t>NO</t>
        </is>
      </c>
      <c r="BD403" s="190" t="inlineStr">
        <is>
          <t>NO</t>
        </is>
      </c>
    </row>
    <row r="404" ht="15" customHeight="1" s="162">
      <c r="A404" s="7" t="n">
        <v>403</v>
      </c>
      <c r="B404" t="inlineStr">
        <is>
          <t>39121432</t>
        </is>
      </c>
      <c r="C404" t="inlineStr">
        <is>
          <t>Contacto de crimpado macho Molex serie S</t>
        </is>
      </c>
      <c r="D404" t="inlineStr">
        <is>
          <t>1101844596</t>
        </is>
      </c>
      <c r="E404" t="inlineStr">
        <is>
          <t>2</t>
        </is>
      </c>
      <c r="F404" s="163" t="n">
        <v>45721</v>
      </c>
      <c r="G404" t="inlineStr"/>
      <c r="H404" t="inlineStr">
        <is>
          <t>4800002920</t>
        </is>
      </c>
      <c r="I404" t="inlineStr">
        <is>
          <t>580</t>
        </is>
      </c>
      <c r="J404" s="163" t="n">
        <v>45720</v>
      </c>
      <c r="K404" s="163" t="inlineStr"/>
      <c r="L404" t="inlineStr"/>
      <c r="M404" s="163" t="n">
        <v>45722</v>
      </c>
      <c r="N404" s="164" t="n">
        <v>0</v>
      </c>
      <c r="O404" s="164" t="n">
        <v>0</v>
      </c>
      <c r="P404" t="inlineStr"/>
      <c r="Q404" s="165" t="n">
        <v>100</v>
      </c>
      <c r="R404" s="165" t="n">
        <v>100</v>
      </c>
      <c r="S404" s="165" t="n">
        <v>100</v>
      </c>
      <c r="T404" s="165" t="n">
        <v>0</v>
      </c>
      <c r="U404" s="166" t="n">
        <v>0</v>
      </c>
      <c r="V404" s="166" t="n">
        <v>0</v>
      </c>
      <c r="W404" t="inlineStr">
        <is>
          <t>X</t>
        </is>
      </c>
      <c r="X404" t="inlineStr">
        <is>
          <t>0.00</t>
        </is>
      </c>
      <c r="Y404" t="inlineStr"/>
      <c r="Z404" t="inlineStr">
        <is>
          <t>AMIDATA, S.A.</t>
        </is>
      </c>
      <c r="AA404" t="inlineStr"/>
      <c r="AB404" t="inlineStr">
        <is>
          <t>1786907</t>
        </is>
      </c>
      <c r="AC404" t="inlineStr"/>
      <c r="AD404" s="164" t="n">
        <v>0</v>
      </c>
      <c r="AE404" s="185" t="n">
        <v>0</v>
      </c>
      <c r="AG404" s="167" t="inlineStr">
        <is>
          <t>7218|JA2593_1001</t>
        </is>
      </c>
      <c r="AH404" s="46">
        <f>IF(M404=0,"-",M404-J404)</f>
        <v/>
      </c>
      <c r="AI404" s="46">
        <f>IF(AND(S404=0,M404&gt;0,L404=0),IF(AH404&gt;=120,"VERY HIGH",IF(AH404&gt;=90,"HIGH",IF(AH404&gt;=60,"MEDIUM",IF(AH404&lt;60,"LOW")))),"-")</f>
        <v/>
      </c>
      <c r="AJ404" s="12" t="n"/>
      <c r="AK404" s="41">
        <f>IF(AND(W404="X",M404&lt;=$AJ$2),"YES","")</f>
        <v/>
      </c>
      <c r="AL404" s="38">
        <f>IF(AND(W404="X",M404&lt;=$AJ$2),S404,"")</f>
        <v/>
      </c>
      <c r="AM404" s="26">
        <f>IF(AND(W404="X",M404&gt;$AJ$2),"YES","")</f>
        <v/>
      </c>
      <c r="AN404" s="89">
        <f>IF(AND(W404="X",M404&gt;$AJ$2),S404,"")</f>
        <v/>
      </c>
      <c r="AO404" s="35">
        <f>IF(AND(W404="",M404&gt;0,$AJ$2&gt;M404,L404=""),1,0)</f>
        <v/>
      </c>
      <c r="AP404" s="26">
        <f>IF(AND(AK404="YES",W404="X"),"X","")</f>
        <v/>
      </c>
      <c r="AQ404" s="28">
        <f>IF(AP404="X",100%,0%)</f>
        <v/>
      </c>
      <c r="AR404" s="25">
        <f>IF(AND(T404&gt;0,L404=""),H404,"")</f>
        <v/>
      </c>
      <c r="AS404" s="25">
        <f>IF(AND(D404&gt;0,H404=0,G404=""),1,"")</f>
        <v/>
      </c>
      <c r="AT404" s="25">
        <f>IF(G404="BLOQ",1,"")</f>
        <v/>
      </c>
      <c r="AU404" s="25">
        <f>IF(L404="BLOQ",1,"")</f>
        <v/>
      </c>
      <c r="AV404" s="25">
        <f>MONTH(F404)</f>
        <v/>
      </c>
      <c r="AW404" s="65">
        <f>IF(AP404="",100%,0%)</f>
        <v/>
      </c>
      <c r="AX404" s="23" t="n"/>
      <c r="AY404" s="24">
        <f>IF(M404=0,"",M404-$AX$2)</f>
        <v/>
      </c>
      <c r="AZ404" s="66">
        <f>IF(AND(W404="",AY404&gt;0,AY404&lt;15),1,0)</f>
        <v/>
      </c>
      <c r="BA404" s="24">
        <f>IF(AND(W404="",AY404&gt;0,AY404&lt;15),T404,"")</f>
        <v/>
      </c>
      <c r="BB404" s="87">
        <f>IF(R404&lt;Q404,"X","")</f>
        <v/>
      </c>
      <c r="BC404" s="190" t="inlineStr">
        <is>
          <t>NO</t>
        </is>
      </c>
      <c r="BD404" s="190" t="inlineStr">
        <is>
          <t>NO</t>
        </is>
      </c>
    </row>
    <row r="405" ht="15" customHeight="1" s="162">
      <c r="A405" s="7" t="n">
        <v>404</v>
      </c>
      <c r="B405" t="inlineStr">
        <is>
          <t>32000000</t>
        </is>
      </c>
      <c r="C405" t="inlineStr">
        <is>
          <t>Carcasa de conector Molex 03-06-2092, Se</t>
        </is>
      </c>
      <c r="D405" t="inlineStr">
        <is>
          <t>1101844596</t>
        </is>
      </c>
      <c r="E405" t="inlineStr">
        <is>
          <t>3</t>
        </is>
      </c>
      <c r="F405" s="163" t="n">
        <v>45721</v>
      </c>
      <c r="G405" t="inlineStr"/>
      <c r="H405" t="inlineStr">
        <is>
          <t>4800002920</t>
        </is>
      </c>
      <c r="I405" t="inlineStr">
        <is>
          <t>590</t>
        </is>
      </c>
      <c r="J405" s="163" t="n">
        <v>45720</v>
      </c>
      <c r="K405" s="163" t="inlineStr"/>
      <c r="L405" t="inlineStr"/>
      <c r="M405" s="163" t="n">
        <v>45722</v>
      </c>
      <c r="N405" s="164" t="n">
        <v>0</v>
      </c>
      <c r="O405" s="164" t="n">
        <v>0</v>
      </c>
      <c r="P405" t="inlineStr"/>
      <c r="Q405" s="165" t="n">
        <v>200</v>
      </c>
      <c r="R405" s="165" t="n">
        <v>200</v>
      </c>
      <c r="S405" s="165" t="n">
        <v>200</v>
      </c>
      <c r="T405" s="165" t="n">
        <v>0</v>
      </c>
      <c r="U405" s="166" t="n">
        <v>0</v>
      </c>
      <c r="V405" s="166" t="n">
        <v>0</v>
      </c>
      <c r="W405" t="inlineStr">
        <is>
          <t>X</t>
        </is>
      </c>
      <c r="X405" t="inlineStr">
        <is>
          <t>0.00</t>
        </is>
      </c>
      <c r="Y405" t="inlineStr"/>
      <c r="Z405" t="inlineStr">
        <is>
          <t>AMIDATA, S.A.</t>
        </is>
      </c>
      <c r="AA405" t="inlineStr"/>
      <c r="AB405" t="inlineStr">
        <is>
          <t>6794865P</t>
        </is>
      </c>
      <c r="AC405" t="inlineStr"/>
      <c r="AD405" s="164" t="n">
        <v>0</v>
      </c>
      <c r="AE405" s="185" t="n">
        <v>0</v>
      </c>
      <c r="AG405" s="167" t="inlineStr">
        <is>
          <t>7218|JA2593_1001</t>
        </is>
      </c>
      <c r="AH405" s="46">
        <f>IF(M405=0,"-",M405-J405)</f>
        <v/>
      </c>
      <c r="AI405" s="46">
        <f>IF(AND(S405=0,M405&gt;0,L405=0),IF(AH405&gt;=120,"VERY HIGH",IF(AH405&gt;=90,"HIGH",IF(AH405&gt;=60,"MEDIUM",IF(AH405&lt;60,"LOW")))),"-")</f>
        <v/>
      </c>
      <c r="AJ405" s="12" t="n"/>
      <c r="AK405" s="41">
        <f>IF(AND(W405="X",M405&lt;=$AJ$2),"YES","")</f>
        <v/>
      </c>
      <c r="AL405" s="38">
        <f>IF(AND(W405="X",M405&lt;=$AJ$2),S405,"")</f>
        <v/>
      </c>
      <c r="AM405" s="26">
        <f>IF(AND(W405="X",M405&gt;$AJ$2),"YES","")</f>
        <v/>
      </c>
      <c r="AN405" s="89">
        <f>IF(AND(W405="X",M405&gt;$AJ$2),S405,"")</f>
        <v/>
      </c>
      <c r="AO405" s="35">
        <f>IF(AND(W405="",M405&gt;0,$AJ$2&gt;M405,L405=""),1,0)</f>
        <v/>
      </c>
      <c r="AP405" s="26">
        <f>IF(AND(AK405="YES",W405="X"),"X","")</f>
        <v/>
      </c>
      <c r="AQ405" s="28">
        <f>IF(AP405="X",100%,0%)</f>
        <v/>
      </c>
      <c r="AR405" s="25">
        <f>IF(AND(T405&gt;0,L405=""),H405,"")</f>
        <v/>
      </c>
      <c r="AS405" s="25">
        <f>IF(AND(D405&gt;0,H405=0,G405=""),1,"")</f>
        <v/>
      </c>
      <c r="AT405" s="25">
        <f>IF(G405="BLOQ",1,"")</f>
        <v/>
      </c>
      <c r="AU405" s="25">
        <f>IF(L405="BLOQ",1,"")</f>
        <v/>
      </c>
      <c r="AV405" s="25">
        <f>MONTH(F405)</f>
        <v/>
      </c>
      <c r="AW405" s="65">
        <f>IF(AP405="",100%,0%)</f>
        <v/>
      </c>
      <c r="AX405" s="23" t="n"/>
      <c r="AY405" s="24">
        <f>IF(M405=0,"",M405-$AX$2)</f>
        <v/>
      </c>
      <c r="AZ405" s="66">
        <f>IF(AND(W405="",AY405&gt;0,AY405&lt;15),1,0)</f>
        <v/>
      </c>
      <c r="BA405" s="24">
        <f>IF(AND(W405="",AY405&gt;0,AY405&lt;15),T405,"")</f>
        <v/>
      </c>
      <c r="BB405" s="87">
        <f>IF(R405&lt;Q405,"X","")</f>
        <v/>
      </c>
      <c r="BC405" s="190" t="inlineStr">
        <is>
          <t>NO</t>
        </is>
      </c>
      <c r="BD405" s="190" t="inlineStr">
        <is>
          <t>NO</t>
        </is>
      </c>
    </row>
    <row r="406" ht="15" customHeight="1" s="162">
      <c r="A406" s="7" t="n">
        <v>405</v>
      </c>
      <c r="B406" t="inlineStr"/>
      <c r="C406" t="inlineStr">
        <is>
          <t>MONTAJE SIMULADOR A320</t>
        </is>
      </c>
      <c r="D406" t="inlineStr">
        <is>
          <t>1101844652</t>
        </is>
      </c>
      <c r="E406" t="inlineStr">
        <is>
          <t>1</t>
        </is>
      </c>
      <c r="F406" s="163" t="n">
        <v>45721</v>
      </c>
      <c r="G406" t="inlineStr"/>
      <c r="H406" t="inlineStr">
        <is>
          <t>4400087082</t>
        </is>
      </c>
      <c r="I406" t="inlineStr">
        <is>
          <t>10</t>
        </is>
      </c>
      <c r="J406" s="163" t="n">
        <v>45721</v>
      </c>
      <c r="K406" s="163" t="n">
        <v>45721</v>
      </c>
      <c r="L406" t="inlineStr"/>
      <c r="M406" s="163" t="n">
        <v>45771</v>
      </c>
      <c r="N406" s="164" t="n">
        <v>0</v>
      </c>
      <c r="O406" s="164" t="n">
        <v>0</v>
      </c>
      <c r="P406" t="inlineStr">
        <is>
          <t>Liberado</t>
        </is>
      </c>
      <c r="Q406" s="166" t="n">
        <v>1</v>
      </c>
      <c r="R406" s="164" t="n">
        <v>1</v>
      </c>
      <c r="S406" s="164" t="n">
        <v>0</v>
      </c>
      <c r="T406" s="164" t="n">
        <v>0</v>
      </c>
      <c r="U406" s="166" t="n">
        <v>0</v>
      </c>
      <c r="V406" s="166" t="n">
        <v>0</v>
      </c>
      <c r="W406" t="inlineStr">
        <is>
          <t>X</t>
        </is>
      </c>
      <c r="X406" t="inlineStr">
        <is>
          <t>0.00</t>
        </is>
      </c>
      <c r="Y406" t="inlineStr"/>
      <c r="Z406" t="inlineStr">
        <is>
          <t>APLICACIONES DE SIMULACION</t>
        </is>
      </c>
      <c r="AA406" t="inlineStr"/>
      <c r="AB406" t="inlineStr"/>
      <c r="AC406" t="inlineStr"/>
      <c r="AD406" s="164" t="n">
        <v>0</v>
      </c>
      <c r="AE406" s="185" t="n">
        <v>0</v>
      </c>
      <c r="AG406" s="167" t="inlineStr">
        <is>
          <t>7218|JA2593_1001</t>
        </is>
      </c>
      <c r="AH406" s="46">
        <f>IF(M406=0,"-",M406-J406)</f>
        <v/>
      </c>
      <c r="AI406" s="46">
        <f>IF(AND(S406=0,M406&gt;0,L406=0),IF(AH406&gt;=120,"VERY HIGH",IF(AH406&gt;=90,"HIGH",IF(AH406&gt;=60,"MEDIUM",IF(AH406&lt;60,"LOW")))),"-")</f>
        <v/>
      </c>
      <c r="AJ406" s="12" t="n"/>
      <c r="AK406" s="41">
        <f>IF(AND(W406="X",M406&lt;=$AJ$2),"YES","")</f>
        <v/>
      </c>
      <c r="AL406" s="38">
        <f>IF(AND(W406="X",M406&lt;=$AJ$2),S406,"")</f>
        <v/>
      </c>
      <c r="AM406" s="26">
        <f>IF(AND(W406="X",M406&gt;$AJ$2),"YES","")</f>
        <v/>
      </c>
      <c r="AN406" s="89">
        <f>IF(AND(W406="X",M406&gt;$AJ$2),S406,"")</f>
        <v/>
      </c>
      <c r="AO406" s="35">
        <f>IF(AND(W406="",M406&gt;0,$AJ$2&gt;M406,L406=""),1,0)</f>
        <v/>
      </c>
      <c r="AP406" s="26">
        <f>IF(AND(AK406="YES",W406="X"),"X","")</f>
        <v/>
      </c>
      <c r="AQ406" s="28">
        <f>IF(AP406="X",100%,0%)</f>
        <v/>
      </c>
      <c r="AR406" s="25">
        <f>IF(AND(T406&gt;0,L406=""),H406,"")</f>
        <v/>
      </c>
      <c r="AS406" s="25">
        <f>IF(AND(D406&gt;0,H406=0,G406=""),1,"")</f>
        <v/>
      </c>
      <c r="AT406" s="25">
        <f>IF(G406="BLOQ",1,"")</f>
        <v/>
      </c>
      <c r="AU406" s="25">
        <f>IF(L406="BLOQ",1,"")</f>
        <v/>
      </c>
      <c r="AV406" s="25">
        <f>MONTH(F406)</f>
        <v/>
      </c>
      <c r="AW406" s="65">
        <f>IF(AP406="",100%,0%)</f>
        <v/>
      </c>
      <c r="AX406" s="23" t="n"/>
      <c r="AY406" s="24">
        <f>IF(M406=0,"",M406-$AX$2)</f>
        <v/>
      </c>
      <c r="AZ406" s="66">
        <f>IF(AND(W406="",AY406&gt;0,AY406&lt;15),1,0)</f>
        <v/>
      </c>
      <c r="BA406" s="24">
        <f>IF(AND(W406="",AY406&gt;0,AY406&lt;15),T406,"")</f>
        <v/>
      </c>
      <c r="BB406" s="87">
        <f>IF(R406&lt;Q406,"X","")</f>
        <v/>
      </c>
      <c r="BC406" s="190" t="inlineStr">
        <is>
          <t>NO</t>
        </is>
      </c>
      <c r="BD406" s="190" t="inlineStr">
        <is>
          <t>NO</t>
        </is>
      </c>
    </row>
    <row r="407" ht="15" customHeight="1" s="162">
      <c r="A407" s="7" t="n">
        <v>406</v>
      </c>
      <c r="B407" t="inlineStr">
        <is>
          <t>39121404</t>
        </is>
      </c>
      <c r="C407" t="inlineStr">
        <is>
          <t>Manguitos de soldadura, TE Connectivity,</t>
        </is>
      </c>
      <c r="D407" t="inlineStr">
        <is>
          <t>1101844710</t>
        </is>
      </c>
      <c r="E407" t="inlineStr">
        <is>
          <t>1</t>
        </is>
      </c>
      <c r="F407" s="163" t="n">
        <v>45721</v>
      </c>
      <c r="G407" t="inlineStr"/>
      <c r="H407" t="inlineStr">
        <is>
          <t>4800002920</t>
        </is>
      </c>
      <c r="I407" t="inlineStr">
        <is>
          <t>720</t>
        </is>
      </c>
      <c r="J407" s="163" t="n">
        <v>45720</v>
      </c>
      <c r="K407" s="163" t="inlineStr"/>
      <c r="L407" t="inlineStr"/>
      <c r="M407" s="163" t="n">
        <v>45722</v>
      </c>
      <c r="N407" s="164" t="n">
        <v>0</v>
      </c>
      <c r="O407" s="164" t="n">
        <v>0</v>
      </c>
      <c r="P407" t="inlineStr"/>
      <c r="Q407" s="165" t="n">
        <v>9</v>
      </c>
      <c r="R407" s="165" t="n">
        <v>9</v>
      </c>
      <c r="S407" s="165" t="n">
        <v>9</v>
      </c>
      <c r="T407" s="165" t="n">
        <v>0</v>
      </c>
      <c r="U407" s="166" t="n">
        <v>0</v>
      </c>
      <c r="V407" s="166" t="n">
        <v>0</v>
      </c>
      <c r="W407" t="inlineStr">
        <is>
          <t>X</t>
        </is>
      </c>
      <c r="X407" t="inlineStr">
        <is>
          <t>0.00</t>
        </is>
      </c>
      <c r="Y407" t="inlineStr"/>
      <c r="Z407" t="inlineStr">
        <is>
          <t>AMIDATA, S.A.</t>
        </is>
      </c>
      <c r="AA407" t="inlineStr"/>
      <c r="AB407" t="inlineStr">
        <is>
          <t>2652726</t>
        </is>
      </c>
      <c r="AC407" t="inlineStr"/>
      <c r="AD407" s="164" t="n">
        <v>0</v>
      </c>
      <c r="AE407" s="185" t="n">
        <v>0</v>
      </c>
      <c r="AG407" s="167" t="inlineStr">
        <is>
          <t>7218|JA2593_1001</t>
        </is>
      </c>
      <c r="AH407" s="46">
        <f>IF(M407=0,"-",M407-J407)</f>
        <v/>
      </c>
      <c r="AI407" s="46">
        <f>IF(AND(S407=0,M407&gt;0,L407=0),IF(AH407&gt;=120,"VERY HIGH",IF(AH407&gt;=90,"HIGH",IF(AH407&gt;=60,"MEDIUM",IF(AH407&lt;60,"LOW")))),"-")</f>
        <v/>
      </c>
      <c r="AJ407" s="12" t="n"/>
      <c r="AK407" s="41">
        <f>IF(AND(W407="X",M407&lt;=$AJ$2),"YES","")</f>
        <v/>
      </c>
      <c r="AL407" s="38">
        <f>IF(AND(W407="X",M407&lt;=$AJ$2),S407,"")</f>
        <v/>
      </c>
      <c r="AM407" s="26">
        <f>IF(AND(W407="X",M407&gt;$AJ$2),"YES","")</f>
        <v/>
      </c>
      <c r="AN407" s="89">
        <f>IF(AND(W407="X",M407&gt;$AJ$2),S407,"")</f>
        <v/>
      </c>
      <c r="AO407" s="35">
        <f>IF(AND(W407="",M407&gt;0,$AJ$2&gt;M407,L407=""),1,0)</f>
        <v/>
      </c>
      <c r="AP407" s="26">
        <f>IF(AND(AK407="YES",W407="X"),"X","")</f>
        <v/>
      </c>
      <c r="AQ407" s="28">
        <f>IF(AP407="X",100%,0%)</f>
        <v/>
      </c>
      <c r="AR407" s="25">
        <f>IF(AND(T407&gt;0,L407=""),H407,"")</f>
        <v/>
      </c>
      <c r="AS407" s="25">
        <f>IF(AND(D407&gt;0,H407=0,G407=""),1,"")</f>
        <v/>
      </c>
      <c r="AT407" s="25">
        <f>IF(G407="BLOQ",1,"")</f>
        <v/>
      </c>
      <c r="AU407" s="25">
        <f>IF(L407="BLOQ",1,"")</f>
        <v/>
      </c>
      <c r="AV407" s="25">
        <f>MONTH(F407)</f>
        <v/>
      </c>
      <c r="AW407" s="65">
        <f>IF(AP407="",100%,0%)</f>
        <v/>
      </c>
      <c r="AX407" s="23" t="n"/>
      <c r="AY407" s="24">
        <f>IF(M407=0,"",M407-$AX$2)</f>
        <v/>
      </c>
      <c r="AZ407" s="66">
        <f>IF(AND(W407="",AY407&gt;0,AY407&lt;15),1,0)</f>
        <v/>
      </c>
      <c r="BA407" s="24">
        <f>IF(AND(W407="",AY407&gt;0,AY407&lt;15),T407,"")</f>
        <v/>
      </c>
      <c r="BB407" s="87">
        <f>IF(R407&lt;Q407,"X","")</f>
        <v/>
      </c>
      <c r="BC407" s="190" t="inlineStr">
        <is>
          <t>NO</t>
        </is>
      </c>
      <c r="BD407" s="190" t="inlineStr">
        <is>
          <t>NO</t>
        </is>
      </c>
    </row>
    <row r="408" ht="15" customHeight="1" s="162">
      <c r="A408" s="7" t="n">
        <v>407</v>
      </c>
      <c r="B408" t="inlineStr">
        <is>
          <t>24102004</t>
        </is>
      </c>
      <c r="C408" t="inlineStr">
        <is>
          <t>Estanter&amp;#237;a para Componente 1U APC N</t>
        </is>
      </c>
      <c r="D408" t="inlineStr">
        <is>
          <t>1101845229</t>
        </is>
      </c>
      <c r="E408" t="inlineStr">
        <is>
          <t>1</t>
        </is>
      </c>
      <c r="F408" s="163" t="n">
        <v>45722</v>
      </c>
      <c r="G408" t="inlineStr"/>
      <c r="H408" t="inlineStr">
        <is>
          <t>4800002923</t>
        </is>
      </c>
      <c r="I408" t="inlineStr">
        <is>
          <t>240</t>
        </is>
      </c>
      <c r="J408" s="163" t="n">
        <v>45721</v>
      </c>
      <c r="K408" s="163" t="inlineStr"/>
      <c r="L408" t="inlineStr"/>
      <c r="M408" s="163" t="n">
        <v>45723</v>
      </c>
      <c r="N408" s="164" t="n">
        <v>0</v>
      </c>
      <c r="O408" s="164" t="n">
        <v>0</v>
      </c>
      <c r="P408" t="inlineStr"/>
      <c r="Q408" s="165" t="n">
        <v>1</v>
      </c>
      <c r="R408" s="165" t="n">
        <v>1</v>
      </c>
      <c r="S408" s="165" t="n">
        <v>1</v>
      </c>
      <c r="T408" s="165" t="n">
        <v>0</v>
      </c>
      <c r="U408" s="166" t="n">
        <v>0</v>
      </c>
      <c r="V408" s="166" t="n">
        <v>0</v>
      </c>
      <c r="W408" t="inlineStr">
        <is>
          <t>X</t>
        </is>
      </c>
      <c r="X408" t="inlineStr">
        <is>
          <t>0.00</t>
        </is>
      </c>
      <c r="Y408" t="inlineStr"/>
      <c r="Z408" t="inlineStr">
        <is>
          <t>AMIDATA, S.A.</t>
        </is>
      </c>
      <c r="AA408" t="inlineStr"/>
      <c r="AB408" t="inlineStr">
        <is>
          <t>2387216</t>
        </is>
      </c>
      <c r="AC408" t="inlineStr"/>
      <c r="AD408" s="164" t="n">
        <v>0</v>
      </c>
      <c r="AE408" s="185" t="n">
        <v>0</v>
      </c>
      <c r="AG408" s="167" t="inlineStr">
        <is>
          <t>7218|JA2593_1001</t>
        </is>
      </c>
      <c r="AH408" s="46">
        <f>IF(M408=0,"-",M408-J408)</f>
        <v/>
      </c>
      <c r="AI408" s="46">
        <f>IF(AND(S408=0,M408&gt;0,L408=0),IF(AH408&gt;=120,"VERY HIGH",IF(AH408&gt;=90,"HIGH",IF(AH408&gt;=60,"MEDIUM",IF(AH408&lt;60,"LOW")))),"-")</f>
        <v/>
      </c>
      <c r="AJ408" s="12" t="n"/>
      <c r="AK408" s="41">
        <f>IF(AND(W408="X",M408&lt;=$AJ$2),"YES","")</f>
        <v/>
      </c>
      <c r="AL408" s="38">
        <f>IF(AND(W408="X",M408&lt;=$AJ$2),S408,"")</f>
        <v/>
      </c>
      <c r="AM408" s="26">
        <f>IF(AND(W408="X",M408&gt;$AJ$2),"YES","")</f>
        <v/>
      </c>
      <c r="AN408" s="89">
        <f>IF(AND(W408="X",M408&gt;$AJ$2),S408,"")</f>
        <v/>
      </c>
      <c r="AO408" s="35">
        <f>IF(AND(W408="",M408&gt;0,$AJ$2&gt;M408,L408=""),1,0)</f>
        <v/>
      </c>
      <c r="AP408" s="26">
        <f>IF(AND(AK408="YES",W408="X"),"X","")</f>
        <v/>
      </c>
      <c r="AQ408" s="28">
        <f>IF(AP408="X",100%,0%)</f>
        <v/>
      </c>
      <c r="AR408" s="25">
        <f>IF(AND(T408&gt;0,L408=""),H408,"")</f>
        <v/>
      </c>
      <c r="AS408" s="25">
        <f>IF(AND(D408&gt;0,H408=0,G408=""),1,"")</f>
        <v/>
      </c>
      <c r="AT408" s="25">
        <f>IF(G408="BLOQ",1,"")</f>
        <v/>
      </c>
      <c r="AU408" s="25">
        <f>IF(L408="BLOQ",1,"")</f>
        <v/>
      </c>
      <c r="AV408" s="25">
        <f>MONTH(F408)</f>
        <v/>
      </c>
      <c r="AW408" s="65">
        <f>IF(AP408="",100%,0%)</f>
        <v/>
      </c>
      <c r="AX408" s="23" t="n"/>
      <c r="AY408" s="24">
        <f>IF(M408=0,"",M408-$AX$2)</f>
        <v/>
      </c>
      <c r="AZ408" s="66">
        <f>IF(AND(W408="",AY408&gt;0,AY408&lt;15),1,0)</f>
        <v/>
      </c>
      <c r="BA408" s="24">
        <f>IF(AND(W408="",AY408&gt;0,AY408&lt;15),T408,"")</f>
        <v/>
      </c>
      <c r="BB408" s="87">
        <f>IF(R408&lt;Q408,"X","")</f>
        <v/>
      </c>
      <c r="BC408" s="190" t="inlineStr">
        <is>
          <t>NO</t>
        </is>
      </c>
      <c r="BD408" s="190" t="inlineStr">
        <is>
          <t>NO</t>
        </is>
      </c>
    </row>
    <row r="409" ht="15" customHeight="1" s="162">
      <c r="A409" s="7" t="n">
        <v>408</v>
      </c>
      <c r="B409" t="inlineStr">
        <is>
          <t>1359900000500</t>
        </is>
      </c>
      <c r="C409" t="inlineStr">
        <is>
          <t>COMPRA DIRECTA ELECTRICOS/ELECTRONICOS</t>
        </is>
      </c>
      <c r="D409" t="inlineStr">
        <is>
          <t>1101845357</t>
        </is>
      </c>
      <c r="E409" t="inlineStr">
        <is>
          <t>1</t>
        </is>
      </c>
      <c r="F409" s="163" t="n">
        <v>45722</v>
      </c>
      <c r="G409" t="inlineStr"/>
      <c r="H409" t="inlineStr">
        <is>
          <t>4200601519</t>
        </is>
      </c>
      <c r="I409" t="inlineStr">
        <is>
          <t>10</t>
        </is>
      </c>
      <c r="J409" s="163" t="n">
        <v>45723</v>
      </c>
      <c r="K409" s="163" t="n">
        <v>45723</v>
      </c>
      <c r="L409" t="inlineStr"/>
      <c r="M409" s="163" t="n">
        <v>45737</v>
      </c>
      <c r="N409" s="164" t="n">
        <v>30</v>
      </c>
      <c r="O409" s="164" t="n">
        <v>8</v>
      </c>
      <c r="P409" t="inlineStr">
        <is>
          <t>Liberado</t>
        </is>
      </c>
      <c r="Q409" s="165" t="n">
        <v>1</v>
      </c>
      <c r="R409" s="165" t="n">
        <v>1</v>
      </c>
      <c r="S409" s="165" t="n">
        <v>1</v>
      </c>
      <c r="T409" s="165" t="n">
        <v>0</v>
      </c>
      <c r="U409" s="166" t="n">
        <v>0</v>
      </c>
      <c r="V409" s="166" t="n">
        <v>0</v>
      </c>
      <c r="W409" t="inlineStr">
        <is>
          <t>X</t>
        </is>
      </c>
      <c r="X409" t="inlineStr">
        <is>
          <t>0.00</t>
        </is>
      </c>
      <c r="Y409" t="inlineStr"/>
      <c r="Z409" t="inlineStr">
        <is>
          <t>(AEMSA)ALMACENES ELECTRICOS MADRILE</t>
        </is>
      </c>
      <c r="AA409" t="inlineStr">
        <is>
          <t>OTROS FABRICANTES</t>
        </is>
      </c>
      <c r="AB409" t="inlineStr">
        <is>
          <t>1359900000500</t>
        </is>
      </c>
      <c r="AC409" t="inlineStr"/>
      <c r="AD409" s="164" t="n">
        <v>0</v>
      </c>
      <c r="AE409" s="185" t="n">
        <v>0</v>
      </c>
      <c r="AG409" s="167" t="inlineStr">
        <is>
          <t>7218|JA2594_1001</t>
        </is>
      </c>
      <c r="AH409" s="46">
        <f>IF(M409=0,"-",M409-J409)</f>
        <v/>
      </c>
      <c r="AI409" s="46">
        <f>IF(AND(S409=0,M409&gt;0,L409=0),IF(AH409&gt;=120,"VERY HIGH",IF(AH409&gt;=90,"HIGH",IF(AH409&gt;=60,"MEDIUM",IF(AH409&lt;60,"LOW")))),"-")</f>
        <v/>
      </c>
      <c r="AJ409" s="12" t="n"/>
      <c r="AK409" s="41">
        <f>IF(AND(W409="X",M409&lt;=$AJ$2),"YES","")</f>
        <v/>
      </c>
      <c r="AL409" s="38">
        <f>IF(AND(W409="X",M409&lt;=$AJ$2),S409,"")</f>
        <v/>
      </c>
      <c r="AM409" s="26">
        <f>IF(AND(W409="X",M409&gt;$AJ$2),"YES","")</f>
        <v/>
      </c>
      <c r="AN409" s="89">
        <f>IF(AND(W409="X",M409&gt;$AJ$2),S409,"")</f>
        <v/>
      </c>
      <c r="AO409" s="35">
        <f>IF(AND(W409="",M409&gt;0,$AJ$2&gt;M409,L409=""),1,0)</f>
        <v/>
      </c>
      <c r="AP409" s="26">
        <f>IF(AND(AK409="YES",W409="X"),"X","")</f>
        <v/>
      </c>
      <c r="AQ409" s="28">
        <f>IF(AP409="X",100%,0%)</f>
        <v/>
      </c>
      <c r="AR409" s="25">
        <f>IF(AND(T409&gt;0,L409=""),H409,"")</f>
        <v/>
      </c>
      <c r="AS409" s="25">
        <f>IF(AND(D409&gt;0,H409=0,G409=""),1,"")</f>
        <v/>
      </c>
      <c r="AT409" s="25">
        <f>IF(G409="BLOQ",1,"")</f>
        <v/>
      </c>
      <c r="AU409" s="25">
        <f>IF(L409="BLOQ",1,"")</f>
        <v/>
      </c>
      <c r="AV409" s="25">
        <f>MONTH(F409)</f>
        <v/>
      </c>
      <c r="AW409" s="65">
        <f>IF(AP409="",100%,0%)</f>
        <v/>
      </c>
      <c r="AX409" s="23" t="n"/>
      <c r="AY409" s="24">
        <f>IF(M409=0,"",M409-$AX$2)</f>
        <v/>
      </c>
      <c r="AZ409" s="66">
        <f>IF(AND(W409="",AY409&gt;0,AY409&lt;15),1,0)</f>
        <v/>
      </c>
      <c r="BA409" s="24">
        <f>IF(AND(W409="",AY409&gt;0,AY409&lt;15),T409,"")</f>
        <v/>
      </c>
      <c r="BB409" s="87">
        <f>IF(R409&lt;Q409,"X","")</f>
        <v/>
      </c>
      <c r="BC409" s="190" t="inlineStr">
        <is>
          <t>NO</t>
        </is>
      </c>
      <c r="BD409" s="190" t="inlineStr">
        <is>
          <t>NO</t>
        </is>
      </c>
    </row>
    <row r="410" ht="15" customHeight="1" s="162">
      <c r="A410" s="7" t="n">
        <v>409</v>
      </c>
      <c r="B410" t="inlineStr">
        <is>
          <t>1359900000500</t>
        </is>
      </c>
      <c r="C410" t="inlineStr">
        <is>
          <t>COMPRA DIRECTA ELECTRICOS/ELECTRONICOS</t>
        </is>
      </c>
      <c r="D410" t="inlineStr">
        <is>
          <t>1101845357</t>
        </is>
      </c>
      <c r="E410" t="inlineStr">
        <is>
          <t>2</t>
        </is>
      </c>
      <c r="F410" s="163" t="n">
        <v>45722</v>
      </c>
      <c r="G410" t="inlineStr"/>
      <c r="H410" t="inlineStr">
        <is>
          <t>4200601519</t>
        </is>
      </c>
      <c r="I410" t="inlineStr">
        <is>
          <t>20</t>
        </is>
      </c>
      <c r="J410" s="163" t="n">
        <v>45723</v>
      </c>
      <c r="K410" s="163" t="n">
        <v>45723</v>
      </c>
      <c r="L410" t="inlineStr"/>
      <c r="M410" s="163" t="n">
        <v>45737</v>
      </c>
      <c r="N410" s="164" t="n">
        <v>30</v>
      </c>
      <c r="O410" s="164" t="n">
        <v>8</v>
      </c>
      <c r="P410" t="inlineStr">
        <is>
          <t>Liberado</t>
        </is>
      </c>
      <c r="Q410" s="165" t="n">
        <v>1</v>
      </c>
      <c r="R410" s="165" t="n">
        <v>1</v>
      </c>
      <c r="S410" s="165" t="n">
        <v>1</v>
      </c>
      <c r="T410" s="165" t="n">
        <v>0</v>
      </c>
      <c r="U410" s="166" t="n">
        <v>0</v>
      </c>
      <c r="V410" s="166" t="n">
        <v>0</v>
      </c>
      <c r="W410" t="inlineStr">
        <is>
          <t>X</t>
        </is>
      </c>
      <c r="X410" t="inlineStr">
        <is>
          <t>0.00</t>
        </is>
      </c>
      <c r="Y410" t="inlineStr"/>
      <c r="Z410" t="inlineStr">
        <is>
          <t>(AEMSA)ALMACENES ELECTRICOS MADRILE</t>
        </is>
      </c>
      <c r="AA410" t="inlineStr">
        <is>
          <t>OTROS FABRICANTES</t>
        </is>
      </c>
      <c r="AB410" t="inlineStr">
        <is>
          <t>1359900000500</t>
        </is>
      </c>
      <c r="AC410" t="inlineStr"/>
      <c r="AD410" s="164" t="n">
        <v>0</v>
      </c>
      <c r="AE410" s="185" t="n">
        <v>0</v>
      </c>
      <c r="AG410" s="167" t="inlineStr">
        <is>
          <t>7218|JA2594_1001</t>
        </is>
      </c>
      <c r="AH410" s="46">
        <f>IF(M410=0,"-",M410-J410)</f>
        <v/>
      </c>
      <c r="AI410" s="46">
        <f>IF(AND(S410=0,M410&gt;0,L410=0),IF(AH410&gt;=120,"VERY HIGH",IF(AH410&gt;=90,"HIGH",IF(AH410&gt;=60,"MEDIUM",IF(AH410&lt;60,"LOW")))),"-")</f>
        <v/>
      </c>
      <c r="AJ410" s="12" t="n"/>
      <c r="AK410" s="41">
        <f>IF(AND(W410="X",M410&lt;=$AJ$2),"YES","")</f>
        <v/>
      </c>
      <c r="AL410" s="38">
        <f>IF(AND(W410="X",M410&lt;=$AJ$2),S410,"")</f>
        <v/>
      </c>
      <c r="AM410" s="26">
        <f>IF(AND(W410="X",M410&gt;$AJ$2),"YES","")</f>
        <v/>
      </c>
      <c r="AN410" s="89">
        <f>IF(AND(W410="X",M410&gt;$AJ$2),S410,"")</f>
        <v/>
      </c>
      <c r="AO410" s="35">
        <f>IF(AND(W410="",M410&gt;0,$AJ$2&gt;M410,L410=""),1,0)</f>
        <v/>
      </c>
      <c r="AP410" s="26">
        <f>IF(AND(AK410="YES",W410="X"),"X","")</f>
        <v/>
      </c>
      <c r="AQ410" s="28">
        <f>IF(AP410="X",100%,0%)</f>
        <v/>
      </c>
      <c r="AR410" s="25">
        <f>IF(AND(T410&gt;0,L410=""),H410,"")</f>
        <v/>
      </c>
      <c r="AS410" s="25">
        <f>IF(AND(D410&gt;0,H410=0,G410=""),1,"")</f>
        <v/>
      </c>
      <c r="AT410" s="25">
        <f>IF(G410="BLOQ",1,"")</f>
        <v/>
      </c>
      <c r="AU410" s="25">
        <f>IF(L410="BLOQ",1,"")</f>
        <v/>
      </c>
      <c r="AV410" s="25">
        <f>MONTH(F410)</f>
        <v/>
      </c>
      <c r="AW410" s="65">
        <f>IF(AP410="",100%,0%)</f>
        <v/>
      </c>
      <c r="AX410" s="23" t="n"/>
      <c r="AY410" s="24">
        <f>IF(M410=0,"",M410-$AX$2)</f>
        <v/>
      </c>
      <c r="AZ410" s="66">
        <f>IF(AND(W410="",AY410&gt;0,AY410&lt;15),1,0)</f>
        <v/>
      </c>
      <c r="BA410" s="24">
        <f>IF(AND(W410="",AY410&gt;0,AY410&lt;15),T410,"")</f>
        <v/>
      </c>
      <c r="BB410" s="87">
        <f>IF(R410&lt;Q410,"X","")</f>
        <v/>
      </c>
      <c r="BC410" s="190" t="inlineStr">
        <is>
          <t>NO</t>
        </is>
      </c>
      <c r="BD410" s="190" t="inlineStr">
        <is>
          <t>NO</t>
        </is>
      </c>
    </row>
    <row r="411" ht="15" customHeight="1" s="162">
      <c r="A411" s="7" t="n">
        <v>410</v>
      </c>
      <c r="B411" t="inlineStr">
        <is>
          <t>1359900000500</t>
        </is>
      </c>
      <c r="C411" t="inlineStr">
        <is>
          <t>COMPRA DIRECTA ELECTRICOS/ELECTRONICOS</t>
        </is>
      </c>
      <c r="D411" t="inlineStr">
        <is>
          <t>1101845357</t>
        </is>
      </c>
      <c r="E411" t="inlineStr">
        <is>
          <t>3</t>
        </is>
      </c>
      <c r="F411" s="163" t="n">
        <v>45722</v>
      </c>
      <c r="G411" t="inlineStr"/>
      <c r="H411" t="inlineStr">
        <is>
          <t>4200601519</t>
        </is>
      </c>
      <c r="I411" t="inlineStr">
        <is>
          <t>30</t>
        </is>
      </c>
      <c r="J411" s="163" t="n">
        <v>45723</v>
      </c>
      <c r="K411" s="163" t="n">
        <v>45723</v>
      </c>
      <c r="L411" t="inlineStr"/>
      <c r="M411" s="163" t="n">
        <v>45737</v>
      </c>
      <c r="N411" s="164" t="n">
        <v>30</v>
      </c>
      <c r="O411" s="164" t="n">
        <v>8</v>
      </c>
      <c r="P411" t="inlineStr">
        <is>
          <t>Liberado</t>
        </is>
      </c>
      <c r="Q411" s="165" t="n">
        <v>1</v>
      </c>
      <c r="R411" s="165" t="n">
        <v>1</v>
      </c>
      <c r="S411" s="165" t="n">
        <v>1</v>
      </c>
      <c r="T411" s="165" t="n">
        <v>0</v>
      </c>
      <c r="U411" s="166" t="n">
        <v>0</v>
      </c>
      <c r="V411" s="166" t="n">
        <v>0</v>
      </c>
      <c r="W411" t="inlineStr">
        <is>
          <t>X</t>
        </is>
      </c>
      <c r="X411" t="inlineStr">
        <is>
          <t>0.00</t>
        </is>
      </c>
      <c r="Y411" t="inlineStr"/>
      <c r="Z411" t="inlineStr">
        <is>
          <t>(AEMSA)ALMACENES ELECTRICOS MADRILE</t>
        </is>
      </c>
      <c r="AA411" t="inlineStr">
        <is>
          <t>OTROS FABRICANTES</t>
        </is>
      </c>
      <c r="AB411" t="inlineStr">
        <is>
          <t>1359900000500</t>
        </is>
      </c>
      <c r="AC411" t="inlineStr"/>
      <c r="AD411" s="164" t="n">
        <v>0</v>
      </c>
      <c r="AE411" s="185" t="n">
        <v>0</v>
      </c>
      <c r="AG411" s="167" t="inlineStr">
        <is>
          <t>7218|JA2594_1001</t>
        </is>
      </c>
      <c r="AH411" s="46">
        <f>IF(M411=0,"-",M411-J411)</f>
        <v/>
      </c>
      <c r="AI411" s="46">
        <f>IF(AND(S411=0,M411&gt;0,L411=0),IF(AH411&gt;=120,"VERY HIGH",IF(AH411&gt;=90,"HIGH",IF(AH411&gt;=60,"MEDIUM",IF(AH411&lt;60,"LOW")))),"-")</f>
        <v/>
      </c>
      <c r="AJ411" s="12" t="n"/>
      <c r="AK411" s="41">
        <f>IF(AND(W411="X",M411&lt;=$AJ$2),"YES","")</f>
        <v/>
      </c>
      <c r="AL411" s="38">
        <f>IF(AND(W411="X",M411&lt;=$AJ$2),S411,"")</f>
        <v/>
      </c>
      <c r="AM411" s="26">
        <f>IF(AND(W411="X",M411&gt;$AJ$2),"YES","")</f>
        <v/>
      </c>
      <c r="AN411" s="89">
        <f>IF(AND(W411="X",M411&gt;$AJ$2),S411,"")</f>
        <v/>
      </c>
      <c r="AO411" s="35">
        <f>IF(AND(W411="",M411&gt;0,$AJ$2&gt;M411,L411=""),1,0)</f>
        <v/>
      </c>
      <c r="AP411" s="26">
        <f>IF(AND(AK411="YES",W411="X"),"X","")</f>
        <v/>
      </c>
      <c r="AQ411" s="28">
        <f>IF(AP411="X",100%,0%)</f>
        <v/>
      </c>
      <c r="AR411" s="25">
        <f>IF(AND(T411&gt;0,L411=""),H411,"")</f>
        <v/>
      </c>
      <c r="AS411" s="25">
        <f>IF(AND(D411&gt;0,H411=0,G411=""),1,"")</f>
        <v/>
      </c>
      <c r="AT411" s="25">
        <f>IF(G411="BLOQ",1,"")</f>
        <v/>
      </c>
      <c r="AU411" s="25">
        <f>IF(L411="BLOQ",1,"")</f>
        <v/>
      </c>
      <c r="AV411" s="25">
        <f>MONTH(F411)</f>
        <v/>
      </c>
      <c r="AW411" s="65">
        <f>IF(AP411="",100%,0%)</f>
        <v/>
      </c>
      <c r="AX411" s="23" t="n"/>
      <c r="AY411" s="24">
        <f>IF(M411=0,"",M411-$AX$2)</f>
        <v/>
      </c>
      <c r="AZ411" s="66">
        <f>IF(AND(W411="",AY411&gt;0,AY411&lt;15),1,0)</f>
        <v/>
      </c>
      <c r="BA411" s="24">
        <f>IF(AND(W411="",AY411&gt;0,AY411&lt;15),T411,"")</f>
        <v/>
      </c>
      <c r="BB411" s="87">
        <f>IF(R411&lt;Q411,"X","")</f>
        <v/>
      </c>
      <c r="BC411" s="190" t="inlineStr">
        <is>
          <t>NO</t>
        </is>
      </c>
      <c r="BD411" s="190" t="inlineStr">
        <is>
          <t>NO</t>
        </is>
      </c>
    </row>
    <row r="412" ht="15" customHeight="1" s="162">
      <c r="A412" s="7" t="n">
        <v>411</v>
      </c>
      <c r="B412" t="inlineStr">
        <is>
          <t>1359900000500</t>
        </is>
      </c>
      <c r="C412" t="inlineStr">
        <is>
          <t>COMPRA DIRECTA ELECTRICOS/ELECTRONICOS</t>
        </is>
      </c>
      <c r="D412" t="inlineStr">
        <is>
          <t>1101845357</t>
        </is>
      </c>
      <c r="E412" t="inlineStr">
        <is>
          <t>4</t>
        </is>
      </c>
      <c r="F412" s="163" t="n">
        <v>45722</v>
      </c>
      <c r="G412" t="inlineStr"/>
      <c r="H412" t="inlineStr">
        <is>
          <t>4200601519</t>
        </is>
      </c>
      <c r="I412" t="inlineStr">
        <is>
          <t>40</t>
        </is>
      </c>
      <c r="J412" s="163" t="n">
        <v>45723</v>
      </c>
      <c r="K412" s="163" t="n">
        <v>45723</v>
      </c>
      <c r="L412" t="inlineStr"/>
      <c r="M412" s="163" t="n">
        <v>45737</v>
      </c>
      <c r="N412" s="164" t="n">
        <v>30</v>
      </c>
      <c r="O412" s="164" t="n">
        <v>8</v>
      </c>
      <c r="P412" t="inlineStr">
        <is>
          <t>Liberado</t>
        </is>
      </c>
      <c r="Q412" s="165" t="n">
        <v>1</v>
      </c>
      <c r="R412" s="165" t="n">
        <v>1</v>
      </c>
      <c r="S412" s="165" t="n">
        <v>1</v>
      </c>
      <c r="T412" s="165" t="n">
        <v>0</v>
      </c>
      <c r="U412" s="166" t="n">
        <v>0</v>
      </c>
      <c r="V412" s="166" t="n">
        <v>0</v>
      </c>
      <c r="W412" t="inlineStr">
        <is>
          <t>X</t>
        </is>
      </c>
      <c r="X412" t="inlineStr">
        <is>
          <t>0.00</t>
        </is>
      </c>
      <c r="Y412" t="inlineStr"/>
      <c r="Z412" t="inlineStr">
        <is>
          <t>(AEMSA)ALMACENES ELECTRICOS MADRILE</t>
        </is>
      </c>
      <c r="AA412" t="inlineStr">
        <is>
          <t>OTROS FABRICANTES</t>
        </is>
      </c>
      <c r="AB412" t="inlineStr">
        <is>
          <t>1359900000500</t>
        </is>
      </c>
      <c r="AC412" t="inlineStr"/>
      <c r="AD412" s="164" t="n">
        <v>0</v>
      </c>
      <c r="AE412" s="185" t="n">
        <v>0</v>
      </c>
      <c r="AG412" s="167" t="inlineStr">
        <is>
          <t>7218|JA2594_1001</t>
        </is>
      </c>
      <c r="AH412" s="46">
        <f>IF(M412=0,"-",M412-J412)</f>
        <v/>
      </c>
      <c r="AI412" s="46">
        <f>IF(AND(S412=0,M412&gt;0,L412=0),IF(AH412&gt;=120,"VERY HIGH",IF(AH412&gt;=90,"HIGH",IF(AH412&gt;=60,"MEDIUM",IF(AH412&lt;60,"LOW")))),"-")</f>
        <v/>
      </c>
      <c r="AJ412" s="12" t="n"/>
      <c r="AK412" s="41">
        <f>IF(AND(W412="X",M412&lt;=$AJ$2),"YES","")</f>
        <v/>
      </c>
      <c r="AL412" s="38">
        <f>IF(AND(W412="X",M412&lt;=$AJ$2),S412,"")</f>
        <v/>
      </c>
      <c r="AM412" s="26">
        <f>IF(AND(W412="X",M412&gt;$AJ$2),"YES","")</f>
        <v/>
      </c>
      <c r="AN412" s="89">
        <f>IF(AND(W412="X",M412&gt;$AJ$2),S412,"")</f>
        <v/>
      </c>
      <c r="AO412" s="35">
        <f>IF(AND(W412="",M412&gt;0,$AJ$2&gt;M412,L412=""),1,0)</f>
        <v/>
      </c>
      <c r="AP412" s="26">
        <f>IF(AND(AK412="YES",W412="X"),"X","")</f>
        <v/>
      </c>
      <c r="AQ412" s="28">
        <f>IF(AP412="X",100%,0%)</f>
        <v/>
      </c>
      <c r="AR412" s="25">
        <f>IF(AND(T412&gt;0,L412=""),H412,"")</f>
        <v/>
      </c>
      <c r="AS412" s="25">
        <f>IF(AND(D412&gt;0,H412=0,G412=""),1,"")</f>
        <v/>
      </c>
      <c r="AT412" s="25">
        <f>IF(G412="BLOQ",1,"")</f>
        <v/>
      </c>
      <c r="AU412" s="25">
        <f>IF(L412="BLOQ",1,"")</f>
        <v/>
      </c>
      <c r="AV412" s="25">
        <f>MONTH(F412)</f>
        <v/>
      </c>
      <c r="AW412" s="65">
        <f>IF(AP412="",100%,0%)</f>
        <v/>
      </c>
      <c r="AX412" s="23" t="n"/>
      <c r="AY412" s="24">
        <f>IF(M412=0,"",M412-$AX$2)</f>
        <v/>
      </c>
      <c r="AZ412" s="66">
        <f>IF(AND(W412="",AY412&gt;0,AY412&lt;15),1,0)</f>
        <v/>
      </c>
      <c r="BA412" s="24">
        <f>IF(AND(W412="",AY412&gt;0,AY412&lt;15),T412,"")</f>
        <v/>
      </c>
      <c r="BB412" s="87">
        <f>IF(R412&lt;Q412,"X","")</f>
        <v/>
      </c>
      <c r="BC412" s="190" t="inlineStr">
        <is>
          <t>NO</t>
        </is>
      </c>
      <c r="BD412" s="190" t="inlineStr">
        <is>
          <t>NO</t>
        </is>
      </c>
    </row>
    <row r="413" ht="15" customHeight="1" s="162">
      <c r="A413" s="7" t="n">
        <v>412</v>
      </c>
      <c r="B413" t="inlineStr">
        <is>
          <t>1359900000500</t>
        </is>
      </c>
      <c r="C413" t="inlineStr">
        <is>
          <t>COMPRA DIRECTA ELECTRICOS/ELECTRONICOS</t>
        </is>
      </c>
      <c r="D413" t="inlineStr">
        <is>
          <t>1101845371</t>
        </is>
      </c>
      <c r="E413" t="inlineStr">
        <is>
          <t>1</t>
        </is>
      </c>
      <c r="F413" s="163" t="n">
        <v>45722</v>
      </c>
      <c r="G413" t="inlineStr"/>
      <c r="H413" t="inlineStr">
        <is>
          <t>4200601594</t>
        </is>
      </c>
      <c r="I413" t="inlineStr">
        <is>
          <t>10</t>
        </is>
      </c>
      <c r="J413" s="163" t="n">
        <v>45726</v>
      </c>
      <c r="K413" s="163" t="n">
        <v>45726</v>
      </c>
      <c r="L413" t="inlineStr"/>
      <c r="M413" s="163" t="n">
        <v>45740</v>
      </c>
      <c r="N413" s="164" t="n">
        <v>30</v>
      </c>
      <c r="O413" s="164" t="n">
        <v>8</v>
      </c>
      <c r="P413" t="inlineStr">
        <is>
          <t>Liberado</t>
        </is>
      </c>
      <c r="Q413" s="165" t="n">
        <v>1</v>
      </c>
      <c r="R413" s="165" t="n">
        <v>1</v>
      </c>
      <c r="S413" s="165" t="n">
        <v>1</v>
      </c>
      <c r="T413" s="165" t="n">
        <v>0</v>
      </c>
      <c r="U413" s="166" t="n">
        <v>0</v>
      </c>
      <c r="V413" s="166" t="n">
        <v>0</v>
      </c>
      <c r="W413" t="inlineStr">
        <is>
          <t>X</t>
        </is>
      </c>
      <c r="X413" t="inlineStr">
        <is>
          <t>0.00</t>
        </is>
      </c>
      <c r="Y413" t="inlineStr"/>
      <c r="Z413" t="inlineStr">
        <is>
          <t>(AEMSA)ALMACENES ELECTRICOS MADRILE</t>
        </is>
      </c>
      <c r="AA413" t="inlineStr">
        <is>
          <t>OTROS FABRICANTES</t>
        </is>
      </c>
      <c r="AB413" t="inlineStr">
        <is>
          <t>1359900000500</t>
        </is>
      </c>
      <c r="AC413" t="inlineStr"/>
      <c r="AD413" s="164" t="n">
        <v>0</v>
      </c>
      <c r="AE413" s="185" t="n">
        <v>0</v>
      </c>
      <c r="AG413" s="167" t="inlineStr">
        <is>
          <t>7218|JA2594_1001</t>
        </is>
      </c>
      <c r="AH413" s="46">
        <f>IF(M413=0,"-",M413-J413)</f>
        <v/>
      </c>
      <c r="AI413" s="46">
        <f>IF(AND(S413=0,M413&gt;0,L413=0),IF(AH413&gt;=120,"VERY HIGH",IF(AH413&gt;=90,"HIGH",IF(AH413&gt;=60,"MEDIUM",IF(AH413&lt;60,"LOW")))),"-")</f>
        <v/>
      </c>
      <c r="AJ413" s="12" t="n"/>
      <c r="AK413" s="41">
        <f>IF(AND(W413="X",M413&lt;=$AJ$2),"YES","")</f>
        <v/>
      </c>
      <c r="AL413" s="38">
        <f>IF(AND(W413="X",M413&lt;=$AJ$2),S413,"")</f>
        <v/>
      </c>
      <c r="AM413" s="26">
        <f>IF(AND(W413="X",M413&gt;$AJ$2),"YES","")</f>
        <v/>
      </c>
      <c r="AN413" s="89">
        <f>IF(AND(W413="X",M413&gt;$AJ$2),S413,"")</f>
        <v/>
      </c>
      <c r="AO413" s="35">
        <f>IF(AND(W413="",M413&gt;0,$AJ$2&gt;M413,L413=""),1,0)</f>
        <v/>
      </c>
      <c r="AP413" s="26">
        <f>IF(AND(AK413="YES",W413="X"),"X","")</f>
        <v/>
      </c>
      <c r="AQ413" s="28">
        <f>IF(AP413="X",100%,0%)</f>
        <v/>
      </c>
      <c r="AR413" s="25">
        <f>IF(AND(T413&gt;0,L413=""),H413,"")</f>
        <v/>
      </c>
      <c r="AS413" s="25">
        <f>IF(AND(D413&gt;0,H413=0,G413=""),1,"")</f>
        <v/>
      </c>
      <c r="AT413" s="25">
        <f>IF(G413="BLOQ",1,"")</f>
        <v/>
      </c>
      <c r="AU413" s="25">
        <f>IF(L413="BLOQ",1,"")</f>
        <v/>
      </c>
      <c r="AV413" s="25">
        <f>MONTH(F413)</f>
        <v/>
      </c>
      <c r="AW413" s="65">
        <f>IF(AP413="",100%,0%)</f>
        <v/>
      </c>
      <c r="AX413" s="23" t="n"/>
      <c r="AY413" s="24">
        <f>IF(M413=0,"",M413-$AX$2)</f>
        <v/>
      </c>
      <c r="AZ413" s="66">
        <f>IF(AND(W413="",AY413&gt;0,AY413&lt;15),1,0)</f>
        <v/>
      </c>
      <c r="BA413" s="24">
        <f>IF(AND(W413="",AY413&gt;0,AY413&lt;15),T413,"")</f>
        <v/>
      </c>
      <c r="BB413" s="87">
        <f>IF(R413&lt;Q413,"X","")</f>
        <v/>
      </c>
      <c r="BC413" s="190" t="inlineStr">
        <is>
          <t>NO</t>
        </is>
      </c>
      <c r="BD413" s="190" t="inlineStr">
        <is>
          <t>NO</t>
        </is>
      </c>
    </row>
    <row r="414" ht="15" customHeight="1" s="162">
      <c r="A414" s="7" t="n">
        <v>413</v>
      </c>
      <c r="B414" t="inlineStr">
        <is>
          <t>1359900000500</t>
        </is>
      </c>
      <c r="C414" t="inlineStr">
        <is>
          <t>COMPRA DIRECTA ELECTRICOS/ELECTRONICOS</t>
        </is>
      </c>
      <c r="D414" t="inlineStr">
        <is>
          <t>1101845657</t>
        </is>
      </c>
      <c r="E414" t="inlineStr">
        <is>
          <t>1</t>
        </is>
      </c>
      <c r="F414" s="163" t="n">
        <v>45722</v>
      </c>
      <c r="G414" t="inlineStr"/>
      <c r="H414" t="inlineStr">
        <is>
          <t>4200602096</t>
        </is>
      </c>
      <c r="I414" t="inlineStr">
        <is>
          <t>10</t>
        </is>
      </c>
      <c r="J414" s="163" t="n">
        <v>45728</v>
      </c>
      <c r="K414" s="163" t="n">
        <v>45728</v>
      </c>
      <c r="L414" t="inlineStr"/>
      <c r="M414" s="163" t="n">
        <v>45742</v>
      </c>
      <c r="N414" s="164" t="n">
        <v>30</v>
      </c>
      <c r="O414" s="164" t="n">
        <v>8</v>
      </c>
      <c r="P414" t="inlineStr">
        <is>
          <t>Liberado</t>
        </is>
      </c>
      <c r="Q414" s="165" t="n">
        <v>1</v>
      </c>
      <c r="R414" s="165" t="n">
        <v>1</v>
      </c>
      <c r="S414" s="165" t="n">
        <v>1</v>
      </c>
      <c r="T414" s="165" t="n">
        <v>0</v>
      </c>
      <c r="U414" s="166" t="n">
        <v>0</v>
      </c>
      <c r="V414" s="166" t="n">
        <v>0</v>
      </c>
      <c r="W414" t="inlineStr">
        <is>
          <t>X</t>
        </is>
      </c>
      <c r="X414" t="inlineStr">
        <is>
          <t>0.00</t>
        </is>
      </c>
      <c r="Y414" t="inlineStr"/>
      <c r="Z414" t="inlineStr">
        <is>
          <t>(AEMSA)ALMACENES ELECTRICOS MADRILE</t>
        </is>
      </c>
      <c r="AA414" t="inlineStr">
        <is>
          <t>OTROS FABRICANTES</t>
        </is>
      </c>
      <c r="AB414" t="inlineStr">
        <is>
          <t>1359900000500</t>
        </is>
      </c>
      <c r="AC414" t="inlineStr"/>
      <c r="AD414" s="164" t="n">
        <v>0</v>
      </c>
      <c r="AE414" s="185" t="n">
        <v>0</v>
      </c>
      <c r="AG414" s="167" t="inlineStr">
        <is>
          <t>7218|JA2593_1001</t>
        </is>
      </c>
      <c r="AH414" s="46">
        <f>IF(M414=0,"-",M414-J414)</f>
        <v/>
      </c>
      <c r="AI414" s="46">
        <f>IF(AND(S414=0,M414&gt;0,L414=0),IF(AH414&gt;=120,"VERY HIGH",IF(AH414&gt;=90,"HIGH",IF(AH414&gt;=60,"MEDIUM",IF(AH414&lt;60,"LOW")))),"-")</f>
        <v/>
      </c>
      <c r="AJ414" s="12" t="n"/>
      <c r="AK414" s="41">
        <f>IF(AND(W414="X",M414&lt;=$AJ$2),"YES","")</f>
        <v/>
      </c>
      <c r="AL414" s="38">
        <f>IF(AND(W414="X",M414&lt;=$AJ$2),S414,"")</f>
        <v/>
      </c>
      <c r="AM414" s="26">
        <f>IF(AND(W414="X",M414&gt;$AJ$2),"YES","")</f>
        <v/>
      </c>
      <c r="AN414" s="89">
        <f>IF(AND(W414="X",M414&gt;$AJ$2),S414,"")</f>
        <v/>
      </c>
      <c r="AO414" s="35">
        <f>IF(AND(W414="",M414&gt;0,$AJ$2&gt;M414,L414=""),1,0)</f>
        <v/>
      </c>
      <c r="AP414" s="26">
        <f>IF(AND(AK414="YES",W414="X"),"X","")</f>
        <v/>
      </c>
      <c r="AQ414" s="28">
        <f>IF(AP414="X",100%,0%)</f>
        <v/>
      </c>
      <c r="AR414" s="25">
        <f>IF(AND(T414&gt;0,L414=""),H414,"")</f>
        <v/>
      </c>
      <c r="AS414" s="25">
        <f>IF(AND(D414&gt;0,H414=0,G414=""),1,"")</f>
        <v/>
      </c>
      <c r="AT414" s="25">
        <f>IF(G414="BLOQ",1,"")</f>
        <v/>
      </c>
      <c r="AU414" s="25">
        <f>IF(L414="BLOQ",1,"")</f>
        <v/>
      </c>
      <c r="AV414" s="25">
        <f>MONTH(F414)</f>
        <v/>
      </c>
      <c r="AW414" s="65">
        <f>IF(AP414="",100%,0%)</f>
        <v/>
      </c>
      <c r="AX414" s="23" t="n"/>
      <c r="AY414" s="24">
        <f>IF(M414=0,"",M414-$AX$2)</f>
        <v/>
      </c>
      <c r="AZ414" s="66">
        <f>IF(AND(W414="",AY414&gt;0,AY414&lt;15),1,0)</f>
        <v/>
      </c>
      <c r="BA414" s="24">
        <f>IF(AND(W414="",AY414&gt;0,AY414&lt;15),T414,"")</f>
        <v/>
      </c>
      <c r="BB414" s="87">
        <f>IF(R414&lt;Q414,"X","")</f>
        <v/>
      </c>
      <c r="BC414" s="190" t="inlineStr">
        <is>
          <t>NO</t>
        </is>
      </c>
      <c r="BD414" s="190" t="inlineStr">
        <is>
          <t>NO</t>
        </is>
      </c>
    </row>
    <row r="415" ht="15" customHeight="1" s="162">
      <c r="A415" s="7" t="n">
        <v>414</v>
      </c>
      <c r="B415" t="inlineStr">
        <is>
          <t>1359900000500</t>
        </is>
      </c>
      <c r="C415" t="inlineStr">
        <is>
          <t>COMPRA DIRECTA ELECTRICOS/ELECTRONICOS</t>
        </is>
      </c>
      <c r="D415" t="inlineStr">
        <is>
          <t>1101845701</t>
        </is>
      </c>
      <c r="E415" t="inlineStr">
        <is>
          <t>1</t>
        </is>
      </c>
      <c r="F415" s="163" t="n">
        <v>45722</v>
      </c>
      <c r="G415" t="inlineStr"/>
      <c r="H415" t="inlineStr">
        <is>
          <t>4200601859</t>
        </is>
      </c>
      <c r="I415" t="inlineStr">
        <is>
          <t>50</t>
        </is>
      </c>
      <c r="J415" s="163" t="n">
        <v>45727</v>
      </c>
      <c r="K415" s="163" t="n">
        <v>45727</v>
      </c>
      <c r="L415" t="inlineStr"/>
      <c r="M415" s="163" t="n">
        <v>45741</v>
      </c>
      <c r="N415" s="164" t="n">
        <v>30</v>
      </c>
      <c r="O415" s="164" t="n">
        <v>8</v>
      </c>
      <c r="P415" t="inlineStr">
        <is>
          <t>Liberado</t>
        </is>
      </c>
      <c r="Q415" s="165" t="n">
        <v>1</v>
      </c>
      <c r="R415" s="165" t="n">
        <v>1</v>
      </c>
      <c r="S415" s="165" t="n">
        <v>1</v>
      </c>
      <c r="T415" s="165" t="n">
        <v>0</v>
      </c>
      <c r="U415" s="166" t="n">
        <v>0</v>
      </c>
      <c r="V415" s="166" t="n">
        <v>0</v>
      </c>
      <c r="W415" t="inlineStr">
        <is>
          <t>X</t>
        </is>
      </c>
      <c r="X415" t="inlineStr">
        <is>
          <t>0.00</t>
        </is>
      </c>
      <c r="Y415" t="inlineStr"/>
      <c r="Z415" t="inlineStr">
        <is>
          <t>(AEMSA)ALMACENES ELECTRICOS MADRILE</t>
        </is>
      </c>
      <c r="AA415" t="inlineStr">
        <is>
          <t>OTROS FABRICANTES</t>
        </is>
      </c>
      <c r="AB415" t="inlineStr">
        <is>
          <t>1359900000500</t>
        </is>
      </c>
      <c r="AC415" t="inlineStr"/>
      <c r="AD415" s="164" t="n">
        <v>0</v>
      </c>
      <c r="AE415" s="185" t="n">
        <v>0</v>
      </c>
      <c r="AG415" s="167" t="inlineStr">
        <is>
          <t>7218|JA2593_1001</t>
        </is>
      </c>
      <c r="AH415" s="46">
        <f>IF(M415=0,"-",M415-J415)</f>
        <v/>
      </c>
      <c r="AI415" s="46">
        <f>IF(AND(S415=0,M415&gt;0,L415=0),IF(AH415&gt;=120,"VERY HIGH",IF(AH415&gt;=90,"HIGH",IF(AH415&gt;=60,"MEDIUM",IF(AH415&lt;60,"LOW")))),"-")</f>
        <v/>
      </c>
      <c r="AJ415" s="12" t="n"/>
      <c r="AK415" s="41">
        <f>IF(AND(W415="X",M415&lt;=$AJ$2),"YES","")</f>
        <v/>
      </c>
      <c r="AL415" s="38">
        <f>IF(AND(W415="X",M415&lt;=$AJ$2),S415,"")</f>
        <v/>
      </c>
      <c r="AM415" s="26">
        <f>IF(AND(W415="X",M415&gt;$AJ$2),"YES","")</f>
        <v/>
      </c>
      <c r="AN415" s="89">
        <f>IF(AND(W415="X",M415&gt;$AJ$2),S415,"")</f>
        <v/>
      </c>
      <c r="AO415" s="35">
        <f>IF(AND(W415="",M415&gt;0,$AJ$2&gt;M415,L415=""),1,0)</f>
        <v/>
      </c>
      <c r="AP415" s="26">
        <f>IF(AND(AK415="YES",W415="X"),"X","")</f>
        <v/>
      </c>
      <c r="AQ415" s="28">
        <f>IF(AP415="X",100%,0%)</f>
        <v/>
      </c>
      <c r="AR415" s="25">
        <f>IF(AND(T415&gt;0,L415=""),H415,"")</f>
        <v/>
      </c>
      <c r="AS415" s="25">
        <f>IF(AND(D415&gt;0,H415=0,G415=""),1,"")</f>
        <v/>
      </c>
      <c r="AT415" s="25">
        <f>IF(G415="BLOQ",1,"")</f>
        <v/>
      </c>
      <c r="AU415" s="25">
        <f>IF(L415="BLOQ",1,"")</f>
        <v/>
      </c>
      <c r="AV415" s="25">
        <f>MONTH(F415)</f>
        <v/>
      </c>
      <c r="AW415" s="65">
        <f>IF(AP415="",100%,0%)</f>
        <v/>
      </c>
      <c r="AX415" s="23" t="n"/>
      <c r="AY415" s="24">
        <f>IF(M415=0,"",M415-$AX$2)</f>
        <v/>
      </c>
      <c r="AZ415" s="66">
        <f>IF(AND(W415="",AY415&gt;0,AY415&lt;15),1,0)</f>
        <v/>
      </c>
      <c r="BA415" s="24">
        <f>IF(AND(W415="",AY415&gt;0,AY415&lt;15),T415,"")</f>
        <v/>
      </c>
      <c r="BB415" s="87">
        <f>IF(R415&lt;Q415,"X","")</f>
        <v/>
      </c>
      <c r="BC415" s="190" t="inlineStr">
        <is>
          <t>NO</t>
        </is>
      </c>
      <c r="BD415" s="190" t="inlineStr">
        <is>
          <t>NO</t>
        </is>
      </c>
    </row>
    <row r="416" ht="15" customHeight="1" s="162">
      <c r="A416" s="7" t="n">
        <v>415</v>
      </c>
      <c r="B416" t="inlineStr">
        <is>
          <t>1359900000500</t>
        </is>
      </c>
      <c r="C416" t="inlineStr">
        <is>
          <t>COMPRA DIRECTA ELECTRICOS/ELECTRONICOS</t>
        </is>
      </c>
      <c r="D416" t="inlineStr">
        <is>
          <t>1101845711</t>
        </is>
      </c>
      <c r="E416" t="inlineStr">
        <is>
          <t>1</t>
        </is>
      </c>
      <c r="F416" s="163" t="n">
        <v>45722</v>
      </c>
      <c r="G416" t="inlineStr"/>
      <c r="H416" t="inlineStr">
        <is>
          <t>4200601867</t>
        </is>
      </c>
      <c r="I416" t="inlineStr">
        <is>
          <t>10</t>
        </is>
      </c>
      <c r="J416" s="163" t="n">
        <v>45727</v>
      </c>
      <c r="K416" s="163" t="n">
        <v>45727</v>
      </c>
      <c r="L416" t="inlineStr"/>
      <c r="M416" s="163" t="n">
        <v>45741</v>
      </c>
      <c r="N416" s="164" t="n">
        <v>30</v>
      </c>
      <c r="O416" s="164" t="n">
        <v>8</v>
      </c>
      <c r="P416" t="inlineStr">
        <is>
          <t>Liberado</t>
        </is>
      </c>
      <c r="Q416" s="165" t="n">
        <v>1</v>
      </c>
      <c r="R416" s="165" t="n">
        <v>1</v>
      </c>
      <c r="S416" s="165" t="n">
        <v>1</v>
      </c>
      <c r="T416" s="165" t="n">
        <v>0</v>
      </c>
      <c r="U416" s="166" t="n">
        <v>0</v>
      </c>
      <c r="V416" s="166" t="n">
        <v>0</v>
      </c>
      <c r="W416" t="inlineStr">
        <is>
          <t>X</t>
        </is>
      </c>
      <c r="X416" t="inlineStr">
        <is>
          <t>0.00</t>
        </is>
      </c>
      <c r="Y416" t="inlineStr"/>
      <c r="Z416" t="inlineStr">
        <is>
          <t>(AEMSA)ALMACENES ELECTRICOS MADRILE</t>
        </is>
      </c>
      <c r="AA416" t="inlineStr">
        <is>
          <t>OTROS FABRICANTES</t>
        </is>
      </c>
      <c r="AB416" t="inlineStr">
        <is>
          <t>1359900000500</t>
        </is>
      </c>
      <c r="AC416" t="inlineStr"/>
      <c r="AD416" s="164" t="n">
        <v>0</v>
      </c>
      <c r="AE416" s="185" t="n">
        <v>0</v>
      </c>
      <c r="AG416" s="167" t="inlineStr">
        <is>
          <t>7218|JA2593_1001</t>
        </is>
      </c>
      <c r="AH416" s="46">
        <f>IF(M416=0,"-",M416-J416)</f>
        <v/>
      </c>
      <c r="AI416" s="46">
        <f>IF(AND(S416=0,M416&gt;0,L416=0),IF(AH416&gt;=120,"VERY HIGH",IF(AH416&gt;=90,"HIGH",IF(AH416&gt;=60,"MEDIUM",IF(AH416&lt;60,"LOW")))),"-")</f>
        <v/>
      </c>
      <c r="AJ416" s="12" t="n"/>
      <c r="AK416" s="41">
        <f>IF(AND(W416="X",M416&lt;=$AJ$2),"YES","")</f>
        <v/>
      </c>
      <c r="AL416" s="38">
        <f>IF(AND(W416="X",M416&lt;=$AJ$2),S416,"")</f>
        <v/>
      </c>
      <c r="AM416" s="26">
        <f>IF(AND(W416="X",M416&gt;$AJ$2),"YES","")</f>
        <v/>
      </c>
      <c r="AN416" s="89">
        <f>IF(AND(W416="X",M416&gt;$AJ$2),S416,"")</f>
        <v/>
      </c>
      <c r="AO416" s="35">
        <f>IF(AND(W416="",M416&gt;0,$AJ$2&gt;M416,L416=""),1,0)</f>
        <v/>
      </c>
      <c r="AP416" s="26">
        <f>IF(AND(AK416="YES",W416="X"),"X","")</f>
        <v/>
      </c>
      <c r="AQ416" s="28">
        <f>IF(AP416="X",100%,0%)</f>
        <v/>
      </c>
      <c r="AR416" s="25">
        <f>IF(AND(T416&gt;0,L416=""),H416,"")</f>
        <v/>
      </c>
      <c r="AS416" s="25">
        <f>IF(AND(D416&gt;0,H416=0,G416=""),1,"")</f>
        <v/>
      </c>
      <c r="AT416" s="25">
        <f>IF(G416="BLOQ",1,"")</f>
        <v/>
      </c>
      <c r="AU416" s="25">
        <f>IF(L416="BLOQ",1,"")</f>
        <v/>
      </c>
      <c r="AV416" s="25">
        <f>MONTH(F416)</f>
        <v/>
      </c>
      <c r="AW416" s="65">
        <f>IF(AP416="",100%,0%)</f>
        <v/>
      </c>
      <c r="AX416" s="23" t="n"/>
      <c r="AY416" s="24">
        <f>IF(M416=0,"",M416-$AX$2)</f>
        <v/>
      </c>
      <c r="AZ416" s="66">
        <f>IF(AND(W416="",AY416&gt;0,AY416&lt;15),1,0)</f>
        <v/>
      </c>
      <c r="BA416" s="24">
        <f>IF(AND(W416="",AY416&gt;0,AY416&lt;15),T416,"")</f>
        <v/>
      </c>
      <c r="BB416" s="87">
        <f>IF(R416&lt;Q416,"X","")</f>
        <v/>
      </c>
      <c r="BC416" s="190" t="inlineStr">
        <is>
          <t>NO</t>
        </is>
      </c>
      <c r="BD416" s="190" t="inlineStr">
        <is>
          <t>NO</t>
        </is>
      </c>
    </row>
    <row r="417" ht="15" customHeight="1" s="162">
      <c r="A417" s="7" t="n">
        <v>416</v>
      </c>
      <c r="B417" t="inlineStr">
        <is>
          <t>1359900000500</t>
        </is>
      </c>
      <c r="C417" t="inlineStr">
        <is>
          <t>COMPRA DIRECTA ELECTRICOS/ELECTRONICOS</t>
        </is>
      </c>
      <c r="D417" t="inlineStr">
        <is>
          <t>1101845711</t>
        </is>
      </c>
      <c r="E417" t="inlineStr">
        <is>
          <t>2</t>
        </is>
      </c>
      <c r="F417" s="163" t="n">
        <v>45722</v>
      </c>
      <c r="G417" t="inlineStr"/>
      <c r="H417" t="inlineStr">
        <is>
          <t>4200601867</t>
        </is>
      </c>
      <c r="I417" t="inlineStr">
        <is>
          <t>20</t>
        </is>
      </c>
      <c r="J417" s="163" t="n">
        <v>45727</v>
      </c>
      <c r="K417" s="163" t="n">
        <v>45727</v>
      </c>
      <c r="L417" t="inlineStr"/>
      <c r="M417" s="163" t="n">
        <v>45741</v>
      </c>
      <c r="N417" s="164" t="n">
        <v>30</v>
      </c>
      <c r="O417" s="164" t="n">
        <v>8</v>
      </c>
      <c r="P417" t="inlineStr">
        <is>
          <t>Liberado</t>
        </is>
      </c>
      <c r="Q417" s="165" t="n">
        <v>1</v>
      </c>
      <c r="R417" s="165" t="n">
        <v>1</v>
      </c>
      <c r="S417" s="165" t="n">
        <v>1</v>
      </c>
      <c r="T417" s="165" t="n">
        <v>0</v>
      </c>
      <c r="U417" s="166" t="n">
        <v>0</v>
      </c>
      <c r="V417" s="166" t="n">
        <v>0</v>
      </c>
      <c r="W417" t="inlineStr">
        <is>
          <t>X</t>
        </is>
      </c>
      <c r="X417" t="inlineStr">
        <is>
          <t>0.00</t>
        </is>
      </c>
      <c r="Y417" t="inlineStr"/>
      <c r="Z417" t="inlineStr">
        <is>
          <t>(AEMSA)ALMACENES ELECTRICOS MADRILE</t>
        </is>
      </c>
      <c r="AA417" t="inlineStr">
        <is>
          <t>OTROS FABRICANTES</t>
        </is>
      </c>
      <c r="AB417" t="inlineStr">
        <is>
          <t>1359900000500</t>
        </is>
      </c>
      <c r="AC417" t="inlineStr"/>
      <c r="AD417" s="164" t="n">
        <v>0</v>
      </c>
      <c r="AE417" s="185" t="n">
        <v>0</v>
      </c>
      <c r="AG417" s="167" t="inlineStr">
        <is>
          <t>7218|JA2593_1001</t>
        </is>
      </c>
      <c r="AH417" s="46">
        <f>IF(M417=0,"-",M417-J417)</f>
        <v/>
      </c>
      <c r="AI417" s="46">
        <f>IF(AND(S417=0,M417&gt;0,L417=0),IF(AH417&gt;=120,"VERY HIGH",IF(AH417&gt;=90,"HIGH",IF(AH417&gt;=60,"MEDIUM",IF(AH417&lt;60,"LOW")))),"-")</f>
        <v/>
      </c>
      <c r="AJ417" s="12" t="n"/>
      <c r="AK417" s="41">
        <f>IF(AND(W417="X",M417&lt;=$AJ$2),"YES","")</f>
        <v/>
      </c>
      <c r="AL417" s="38">
        <f>IF(AND(W417="X",M417&lt;=$AJ$2),S417,"")</f>
        <v/>
      </c>
      <c r="AM417" s="26">
        <f>IF(AND(W417="X",M417&gt;$AJ$2),"YES","")</f>
        <v/>
      </c>
      <c r="AN417" s="89">
        <f>IF(AND(W417="X",M417&gt;$AJ$2),S417,"")</f>
        <v/>
      </c>
      <c r="AO417" s="35">
        <f>IF(AND(W417="",M417&gt;0,$AJ$2&gt;M417,L417=""),1,0)</f>
        <v/>
      </c>
      <c r="AP417" s="26">
        <f>IF(AND(AK417="YES",W417="X"),"X","")</f>
        <v/>
      </c>
      <c r="AQ417" s="28">
        <f>IF(AP417="X",100%,0%)</f>
        <v/>
      </c>
      <c r="AR417" s="25">
        <f>IF(AND(T417&gt;0,L417=""),H417,"")</f>
        <v/>
      </c>
      <c r="AS417" s="25">
        <f>IF(AND(D417&gt;0,H417=0,G417=""),1,"")</f>
        <v/>
      </c>
      <c r="AT417" s="25">
        <f>IF(G417="BLOQ",1,"")</f>
        <v/>
      </c>
      <c r="AU417" s="25">
        <f>IF(L417="BLOQ",1,"")</f>
        <v/>
      </c>
      <c r="AV417" s="25">
        <f>MONTH(F417)</f>
        <v/>
      </c>
      <c r="AW417" s="65">
        <f>IF(AP417="",100%,0%)</f>
        <v/>
      </c>
      <c r="AX417" s="23" t="n"/>
      <c r="AY417" s="24">
        <f>IF(M417=0,"",M417-$AX$2)</f>
        <v/>
      </c>
      <c r="AZ417" s="66">
        <f>IF(AND(W417="",AY417&gt;0,AY417&lt;15),1,0)</f>
        <v/>
      </c>
      <c r="BA417" s="24">
        <f>IF(AND(W417="",AY417&gt;0,AY417&lt;15),T417,"")</f>
        <v/>
      </c>
      <c r="BB417" s="87">
        <f>IF(R417&lt;Q417,"X","")</f>
        <v/>
      </c>
      <c r="BC417" s="190" t="inlineStr">
        <is>
          <t>NO</t>
        </is>
      </c>
      <c r="BD417" s="190" t="inlineStr">
        <is>
          <t>NO</t>
        </is>
      </c>
    </row>
    <row r="418" ht="15" customHeight="1" s="162">
      <c r="A418" s="7" t="n">
        <v>417</v>
      </c>
      <c r="B418" t="inlineStr">
        <is>
          <t>1359900000500</t>
        </is>
      </c>
      <c r="C418" t="inlineStr">
        <is>
          <t>COMPRA DIRECTA ELECTRICOS/ELECTRONICOS</t>
        </is>
      </c>
      <c r="D418" t="inlineStr">
        <is>
          <t>1101845711</t>
        </is>
      </c>
      <c r="E418" t="inlineStr">
        <is>
          <t>3</t>
        </is>
      </c>
      <c r="F418" s="163" t="n">
        <v>45722</v>
      </c>
      <c r="G418" t="inlineStr"/>
      <c r="H418" t="inlineStr">
        <is>
          <t>4200601867</t>
        </is>
      </c>
      <c r="I418" t="inlineStr">
        <is>
          <t>30</t>
        </is>
      </c>
      <c r="J418" s="163" t="n">
        <v>45727</v>
      </c>
      <c r="K418" s="163" t="n">
        <v>45727</v>
      </c>
      <c r="L418" t="inlineStr"/>
      <c r="M418" s="163" t="n">
        <v>45741</v>
      </c>
      <c r="N418" s="164" t="n">
        <v>30</v>
      </c>
      <c r="O418" s="164" t="n">
        <v>8</v>
      </c>
      <c r="P418" t="inlineStr">
        <is>
          <t>Liberado</t>
        </is>
      </c>
      <c r="Q418" s="165" t="n">
        <v>1</v>
      </c>
      <c r="R418" s="165" t="n">
        <v>1</v>
      </c>
      <c r="S418" s="165" t="n">
        <v>1</v>
      </c>
      <c r="T418" s="165" t="n">
        <v>0</v>
      </c>
      <c r="U418" s="166" t="n">
        <v>0</v>
      </c>
      <c r="V418" s="166" t="n">
        <v>0</v>
      </c>
      <c r="W418" t="inlineStr">
        <is>
          <t>X</t>
        </is>
      </c>
      <c r="X418" t="inlineStr">
        <is>
          <t>0.00</t>
        </is>
      </c>
      <c r="Y418" t="inlineStr"/>
      <c r="Z418" t="inlineStr">
        <is>
          <t>(AEMSA)ALMACENES ELECTRICOS MADRILE</t>
        </is>
      </c>
      <c r="AA418" t="inlineStr">
        <is>
          <t>OTROS FABRICANTES</t>
        </is>
      </c>
      <c r="AB418" t="inlineStr">
        <is>
          <t>1359900000500</t>
        </is>
      </c>
      <c r="AC418" t="inlineStr"/>
      <c r="AD418" s="164" t="n">
        <v>0</v>
      </c>
      <c r="AE418" s="185" t="n">
        <v>0</v>
      </c>
      <c r="AG418" s="167" t="inlineStr">
        <is>
          <t>7218|JA2593_1001</t>
        </is>
      </c>
      <c r="AH418" s="46">
        <f>IF(M418=0,"-",M418-J418)</f>
        <v/>
      </c>
      <c r="AI418" s="46">
        <f>IF(AND(S418=0,M418&gt;0,L418=0),IF(AH418&gt;=120,"VERY HIGH",IF(AH418&gt;=90,"HIGH",IF(AH418&gt;=60,"MEDIUM",IF(AH418&lt;60,"LOW")))),"-")</f>
        <v/>
      </c>
      <c r="AJ418" s="12" t="n"/>
      <c r="AK418" s="41">
        <f>IF(AND(W418="X",M418&lt;=$AJ$2),"YES","")</f>
        <v/>
      </c>
      <c r="AL418" s="38">
        <f>IF(AND(W418="X",M418&lt;=$AJ$2),S418,"")</f>
        <v/>
      </c>
      <c r="AM418" s="26">
        <f>IF(AND(W418="X",M418&gt;$AJ$2),"YES","")</f>
        <v/>
      </c>
      <c r="AN418" s="89">
        <f>IF(AND(W418="X",M418&gt;$AJ$2),S418,"")</f>
        <v/>
      </c>
      <c r="AO418" s="35">
        <f>IF(AND(W418="",M418&gt;0,$AJ$2&gt;M418,L418=""),1,0)</f>
        <v/>
      </c>
      <c r="AP418" s="26">
        <f>IF(AND(AK418="YES",W418="X"),"X","")</f>
        <v/>
      </c>
      <c r="AQ418" s="28">
        <f>IF(AP418="X",100%,0%)</f>
        <v/>
      </c>
      <c r="AR418" s="25">
        <f>IF(AND(T418&gt;0,L418=""),H418,"")</f>
        <v/>
      </c>
      <c r="AS418" s="25">
        <f>IF(AND(D418&gt;0,H418=0,G418=""),1,"")</f>
        <v/>
      </c>
      <c r="AT418" s="25">
        <f>IF(G418="BLOQ",1,"")</f>
        <v/>
      </c>
      <c r="AU418" s="25">
        <f>IF(L418="BLOQ",1,"")</f>
        <v/>
      </c>
      <c r="AV418" s="25">
        <f>MONTH(F418)</f>
        <v/>
      </c>
      <c r="AW418" s="65">
        <f>IF(AP418="",100%,0%)</f>
        <v/>
      </c>
      <c r="AX418" s="23" t="n"/>
      <c r="AY418" s="24">
        <f>IF(M418=0,"",M418-$AX$2)</f>
        <v/>
      </c>
      <c r="AZ418" s="66">
        <f>IF(AND(W418="",AY418&gt;0,AY418&lt;15),1,0)</f>
        <v/>
      </c>
      <c r="BA418" s="24">
        <f>IF(AND(W418="",AY418&gt;0,AY418&lt;15),T418,"")</f>
        <v/>
      </c>
      <c r="BB418" s="87">
        <f>IF(R418&lt;Q418,"X","")</f>
        <v/>
      </c>
      <c r="BC418" s="190" t="inlineStr">
        <is>
          <t>NO</t>
        </is>
      </c>
      <c r="BD418" s="190" t="inlineStr">
        <is>
          <t>NO</t>
        </is>
      </c>
    </row>
    <row r="419" ht="15" customHeight="1" s="162">
      <c r="A419" s="7" t="n">
        <v>418</v>
      </c>
      <c r="B419" t="inlineStr">
        <is>
          <t>1359900000500</t>
        </is>
      </c>
      <c r="C419" t="inlineStr">
        <is>
          <t>COMPRA DIRECTA ELECTRICOS/ELECTRONICOS</t>
        </is>
      </c>
      <c r="D419" t="inlineStr">
        <is>
          <t>1101845711</t>
        </is>
      </c>
      <c r="E419" t="inlineStr">
        <is>
          <t>4</t>
        </is>
      </c>
      <c r="F419" s="163" t="n">
        <v>45722</v>
      </c>
      <c r="G419" t="inlineStr"/>
      <c r="H419" t="inlineStr">
        <is>
          <t>4200601867</t>
        </is>
      </c>
      <c r="I419" t="inlineStr">
        <is>
          <t>40</t>
        </is>
      </c>
      <c r="J419" s="163" t="n">
        <v>45727</v>
      </c>
      <c r="K419" s="163" t="n">
        <v>45727</v>
      </c>
      <c r="L419" t="inlineStr"/>
      <c r="M419" s="163" t="n">
        <v>45741</v>
      </c>
      <c r="N419" s="164" t="n">
        <v>30</v>
      </c>
      <c r="O419" s="164" t="n">
        <v>8</v>
      </c>
      <c r="P419" t="inlineStr">
        <is>
          <t>Liberado</t>
        </is>
      </c>
      <c r="Q419" s="165" t="n">
        <v>1</v>
      </c>
      <c r="R419" s="165" t="n">
        <v>1</v>
      </c>
      <c r="S419" s="165" t="n">
        <v>1</v>
      </c>
      <c r="T419" s="165" t="n">
        <v>0</v>
      </c>
      <c r="U419" s="166" t="n">
        <v>0</v>
      </c>
      <c r="V419" s="166" t="n">
        <v>0</v>
      </c>
      <c r="W419" t="inlineStr">
        <is>
          <t>X</t>
        </is>
      </c>
      <c r="X419" t="inlineStr">
        <is>
          <t>0.00</t>
        </is>
      </c>
      <c r="Y419" t="inlineStr"/>
      <c r="Z419" t="inlineStr">
        <is>
          <t>(AEMSA)ALMACENES ELECTRICOS MADRILE</t>
        </is>
      </c>
      <c r="AA419" t="inlineStr">
        <is>
          <t>OTROS FABRICANTES</t>
        </is>
      </c>
      <c r="AB419" t="inlineStr">
        <is>
          <t>1359900000500</t>
        </is>
      </c>
      <c r="AC419" t="inlineStr"/>
      <c r="AD419" s="164" t="n">
        <v>0</v>
      </c>
      <c r="AE419" s="185" t="n">
        <v>0</v>
      </c>
      <c r="AG419" s="167" t="inlineStr">
        <is>
          <t>7218|JA2593_1001</t>
        </is>
      </c>
      <c r="AH419" s="46">
        <f>IF(M419=0,"-",M419-J419)</f>
        <v/>
      </c>
      <c r="AI419" s="46">
        <f>IF(AND(S419=0,M419&gt;0,L419=0),IF(AH419&gt;=120,"VERY HIGH",IF(AH419&gt;=90,"HIGH",IF(AH419&gt;=60,"MEDIUM",IF(AH419&lt;60,"LOW")))),"-")</f>
        <v/>
      </c>
      <c r="AJ419" s="12" t="n"/>
      <c r="AK419" s="41">
        <f>IF(AND(W419="X",M419&lt;=$AJ$2),"YES","")</f>
        <v/>
      </c>
      <c r="AL419" s="38">
        <f>IF(AND(W419="X",M419&lt;=$AJ$2),S419,"")</f>
        <v/>
      </c>
      <c r="AM419" s="26">
        <f>IF(AND(W419="X",M419&gt;$AJ$2),"YES","")</f>
        <v/>
      </c>
      <c r="AN419" s="89">
        <f>IF(AND(W419="X",M419&gt;$AJ$2),S419,"")</f>
        <v/>
      </c>
      <c r="AO419" s="35">
        <f>IF(AND(W419="",M419&gt;0,$AJ$2&gt;M419,L419=""),1,0)</f>
        <v/>
      </c>
      <c r="AP419" s="26">
        <f>IF(AND(AK419="YES",W419="X"),"X","")</f>
        <v/>
      </c>
      <c r="AQ419" s="28">
        <f>IF(AP419="X",100%,0%)</f>
        <v/>
      </c>
      <c r="AR419" s="25">
        <f>IF(AND(T419&gt;0,L419=""),H419,"")</f>
        <v/>
      </c>
      <c r="AS419" s="25">
        <f>IF(AND(D419&gt;0,H419=0,G419=""),1,"")</f>
        <v/>
      </c>
      <c r="AT419" s="25">
        <f>IF(G419="BLOQ",1,"")</f>
        <v/>
      </c>
      <c r="AU419" s="25">
        <f>IF(L419="BLOQ",1,"")</f>
        <v/>
      </c>
      <c r="AV419" s="25">
        <f>MONTH(F419)</f>
        <v/>
      </c>
      <c r="AW419" s="65">
        <f>IF(AP419="",100%,0%)</f>
        <v/>
      </c>
      <c r="AX419" s="23" t="n"/>
      <c r="AY419" s="24">
        <f>IF(M419=0,"",M419-$AX$2)</f>
        <v/>
      </c>
      <c r="AZ419" s="66">
        <f>IF(AND(W419="",AY419&gt;0,AY419&lt;15),1,0)</f>
        <v/>
      </c>
      <c r="BA419" s="24">
        <f>IF(AND(W419="",AY419&gt;0,AY419&lt;15),T419,"")</f>
        <v/>
      </c>
      <c r="BB419" s="87">
        <f>IF(R419&lt;Q419,"X","")</f>
        <v/>
      </c>
      <c r="BC419" s="190" t="inlineStr">
        <is>
          <t>NO</t>
        </is>
      </c>
      <c r="BD419" s="190" t="inlineStr">
        <is>
          <t>NO</t>
        </is>
      </c>
    </row>
    <row r="420" ht="15" customHeight="1" s="162">
      <c r="A420" s="7" t="n">
        <v>419</v>
      </c>
      <c r="B420" t="inlineStr">
        <is>
          <t>1359900000500</t>
        </is>
      </c>
      <c r="C420" t="inlineStr">
        <is>
          <t>COMPRA DIRECTA ELECTRICOS/ELECTRONICOS</t>
        </is>
      </c>
      <c r="D420" t="inlineStr">
        <is>
          <t>1101845711</t>
        </is>
      </c>
      <c r="E420" t="inlineStr">
        <is>
          <t>5</t>
        </is>
      </c>
      <c r="F420" s="163" t="n">
        <v>45722</v>
      </c>
      <c r="G420" t="inlineStr"/>
      <c r="H420" t="inlineStr">
        <is>
          <t>4200601867</t>
        </is>
      </c>
      <c r="I420" t="inlineStr">
        <is>
          <t>50</t>
        </is>
      </c>
      <c r="J420" s="163" t="n">
        <v>45727</v>
      </c>
      <c r="K420" s="163" t="n">
        <v>45727</v>
      </c>
      <c r="L420" t="inlineStr"/>
      <c r="M420" s="163" t="n">
        <v>45741</v>
      </c>
      <c r="N420" s="164" t="n">
        <v>30</v>
      </c>
      <c r="O420" s="164" t="n">
        <v>8</v>
      </c>
      <c r="P420" t="inlineStr">
        <is>
          <t>Liberado</t>
        </is>
      </c>
      <c r="Q420" s="165" t="n">
        <v>1</v>
      </c>
      <c r="R420" s="165" t="n">
        <v>1</v>
      </c>
      <c r="S420" s="165" t="n">
        <v>1</v>
      </c>
      <c r="T420" s="165" t="n">
        <v>0</v>
      </c>
      <c r="U420" s="166" t="n">
        <v>0</v>
      </c>
      <c r="V420" s="166" t="n">
        <v>0</v>
      </c>
      <c r="W420" t="inlineStr">
        <is>
          <t>X</t>
        </is>
      </c>
      <c r="X420" t="inlineStr">
        <is>
          <t>0.00</t>
        </is>
      </c>
      <c r="Y420" t="inlineStr"/>
      <c r="Z420" t="inlineStr">
        <is>
          <t>(AEMSA)ALMACENES ELECTRICOS MADRILE</t>
        </is>
      </c>
      <c r="AA420" t="inlineStr">
        <is>
          <t>OTROS FABRICANTES</t>
        </is>
      </c>
      <c r="AB420" t="inlineStr">
        <is>
          <t>1359900000500</t>
        </is>
      </c>
      <c r="AC420" t="inlineStr"/>
      <c r="AD420" s="164" t="n">
        <v>0</v>
      </c>
      <c r="AE420" s="185" t="n">
        <v>0</v>
      </c>
      <c r="AG420" s="167" t="inlineStr">
        <is>
          <t>7218|JA2593_1001</t>
        </is>
      </c>
      <c r="AH420" s="46">
        <f>IF(M420=0,"-",M420-J420)</f>
        <v/>
      </c>
      <c r="AI420" s="46">
        <f>IF(AND(S420=0,M420&gt;0,L420=0),IF(AH420&gt;=120,"VERY HIGH",IF(AH420&gt;=90,"HIGH",IF(AH420&gt;=60,"MEDIUM",IF(AH420&lt;60,"LOW")))),"-")</f>
        <v/>
      </c>
      <c r="AJ420" s="12" t="n"/>
      <c r="AK420" s="41">
        <f>IF(AND(W420="X",M420&lt;=$AJ$2),"YES","")</f>
        <v/>
      </c>
      <c r="AL420" s="38">
        <f>IF(AND(W420="X",M420&lt;=$AJ$2),S420,"")</f>
        <v/>
      </c>
      <c r="AM420" s="26">
        <f>IF(AND(W420="X",M420&gt;$AJ$2),"YES","")</f>
        <v/>
      </c>
      <c r="AN420" s="89">
        <f>IF(AND(W420="X",M420&gt;$AJ$2),S420,"")</f>
        <v/>
      </c>
      <c r="AO420" s="35">
        <f>IF(AND(W420="",M420&gt;0,$AJ$2&gt;M420,L420=""),1,0)</f>
        <v/>
      </c>
      <c r="AP420" s="26">
        <f>IF(AND(AK420="YES",W420="X"),"X","")</f>
        <v/>
      </c>
      <c r="AQ420" s="28">
        <f>IF(AP420="X",100%,0%)</f>
        <v/>
      </c>
      <c r="AR420" s="25">
        <f>IF(AND(T420&gt;0,L420=""),H420,"")</f>
        <v/>
      </c>
      <c r="AS420" s="25">
        <f>IF(AND(D420&gt;0,H420=0,G420=""),1,"")</f>
        <v/>
      </c>
      <c r="AT420" s="25">
        <f>IF(G420="BLOQ",1,"")</f>
        <v/>
      </c>
      <c r="AU420" s="25">
        <f>IF(L420="BLOQ",1,"")</f>
        <v/>
      </c>
      <c r="AV420" s="25">
        <f>MONTH(F420)</f>
        <v/>
      </c>
      <c r="AW420" s="65">
        <f>IF(AP420="",100%,0%)</f>
        <v/>
      </c>
      <c r="AX420" s="23" t="n"/>
      <c r="AY420" s="24">
        <f>IF(M420=0,"",M420-$AX$2)</f>
        <v/>
      </c>
      <c r="AZ420" s="66">
        <f>IF(AND(W420="",AY420&gt;0,AY420&lt;15),1,0)</f>
        <v/>
      </c>
      <c r="BA420" s="24">
        <f>IF(AND(W420="",AY420&gt;0,AY420&lt;15),T420,"")</f>
        <v/>
      </c>
      <c r="BB420" s="87">
        <f>IF(R420&lt;Q420,"X","")</f>
        <v/>
      </c>
      <c r="BC420" s="190" t="inlineStr">
        <is>
          <t>NO</t>
        </is>
      </c>
      <c r="BD420" s="190" t="inlineStr">
        <is>
          <t>NO</t>
        </is>
      </c>
    </row>
    <row r="421" ht="15" customHeight="1" s="162">
      <c r="A421" s="7" t="n">
        <v>420</v>
      </c>
      <c r="B421" t="inlineStr">
        <is>
          <t>1359900000500</t>
        </is>
      </c>
      <c r="C421" t="inlineStr">
        <is>
          <t>COMPRA DIRECTA ELECTRICOS/ELECTRONICOS</t>
        </is>
      </c>
      <c r="D421" t="inlineStr">
        <is>
          <t>1101845711</t>
        </is>
      </c>
      <c r="E421" t="inlineStr">
        <is>
          <t>6</t>
        </is>
      </c>
      <c r="F421" s="163" t="n">
        <v>45722</v>
      </c>
      <c r="G421" t="inlineStr"/>
      <c r="H421" t="inlineStr">
        <is>
          <t>4200601867</t>
        </is>
      </c>
      <c r="I421" t="inlineStr">
        <is>
          <t>60</t>
        </is>
      </c>
      <c r="J421" s="163" t="n">
        <v>45727</v>
      </c>
      <c r="K421" s="163" t="n">
        <v>45727</v>
      </c>
      <c r="L421" t="inlineStr"/>
      <c r="M421" s="163" t="n">
        <v>45741</v>
      </c>
      <c r="N421" s="164" t="n">
        <v>30</v>
      </c>
      <c r="O421" s="164" t="n">
        <v>8</v>
      </c>
      <c r="P421" t="inlineStr">
        <is>
          <t>Liberado</t>
        </is>
      </c>
      <c r="Q421" s="165" t="n">
        <v>1</v>
      </c>
      <c r="R421" s="165" t="n">
        <v>1</v>
      </c>
      <c r="S421" s="165" t="n">
        <v>1</v>
      </c>
      <c r="T421" s="165" t="n">
        <v>0</v>
      </c>
      <c r="U421" s="166" t="n">
        <v>0</v>
      </c>
      <c r="V421" s="166" t="n">
        <v>0</v>
      </c>
      <c r="W421" t="inlineStr">
        <is>
          <t>X</t>
        </is>
      </c>
      <c r="X421" t="inlineStr">
        <is>
          <t>0.00</t>
        </is>
      </c>
      <c r="Y421" t="inlineStr"/>
      <c r="Z421" t="inlineStr">
        <is>
          <t>(AEMSA)ALMACENES ELECTRICOS MADRILE</t>
        </is>
      </c>
      <c r="AA421" t="inlineStr">
        <is>
          <t>OTROS FABRICANTES</t>
        </is>
      </c>
      <c r="AB421" t="inlineStr">
        <is>
          <t>1359900000500</t>
        </is>
      </c>
      <c r="AC421" t="inlineStr"/>
      <c r="AD421" s="164" t="n">
        <v>0</v>
      </c>
      <c r="AE421" s="185" t="n">
        <v>0</v>
      </c>
      <c r="AG421" s="167" t="inlineStr">
        <is>
          <t>7218|JA2593_1001</t>
        </is>
      </c>
      <c r="AH421" s="46">
        <f>IF(M421=0,"-",M421-J421)</f>
        <v/>
      </c>
      <c r="AI421" s="46">
        <f>IF(AND(S421=0,M421&gt;0,L421=0),IF(AH421&gt;=120,"VERY HIGH",IF(AH421&gt;=90,"HIGH",IF(AH421&gt;=60,"MEDIUM",IF(AH421&lt;60,"LOW")))),"-")</f>
        <v/>
      </c>
      <c r="AJ421" s="12" t="n"/>
      <c r="AK421" s="41">
        <f>IF(AND(W421="X",M421&lt;=$AJ$2),"YES","")</f>
        <v/>
      </c>
      <c r="AL421" s="38">
        <f>IF(AND(W421="X",M421&lt;=$AJ$2),S421,"")</f>
        <v/>
      </c>
      <c r="AM421" s="26">
        <f>IF(AND(W421="X",M421&gt;$AJ$2),"YES","")</f>
        <v/>
      </c>
      <c r="AN421" s="89">
        <f>IF(AND(W421="X",M421&gt;$AJ$2),S421,"")</f>
        <v/>
      </c>
      <c r="AO421" s="35">
        <f>IF(AND(W421="",M421&gt;0,$AJ$2&gt;M421,L421=""),1,0)</f>
        <v/>
      </c>
      <c r="AP421" s="26">
        <f>IF(AND(AK421="YES",W421="X"),"X","")</f>
        <v/>
      </c>
      <c r="AQ421" s="28">
        <f>IF(AP421="X",100%,0%)</f>
        <v/>
      </c>
      <c r="AR421" s="25">
        <f>IF(AND(T421&gt;0,L421=""),H421,"")</f>
        <v/>
      </c>
      <c r="AS421" s="25">
        <f>IF(AND(D421&gt;0,H421=0,G421=""),1,"")</f>
        <v/>
      </c>
      <c r="AT421" s="25">
        <f>IF(G421="BLOQ",1,"")</f>
        <v/>
      </c>
      <c r="AU421" s="25">
        <f>IF(L421="BLOQ",1,"")</f>
        <v/>
      </c>
      <c r="AV421" s="25">
        <f>MONTH(F421)</f>
        <v/>
      </c>
      <c r="AW421" s="65">
        <f>IF(AP421="",100%,0%)</f>
        <v/>
      </c>
      <c r="AX421" s="23" t="n"/>
      <c r="AY421" s="24">
        <f>IF(M421=0,"",M421-$AX$2)</f>
        <v/>
      </c>
      <c r="AZ421" s="66">
        <f>IF(AND(W421="",AY421&gt;0,AY421&lt;15),1,0)</f>
        <v/>
      </c>
      <c r="BA421" s="24">
        <f>IF(AND(W421="",AY421&gt;0,AY421&lt;15),T421,"")</f>
        <v/>
      </c>
      <c r="BB421" s="87">
        <f>IF(R421&lt;Q421,"X","")</f>
        <v/>
      </c>
      <c r="BC421" s="190" t="inlineStr">
        <is>
          <t>NO</t>
        </is>
      </c>
      <c r="BD421" s="190" t="inlineStr">
        <is>
          <t>NO</t>
        </is>
      </c>
    </row>
    <row r="422" ht="15" customHeight="1" s="162">
      <c r="A422" s="7" t="n">
        <v>421</v>
      </c>
      <c r="B422" t="inlineStr"/>
      <c r="C422" t="inlineStr">
        <is>
          <t>TAPADO DE CARTELAS</t>
        </is>
      </c>
      <c r="D422" t="inlineStr">
        <is>
          <t>1101845816</t>
        </is>
      </c>
      <c r="E422" t="inlineStr">
        <is>
          <t>1</t>
        </is>
      </c>
      <c r="F422" s="163" t="n">
        <v>45723</v>
      </c>
      <c r="G422" t="inlineStr"/>
      <c r="H422" t="inlineStr">
        <is>
          <t>4300342309</t>
        </is>
      </c>
      <c r="I422" t="inlineStr">
        <is>
          <t>10</t>
        </is>
      </c>
      <c r="J422" s="163" t="n">
        <v>45727</v>
      </c>
      <c r="K422" s="163" t="n">
        <v>45729</v>
      </c>
      <c r="L422" t="inlineStr"/>
      <c r="M422" s="163" t="n">
        <v>45761</v>
      </c>
      <c r="N422" s="164" t="n">
        <v>0</v>
      </c>
      <c r="O422" s="164" t="n">
        <v>0</v>
      </c>
      <c r="P422" t="inlineStr">
        <is>
          <t>Liberado</t>
        </is>
      </c>
      <c r="Q422" s="166" t="n">
        <v>1</v>
      </c>
      <c r="R422" s="164" t="n">
        <v>1</v>
      </c>
      <c r="S422" s="164" t="n">
        <v>0</v>
      </c>
      <c r="T422" s="164" t="n">
        <v>0</v>
      </c>
      <c r="U422" s="166" t="n">
        <v>0</v>
      </c>
      <c r="V422" s="166" t="n">
        <v>0</v>
      </c>
      <c r="W422" t="inlineStr">
        <is>
          <t>X</t>
        </is>
      </c>
      <c r="X422" t="inlineStr">
        <is>
          <t>0.00</t>
        </is>
      </c>
      <c r="Y422" t="inlineStr"/>
      <c r="Z422" t="inlineStr">
        <is>
          <t>YNTEGRA SERV.INTEGRALES, S.L.</t>
        </is>
      </c>
      <c r="AA422" t="inlineStr"/>
      <c r="AB422" t="inlineStr"/>
      <c r="AC422" t="inlineStr"/>
      <c r="AD422" s="164" t="n">
        <v>0</v>
      </c>
      <c r="AE422" s="185" t="n">
        <v>0</v>
      </c>
      <c r="AG422" s="167" t="inlineStr">
        <is>
          <t>7218|JA2582_1001</t>
        </is>
      </c>
      <c r="AH422" s="46">
        <f>IF(M422=0,"-",M422-J422)</f>
        <v/>
      </c>
      <c r="AI422" s="46">
        <f>IF(AND(S422=0,M422&gt;0,L422=0),IF(AH422&gt;=120,"VERY HIGH",IF(AH422&gt;=90,"HIGH",IF(AH422&gt;=60,"MEDIUM",IF(AH422&lt;60,"LOW")))),"-")</f>
        <v/>
      </c>
      <c r="AJ422" s="12" t="n"/>
      <c r="AK422" s="41">
        <f>IF(AND(W422="X",M422&lt;=$AJ$2),"YES","")</f>
        <v/>
      </c>
      <c r="AL422" s="38">
        <f>IF(AND(W422="X",M422&lt;=$AJ$2),S422,"")</f>
        <v/>
      </c>
      <c r="AM422" s="26">
        <f>IF(AND(W422="X",M422&gt;$AJ$2),"YES","")</f>
        <v/>
      </c>
      <c r="AN422" s="89">
        <f>IF(AND(W422="X",M422&gt;$AJ$2),S422,"")</f>
        <v/>
      </c>
      <c r="AO422" s="35">
        <f>IF(AND(W422="",M422&gt;0,$AJ$2&gt;M422,L422=""),1,0)</f>
        <v/>
      </c>
      <c r="AP422" s="26">
        <f>IF(AND(AK422="YES",W422="X"),"X","")</f>
        <v/>
      </c>
      <c r="AQ422" s="28">
        <f>IF(AP422="X",100%,0%)</f>
        <v/>
      </c>
      <c r="AR422" s="25">
        <f>IF(AND(T422&gt;0,L422=""),H422,"")</f>
        <v/>
      </c>
      <c r="AS422" s="25">
        <f>IF(AND(D422&gt;0,H422=0,G422=""),1,"")</f>
        <v/>
      </c>
      <c r="AT422" s="25">
        <f>IF(G422="BLOQ",1,"")</f>
        <v/>
      </c>
      <c r="AU422" s="25">
        <f>IF(L422="BLOQ",1,"")</f>
        <v/>
      </c>
      <c r="AV422" s="25">
        <f>MONTH(F422)</f>
        <v/>
      </c>
      <c r="AW422" s="65">
        <f>IF(AP422="",100%,0%)</f>
        <v/>
      </c>
      <c r="AX422" s="23" t="n"/>
      <c r="AY422" s="24">
        <f>IF(M422=0,"",M422-$AX$2)</f>
        <v/>
      </c>
      <c r="AZ422" s="66">
        <f>IF(AND(W422="",AY422&gt;0,AY422&lt;15),1,0)</f>
        <v/>
      </c>
      <c r="BA422" s="24">
        <f>IF(AND(W422="",AY422&gt;0,AY422&lt;15),T422,"")</f>
        <v/>
      </c>
      <c r="BB422" s="87">
        <f>IF(R422&lt;Q422,"X","")</f>
        <v/>
      </c>
      <c r="BC422" s="190" t="inlineStr">
        <is>
          <t>NO</t>
        </is>
      </c>
      <c r="BD422" s="190" t="inlineStr">
        <is>
          <t>NO</t>
        </is>
      </c>
    </row>
    <row r="423" ht="15" customHeight="1" s="162">
      <c r="A423" s="7" t="n">
        <v>422</v>
      </c>
      <c r="B423" t="inlineStr">
        <is>
          <t>1359900000500</t>
        </is>
      </c>
      <c r="C423" t="inlineStr">
        <is>
          <t>COMPRA DIRECTA ELECTRICOS/ELECTRONICOS</t>
        </is>
      </c>
      <c r="D423" t="inlineStr">
        <is>
          <t>1101845909</t>
        </is>
      </c>
      <c r="E423" t="inlineStr">
        <is>
          <t>1</t>
        </is>
      </c>
      <c r="F423" s="163" t="n">
        <v>45723</v>
      </c>
      <c r="G423" t="inlineStr"/>
      <c r="H423" t="inlineStr">
        <is>
          <t>4200601902</t>
        </is>
      </c>
      <c r="I423" t="inlineStr">
        <is>
          <t>10</t>
        </is>
      </c>
      <c r="J423" s="163" t="n">
        <v>45727</v>
      </c>
      <c r="K423" s="163" t="n">
        <v>45727</v>
      </c>
      <c r="L423" t="inlineStr"/>
      <c r="M423" s="163" t="n">
        <v>45741</v>
      </c>
      <c r="N423" s="164" t="n">
        <v>30</v>
      </c>
      <c r="O423" s="164" t="n">
        <v>8</v>
      </c>
      <c r="P423" t="inlineStr">
        <is>
          <t>Liberado</t>
        </is>
      </c>
      <c r="Q423" s="165" t="n">
        <v>1</v>
      </c>
      <c r="R423" s="165" t="n">
        <v>1</v>
      </c>
      <c r="S423" s="165" t="n">
        <v>1</v>
      </c>
      <c r="T423" s="165" t="n">
        <v>0</v>
      </c>
      <c r="U423" s="166" t="n">
        <v>0</v>
      </c>
      <c r="V423" s="166" t="n">
        <v>0</v>
      </c>
      <c r="W423" t="inlineStr">
        <is>
          <t>X</t>
        </is>
      </c>
      <c r="X423" t="inlineStr">
        <is>
          <t>0.00</t>
        </is>
      </c>
      <c r="Y423" t="inlineStr"/>
      <c r="Z423" t="inlineStr">
        <is>
          <t>(AEMSA)ALMACENES ELECTRICOS MADRILE</t>
        </is>
      </c>
      <c r="AA423" t="inlineStr">
        <is>
          <t>OTROS FABRICANTES</t>
        </is>
      </c>
      <c r="AB423" t="inlineStr">
        <is>
          <t>1359900000500</t>
        </is>
      </c>
      <c r="AC423" t="inlineStr"/>
      <c r="AD423" s="164" t="n">
        <v>0</v>
      </c>
      <c r="AE423" s="185" t="n">
        <v>0</v>
      </c>
      <c r="AG423" s="167" t="inlineStr">
        <is>
          <t>7218|JA2594_1001</t>
        </is>
      </c>
      <c r="AH423" s="46">
        <f>IF(M423=0,"-",M423-J423)</f>
        <v/>
      </c>
      <c r="AI423" s="46">
        <f>IF(AND(S423=0,M423&gt;0,L423=0),IF(AH423&gt;=120,"VERY HIGH",IF(AH423&gt;=90,"HIGH",IF(AH423&gt;=60,"MEDIUM",IF(AH423&lt;60,"LOW")))),"-")</f>
        <v/>
      </c>
      <c r="AJ423" s="12" t="n"/>
      <c r="AK423" s="41">
        <f>IF(AND(W423="X",M423&lt;=$AJ$2),"YES","")</f>
        <v/>
      </c>
      <c r="AL423" s="38">
        <f>IF(AND(W423="X",M423&lt;=$AJ$2),S423,"")</f>
        <v/>
      </c>
      <c r="AM423" s="26">
        <f>IF(AND(W423="X",M423&gt;$AJ$2),"YES","")</f>
        <v/>
      </c>
      <c r="AN423" s="89">
        <f>IF(AND(W423="X",M423&gt;$AJ$2),S423,"")</f>
        <v/>
      </c>
      <c r="AO423" s="35">
        <f>IF(AND(W423="",M423&gt;0,$AJ$2&gt;M423,L423=""),1,0)</f>
        <v/>
      </c>
      <c r="AP423" s="26">
        <f>IF(AND(AK423="YES",W423="X"),"X","")</f>
        <v/>
      </c>
      <c r="AQ423" s="28">
        <f>IF(AP423="X",100%,0%)</f>
        <v/>
      </c>
      <c r="AR423" s="25">
        <f>IF(AND(T423&gt;0,L423=""),H423,"")</f>
        <v/>
      </c>
      <c r="AS423" s="25">
        <f>IF(AND(D423&gt;0,H423=0,G423=""),1,"")</f>
        <v/>
      </c>
      <c r="AT423" s="25">
        <f>IF(G423="BLOQ",1,"")</f>
        <v/>
      </c>
      <c r="AU423" s="25">
        <f>IF(L423="BLOQ",1,"")</f>
        <v/>
      </c>
      <c r="AV423" s="25">
        <f>MONTH(F423)</f>
        <v/>
      </c>
      <c r="AW423" s="65">
        <f>IF(AP423="",100%,0%)</f>
        <v/>
      </c>
      <c r="AX423" s="23" t="n"/>
      <c r="AY423" s="24">
        <f>IF(M423=0,"",M423-$AX$2)</f>
        <v/>
      </c>
      <c r="AZ423" s="66">
        <f>IF(AND(W423="",AY423&gt;0,AY423&lt;15),1,0)</f>
        <v/>
      </c>
      <c r="BA423" s="24">
        <f>IF(AND(W423="",AY423&gt;0,AY423&lt;15),T423,"")</f>
        <v/>
      </c>
      <c r="BB423" s="87">
        <f>IF(R423&lt;Q423,"X","")</f>
        <v/>
      </c>
      <c r="BC423" s="190" t="inlineStr">
        <is>
          <t>NO</t>
        </is>
      </c>
      <c r="BD423" s="190" t="inlineStr">
        <is>
          <t>NO</t>
        </is>
      </c>
    </row>
    <row r="424" ht="15" customHeight="1" s="162">
      <c r="A424" s="7" t="n">
        <v>423</v>
      </c>
      <c r="B424" t="inlineStr">
        <is>
          <t>1359900000500</t>
        </is>
      </c>
      <c r="C424" t="inlineStr">
        <is>
          <t>COMPRA DIRECTA ELECTRICOS/ELECTRONICOS</t>
        </is>
      </c>
      <c r="D424" t="inlineStr">
        <is>
          <t>1101845909</t>
        </is>
      </c>
      <c r="E424" t="inlineStr">
        <is>
          <t>2</t>
        </is>
      </c>
      <c r="F424" s="163" t="n">
        <v>45723</v>
      </c>
      <c r="G424" t="inlineStr"/>
      <c r="H424" t="inlineStr">
        <is>
          <t>4200601902</t>
        </is>
      </c>
      <c r="I424" t="inlineStr">
        <is>
          <t>20</t>
        </is>
      </c>
      <c r="J424" s="163" t="n">
        <v>45727</v>
      </c>
      <c r="K424" s="163" t="n">
        <v>45727</v>
      </c>
      <c r="L424" t="inlineStr"/>
      <c r="M424" s="163" t="n">
        <v>45741</v>
      </c>
      <c r="N424" s="164" t="n">
        <v>30</v>
      </c>
      <c r="O424" s="164" t="n">
        <v>8</v>
      </c>
      <c r="P424" t="inlineStr">
        <is>
          <t>Liberado</t>
        </is>
      </c>
      <c r="Q424" s="165" t="n">
        <v>1</v>
      </c>
      <c r="R424" s="165" t="n">
        <v>1</v>
      </c>
      <c r="S424" s="165" t="n">
        <v>1</v>
      </c>
      <c r="T424" s="165" t="n">
        <v>0</v>
      </c>
      <c r="U424" s="166" t="n">
        <v>0</v>
      </c>
      <c r="V424" s="166" t="n">
        <v>0</v>
      </c>
      <c r="W424" t="inlineStr">
        <is>
          <t>X</t>
        </is>
      </c>
      <c r="X424" t="inlineStr">
        <is>
          <t>0.00</t>
        </is>
      </c>
      <c r="Y424" t="inlineStr"/>
      <c r="Z424" t="inlineStr">
        <is>
          <t>(AEMSA)ALMACENES ELECTRICOS MADRILE</t>
        </is>
      </c>
      <c r="AA424" t="inlineStr">
        <is>
          <t>OTROS FABRICANTES</t>
        </is>
      </c>
      <c r="AB424" t="inlineStr">
        <is>
          <t>1359900000500</t>
        </is>
      </c>
      <c r="AC424" t="inlineStr"/>
      <c r="AD424" s="164" t="n">
        <v>0</v>
      </c>
      <c r="AE424" s="185" t="n">
        <v>0</v>
      </c>
      <c r="AG424" s="167" t="inlineStr">
        <is>
          <t>7218|JA2594_1001</t>
        </is>
      </c>
      <c r="AH424" s="46">
        <f>IF(M424=0,"-",M424-J424)</f>
        <v/>
      </c>
      <c r="AI424" s="46">
        <f>IF(AND(S424=0,M424&gt;0,L424=0),IF(AH424&gt;=120,"VERY HIGH",IF(AH424&gt;=90,"HIGH",IF(AH424&gt;=60,"MEDIUM",IF(AH424&lt;60,"LOW")))),"-")</f>
        <v/>
      </c>
      <c r="AJ424" s="12" t="n"/>
      <c r="AK424" s="41">
        <f>IF(AND(W424="X",M424&lt;=$AJ$2),"YES","")</f>
        <v/>
      </c>
      <c r="AL424" s="38">
        <f>IF(AND(W424="X",M424&lt;=$AJ$2),S424,"")</f>
        <v/>
      </c>
      <c r="AM424" s="26">
        <f>IF(AND(W424="X",M424&gt;$AJ$2),"YES","")</f>
        <v/>
      </c>
      <c r="AN424" s="89">
        <f>IF(AND(W424="X",M424&gt;$AJ$2),S424,"")</f>
        <v/>
      </c>
      <c r="AO424" s="35">
        <f>IF(AND(W424="",M424&gt;0,$AJ$2&gt;M424,L424=""),1,0)</f>
        <v/>
      </c>
      <c r="AP424" s="26">
        <f>IF(AND(AK424="YES",W424="X"),"X","")</f>
        <v/>
      </c>
      <c r="AQ424" s="28">
        <f>IF(AP424="X",100%,0%)</f>
        <v/>
      </c>
      <c r="AR424" s="25">
        <f>IF(AND(T424&gt;0,L424=""),H424,"")</f>
        <v/>
      </c>
      <c r="AS424" s="25">
        <f>IF(AND(D424&gt;0,H424=0,G424=""),1,"")</f>
        <v/>
      </c>
      <c r="AT424" s="25">
        <f>IF(G424="BLOQ",1,"")</f>
        <v/>
      </c>
      <c r="AU424" s="25">
        <f>IF(L424="BLOQ",1,"")</f>
        <v/>
      </c>
      <c r="AV424" s="25">
        <f>MONTH(F424)</f>
        <v/>
      </c>
      <c r="AW424" s="65">
        <f>IF(AP424="",100%,0%)</f>
        <v/>
      </c>
      <c r="AX424" s="23" t="n"/>
      <c r="AY424" s="24">
        <f>IF(M424=0,"",M424-$AX$2)</f>
        <v/>
      </c>
      <c r="AZ424" s="66">
        <f>IF(AND(W424="",AY424&gt;0,AY424&lt;15),1,0)</f>
        <v/>
      </c>
      <c r="BA424" s="24">
        <f>IF(AND(W424="",AY424&gt;0,AY424&lt;15),T424,"")</f>
        <v/>
      </c>
      <c r="BB424" s="87">
        <f>IF(R424&lt;Q424,"X","")</f>
        <v/>
      </c>
      <c r="BC424" s="190" t="inlineStr">
        <is>
          <t>NO</t>
        </is>
      </c>
      <c r="BD424" s="190" t="inlineStr">
        <is>
          <t>NO</t>
        </is>
      </c>
    </row>
    <row r="425" ht="15" customHeight="1" s="162">
      <c r="A425" s="7" t="n">
        <v>424</v>
      </c>
      <c r="B425" t="inlineStr">
        <is>
          <t>1805710000000</t>
        </is>
      </c>
      <c r="C425" t="inlineStr">
        <is>
          <t>IMPRIMACION 94 AMBAR APROX 6% SOLIDOS</t>
        </is>
      </c>
      <c r="D425" t="inlineStr">
        <is>
          <t>1101847347</t>
        </is>
      </c>
      <c r="E425" t="inlineStr">
        <is>
          <t>1</t>
        </is>
      </c>
      <c r="F425" s="163" t="n">
        <v>45727</v>
      </c>
      <c r="G425" t="inlineStr"/>
      <c r="H425" t="inlineStr">
        <is>
          <t>4200604894</t>
        </is>
      </c>
      <c r="I425" t="inlineStr">
        <is>
          <t>10</t>
        </is>
      </c>
      <c r="J425" s="163" t="n">
        <v>45747</v>
      </c>
      <c r="K425" s="163" t="n">
        <v>45748</v>
      </c>
      <c r="L425" t="inlineStr"/>
      <c r="M425" s="163" t="n">
        <v>45777</v>
      </c>
      <c r="N425" s="164" t="n">
        <v>61</v>
      </c>
      <c r="O425" s="164" t="n">
        <v>8</v>
      </c>
      <c r="P425" t="inlineStr">
        <is>
          <t>Liberado</t>
        </is>
      </c>
      <c r="Q425" s="165" t="n">
        <v>6</v>
      </c>
      <c r="R425" s="165" t="n">
        <v>6</v>
      </c>
      <c r="S425" s="165" t="n">
        <v>6</v>
      </c>
      <c r="T425" s="165" t="n">
        <v>0</v>
      </c>
      <c r="U425" s="166" t="n">
        <v>6</v>
      </c>
      <c r="V425" s="166" t="n">
        <v>0</v>
      </c>
      <c r="W425" t="inlineStr">
        <is>
          <t>X</t>
        </is>
      </c>
      <c r="X425" t="inlineStr">
        <is>
          <t>0.00</t>
        </is>
      </c>
      <c r="Y425" t="inlineStr"/>
      <c r="Z425" t="inlineStr">
        <is>
          <t>Technipol Suministros, S.L.</t>
        </is>
      </c>
      <c r="AA425" t="inlineStr">
        <is>
          <t>3M</t>
        </is>
      </c>
      <c r="AB425" t="inlineStr">
        <is>
          <t>70-0160-5477-0</t>
        </is>
      </c>
      <c r="AC425" t="inlineStr"/>
      <c r="AD425" s="164" t="n">
        <v>0</v>
      </c>
      <c r="AE425" s="185" t="n">
        <v>0</v>
      </c>
      <c r="AG425" s="167" t="inlineStr">
        <is>
          <t>7218|S24B05_P10253</t>
        </is>
      </c>
      <c r="AH425" s="46">
        <f>IF(M425=0,"-",M425-J425)</f>
        <v/>
      </c>
      <c r="AI425" s="46">
        <f>IF(AND(S425=0,M425&gt;0,L425=0),IF(AH425&gt;=120,"VERY HIGH",IF(AH425&gt;=90,"HIGH",IF(AH425&gt;=60,"MEDIUM",IF(AH425&lt;60,"LOW")))),"-")</f>
        <v/>
      </c>
      <c r="AJ425" s="12" t="n"/>
      <c r="AK425" s="41">
        <f>IF(AND(W425="X",M425&lt;=$AJ$2),"YES","")</f>
        <v/>
      </c>
      <c r="AL425" s="38">
        <f>IF(AND(W425="X",M425&lt;=$AJ$2),S425,"")</f>
        <v/>
      </c>
      <c r="AM425" s="26">
        <f>IF(AND(W425="X",M425&gt;$AJ$2),"YES","")</f>
        <v/>
      </c>
      <c r="AN425" s="89">
        <f>IF(AND(W425="X",M425&gt;$AJ$2),S425,"")</f>
        <v/>
      </c>
      <c r="AO425" s="35">
        <f>IF(AND(W425="",M425&gt;0,$AJ$2&gt;M425,L425=""),1,0)</f>
        <v/>
      </c>
      <c r="AP425" s="26">
        <f>IF(AND(AK425="YES",W425="X"),"X","")</f>
        <v/>
      </c>
      <c r="AQ425" s="28">
        <f>IF(AP425="X",100%,0%)</f>
        <v/>
      </c>
      <c r="AR425" s="25">
        <f>IF(AND(T425&gt;0,L425=""),H425,"")</f>
        <v/>
      </c>
      <c r="AS425" s="25">
        <f>IF(AND(D425&gt;0,H425=0,G425=""),1,"")</f>
        <v/>
      </c>
      <c r="AT425" s="25">
        <f>IF(G425="BLOQ",1,"")</f>
        <v/>
      </c>
      <c r="AU425" s="25">
        <f>IF(L425="BLOQ",1,"")</f>
        <v/>
      </c>
      <c r="AV425" s="25">
        <f>MONTH(F425)</f>
        <v/>
      </c>
      <c r="AW425" s="65">
        <f>IF(AP425="",100%,0%)</f>
        <v/>
      </c>
      <c r="AX425" s="23" t="n"/>
      <c r="AY425" s="24">
        <f>IF(M425=0,"",M425-$AX$2)</f>
        <v/>
      </c>
      <c r="AZ425" s="66">
        <f>IF(AND(W425="",AY425&gt;0,AY425&lt;15),1,0)</f>
        <v/>
      </c>
      <c r="BA425" s="24">
        <f>IF(AND(W425="",AY425&gt;0,AY425&lt;15),T425,"")</f>
        <v/>
      </c>
      <c r="BB425" s="87">
        <f>IF(R425&lt;Q425,"X","")</f>
        <v/>
      </c>
      <c r="BC425" s="190" t="inlineStr">
        <is>
          <t>NO</t>
        </is>
      </c>
      <c r="BD425" s="191" t="inlineStr">
        <is>
          <t>SI</t>
        </is>
      </c>
    </row>
    <row r="426" ht="15" customHeight="1" s="162">
      <c r="A426" s="7" t="n">
        <v>425</v>
      </c>
      <c r="B426" t="inlineStr">
        <is>
          <t>39121432</t>
        </is>
      </c>
      <c r="C426" t="inlineStr">
        <is>
          <t>Terminal de leng&amp;#252;eta macho aislado</t>
        </is>
      </c>
      <c r="D426" t="inlineStr">
        <is>
          <t>1101848094</t>
        </is>
      </c>
      <c r="E426" t="inlineStr">
        <is>
          <t>1</t>
        </is>
      </c>
      <c r="F426" s="163" t="n">
        <v>45729</v>
      </c>
      <c r="G426" t="inlineStr"/>
      <c r="H426" t="inlineStr">
        <is>
          <t>4800002944</t>
        </is>
      </c>
      <c r="I426" t="inlineStr">
        <is>
          <t>440</t>
        </is>
      </c>
      <c r="J426" s="163" t="n">
        <v>45728</v>
      </c>
      <c r="K426" s="163" t="inlineStr"/>
      <c r="L426" t="inlineStr"/>
      <c r="M426" s="163" t="n">
        <v>45730</v>
      </c>
      <c r="N426" s="164" t="n">
        <v>0</v>
      </c>
      <c r="O426" s="164" t="n">
        <v>0</v>
      </c>
      <c r="P426" t="inlineStr"/>
      <c r="Q426" s="165" t="n">
        <v>100</v>
      </c>
      <c r="R426" s="165" t="n">
        <v>100</v>
      </c>
      <c r="S426" s="165" t="n">
        <v>100</v>
      </c>
      <c r="T426" s="165" t="n">
        <v>0</v>
      </c>
      <c r="U426" s="166" t="n">
        <v>0</v>
      </c>
      <c r="V426" s="166" t="n">
        <v>0</v>
      </c>
      <c r="W426" t="inlineStr">
        <is>
          <t>X</t>
        </is>
      </c>
      <c r="X426" t="inlineStr">
        <is>
          <t>0.00</t>
        </is>
      </c>
      <c r="Y426" t="inlineStr"/>
      <c r="Z426" t="inlineStr">
        <is>
          <t>AMIDATA, S.A.</t>
        </is>
      </c>
      <c r="AA426" t="inlineStr"/>
      <c r="AB426" t="inlineStr">
        <is>
          <t>2455244</t>
        </is>
      </c>
      <c r="AC426" t="inlineStr"/>
      <c r="AD426" s="164" t="n">
        <v>0</v>
      </c>
      <c r="AE426" s="185" t="n">
        <v>0</v>
      </c>
      <c r="AG426" s="167" t="inlineStr">
        <is>
          <t>7218|JA2593_1001</t>
        </is>
      </c>
      <c r="AH426" s="46">
        <f>IF(M426=0,"-",M426-J426)</f>
        <v/>
      </c>
      <c r="AI426" s="46">
        <f>IF(AND(S426=0,M426&gt;0,L426=0),IF(AH426&gt;=120,"VERY HIGH",IF(AH426&gt;=90,"HIGH",IF(AH426&gt;=60,"MEDIUM",IF(AH426&lt;60,"LOW")))),"-")</f>
        <v/>
      </c>
      <c r="AJ426" s="12" t="n"/>
      <c r="AK426" s="41">
        <f>IF(AND(W426="X",M426&lt;=$AJ$2),"YES","")</f>
        <v/>
      </c>
      <c r="AL426" s="38">
        <f>IF(AND(W426="X",M426&lt;=$AJ$2),S426,"")</f>
        <v/>
      </c>
      <c r="AM426" s="26">
        <f>IF(AND(W426="X",M426&gt;$AJ$2),"YES","")</f>
        <v/>
      </c>
      <c r="AN426" s="89">
        <f>IF(AND(W426="X",M426&gt;$AJ$2),S426,"")</f>
        <v/>
      </c>
      <c r="AO426" s="35">
        <f>IF(AND(W426="",M426&gt;0,$AJ$2&gt;M426,L426=""),1,0)</f>
        <v/>
      </c>
      <c r="AP426" s="26">
        <f>IF(AND(AK426="YES",W426="X"),"X","")</f>
        <v/>
      </c>
      <c r="AQ426" s="28">
        <f>IF(AP426="X",100%,0%)</f>
        <v/>
      </c>
      <c r="AR426" s="25">
        <f>IF(AND(T426&gt;0,L426=""),H426,"")</f>
        <v/>
      </c>
      <c r="AS426" s="25">
        <f>IF(AND(D426&gt;0,H426=0,G426=""),1,"")</f>
        <v/>
      </c>
      <c r="AT426" s="25">
        <f>IF(G426="BLOQ",1,"")</f>
        <v/>
      </c>
      <c r="AU426" s="25">
        <f>IF(L426="BLOQ",1,"")</f>
        <v/>
      </c>
      <c r="AV426" s="25">
        <f>MONTH(F426)</f>
        <v/>
      </c>
      <c r="AW426" s="65">
        <f>IF(AP426="",100%,0%)</f>
        <v/>
      </c>
      <c r="AX426" s="23" t="n"/>
      <c r="AY426" s="24">
        <f>IF(M426=0,"",M426-$AX$2)</f>
        <v/>
      </c>
      <c r="AZ426" s="66">
        <f>IF(AND(W426="",AY426&gt;0,AY426&lt;15),1,0)</f>
        <v/>
      </c>
      <c r="BA426" s="24">
        <f>IF(AND(W426="",AY426&gt;0,AY426&lt;15),T426,"")</f>
        <v/>
      </c>
      <c r="BB426" s="87">
        <f>IF(R426&lt;Q426,"X","")</f>
        <v/>
      </c>
      <c r="BC426" s="190" t="inlineStr">
        <is>
          <t>NO</t>
        </is>
      </c>
      <c r="BD426" s="190" t="inlineStr">
        <is>
          <t>NO</t>
        </is>
      </c>
    </row>
    <row r="427" ht="15" customHeight="1" s="162">
      <c r="A427" s="7" t="n">
        <v>426</v>
      </c>
      <c r="B427" t="inlineStr">
        <is>
          <t>39121413</t>
        </is>
      </c>
      <c r="C427" t="inlineStr">
        <is>
          <t>Conector circular Amphenol Limited Conec</t>
        </is>
      </c>
      <c r="D427" t="inlineStr">
        <is>
          <t>1101848095</t>
        </is>
      </c>
      <c r="E427" t="inlineStr">
        <is>
          <t>1</t>
        </is>
      </c>
      <c r="F427" s="163" t="n">
        <v>45729</v>
      </c>
      <c r="G427" t="inlineStr"/>
      <c r="H427" t="inlineStr">
        <is>
          <t>4800002944</t>
        </is>
      </c>
      <c r="I427" t="inlineStr">
        <is>
          <t>450</t>
        </is>
      </c>
      <c r="J427" s="163" t="n">
        <v>45728</v>
      </c>
      <c r="K427" s="163" t="inlineStr"/>
      <c r="L427" t="inlineStr"/>
      <c r="M427" s="163" t="n">
        <v>45730</v>
      </c>
      <c r="N427" s="164" t="n">
        <v>0</v>
      </c>
      <c r="O427" s="164" t="n">
        <v>0</v>
      </c>
      <c r="P427" t="inlineStr"/>
      <c r="Q427" s="165" t="n">
        <v>2</v>
      </c>
      <c r="R427" s="165" t="n">
        <v>2</v>
      </c>
      <c r="S427" s="165" t="n">
        <v>2</v>
      </c>
      <c r="T427" s="165" t="n">
        <v>0</v>
      </c>
      <c r="U427" s="166" t="n">
        <v>0</v>
      </c>
      <c r="V427" s="166" t="n">
        <v>0</v>
      </c>
      <c r="W427" t="inlineStr">
        <is>
          <t>X</t>
        </is>
      </c>
      <c r="X427" t="inlineStr">
        <is>
          <t>0.00</t>
        </is>
      </c>
      <c r="Y427" t="inlineStr"/>
      <c r="Z427" t="inlineStr">
        <is>
          <t>AMIDATA, S.A.</t>
        </is>
      </c>
      <c r="AA427" t="inlineStr"/>
      <c r="AB427" t="inlineStr">
        <is>
          <t>2368151</t>
        </is>
      </c>
      <c r="AC427" t="inlineStr"/>
      <c r="AD427" s="164" t="n">
        <v>0</v>
      </c>
      <c r="AE427" s="185" t="n">
        <v>0</v>
      </c>
      <c r="AG427" s="167" t="inlineStr">
        <is>
          <t>7218|JA2593_1001</t>
        </is>
      </c>
      <c r="AH427" s="46">
        <f>IF(M427=0,"-",M427-J427)</f>
        <v/>
      </c>
      <c r="AI427" s="46">
        <f>IF(AND(S427=0,M427&gt;0,L427=0),IF(AH427&gt;=120,"VERY HIGH",IF(AH427&gt;=90,"HIGH",IF(AH427&gt;=60,"MEDIUM",IF(AH427&lt;60,"LOW")))),"-")</f>
        <v/>
      </c>
      <c r="AJ427" s="12" t="n"/>
      <c r="AK427" s="41">
        <f>IF(AND(W427="X",M427&lt;=$AJ$2),"YES","")</f>
        <v/>
      </c>
      <c r="AL427" s="38">
        <f>IF(AND(W427="X",M427&lt;=$AJ$2),S427,"")</f>
        <v/>
      </c>
      <c r="AM427" s="26">
        <f>IF(AND(W427="X",M427&gt;$AJ$2),"YES","")</f>
        <v/>
      </c>
      <c r="AN427" s="89">
        <f>IF(AND(W427="X",M427&gt;$AJ$2),S427,"")</f>
        <v/>
      </c>
      <c r="AO427" s="35">
        <f>IF(AND(W427="",M427&gt;0,$AJ$2&gt;M427,L427=""),1,0)</f>
        <v/>
      </c>
      <c r="AP427" s="26">
        <f>IF(AND(AK427="YES",W427="X"),"X","")</f>
        <v/>
      </c>
      <c r="AQ427" s="28">
        <f>IF(AP427="X",100%,0%)</f>
        <v/>
      </c>
      <c r="AR427" s="25">
        <f>IF(AND(T427&gt;0,L427=""),H427,"")</f>
        <v/>
      </c>
      <c r="AS427" s="25">
        <f>IF(AND(D427&gt;0,H427=0,G427=""),1,"")</f>
        <v/>
      </c>
      <c r="AT427" s="25">
        <f>IF(G427="BLOQ",1,"")</f>
        <v/>
      </c>
      <c r="AU427" s="25">
        <f>IF(L427="BLOQ",1,"")</f>
        <v/>
      </c>
      <c r="AV427" s="25">
        <f>MONTH(F427)</f>
        <v/>
      </c>
      <c r="AW427" s="65">
        <f>IF(AP427="",100%,0%)</f>
        <v/>
      </c>
      <c r="AX427" s="23" t="n"/>
      <c r="AY427" s="24">
        <f>IF(M427=0,"",M427-$AX$2)</f>
        <v/>
      </c>
      <c r="AZ427" s="66">
        <f>IF(AND(W427="",AY427&gt;0,AY427&lt;15),1,0)</f>
        <v/>
      </c>
      <c r="BA427" s="24">
        <f>IF(AND(W427="",AY427&gt;0,AY427&lt;15),T427,"")</f>
        <v/>
      </c>
      <c r="BB427" s="87">
        <f>IF(R427&lt;Q427,"X","")</f>
        <v/>
      </c>
      <c r="BC427" s="190" t="inlineStr">
        <is>
          <t>NO</t>
        </is>
      </c>
      <c r="BD427" s="190" t="inlineStr">
        <is>
          <t>NO</t>
        </is>
      </c>
    </row>
    <row r="428" ht="15" customHeight="1" s="162">
      <c r="A428" s="7" t="n">
        <v>427</v>
      </c>
      <c r="B428" t="inlineStr">
        <is>
          <t>1359900000500</t>
        </is>
      </c>
      <c r="C428" t="inlineStr">
        <is>
          <t>COMPRA DIRECTA ELECTRICOS/ELECTRONICOS</t>
        </is>
      </c>
      <c r="D428" t="inlineStr">
        <is>
          <t>1101848675</t>
        </is>
      </c>
      <c r="E428" t="inlineStr">
        <is>
          <t>1</t>
        </is>
      </c>
      <c r="F428" s="163" t="n">
        <v>45730</v>
      </c>
      <c r="G428" t="inlineStr"/>
      <c r="H428" t="inlineStr">
        <is>
          <t>4200602773</t>
        </is>
      </c>
      <c r="I428" t="inlineStr">
        <is>
          <t>40</t>
        </is>
      </c>
      <c r="J428" s="163" t="n">
        <v>45733</v>
      </c>
      <c r="K428" s="163" t="n">
        <v>45733</v>
      </c>
      <c r="L428" t="inlineStr"/>
      <c r="M428" s="163" t="n">
        <v>45747</v>
      </c>
      <c r="N428" s="164" t="n">
        <v>30</v>
      </c>
      <c r="O428" s="164" t="n">
        <v>8</v>
      </c>
      <c r="P428" t="inlineStr">
        <is>
          <t>Liberado</t>
        </is>
      </c>
      <c r="Q428" s="165" t="n">
        <v>1</v>
      </c>
      <c r="R428" s="165" t="n">
        <v>1</v>
      </c>
      <c r="S428" s="165" t="n">
        <v>1</v>
      </c>
      <c r="T428" s="165" t="n">
        <v>0</v>
      </c>
      <c r="U428" s="166" t="n">
        <v>0</v>
      </c>
      <c r="V428" s="166" t="n">
        <v>0</v>
      </c>
      <c r="W428" t="inlineStr">
        <is>
          <t>X</t>
        </is>
      </c>
      <c r="X428" t="inlineStr">
        <is>
          <t>0.00</t>
        </is>
      </c>
      <c r="Y428" t="inlineStr"/>
      <c r="Z428" t="inlineStr">
        <is>
          <t>SARVER S.L.</t>
        </is>
      </c>
      <c r="AA428" t="inlineStr">
        <is>
          <t>OTROS FABRICANTES</t>
        </is>
      </c>
      <c r="AB428" t="inlineStr">
        <is>
          <t>1359900000500</t>
        </is>
      </c>
      <c r="AC428" t="inlineStr"/>
      <c r="AD428" s="164" t="n">
        <v>0</v>
      </c>
      <c r="AE428" s="185" t="n">
        <v>0</v>
      </c>
      <c r="AG428" s="167" t="inlineStr">
        <is>
          <t>7218|JA2593_1001</t>
        </is>
      </c>
      <c r="AH428" s="46">
        <f>IF(M428=0,"-",M428-J428)</f>
        <v/>
      </c>
      <c r="AI428" s="46">
        <f>IF(AND(S428=0,M428&gt;0,L428=0),IF(AH428&gt;=120,"VERY HIGH",IF(AH428&gt;=90,"HIGH",IF(AH428&gt;=60,"MEDIUM",IF(AH428&lt;60,"LOW")))),"-")</f>
        <v/>
      </c>
      <c r="AJ428" s="12" t="n"/>
      <c r="AK428" s="41">
        <f>IF(AND(W428="X",M428&lt;=$AJ$2),"YES","")</f>
        <v/>
      </c>
      <c r="AL428" s="38">
        <f>IF(AND(W428="X",M428&lt;=$AJ$2),S428,"")</f>
        <v/>
      </c>
      <c r="AM428" s="26">
        <f>IF(AND(W428="X",M428&gt;$AJ$2),"YES","")</f>
        <v/>
      </c>
      <c r="AN428" s="89">
        <f>IF(AND(W428="X",M428&gt;$AJ$2),S428,"")</f>
        <v/>
      </c>
      <c r="AO428" s="35">
        <f>IF(AND(W428="",M428&gt;0,$AJ$2&gt;M428,L428=""),1,0)</f>
        <v/>
      </c>
      <c r="AP428" s="26">
        <f>IF(AND(AK428="YES",W428="X"),"X","")</f>
        <v/>
      </c>
      <c r="AQ428" s="28">
        <f>IF(AP428="X",100%,0%)</f>
        <v/>
      </c>
      <c r="AR428" s="25">
        <f>IF(AND(T428&gt;0,L428=""),H428,"")</f>
        <v/>
      </c>
      <c r="AS428" s="25">
        <f>IF(AND(D428&gt;0,H428=0,G428=""),1,"")</f>
        <v/>
      </c>
      <c r="AT428" s="25">
        <f>IF(G428="BLOQ",1,"")</f>
        <v/>
      </c>
      <c r="AU428" s="25">
        <f>IF(L428="BLOQ",1,"")</f>
        <v/>
      </c>
      <c r="AV428" s="25">
        <f>MONTH(F428)</f>
        <v/>
      </c>
      <c r="AW428" s="65">
        <f>IF(AP428="",100%,0%)</f>
        <v/>
      </c>
      <c r="AX428" s="23" t="n"/>
      <c r="AY428" s="24">
        <f>IF(M428=0,"",M428-$AX$2)</f>
        <v/>
      </c>
      <c r="AZ428" s="66">
        <f>IF(AND(W428="",AY428&gt;0,AY428&lt;15),1,0)</f>
        <v/>
      </c>
      <c r="BA428" s="24">
        <f>IF(AND(W428="",AY428&gt;0,AY428&lt;15),T428,"")</f>
        <v/>
      </c>
      <c r="BB428" s="87">
        <f>IF(R428&lt;Q428,"X","")</f>
        <v/>
      </c>
      <c r="BC428" s="190" t="inlineStr">
        <is>
          <t>NO</t>
        </is>
      </c>
      <c r="BD428" s="190" t="inlineStr">
        <is>
          <t>NO</t>
        </is>
      </c>
    </row>
    <row r="429" ht="15" customHeight="1" s="162">
      <c r="A429" s="7" t="n">
        <v>428</v>
      </c>
      <c r="B429" t="inlineStr">
        <is>
          <t>1359900000500</t>
        </is>
      </c>
      <c r="C429" t="inlineStr">
        <is>
          <t>COMPRA DIRECTA ELECTRICOS/ELECTRONICOS</t>
        </is>
      </c>
      <c r="D429" t="inlineStr">
        <is>
          <t>1101848678</t>
        </is>
      </c>
      <c r="E429" t="inlineStr">
        <is>
          <t>1</t>
        </is>
      </c>
      <c r="F429" s="163" t="n">
        <v>45730</v>
      </c>
      <c r="G429" t="inlineStr"/>
      <c r="H429" t="inlineStr">
        <is>
          <t>4200602877</t>
        </is>
      </c>
      <c r="I429" t="inlineStr">
        <is>
          <t>10</t>
        </is>
      </c>
      <c r="J429" s="163" t="n">
        <v>45734</v>
      </c>
      <c r="K429" s="163" t="n">
        <v>45735</v>
      </c>
      <c r="L429" t="inlineStr"/>
      <c r="M429" s="163" t="n">
        <v>45748</v>
      </c>
      <c r="N429" s="164" t="n">
        <v>30</v>
      </c>
      <c r="O429" s="164" t="n">
        <v>8</v>
      </c>
      <c r="P429" t="inlineStr">
        <is>
          <t>Liberado</t>
        </is>
      </c>
      <c r="Q429" s="165" t="n">
        <v>1</v>
      </c>
      <c r="R429" s="165" t="n">
        <v>1</v>
      </c>
      <c r="S429" s="165" t="n">
        <v>1</v>
      </c>
      <c r="T429" s="165" t="n">
        <v>0</v>
      </c>
      <c r="U429" s="166" t="n">
        <v>0</v>
      </c>
      <c r="V429" s="166" t="n">
        <v>0</v>
      </c>
      <c r="W429" t="inlineStr">
        <is>
          <t>X</t>
        </is>
      </c>
      <c r="X429" t="inlineStr">
        <is>
          <t>0.00</t>
        </is>
      </c>
      <c r="Y429" t="inlineStr"/>
      <c r="Z429" t="inlineStr">
        <is>
          <t>SARVER S.L.</t>
        </is>
      </c>
      <c r="AA429" t="inlineStr">
        <is>
          <t>OTROS FABRICANTES</t>
        </is>
      </c>
      <c r="AB429" t="inlineStr">
        <is>
          <t>1359900000500</t>
        </is>
      </c>
      <c r="AC429" t="inlineStr"/>
      <c r="AD429" s="164" t="n">
        <v>0</v>
      </c>
      <c r="AE429" s="185" t="n">
        <v>0</v>
      </c>
      <c r="AG429" s="167" t="inlineStr">
        <is>
          <t>7218|JA2593_1001</t>
        </is>
      </c>
      <c r="AH429" s="46">
        <f>IF(M429=0,"-",M429-J429)</f>
        <v/>
      </c>
      <c r="AI429" s="46">
        <f>IF(AND(S429=0,M429&gt;0,L429=0),IF(AH429&gt;=120,"VERY HIGH",IF(AH429&gt;=90,"HIGH",IF(AH429&gt;=60,"MEDIUM",IF(AH429&lt;60,"LOW")))),"-")</f>
        <v/>
      </c>
      <c r="AJ429" s="12" t="n"/>
      <c r="AK429" s="41">
        <f>IF(AND(W429="X",M429&lt;=$AJ$2),"YES","")</f>
        <v/>
      </c>
      <c r="AL429" s="38">
        <f>IF(AND(W429="X",M429&lt;=$AJ$2),S429,"")</f>
        <v/>
      </c>
      <c r="AM429" s="26">
        <f>IF(AND(W429="X",M429&gt;$AJ$2),"YES","")</f>
        <v/>
      </c>
      <c r="AN429" s="89">
        <f>IF(AND(W429="X",M429&gt;$AJ$2),S429,"")</f>
        <v/>
      </c>
      <c r="AO429" s="35">
        <f>IF(AND(W429="",M429&gt;0,$AJ$2&gt;M429,L429=""),1,0)</f>
        <v/>
      </c>
      <c r="AP429" s="26">
        <f>IF(AND(AK429="YES",W429="X"),"X","")</f>
        <v/>
      </c>
      <c r="AQ429" s="28">
        <f>IF(AP429="X",100%,0%)</f>
        <v/>
      </c>
      <c r="AR429" s="25">
        <f>IF(AND(T429&gt;0,L429=""),H429,"")</f>
        <v/>
      </c>
      <c r="AS429" s="25">
        <f>IF(AND(D429&gt;0,H429=0,G429=""),1,"")</f>
        <v/>
      </c>
      <c r="AT429" s="25">
        <f>IF(G429="BLOQ",1,"")</f>
        <v/>
      </c>
      <c r="AU429" s="25">
        <f>IF(L429="BLOQ",1,"")</f>
        <v/>
      </c>
      <c r="AV429" s="25">
        <f>MONTH(F429)</f>
        <v/>
      </c>
      <c r="AW429" s="65">
        <f>IF(AP429="",100%,0%)</f>
        <v/>
      </c>
      <c r="AX429" s="23" t="n"/>
      <c r="AY429" s="24">
        <f>IF(M429=0,"",M429-$AX$2)</f>
        <v/>
      </c>
      <c r="AZ429" s="66">
        <f>IF(AND(W429="",AY429&gt;0,AY429&lt;15),1,0)</f>
        <v/>
      </c>
      <c r="BA429" s="24">
        <f>IF(AND(W429="",AY429&gt;0,AY429&lt;15),T429,"")</f>
        <v/>
      </c>
      <c r="BB429" s="87">
        <f>IF(R429&lt;Q429,"X","")</f>
        <v/>
      </c>
      <c r="BC429" s="190" t="inlineStr">
        <is>
          <t>NO</t>
        </is>
      </c>
      <c r="BD429" s="190" t="inlineStr">
        <is>
          <t>NO</t>
        </is>
      </c>
    </row>
    <row r="430" ht="15" customHeight="1" s="162">
      <c r="A430" s="7" t="n">
        <v>429</v>
      </c>
      <c r="B430" t="inlineStr">
        <is>
          <t>27112009</t>
        </is>
      </c>
      <c r="C430" t="inlineStr">
        <is>
          <t>Rasqueta de acero RS PRO, 100 piezas</t>
        </is>
      </c>
      <c r="D430" t="inlineStr">
        <is>
          <t>1101848721</t>
        </is>
      </c>
      <c r="E430" t="inlineStr">
        <is>
          <t>1</t>
        </is>
      </c>
      <c r="F430" s="163" t="n">
        <v>45730</v>
      </c>
      <c r="G430" t="inlineStr"/>
      <c r="H430" t="inlineStr">
        <is>
          <t>4800002947</t>
        </is>
      </c>
      <c r="I430" t="inlineStr">
        <is>
          <t>360</t>
        </is>
      </c>
      <c r="J430" s="163" t="n">
        <v>45729</v>
      </c>
      <c r="K430" s="163" t="inlineStr"/>
      <c r="L430" t="inlineStr"/>
      <c r="M430" s="163" t="n">
        <v>45731</v>
      </c>
      <c r="N430" s="164" t="n">
        <v>0</v>
      </c>
      <c r="O430" s="164" t="n">
        <v>0</v>
      </c>
      <c r="P430" t="inlineStr"/>
      <c r="Q430" s="165" t="n">
        <v>2</v>
      </c>
      <c r="R430" s="165" t="n">
        <v>2</v>
      </c>
      <c r="S430" s="165" t="n">
        <v>2</v>
      </c>
      <c r="T430" s="165" t="n">
        <v>0</v>
      </c>
      <c r="U430" s="166" t="n">
        <v>0</v>
      </c>
      <c r="V430" s="166" t="n">
        <v>0</v>
      </c>
      <c r="W430" t="inlineStr">
        <is>
          <t>X</t>
        </is>
      </c>
      <c r="X430" t="inlineStr">
        <is>
          <t>0.00</t>
        </is>
      </c>
      <c r="Y430" t="inlineStr"/>
      <c r="Z430" t="inlineStr">
        <is>
          <t>AMIDATA, S.A.</t>
        </is>
      </c>
      <c r="AA430" t="inlineStr"/>
      <c r="AB430" t="inlineStr">
        <is>
          <t>4846181</t>
        </is>
      </c>
      <c r="AC430" t="inlineStr"/>
      <c r="AD430" s="164" t="n">
        <v>0</v>
      </c>
      <c r="AE430" s="185" t="n">
        <v>0</v>
      </c>
      <c r="AG430" s="167" t="inlineStr">
        <is>
          <t>7218|S24B05_P10253</t>
        </is>
      </c>
      <c r="AH430" s="46">
        <f>IF(M430=0,"-",M430-J430)</f>
        <v/>
      </c>
      <c r="AI430" s="46">
        <f>IF(AND(S430=0,M430&gt;0,L430=0),IF(AH430&gt;=120,"VERY HIGH",IF(AH430&gt;=90,"HIGH",IF(AH430&gt;=60,"MEDIUM",IF(AH430&lt;60,"LOW")))),"-")</f>
        <v/>
      </c>
      <c r="AJ430" s="12" t="n"/>
      <c r="AK430" s="41">
        <f>IF(AND(W430="X",M430&lt;=$AJ$2),"YES","")</f>
        <v/>
      </c>
      <c r="AL430" s="38">
        <f>IF(AND(W430="X",M430&lt;=$AJ$2),S430,"")</f>
        <v/>
      </c>
      <c r="AM430" s="26">
        <f>IF(AND(W430="X",M430&gt;$AJ$2),"YES","")</f>
        <v/>
      </c>
      <c r="AN430" s="89">
        <f>IF(AND(W430="X",M430&gt;$AJ$2),S430,"")</f>
        <v/>
      </c>
      <c r="AO430" s="35">
        <f>IF(AND(W430="",M430&gt;0,$AJ$2&gt;M430,L430=""),1,0)</f>
        <v/>
      </c>
      <c r="AP430" s="26">
        <f>IF(AND(AK430="YES",W430="X"),"X","")</f>
        <v/>
      </c>
      <c r="AQ430" s="28">
        <f>IF(AP430="X",100%,0%)</f>
        <v/>
      </c>
      <c r="AR430" s="25">
        <f>IF(AND(T430&gt;0,L430=""),H430,"")</f>
        <v/>
      </c>
      <c r="AS430" s="25">
        <f>IF(AND(D430&gt;0,H430=0,G430=""),1,"")</f>
        <v/>
      </c>
      <c r="AT430" s="25">
        <f>IF(G430="BLOQ",1,"")</f>
        <v/>
      </c>
      <c r="AU430" s="25">
        <f>IF(L430="BLOQ",1,"")</f>
        <v/>
      </c>
      <c r="AV430" s="25">
        <f>MONTH(F430)</f>
        <v/>
      </c>
      <c r="AW430" s="65">
        <f>IF(AP430="",100%,0%)</f>
        <v/>
      </c>
      <c r="AX430" s="23" t="n"/>
      <c r="AY430" s="24">
        <f>IF(M430=0,"",M430-$AX$2)</f>
        <v/>
      </c>
      <c r="AZ430" s="66">
        <f>IF(AND(W430="",AY430&gt;0,AY430&lt;15),1,0)</f>
        <v/>
      </c>
      <c r="BA430" s="24">
        <f>IF(AND(W430="",AY430&gt;0,AY430&lt;15),T430,"")</f>
        <v/>
      </c>
      <c r="BB430" s="87">
        <f>IF(R430&lt;Q430,"X","")</f>
        <v/>
      </c>
      <c r="BC430" s="190" t="inlineStr">
        <is>
          <t>NO</t>
        </is>
      </c>
      <c r="BD430" s="190" t="inlineStr">
        <is>
          <t>NO</t>
        </is>
      </c>
    </row>
    <row r="431" ht="15" customHeight="1" s="162">
      <c r="A431" s="7" t="n">
        <v>430</v>
      </c>
      <c r="B431" t="inlineStr">
        <is>
          <t>31161618</t>
        </is>
      </c>
      <c r="C431" t="inlineStr">
        <is>
          <t>Varillas Roscada, RS PRO, Plano, Acero I</t>
        </is>
      </c>
      <c r="D431" t="inlineStr">
        <is>
          <t>1101848721</t>
        </is>
      </c>
      <c r="E431" t="inlineStr">
        <is>
          <t>2</t>
        </is>
      </c>
      <c r="F431" s="163" t="n">
        <v>45730</v>
      </c>
      <c r="G431" t="inlineStr"/>
      <c r="H431" t="inlineStr">
        <is>
          <t>4800002947</t>
        </is>
      </c>
      <c r="I431" t="inlineStr">
        <is>
          <t>370</t>
        </is>
      </c>
      <c r="J431" s="163" t="n">
        <v>45729</v>
      </c>
      <c r="K431" s="163" t="inlineStr"/>
      <c r="L431" t="inlineStr"/>
      <c r="M431" s="163" t="n">
        <v>45731</v>
      </c>
      <c r="N431" s="164" t="n">
        <v>0</v>
      </c>
      <c r="O431" s="164" t="n">
        <v>0</v>
      </c>
      <c r="P431" t="inlineStr"/>
      <c r="Q431" s="165" t="n">
        <v>5</v>
      </c>
      <c r="R431" s="165" t="n">
        <v>5</v>
      </c>
      <c r="S431" s="165" t="n">
        <v>5</v>
      </c>
      <c r="T431" s="165" t="n">
        <v>0</v>
      </c>
      <c r="U431" s="166" t="n">
        <v>0</v>
      </c>
      <c r="V431" s="166" t="n">
        <v>0</v>
      </c>
      <c r="W431" t="inlineStr">
        <is>
          <t>X</t>
        </is>
      </c>
      <c r="X431" t="inlineStr">
        <is>
          <t>0.00</t>
        </is>
      </c>
      <c r="Y431" t="inlineStr"/>
      <c r="Z431" t="inlineStr">
        <is>
          <t>AMIDATA, S.A.</t>
        </is>
      </c>
      <c r="AA431" t="inlineStr"/>
      <c r="AB431" t="inlineStr">
        <is>
          <t>0280420</t>
        </is>
      </c>
      <c r="AC431" t="inlineStr"/>
      <c r="AD431" s="164" t="n">
        <v>0</v>
      </c>
      <c r="AE431" s="185" t="n">
        <v>0</v>
      </c>
      <c r="AG431" s="167" t="inlineStr">
        <is>
          <t>7218|S24B05_P10253</t>
        </is>
      </c>
      <c r="AH431" s="46">
        <f>IF(M431=0,"-",M431-J431)</f>
        <v/>
      </c>
      <c r="AI431" s="46">
        <f>IF(AND(S431=0,M431&gt;0,L431=0),IF(AH431&gt;=120,"VERY HIGH",IF(AH431&gt;=90,"HIGH",IF(AH431&gt;=60,"MEDIUM",IF(AH431&lt;60,"LOW")))),"-")</f>
        <v/>
      </c>
      <c r="AJ431" s="12" t="n"/>
      <c r="AK431" s="41">
        <f>IF(AND(W431="X",M431&lt;=$AJ$2),"YES","")</f>
        <v/>
      </c>
      <c r="AL431" s="38">
        <f>IF(AND(W431="X",M431&lt;=$AJ$2),S431,"")</f>
        <v/>
      </c>
      <c r="AM431" s="26">
        <f>IF(AND(W431="X",M431&gt;$AJ$2),"YES","")</f>
        <v/>
      </c>
      <c r="AN431" s="89">
        <f>IF(AND(W431="X",M431&gt;$AJ$2),S431,"")</f>
        <v/>
      </c>
      <c r="AO431" s="35">
        <f>IF(AND(W431="",M431&gt;0,$AJ$2&gt;M431,L431=""),1,0)</f>
        <v/>
      </c>
      <c r="AP431" s="26">
        <f>IF(AND(AK431="YES",W431="X"),"X","")</f>
        <v/>
      </c>
      <c r="AQ431" s="28">
        <f>IF(AP431="X",100%,0%)</f>
        <v/>
      </c>
      <c r="AR431" s="25">
        <f>IF(AND(T431&gt;0,L431=""),H431,"")</f>
        <v/>
      </c>
      <c r="AS431" s="25">
        <f>IF(AND(D431&gt;0,H431=0,G431=""),1,"")</f>
        <v/>
      </c>
      <c r="AT431" s="25">
        <f>IF(G431="BLOQ",1,"")</f>
        <v/>
      </c>
      <c r="AU431" s="25">
        <f>IF(L431="BLOQ",1,"")</f>
        <v/>
      </c>
      <c r="AV431" s="25">
        <f>MONTH(F431)</f>
        <v/>
      </c>
      <c r="AW431" s="65">
        <f>IF(AP431="",100%,0%)</f>
        <v/>
      </c>
      <c r="AX431" s="23" t="n"/>
      <c r="AY431" s="24">
        <f>IF(M431=0,"",M431-$AX$2)</f>
        <v/>
      </c>
      <c r="AZ431" s="66">
        <f>IF(AND(W431="",AY431&gt;0,AY431&lt;15),1,0)</f>
        <v/>
      </c>
      <c r="BA431" s="24">
        <f>IF(AND(W431="",AY431&gt;0,AY431&lt;15),T431,"")</f>
        <v/>
      </c>
      <c r="BB431" s="87">
        <f>IF(R431&lt;Q431,"X","")</f>
        <v/>
      </c>
      <c r="BC431" s="190" t="inlineStr">
        <is>
          <t>NO</t>
        </is>
      </c>
      <c r="BD431" s="190" t="inlineStr">
        <is>
          <t>NO</t>
        </is>
      </c>
    </row>
    <row r="432" ht="15" customHeight="1" s="162">
      <c r="A432" s="7" t="n">
        <v>431</v>
      </c>
      <c r="B432" t="inlineStr">
        <is>
          <t>1359900000500</t>
        </is>
      </c>
      <c r="C432" t="inlineStr">
        <is>
          <t>COMPRA DIRECTA ELECTRICOS/ELECTRONICOS</t>
        </is>
      </c>
      <c r="D432" t="inlineStr">
        <is>
          <t>1101849461</t>
        </is>
      </c>
      <c r="E432" t="inlineStr">
        <is>
          <t>1</t>
        </is>
      </c>
      <c r="F432" s="163" t="n">
        <v>45733</v>
      </c>
      <c r="G432" t="inlineStr"/>
      <c r="H432" t="inlineStr">
        <is>
          <t>4200604390</t>
        </is>
      </c>
      <c r="I432" t="inlineStr">
        <is>
          <t>10</t>
        </is>
      </c>
      <c r="J432" s="163" t="n">
        <v>45742</v>
      </c>
      <c r="K432" s="163" t="n">
        <v>45743</v>
      </c>
      <c r="L432" t="inlineStr"/>
      <c r="M432" s="163" t="n">
        <v>45756</v>
      </c>
      <c r="N432" s="164" t="n">
        <v>30</v>
      </c>
      <c r="O432" s="164" t="n">
        <v>8</v>
      </c>
      <c r="P432" t="inlineStr">
        <is>
          <t>Liberado</t>
        </is>
      </c>
      <c r="Q432" s="165" t="n">
        <v>1</v>
      </c>
      <c r="R432" s="165" t="n">
        <v>1</v>
      </c>
      <c r="S432" s="165" t="n">
        <v>1</v>
      </c>
      <c r="T432" s="165" t="n">
        <v>0</v>
      </c>
      <c r="U432" s="166" t="n">
        <v>0</v>
      </c>
      <c r="V432" s="166" t="n">
        <v>0</v>
      </c>
      <c r="W432" t="inlineStr">
        <is>
          <t>X</t>
        </is>
      </c>
      <c r="X432" t="inlineStr">
        <is>
          <t>0.00</t>
        </is>
      </c>
      <c r="Y432" t="inlineStr"/>
      <c r="Z432" t="inlineStr">
        <is>
          <t>SARVER S.L.</t>
        </is>
      </c>
      <c r="AA432" t="inlineStr">
        <is>
          <t>OTROS FABRICANTES</t>
        </is>
      </c>
      <c r="AB432" t="inlineStr">
        <is>
          <t>1359900000500</t>
        </is>
      </c>
      <c r="AC432" t="inlineStr"/>
      <c r="AD432" s="164" t="n">
        <v>0</v>
      </c>
      <c r="AE432" s="185" t="n">
        <v>0</v>
      </c>
      <c r="AG432" s="167" t="inlineStr">
        <is>
          <t>7218|JA2594_1001</t>
        </is>
      </c>
      <c r="AH432" s="46">
        <f>IF(M432=0,"-",M432-J432)</f>
        <v/>
      </c>
      <c r="AI432" s="46">
        <f>IF(AND(S432=0,M432&gt;0,L432=0),IF(AH432&gt;=120,"VERY HIGH",IF(AH432&gt;=90,"HIGH",IF(AH432&gt;=60,"MEDIUM",IF(AH432&lt;60,"LOW")))),"-")</f>
        <v/>
      </c>
      <c r="AJ432" s="12" t="n"/>
      <c r="AK432" s="41">
        <f>IF(AND(W432="X",M432&lt;=$AJ$2),"YES","")</f>
        <v/>
      </c>
      <c r="AL432" s="38">
        <f>IF(AND(W432="X",M432&lt;=$AJ$2),S432,"")</f>
        <v/>
      </c>
      <c r="AM432" s="26">
        <f>IF(AND(W432="X",M432&gt;$AJ$2),"YES","")</f>
        <v/>
      </c>
      <c r="AN432" s="89">
        <f>IF(AND(W432="X",M432&gt;$AJ$2),S432,"")</f>
        <v/>
      </c>
      <c r="AO432" s="35">
        <f>IF(AND(W432="",M432&gt;0,$AJ$2&gt;M432,L432=""),1,0)</f>
        <v/>
      </c>
      <c r="AP432" s="26">
        <f>IF(AND(AK432="YES",W432="X"),"X","")</f>
        <v/>
      </c>
      <c r="AQ432" s="28">
        <f>IF(AP432="X",100%,0%)</f>
        <v/>
      </c>
      <c r="AR432" s="25">
        <f>IF(AND(T432&gt;0,L432=""),H432,"")</f>
        <v/>
      </c>
      <c r="AS432" s="25">
        <f>IF(AND(D432&gt;0,H432=0,G432=""),1,"")</f>
        <v/>
      </c>
      <c r="AT432" s="25">
        <f>IF(G432="BLOQ",1,"")</f>
        <v/>
      </c>
      <c r="AU432" s="25">
        <f>IF(L432="BLOQ",1,"")</f>
        <v/>
      </c>
      <c r="AV432" s="25">
        <f>MONTH(F432)</f>
        <v/>
      </c>
      <c r="AW432" s="65">
        <f>IF(AP432="",100%,0%)</f>
        <v/>
      </c>
      <c r="AX432" s="23" t="n"/>
      <c r="AY432" s="24">
        <f>IF(M432=0,"",M432-$AX$2)</f>
        <v/>
      </c>
      <c r="AZ432" s="66">
        <f>IF(AND(W432="",AY432&gt;0,AY432&lt;15),1,0)</f>
        <v/>
      </c>
      <c r="BA432" s="24">
        <f>IF(AND(W432="",AY432&gt;0,AY432&lt;15),T432,"")</f>
        <v/>
      </c>
      <c r="BB432" s="87">
        <f>IF(R432&lt;Q432,"X","")</f>
        <v/>
      </c>
      <c r="BC432" s="190" t="inlineStr">
        <is>
          <t>NO</t>
        </is>
      </c>
      <c r="BD432" s="190" t="inlineStr">
        <is>
          <t>NO</t>
        </is>
      </c>
    </row>
    <row r="433" ht="15" customHeight="1" s="162">
      <c r="A433" s="7" t="n">
        <v>432</v>
      </c>
      <c r="B433" t="inlineStr">
        <is>
          <t>39122241</t>
        </is>
      </c>
      <c r="C433" t="inlineStr">
        <is>
          <t>Interruptor de seguridad Telemecanique S</t>
        </is>
      </c>
      <c r="D433" t="inlineStr">
        <is>
          <t>1101851726</t>
        </is>
      </c>
      <c r="E433" t="inlineStr">
        <is>
          <t>1</t>
        </is>
      </c>
      <c r="F433" s="163" t="n">
        <v>45740</v>
      </c>
      <c r="G433" t="inlineStr"/>
      <c r="H433" t="inlineStr">
        <is>
          <t>4800002961</t>
        </is>
      </c>
      <c r="I433" t="inlineStr">
        <is>
          <t>300</t>
        </is>
      </c>
      <c r="J433" s="163" t="n">
        <v>45737</v>
      </c>
      <c r="K433" s="163" t="inlineStr"/>
      <c r="L433" t="inlineStr"/>
      <c r="M433" s="163" t="n">
        <v>45741</v>
      </c>
      <c r="N433" s="164" t="n">
        <v>0</v>
      </c>
      <c r="O433" s="164" t="n">
        <v>0</v>
      </c>
      <c r="P433" t="inlineStr"/>
      <c r="Q433" s="165" t="n">
        <v>4</v>
      </c>
      <c r="R433" s="165" t="n">
        <v>4</v>
      </c>
      <c r="S433" s="165" t="n">
        <v>4</v>
      </c>
      <c r="T433" s="165" t="n">
        <v>0</v>
      </c>
      <c r="U433" s="166" t="n">
        <v>0</v>
      </c>
      <c r="V433" s="166" t="n">
        <v>0</v>
      </c>
      <c r="W433" t="inlineStr">
        <is>
          <t>X</t>
        </is>
      </c>
      <c r="X433" t="inlineStr">
        <is>
          <t>0.00</t>
        </is>
      </c>
      <c r="Y433" t="inlineStr"/>
      <c r="Z433" t="inlineStr">
        <is>
          <t>AMIDATA, S.A.</t>
        </is>
      </c>
      <c r="AA433" t="inlineStr"/>
      <c r="AB433" t="inlineStr">
        <is>
          <t>2201359</t>
        </is>
      </c>
      <c r="AC433" t="inlineStr"/>
      <c r="AD433" s="164" t="n">
        <v>0</v>
      </c>
      <c r="AE433" s="185" t="n">
        <v>0</v>
      </c>
      <c r="AG433" s="167" t="inlineStr">
        <is>
          <t>7218|JA2585_1001</t>
        </is>
      </c>
      <c r="AH433" s="46">
        <f>IF(M433=0,"-",M433-J433)</f>
        <v/>
      </c>
      <c r="AI433" s="46">
        <f>IF(AND(S433=0,M433&gt;0,L433=0),IF(AH433&gt;=120,"VERY HIGH",IF(AH433&gt;=90,"HIGH",IF(AH433&gt;=60,"MEDIUM",IF(AH433&lt;60,"LOW")))),"-")</f>
        <v/>
      </c>
      <c r="AJ433" s="12" t="n"/>
      <c r="AK433" s="41">
        <f>IF(AND(W433="X",M433&lt;=$AJ$2),"YES","")</f>
        <v/>
      </c>
      <c r="AL433" s="38">
        <f>IF(AND(W433="X",M433&lt;=$AJ$2),S433,"")</f>
        <v/>
      </c>
      <c r="AM433" s="26">
        <f>IF(AND(W433="X",M433&gt;$AJ$2),"YES","")</f>
        <v/>
      </c>
      <c r="AN433" s="89">
        <f>IF(AND(W433="X",M433&gt;$AJ$2),S433,"")</f>
        <v/>
      </c>
      <c r="AO433" s="35">
        <f>IF(AND(W433="",M433&gt;0,$AJ$2&gt;M433,L433=""),1,0)</f>
        <v/>
      </c>
      <c r="AP433" s="26">
        <f>IF(AND(AK433="YES",W433="X"),"X","")</f>
        <v/>
      </c>
      <c r="AQ433" s="28">
        <f>IF(AP433="X",100%,0%)</f>
        <v/>
      </c>
      <c r="AR433" s="25">
        <f>IF(AND(T433&gt;0,L433=""),H433,"")</f>
        <v/>
      </c>
      <c r="AS433" s="25">
        <f>IF(AND(D433&gt;0,H433=0,G433=""),1,"")</f>
        <v/>
      </c>
      <c r="AT433" s="25">
        <f>IF(G433="BLOQ",1,"")</f>
        <v/>
      </c>
      <c r="AU433" s="25">
        <f>IF(L433="BLOQ",1,"")</f>
        <v/>
      </c>
      <c r="AV433" s="25">
        <f>MONTH(F433)</f>
        <v/>
      </c>
      <c r="AW433" s="65">
        <f>IF(AP433="",100%,0%)</f>
        <v/>
      </c>
      <c r="AX433" s="23" t="n"/>
      <c r="AY433" s="24">
        <f>IF(M433=0,"",M433-$AX$2)</f>
        <v/>
      </c>
      <c r="AZ433" s="66">
        <f>IF(AND(W433="",AY433&gt;0,AY433&lt;15),1,0)</f>
        <v/>
      </c>
      <c r="BA433" s="24">
        <f>IF(AND(W433="",AY433&gt;0,AY433&lt;15),T433,"")</f>
        <v/>
      </c>
      <c r="BB433" s="87">
        <f>IF(R433&lt;Q433,"X","")</f>
        <v/>
      </c>
      <c r="BC433" s="190" t="inlineStr">
        <is>
          <t>NO</t>
        </is>
      </c>
      <c r="BD433" s="190" t="inlineStr">
        <is>
          <t>NO</t>
        </is>
      </c>
    </row>
    <row r="434" ht="15" customHeight="1" s="162">
      <c r="A434" s="7" t="n">
        <v>433</v>
      </c>
      <c r="B434" t="inlineStr">
        <is>
          <t>31163100</t>
        </is>
      </c>
      <c r="C434" t="inlineStr">
        <is>
          <t>Conector IEC C14 macho Bulgin, Recto, Mo</t>
        </is>
      </c>
      <c r="D434" t="inlineStr">
        <is>
          <t>1101851726</t>
        </is>
      </c>
      <c r="E434" t="inlineStr">
        <is>
          <t>2</t>
        </is>
      </c>
      <c r="F434" s="163" t="n">
        <v>45740</v>
      </c>
      <c r="G434" t="inlineStr"/>
      <c r="H434" t="inlineStr">
        <is>
          <t>4800002961</t>
        </is>
      </c>
      <c r="I434" t="inlineStr">
        <is>
          <t>310</t>
        </is>
      </c>
      <c r="J434" s="163" t="n">
        <v>45737</v>
      </c>
      <c r="K434" s="163" t="inlineStr"/>
      <c r="L434" t="inlineStr"/>
      <c r="M434" s="163" t="n">
        <v>45741</v>
      </c>
      <c r="N434" s="164" t="n">
        <v>0</v>
      </c>
      <c r="O434" s="164" t="n">
        <v>0</v>
      </c>
      <c r="P434" t="inlineStr"/>
      <c r="Q434" s="165" t="n">
        <v>2</v>
      </c>
      <c r="R434" s="165" t="n">
        <v>2</v>
      </c>
      <c r="S434" s="165" t="n">
        <v>2</v>
      </c>
      <c r="T434" s="165" t="n">
        <v>0</v>
      </c>
      <c r="U434" s="166" t="n">
        <v>0</v>
      </c>
      <c r="V434" s="166" t="n">
        <v>0</v>
      </c>
      <c r="W434" t="inlineStr">
        <is>
          <t>X</t>
        </is>
      </c>
      <c r="X434" t="inlineStr">
        <is>
          <t>0.00</t>
        </is>
      </c>
      <c r="Y434" t="inlineStr"/>
      <c r="Z434" t="inlineStr">
        <is>
          <t>AMIDATA, S.A.</t>
        </is>
      </c>
      <c r="AA434" t="inlineStr"/>
      <c r="AB434" t="inlineStr">
        <is>
          <t>0449922</t>
        </is>
      </c>
      <c r="AC434" t="inlineStr"/>
      <c r="AD434" s="164" t="n">
        <v>0</v>
      </c>
      <c r="AE434" s="185" t="n">
        <v>0</v>
      </c>
      <c r="AG434" s="167" t="inlineStr">
        <is>
          <t>7218|JA2585_1001</t>
        </is>
      </c>
      <c r="AH434" s="46">
        <f>IF(M434=0,"-",M434-J434)</f>
        <v/>
      </c>
      <c r="AI434" s="46">
        <f>IF(AND(S434=0,M434&gt;0,L434=0),IF(AH434&gt;=120,"VERY HIGH",IF(AH434&gt;=90,"HIGH",IF(AH434&gt;=60,"MEDIUM",IF(AH434&lt;60,"LOW")))),"-")</f>
        <v/>
      </c>
      <c r="AJ434" s="12" t="n"/>
      <c r="AK434" s="41">
        <f>IF(AND(W434="X",M434&lt;=$AJ$2),"YES","")</f>
        <v/>
      </c>
      <c r="AL434" s="38">
        <f>IF(AND(W434="X",M434&lt;=$AJ$2),S434,"")</f>
        <v/>
      </c>
      <c r="AM434" s="26">
        <f>IF(AND(W434="X",M434&gt;$AJ$2),"YES","")</f>
        <v/>
      </c>
      <c r="AN434" s="89">
        <f>IF(AND(W434="X",M434&gt;$AJ$2),S434,"")</f>
        <v/>
      </c>
      <c r="AO434" s="35">
        <f>IF(AND(W434="",M434&gt;0,$AJ$2&gt;M434,L434=""),1,0)</f>
        <v/>
      </c>
      <c r="AP434" s="26">
        <f>IF(AND(AK434="YES",W434="X"),"X","")</f>
        <v/>
      </c>
      <c r="AQ434" s="28">
        <f>IF(AP434="X",100%,0%)</f>
        <v/>
      </c>
      <c r="AR434" s="25">
        <f>IF(AND(T434&gt;0,L434=""),H434,"")</f>
        <v/>
      </c>
      <c r="AS434" s="25">
        <f>IF(AND(D434&gt;0,H434=0,G434=""),1,"")</f>
        <v/>
      </c>
      <c r="AT434" s="25">
        <f>IF(G434="BLOQ",1,"")</f>
        <v/>
      </c>
      <c r="AU434" s="25">
        <f>IF(L434="BLOQ",1,"")</f>
        <v/>
      </c>
      <c r="AV434" s="25">
        <f>MONTH(F434)</f>
        <v/>
      </c>
      <c r="AW434" s="65">
        <f>IF(AP434="",100%,0%)</f>
        <v/>
      </c>
      <c r="AX434" s="23" t="n"/>
      <c r="AY434" s="24">
        <f>IF(M434=0,"",M434-$AX$2)</f>
        <v/>
      </c>
      <c r="AZ434" s="66">
        <f>IF(AND(W434="",AY434&gt;0,AY434&lt;15),1,0)</f>
        <v/>
      </c>
      <c r="BA434" s="24">
        <f>IF(AND(W434="",AY434&gt;0,AY434&lt;15),T434,"")</f>
        <v/>
      </c>
      <c r="BB434" s="87">
        <f>IF(R434&lt;Q434,"X","")</f>
        <v/>
      </c>
      <c r="BC434" s="190" t="inlineStr">
        <is>
          <t>NO</t>
        </is>
      </c>
      <c r="BD434" s="190" t="inlineStr">
        <is>
          <t>NO</t>
        </is>
      </c>
    </row>
    <row r="435" ht="15" customHeight="1" s="162">
      <c r="A435" s="7" t="n">
        <v>434</v>
      </c>
      <c r="B435" t="inlineStr">
        <is>
          <t>43211730</t>
        </is>
      </c>
      <c r="C435" t="inlineStr">
        <is>
          <t>Inyector de PoE 2 puertos, entrada 100 -</t>
        </is>
      </c>
      <c r="D435" t="inlineStr">
        <is>
          <t>1101851726</t>
        </is>
      </c>
      <c r="E435" t="inlineStr">
        <is>
          <t>3</t>
        </is>
      </c>
      <c r="F435" s="163" t="n">
        <v>45740</v>
      </c>
      <c r="G435" t="inlineStr"/>
      <c r="H435" t="inlineStr">
        <is>
          <t>4800002961</t>
        </is>
      </c>
      <c r="I435" t="inlineStr">
        <is>
          <t>320</t>
        </is>
      </c>
      <c r="J435" s="163" t="n">
        <v>45737</v>
      </c>
      <c r="K435" s="163" t="inlineStr"/>
      <c r="L435" t="inlineStr"/>
      <c r="M435" s="163" t="n">
        <v>45741</v>
      </c>
      <c r="N435" s="164" t="n">
        <v>0</v>
      </c>
      <c r="O435" s="164" t="n">
        <v>0</v>
      </c>
      <c r="P435" t="inlineStr"/>
      <c r="Q435" s="165" t="n">
        <v>1</v>
      </c>
      <c r="R435" s="165" t="n">
        <v>1</v>
      </c>
      <c r="S435" s="165" t="n">
        <v>1</v>
      </c>
      <c r="T435" s="165" t="n">
        <v>0</v>
      </c>
      <c r="U435" s="166" t="n">
        <v>0</v>
      </c>
      <c r="V435" s="166" t="n">
        <v>0</v>
      </c>
      <c r="W435" t="inlineStr">
        <is>
          <t>X</t>
        </is>
      </c>
      <c r="X435" t="inlineStr">
        <is>
          <t>0.00</t>
        </is>
      </c>
      <c r="Y435" t="inlineStr"/>
      <c r="Z435" t="inlineStr">
        <is>
          <t>AMIDATA, S.A.</t>
        </is>
      </c>
      <c r="AA435" t="inlineStr"/>
      <c r="AB435" t="inlineStr">
        <is>
          <t>2753549</t>
        </is>
      </c>
      <c r="AC435" t="inlineStr"/>
      <c r="AD435" s="164" t="n">
        <v>0</v>
      </c>
      <c r="AE435" s="185" t="n">
        <v>0</v>
      </c>
      <c r="AG435" s="167" t="inlineStr">
        <is>
          <t>7218|JA2585_1001</t>
        </is>
      </c>
      <c r="AH435" s="46">
        <f>IF(M435=0,"-",M435-J435)</f>
        <v/>
      </c>
      <c r="AI435" s="46">
        <f>IF(AND(S435=0,M435&gt;0,L435=0),IF(AH435&gt;=120,"VERY HIGH",IF(AH435&gt;=90,"HIGH",IF(AH435&gt;=60,"MEDIUM",IF(AH435&lt;60,"LOW")))),"-")</f>
        <v/>
      </c>
      <c r="AJ435" s="12" t="n"/>
      <c r="AK435" s="41">
        <f>IF(AND(W435="X",M435&lt;=$AJ$2),"YES","")</f>
        <v/>
      </c>
      <c r="AL435" s="38">
        <f>IF(AND(W435="X",M435&lt;=$AJ$2),S435,"")</f>
        <v/>
      </c>
      <c r="AM435" s="26">
        <f>IF(AND(W435="X",M435&gt;$AJ$2),"YES","")</f>
        <v/>
      </c>
      <c r="AN435" s="89">
        <f>IF(AND(W435="X",M435&gt;$AJ$2),S435,"")</f>
        <v/>
      </c>
      <c r="AO435" s="35">
        <f>IF(AND(W435="",M435&gt;0,$AJ$2&gt;M435,L435=""),1,0)</f>
        <v/>
      </c>
      <c r="AP435" s="26">
        <f>IF(AND(AK435="YES",W435="X"),"X","")</f>
        <v/>
      </c>
      <c r="AQ435" s="28">
        <f>IF(AP435="X",100%,0%)</f>
        <v/>
      </c>
      <c r="AR435" s="25">
        <f>IF(AND(T435&gt;0,L435=""),H435,"")</f>
        <v/>
      </c>
      <c r="AS435" s="25">
        <f>IF(AND(D435&gt;0,H435=0,G435=""),1,"")</f>
        <v/>
      </c>
      <c r="AT435" s="25">
        <f>IF(G435="BLOQ",1,"")</f>
        <v/>
      </c>
      <c r="AU435" s="25">
        <f>IF(L435="BLOQ",1,"")</f>
        <v/>
      </c>
      <c r="AV435" s="25">
        <f>MONTH(F435)</f>
        <v/>
      </c>
      <c r="AW435" s="65">
        <f>IF(AP435="",100%,0%)</f>
        <v/>
      </c>
      <c r="AX435" s="23" t="n"/>
      <c r="AY435" s="24">
        <f>IF(M435=0,"",M435-$AX$2)</f>
        <v/>
      </c>
      <c r="AZ435" s="66">
        <f>IF(AND(W435="",AY435&gt;0,AY435&lt;15),1,0)</f>
        <v/>
      </c>
      <c r="BA435" s="24">
        <f>IF(AND(W435="",AY435&gt;0,AY435&lt;15),T435,"")</f>
        <v/>
      </c>
      <c r="BB435" s="87">
        <f>IF(R435&lt;Q435,"X","")</f>
        <v/>
      </c>
      <c r="BC435" s="190" t="inlineStr">
        <is>
          <t>NO</t>
        </is>
      </c>
      <c r="BD435" s="190" t="inlineStr">
        <is>
          <t>NO</t>
        </is>
      </c>
    </row>
    <row r="436" ht="15" customHeight="1" s="162">
      <c r="A436" s="7" t="n">
        <v>435</v>
      </c>
      <c r="B436" t="inlineStr">
        <is>
          <t>26121629</t>
        </is>
      </c>
      <c r="C436" t="inlineStr">
        <is>
          <t>Cable de alimentaci&amp;#243;n StarTech.com</t>
        </is>
      </c>
      <c r="D436" t="inlineStr">
        <is>
          <t>1101851726</t>
        </is>
      </c>
      <c r="E436" t="inlineStr">
        <is>
          <t>4</t>
        </is>
      </c>
      <c r="F436" s="163" t="n">
        <v>45740</v>
      </c>
      <c r="G436" t="inlineStr"/>
      <c r="H436" t="inlineStr">
        <is>
          <t>4800002961</t>
        </is>
      </c>
      <c r="I436" t="inlineStr">
        <is>
          <t>330</t>
        </is>
      </c>
      <c r="J436" s="163" t="n">
        <v>45737</v>
      </c>
      <c r="K436" s="163" t="inlineStr"/>
      <c r="L436" t="inlineStr"/>
      <c r="M436" s="163" t="n">
        <v>45741</v>
      </c>
      <c r="N436" s="164" t="n">
        <v>0</v>
      </c>
      <c r="O436" s="164" t="n">
        <v>0</v>
      </c>
      <c r="P436" t="inlineStr"/>
      <c r="Q436" s="165" t="n">
        <v>1</v>
      </c>
      <c r="R436" s="165" t="n">
        <v>1</v>
      </c>
      <c r="S436" s="165" t="n">
        <v>1</v>
      </c>
      <c r="T436" s="165" t="n">
        <v>0</v>
      </c>
      <c r="U436" s="166" t="n">
        <v>0</v>
      </c>
      <c r="V436" s="166" t="n">
        <v>0</v>
      </c>
      <c r="W436" t="inlineStr">
        <is>
          <t>X</t>
        </is>
      </c>
      <c r="X436" t="inlineStr">
        <is>
          <t>0.00</t>
        </is>
      </c>
      <c r="Y436" t="inlineStr"/>
      <c r="Z436" t="inlineStr">
        <is>
          <t>AMIDATA, S.A.</t>
        </is>
      </c>
      <c r="AA436" t="inlineStr"/>
      <c r="AB436" t="inlineStr">
        <is>
          <t>2677825</t>
        </is>
      </c>
      <c r="AC436" t="inlineStr"/>
      <c r="AD436" s="164" t="n">
        <v>0</v>
      </c>
      <c r="AE436" s="185" t="n">
        <v>0</v>
      </c>
      <c r="AG436" s="167" t="inlineStr">
        <is>
          <t>7218|JA2585_1001</t>
        </is>
      </c>
      <c r="AH436" s="46">
        <f>IF(M436=0,"-",M436-J436)</f>
        <v/>
      </c>
      <c r="AI436" s="46">
        <f>IF(AND(S436=0,M436&gt;0,L436=0),IF(AH436&gt;=120,"VERY HIGH",IF(AH436&gt;=90,"HIGH",IF(AH436&gt;=60,"MEDIUM",IF(AH436&lt;60,"LOW")))),"-")</f>
        <v/>
      </c>
      <c r="AJ436" s="12" t="n"/>
      <c r="AK436" s="41">
        <f>IF(AND(W436="X",M436&lt;=$AJ$2),"YES","")</f>
        <v/>
      </c>
      <c r="AL436" s="38">
        <f>IF(AND(W436="X",M436&lt;=$AJ$2),S436,"")</f>
        <v/>
      </c>
      <c r="AM436" s="26">
        <f>IF(AND(W436="X",M436&gt;$AJ$2),"YES","")</f>
        <v/>
      </c>
      <c r="AN436" s="89">
        <f>IF(AND(W436="X",M436&gt;$AJ$2),S436,"")</f>
        <v/>
      </c>
      <c r="AO436" s="35">
        <f>IF(AND(W436="",M436&gt;0,$AJ$2&gt;M436,L436=""),1,0)</f>
        <v/>
      </c>
      <c r="AP436" s="26">
        <f>IF(AND(AK436="YES",W436="X"),"X","")</f>
        <v/>
      </c>
      <c r="AQ436" s="28">
        <f>IF(AP436="X",100%,0%)</f>
        <v/>
      </c>
      <c r="AR436" s="25">
        <f>IF(AND(T436&gt;0,L436=""),H436,"")</f>
        <v/>
      </c>
      <c r="AS436" s="25">
        <f>IF(AND(D436&gt;0,H436=0,G436=""),1,"")</f>
        <v/>
      </c>
      <c r="AT436" s="25">
        <f>IF(G436="BLOQ",1,"")</f>
        <v/>
      </c>
      <c r="AU436" s="25">
        <f>IF(L436="BLOQ",1,"")</f>
        <v/>
      </c>
      <c r="AV436" s="25">
        <f>MONTH(F436)</f>
        <v/>
      </c>
      <c r="AW436" s="65">
        <f>IF(AP436="",100%,0%)</f>
        <v/>
      </c>
      <c r="AX436" s="23" t="n"/>
      <c r="AY436" s="24">
        <f>IF(M436=0,"",M436-$AX$2)</f>
        <v/>
      </c>
      <c r="AZ436" s="66">
        <f>IF(AND(W436="",AY436&gt;0,AY436&lt;15),1,0)</f>
        <v/>
      </c>
      <c r="BA436" s="24">
        <f>IF(AND(W436="",AY436&gt;0,AY436&lt;15),T436,"")</f>
        <v/>
      </c>
      <c r="BB436" s="87">
        <f>IF(R436&lt;Q436,"X","")</f>
        <v/>
      </c>
      <c r="BC436" s="190" t="inlineStr">
        <is>
          <t>NO</t>
        </is>
      </c>
      <c r="BD436" s="190" t="inlineStr">
        <is>
          <t>NO</t>
        </is>
      </c>
    </row>
    <row r="437" ht="15" customHeight="1" s="162">
      <c r="A437" s="7" t="n">
        <v>436</v>
      </c>
      <c r="B437" t="inlineStr">
        <is>
          <t>45111823</t>
        </is>
      </c>
      <c r="C437" t="inlineStr">
        <is>
          <t>HDMI to VGA Adapter - With Audio - 1080p</t>
        </is>
      </c>
      <c r="D437" t="inlineStr">
        <is>
          <t>1101851726</t>
        </is>
      </c>
      <c r="E437" t="inlineStr">
        <is>
          <t>5</t>
        </is>
      </c>
      <c r="F437" s="163" t="n">
        <v>45740</v>
      </c>
      <c r="G437" t="inlineStr"/>
      <c r="H437" t="inlineStr">
        <is>
          <t>4800002961</t>
        </is>
      </c>
      <c r="I437" t="inlineStr">
        <is>
          <t>340</t>
        </is>
      </c>
      <c r="J437" s="163" t="n">
        <v>45737</v>
      </c>
      <c r="K437" s="163" t="inlineStr"/>
      <c r="L437" t="inlineStr"/>
      <c r="M437" s="163" t="n">
        <v>45741</v>
      </c>
      <c r="N437" s="164" t="n">
        <v>0</v>
      </c>
      <c r="O437" s="164" t="n">
        <v>0</v>
      </c>
      <c r="P437" t="inlineStr"/>
      <c r="Q437" s="165" t="n">
        <v>1</v>
      </c>
      <c r="R437" s="165" t="n">
        <v>1</v>
      </c>
      <c r="S437" s="165" t="n">
        <v>1</v>
      </c>
      <c r="T437" s="165" t="n">
        <v>0</v>
      </c>
      <c r="U437" s="166" t="n">
        <v>0</v>
      </c>
      <c r="V437" s="166" t="n">
        <v>0</v>
      </c>
      <c r="W437" t="inlineStr">
        <is>
          <t>X</t>
        </is>
      </c>
      <c r="X437" t="inlineStr">
        <is>
          <t>0.00</t>
        </is>
      </c>
      <c r="Y437" t="inlineStr"/>
      <c r="Z437" t="inlineStr">
        <is>
          <t>AMIDATA, S.A.</t>
        </is>
      </c>
      <c r="AA437" t="inlineStr"/>
      <c r="AB437" t="inlineStr">
        <is>
          <t>1778828</t>
        </is>
      </c>
      <c r="AC437" t="inlineStr"/>
      <c r="AD437" s="164" t="n">
        <v>0</v>
      </c>
      <c r="AE437" s="185" t="n">
        <v>0</v>
      </c>
      <c r="AG437" s="167" t="inlineStr">
        <is>
          <t>7218|JA2585_1001</t>
        </is>
      </c>
      <c r="AH437" s="46">
        <f>IF(M437=0,"-",M437-J437)</f>
        <v/>
      </c>
      <c r="AI437" s="46">
        <f>IF(AND(S437=0,M437&gt;0,L437=0),IF(AH437&gt;=120,"VERY HIGH",IF(AH437&gt;=90,"HIGH",IF(AH437&gt;=60,"MEDIUM",IF(AH437&lt;60,"LOW")))),"-")</f>
        <v/>
      </c>
      <c r="AJ437" s="12" t="n"/>
      <c r="AK437" s="41">
        <f>IF(AND(W437="X",M437&lt;=$AJ$2),"YES","")</f>
        <v/>
      </c>
      <c r="AL437" s="38">
        <f>IF(AND(W437="X",M437&lt;=$AJ$2),S437,"")</f>
        <v/>
      </c>
      <c r="AM437" s="26">
        <f>IF(AND(W437="X",M437&gt;$AJ$2),"YES","")</f>
        <v/>
      </c>
      <c r="AN437" s="89">
        <f>IF(AND(W437="X",M437&gt;$AJ$2),S437,"")</f>
        <v/>
      </c>
      <c r="AO437" s="35">
        <f>IF(AND(W437="",M437&gt;0,$AJ$2&gt;M437,L437=""),1,0)</f>
        <v/>
      </c>
      <c r="AP437" s="26">
        <f>IF(AND(AK437="YES",W437="X"),"X","")</f>
        <v/>
      </c>
      <c r="AQ437" s="28">
        <f>IF(AP437="X",100%,0%)</f>
        <v/>
      </c>
      <c r="AR437" s="25">
        <f>IF(AND(T437&gt;0,L437=""),H437,"")</f>
        <v/>
      </c>
      <c r="AS437" s="25">
        <f>IF(AND(D437&gt;0,H437=0,G437=""),1,"")</f>
        <v/>
      </c>
      <c r="AT437" s="25">
        <f>IF(G437="BLOQ",1,"")</f>
        <v/>
      </c>
      <c r="AU437" s="25">
        <f>IF(L437="BLOQ",1,"")</f>
        <v/>
      </c>
      <c r="AV437" s="25">
        <f>MONTH(F437)</f>
        <v/>
      </c>
      <c r="AW437" s="65">
        <f>IF(AP437="",100%,0%)</f>
        <v/>
      </c>
      <c r="AX437" s="23" t="n"/>
      <c r="AY437" s="24">
        <f>IF(M437=0,"",M437-$AX$2)</f>
        <v/>
      </c>
      <c r="AZ437" s="66">
        <f>IF(AND(W437="",AY437&gt;0,AY437&lt;15),1,0)</f>
        <v/>
      </c>
      <c r="BA437" s="24">
        <f>IF(AND(W437="",AY437&gt;0,AY437&lt;15),T437,"")</f>
        <v/>
      </c>
      <c r="BB437" s="87">
        <f>IF(R437&lt;Q437,"X","")</f>
        <v/>
      </c>
      <c r="BC437" s="190" t="inlineStr">
        <is>
          <t>NO</t>
        </is>
      </c>
      <c r="BD437" s="190" t="inlineStr">
        <is>
          <t>NO</t>
        </is>
      </c>
    </row>
    <row r="438" ht="15" customHeight="1" s="162">
      <c r="A438" s="7" t="n">
        <v>437</v>
      </c>
      <c r="B438" t="inlineStr">
        <is>
          <t>1359900000500</t>
        </is>
      </c>
      <c r="C438" t="inlineStr">
        <is>
          <t>COMPRA DIRECTA ELECTRICOS/ELECTRONICOS</t>
        </is>
      </c>
      <c r="D438" t="inlineStr">
        <is>
          <t>1101852067</t>
        </is>
      </c>
      <c r="E438" t="inlineStr">
        <is>
          <t>1</t>
        </is>
      </c>
      <c r="F438" s="163" t="n">
        <v>45740</v>
      </c>
      <c r="G438" t="inlineStr"/>
      <c r="H438" t="inlineStr">
        <is>
          <t>4200604081</t>
        </is>
      </c>
      <c r="I438" t="inlineStr">
        <is>
          <t>10</t>
        </is>
      </c>
      <c r="J438" s="163" t="n">
        <v>45741</v>
      </c>
      <c r="K438" s="163" t="n">
        <v>45742</v>
      </c>
      <c r="L438" t="inlineStr"/>
      <c r="M438" s="163" t="n">
        <v>45755</v>
      </c>
      <c r="N438" s="164" t="n">
        <v>30</v>
      </c>
      <c r="O438" s="164" t="n">
        <v>8</v>
      </c>
      <c r="P438" t="inlineStr">
        <is>
          <t>Liberado</t>
        </is>
      </c>
      <c r="Q438" s="165" t="n">
        <v>1</v>
      </c>
      <c r="R438" s="165" t="n">
        <v>1</v>
      </c>
      <c r="S438" s="165" t="n">
        <v>1</v>
      </c>
      <c r="T438" s="165" t="n">
        <v>0</v>
      </c>
      <c r="U438" s="166" t="n">
        <v>0</v>
      </c>
      <c r="V438" s="166" t="n">
        <v>0</v>
      </c>
      <c r="W438" t="inlineStr">
        <is>
          <t>X</t>
        </is>
      </c>
      <c r="X438" t="inlineStr">
        <is>
          <t>0.00</t>
        </is>
      </c>
      <c r="Y438" t="inlineStr"/>
      <c r="Z438" t="inlineStr">
        <is>
          <t>TCX MICRO, S.L.U</t>
        </is>
      </c>
      <c r="AA438" t="inlineStr">
        <is>
          <t>OTROS FABRICANTES</t>
        </is>
      </c>
      <c r="AB438" t="inlineStr">
        <is>
          <t>1359900000500</t>
        </is>
      </c>
      <c r="AC438" t="inlineStr"/>
      <c r="AD438" s="164" t="n">
        <v>0</v>
      </c>
      <c r="AE438" s="185" t="n">
        <v>0</v>
      </c>
      <c r="AG438" s="167" t="inlineStr">
        <is>
          <t>7218|JA2593_1001</t>
        </is>
      </c>
      <c r="AH438" s="46">
        <f>IF(M438=0,"-",M438-J438)</f>
        <v/>
      </c>
      <c r="AI438" s="46">
        <f>IF(AND(S438=0,M438&gt;0,L438=0),IF(AH438&gt;=120,"VERY HIGH",IF(AH438&gt;=90,"HIGH",IF(AH438&gt;=60,"MEDIUM",IF(AH438&lt;60,"LOW")))),"-")</f>
        <v/>
      </c>
      <c r="AJ438" s="12" t="n"/>
      <c r="AK438" s="41">
        <f>IF(AND(W438="X",M438&lt;=$AJ$2),"YES","")</f>
        <v/>
      </c>
      <c r="AL438" s="38">
        <f>IF(AND(W438="X",M438&lt;=$AJ$2),S438,"")</f>
        <v/>
      </c>
      <c r="AM438" s="26">
        <f>IF(AND(W438="X",M438&gt;$AJ$2),"YES","")</f>
        <v/>
      </c>
      <c r="AN438" s="89">
        <f>IF(AND(W438="X",M438&gt;$AJ$2),S438,"")</f>
        <v/>
      </c>
      <c r="AO438" s="35">
        <f>IF(AND(W438="",M438&gt;0,$AJ$2&gt;M438,L438=""),1,0)</f>
        <v/>
      </c>
      <c r="AP438" s="26">
        <f>IF(AND(AK438="YES",W438="X"),"X","")</f>
        <v/>
      </c>
      <c r="AQ438" s="28">
        <f>IF(AP438="X",100%,0%)</f>
        <v/>
      </c>
      <c r="AR438" s="25">
        <f>IF(AND(T438&gt;0,L438=""),H438,"")</f>
        <v/>
      </c>
      <c r="AS438" s="25">
        <f>IF(AND(D438&gt;0,H438=0,G438=""),1,"")</f>
        <v/>
      </c>
      <c r="AT438" s="25">
        <f>IF(G438="BLOQ",1,"")</f>
        <v/>
      </c>
      <c r="AU438" s="25">
        <f>IF(L438="BLOQ",1,"")</f>
        <v/>
      </c>
      <c r="AV438" s="25">
        <f>MONTH(F438)</f>
        <v/>
      </c>
      <c r="AW438" s="65">
        <f>IF(AP438="",100%,0%)</f>
        <v/>
      </c>
      <c r="AX438" s="23" t="n"/>
      <c r="AY438" s="24">
        <f>IF(M438=0,"",M438-$AX$2)</f>
        <v/>
      </c>
      <c r="AZ438" s="66">
        <f>IF(AND(W438="",AY438&gt;0,AY438&lt;15),1,0)</f>
        <v/>
      </c>
      <c r="BA438" s="24">
        <f>IF(AND(W438="",AY438&gt;0,AY438&lt;15),T438,"")</f>
        <v/>
      </c>
      <c r="BB438" s="87">
        <f>IF(R438&lt;Q438,"X","")</f>
        <v/>
      </c>
      <c r="BC438" s="190" t="inlineStr">
        <is>
          <t>NO</t>
        </is>
      </c>
      <c r="BD438" s="190" t="inlineStr">
        <is>
          <t>NO</t>
        </is>
      </c>
    </row>
    <row r="439" ht="15" customHeight="1" s="162">
      <c r="A439" s="7" t="n">
        <v>438</v>
      </c>
      <c r="B439" t="inlineStr">
        <is>
          <t>43202222</t>
        </is>
      </c>
      <c r="C439" t="inlineStr">
        <is>
          <t>Cable DisplayPort blanco Roline, con. A:</t>
        </is>
      </c>
      <c r="D439" t="inlineStr">
        <is>
          <t>1101852578</t>
        </is>
      </c>
      <c r="E439" t="inlineStr">
        <is>
          <t>1</t>
        </is>
      </c>
      <c r="F439" s="163" t="n">
        <v>45741</v>
      </c>
      <c r="G439" t="inlineStr"/>
      <c r="H439" t="inlineStr">
        <is>
          <t>4800002964</t>
        </is>
      </c>
      <c r="I439" t="inlineStr">
        <is>
          <t>590</t>
        </is>
      </c>
      <c r="J439" s="163" t="n">
        <v>45741</v>
      </c>
      <c r="K439" s="163" t="inlineStr"/>
      <c r="L439" t="inlineStr"/>
      <c r="M439" s="163" t="n">
        <v>45742</v>
      </c>
      <c r="N439" s="164" t="n">
        <v>0</v>
      </c>
      <c r="O439" s="164" t="n">
        <v>0</v>
      </c>
      <c r="P439" t="inlineStr"/>
      <c r="Q439" s="165" t="n">
        <v>4</v>
      </c>
      <c r="R439" s="165" t="n">
        <v>4</v>
      </c>
      <c r="S439" s="165" t="n">
        <v>4</v>
      </c>
      <c r="T439" s="165" t="n">
        <v>0</v>
      </c>
      <c r="U439" s="166" t="n">
        <v>0</v>
      </c>
      <c r="V439" s="166" t="n">
        <v>0</v>
      </c>
      <c r="W439" t="inlineStr">
        <is>
          <t>X</t>
        </is>
      </c>
      <c r="X439" t="inlineStr">
        <is>
          <t>0.00</t>
        </is>
      </c>
      <c r="Y439" t="inlineStr"/>
      <c r="Z439" t="inlineStr">
        <is>
          <t>AMIDATA, S.A.</t>
        </is>
      </c>
      <c r="AA439" t="inlineStr"/>
      <c r="AB439" t="inlineStr">
        <is>
          <t>7903937</t>
        </is>
      </c>
      <c r="AC439" t="inlineStr"/>
      <c r="AD439" s="164" t="n">
        <v>0</v>
      </c>
      <c r="AE439" s="185" t="n">
        <v>0</v>
      </c>
      <c r="AG439" s="167" t="inlineStr">
        <is>
          <t>7218|JA2585_1001</t>
        </is>
      </c>
      <c r="AH439" s="46">
        <f>IF(M439=0,"-",M439-J439)</f>
        <v/>
      </c>
      <c r="AI439" s="46">
        <f>IF(AND(S439=0,M439&gt;0,L439=0),IF(AH439&gt;=120,"VERY HIGH",IF(AH439&gt;=90,"HIGH",IF(AH439&gt;=60,"MEDIUM",IF(AH439&lt;60,"LOW")))),"-")</f>
        <v/>
      </c>
      <c r="AJ439" s="12" t="n"/>
      <c r="AK439" s="41">
        <f>IF(AND(W439="X",M439&lt;=$AJ$2),"YES","")</f>
        <v/>
      </c>
      <c r="AL439" s="38">
        <f>IF(AND(W439="X",M439&lt;=$AJ$2),S439,"")</f>
        <v/>
      </c>
      <c r="AM439" s="26">
        <f>IF(AND(W439="X",M439&gt;$AJ$2),"YES","")</f>
        <v/>
      </c>
      <c r="AN439" s="89">
        <f>IF(AND(W439="X",M439&gt;$AJ$2),S439,"")</f>
        <v/>
      </c>
      <c r="AO439" s="35">
        <f>IF(AND(W439="",M439&gt;0,$AJ$2&gt;M439,L439=""),1,0)</f>
        <v/>
      </c>
      <c r="AP439" s="26">
        <f>IF(AND(AK439="YES",W439="X"),"X","")</f>
        <v/>
      </c>
      <c r="AQ439" s="28">
        <f>IF(AP439="X",100%,0%)</f>
        <v/>
      </c>
      <c r="AR439" s="25">
        <f>IF(AND(T439&gt;0,L439=""),H439,"")</f>
        <v/>
      </c>
      <c r="AS439" s="25">
        <f>IF(AND(D439&gt;0,H439=0,G439=""),1,"")</f>
        <v/>
      </c>
      <c r="AT439" s="25">
        <f>IF(G439="BLOQ",1,"")</f>
        <v/>
      </c>
      <c r="AU439" s="25">
        <f>IF(L439="BLOQ",1,"")</f>
        <v/>
      </c>
      <c r="AV439" s="25">
        <f>MONTH(F439)</f>
        <v/>
      </c>
      <c r="AW439" s="65">
        <f>IF(AP439="",100%,0%)</f>
        <v/>
      </c>
      <c r="AX439" s="23" t="n"/>
      <c r="AY439" s="24">
        <f>IF(M439=0,"",M439-$AX$2)</f>
        <v/>
      </c>
      <c r="AZ439" s="66">
        <f>IF(AND(W439="",AY439&gt;0,AY439&lt;15),1,0)</f>
        <v/>
      </c>
      <c r="BA439" s="24">
        <f>IF(AND(W439="",AY439&gt;0,AY439&lt;15),T439,"")</f>
        <v/>
      </c>
      <c r="BB439" s="87">
        <f>IF(R439&lt;Q439,"X","")</f>
        <v/>
      </c>
      <c r="BC439" s="190" t="inlineStr">
        <is>
          <t>NO</t>
        </is>
      </c>
      <c r="BD439" s="190" t="inlineStr">
        <is>
          <t>NO</t>
        </is>
      </c>
    </row>
    <row r="440" ht="15" customHeight="1" s="162">
      <c r="A440" s="7" t="n">
        <v>439</v>
      </c>
      <c r="B440" t="inlineStr"/>
      <c r="C440" t="inlineStr">
        <is>
          <t>DISEÑO MECÁNICO GTA SMOKE BOX</t>
        </is>
      </c>
      <c r="D440" t="inlineStr">
        <is>
          <t>1101853398</t>
        </is>
      </c>
      <c r="E440" t="inlineStr">
        <is>
          <t>1</t>
        </is>
      </c>
      <c r="F440" s="163" t="n">
        <v>45742</v>
      </c>
      <c r="G440" t="inlineStr"/>
      <c r="H440" t="inlineStr">
        <is>
          <t>4300343504</t>
        </is>
      </c>
      <c r="I440" t="inlineStr">
        <is>
          <t>10</t>
        </is>
      </c>
      <c r="J440" s="163" t="n">
        <v>45747</v>
      </c>
      <c r="K440" s="163" t="n">
        <v>45748</v>
      </c>
      <c r="L440" t="inlineStr"/>
      <c r="M440" s="163" t="n">
        <v>45789</v>
      </c>
      <c r="N440" s="164" t="n">
        <v>0</v>
      </c>
      <c r="O440" s="164" t="n">
        <v>0</v>
      </c>
      <c r="P440" t="inlineStr">
        <is>
          <t>Liberado</t>
        </is>
      </c>
      <c r="Q440" s="166" t="n">
        <v>1</v>
      </c>
      <c r="R440" s="164" t="n">
        <v>1</v>
      </c>
      <c r="S440" s="164" t="n">
        <v>0</v>
      </c>
      <c r="T440" s="164" t="n">
        <v>0</v>
      </c>
      <c r="U440" s="166" t="n">
        <v>0</v>
      </c>
      <c r="V440" s="166" t="n">
        <v>0</v>
      </c>
      <c r="W440" t="inlineStr">
        <is>
          <t>X</t>
        </is>
      </c>
      <c r="X440" t="inlineStr">
        <is>
          <t>0.00</t>
        </is>
      </c>
      <c r="Y440" t="inlineStr"/>
      <c r="Z440" t="inlineStr">
        <is>
          <t>ACOM SISTEMAS, S.L.</t>
        </is>
      </c>
      <c r="AA440" t="inlineStr"/>
      <c r="AB440" t="inlineStr"/>
      <c r="AC440" t="inlineStr"/>
      <c r="AD440" s="164" t="n">
        <v>1</v>
      </c>
      <c r="AE440" s="185" t="n">
        <v>1</v>
      </c>
      <c r="AG440" s="167" t="inlineStr">
        <is>
          <t>7218|JA2583_1001</t>
        </is>
      </c>
      <c r="AH440" s="46">
        <f>IF(M440=0,"-",M440-J440)</f>
        <v/>
      </c>
      <c r="AI440" s="46">
        <f>IF(AND(S440=0,M440&gt;0,L440=0),IF(AH440&gt;=120,"VERY HIGH",IF(AH440&gt;=90,"HIGH",IF(AH440&gt;=60,"MEDIUM",IF(AH440&lt;60,"LOW")))),"-")</f>
        <v/>
      </c>
      <c r="AJ440" s="12" t="n"/>
      <c r="AK440" s="41">
        <f>IF(AND(W440="X",M440&lt;=$AJ$2),"YES","")</f>
        <v/>
      </c>
      <c r="AL440" s="38">
        <f>IF(AND(W440="X",M440&lt;=$AJ$2),S440,"")</f>
        <v/>
      </c>
      <c r="AM440" s="26">
        <f>IF(AND(W440="X",M440&gt;$AJ$2),"YES","")</f>
        <v/>
      </c>
      <c r="AN440" s="89">
        <f>IF(AND(W440="X",M440&gt;$AJ$2),S440,"")</f>
        <v/>
      </c>
      <c r="AO440" s="35">
        <f>IF(AND(W440="",M440&gt;0,$AJ$2&gt;M440,L440=""),1,0)</f>
        <v/>
      </c>
      <c r="AP440" s="26">
        <f>IF(AND(AK440="YES",W440="X"),"X","")</f>
        <v/>
      </c>
      <c r="AQ440" s="28">
        <f>IF(AP440="X",100%,0%)</f>
        <v/>
      </c>
      <c r="AR440" s="25">
        <f>IF(AND(T440&gt;0,L440=""),H440,"")</f>
        <v/>
      </c>
      <c r="AS440" s="25">
        <f>IF(AND(D440&gt;0,H440=0,G440=""),1,"")</f>
        <v/>
      </c>
      <c r="AT440" s="25">
        <f>IF(G440="BLOQ",1,"")</f>
        <v/>
      </c>
      <c r="AU440" s="25">
        <f>IF(L440="BLOQ",1,"")</f>
        <v/>
      </c>
      <c r="AV440" s="25">
        <f>MONTH(F440)</f>
        <v/>
      </c>
      <c r="AW440" s="65">
        <f>IF(AP440="",100%,0%)</f>
        <v/>
      </c>
      <c r="AX440" s="23" t="n"/>
      <c r="AY440" s="24">
        <f>IF(M440=0,"",M440-$AX$2)</f>
        <v/>
      </c>
      <c r="AZ440" s="66">
        <f>IF(AND(W440="",AY440&gt;0,AY440&lt;15),1,0)</f>
        <v/>
      </c>
      <c r="BA440" s="24">
        <f>IF(AND(W440="",AY440&gt;0,AY440&lt;15),T440,"")</f>
        <v/>
      </c>
      <c r="BB440" s="87">
        <f>IF(R440&lt;Q440,"X","")</f>
        <v/>
      </c>
      <c r="BC440" s="190" t="inlineStr">
        <is>
          <t>NO</t>
        </is>
      </c>
      <c r="BD440" s="190" t="inlineStr">
        <is>
          <t>NO</t>
        </is>
      </c>
    </row>
    <row r="441" ht="15" customHeight="1" s="162">
      <c r="A441" s="7" t="n">
        <v>440</v>
      </c>
      <c r="B441" t="inlineStr">
        <is>
          <t>39121432</t>
        </is>
      </c>
      <c r="C441" t="inlineStr">
        <is>
          <t>Terminales eléctricos</t>
        </is>
      </c>
      <c r="D441" t="inlineStr">
        <is>
          <t>1101853401</t>
        </is>
      </c>
      <c r="E441" t="inlineStr">
        <is>
          <t>1</t>
        </is>
      </c>
      <c r="F441" s="163" t="n">
        <v>45742</v>
      </c>
      <c r="G441" t="inlineStr"/>
      <c r="H441" t="inlineStr">
        <is>
          <t>4800002967</t>
        </is>
      </c>
      <c r="I441" t="inlineStr">
        <is>
          <t>380</t>
        </is>
      </c>
      <c r="J441" s="163" t="n">
        <v>45742</v>
      </c>
      <c r="K441" s="163" t="inlineStr"/>
      <c r="L441" t="inlineStr"/>
      <c r="M441" s="163" t="n">
        <v>45747</v>
      </c>
      <c r="N441" s="164" t="n">
        <v>0</v>
      </c>
      <c r="O441" s="164" t="n">
        <v>0</v>
      </c>
      <c r="P441" t="inlineStr"/>
      <c r="Q441" s="165" t="n">
        <v>1</v>
      </c>
      <c r="R441" s="165" t="n">
        <v>1</v>
      </c>
      <c r="S441" s="165" t="n">
        <v>1</v>
      </c>
      <c r="T441" s="165" t="n">
        <v>0</v>
      </c>
      <c r="U441" s="166" t="n">
        <v>0</v>
      </c>
      <c r="V441" s="166" t="n">
        <v>0</v>
      </c>
      <c r="W441" t="inlineStr">
        <is>
          <t>X</t>
        </is>
      </c>
      <c r="X441" t="inlineStr">
        <is>
          <t>0.00</t>
        </is>
      </c>
      <c r="Y441" t="inlineStr"/>
      <c r="Z441" t="inlineStr">
        <is>
          <t>AMIDATA, S.A.</t>
        </is>
      </c>
      <c r="AA441" t="inlineStr"/>
      <c r="AB441" t="inlineStr">
        <is>
          <t>1648670</t>
        </is>
      </c>
      <c r="AC441" t="inlineStr"/>
      <c r="AD441" s="164" t="n">
        <v>0</v>
      </c>
      <c r="AE441" s="185" t="n">
        <v>0</v>
      </c>
      <c r="AG441" s="167" t="inlineStr">
        <is>
          <t>7218|JA2585_1001</t>
        </is>
      </c>
      <c r="AH441" s="46">
        <f>IF(M441=0,"-",M441-J441)</f>
        <v/>
      </c>
      <c r="AI441" s="46">
        <f>IF(AND(S441=0,M441&gt;0,L441=0),IF(AH441&gt;=120,"VERY HIGH",IF(AH441&gt;=90,"HIGH",IF(AH441&gt;=60,"MEDIUM",IF(AH441&lt;60,"LOW")))),"-")</f>
        <v/>
      </c>
      <c r="AJ441" s="12" t="n"/>
      <c r="AK441" s="41">
        <f>IF(AND(W441="X",M441&lt;=$AJ$2),"YES","")</f>
        <v/>
      </c>
      <c r="AL441" s="38">
        <f>IF(AND(W441="X",M441&lt;=$AJ$2),S441,"")</f>
        <v/>
      </c>
      <c r="AM441" s="26">
        <f>IF(AND(W441="X",M441&gt;$AJ$2),"YES","")</f>
        <v/>
      </c>
      <c r="AN441" s="89">
        <f>IF(AND(W441="X",M441&gt;$AJ$2),S441,"")</f>
        <v/>
      </c>
      <c r="AO441" s="35">
        <f>IF(AND(W441="",M441&gt;0,$AJ$2&gt;M441,L441=""),1,0)</f>
        <v/>
      </c>
      <c r="AP441" s="26">
        <f>IF(AND(AK441="YES",W441="X"),"X","")</f>
        <v/>
      </c>
      <c r="AQ441" s="28">
        <f>IF(AP441="X",100%,0%)</f>
        <v/>
      </c>
      <c r="AR441" s="25">
        <f>IF(AND(T441&gt;0,L441=""),H441,"")</f>
        <v/>
      </c>
      <c r="AS441" s="25">
        <f>IF(AND(D441&gt;0,H441=0,G441=""),1,"")</f>
        <v/>
      </c>
      <c r="AT441" s="25">
        <f>IF(G441="BLOQ",1,"")</f>
        <v/>
      </c>
      <c r="AU441" s="25">
        <f>IF(L441="BLOQ",1,"")</f>
        <v/>
      </c>
      <c r="AV441" s="25">
        <f>MONTH(F441)</f>
        <v/>
      </c>
      <c r="AW441" s="65">
        <f>IF(AP441="",100%,0%)</f>
        <v/>
      </c>
      <c r="AX441" s="23" t="n"/>
      <c r="AY441" s="24">
        <f>IF(M441=0,"",M441-$AX$2)</f>
        <v/>
      </c>
      <c r="AZ441" s="66">
        <f>IF(AND(W441="",AY441&gt;0,AY441&lt;15),1,0)</f>
        <v/>
      </c>
      <c r="BA441" s="24">
        <f>IF(AND(W441="",AY441&gt;0,AY441&lt;15),T441,"")</f>
        <v/>
      </c>
      <c r="BB441" s="87">
        <f>IF(R441&lt;Q441,"X","")</f>
        <v/>
      </c>
      <c r="BC441" s="190" t="inlineStr">
        <is>
          <t>NO</t>
        </is>
      </c>
      <c r="BD441" s="190" t="inlineStr">
        <is>
          <t>NO</t>
        </is>
      </c>
    </row>
    <row r="442" ht="15" customHeight="1" s="162">
      <c r="A442" s="7" t="n">
        <v>441</v>
      </c>
      <c r="B442" t="inlineStr">
        <is>
          <t>39121413</t>
        </is>
      </c>
      <c r="C442" t="inlineStr">
        <is>
          <t>Conector circular Amphenol Limited Conec</t>
        </is>
      </c>
      <c r="D442" t="inlineStr">
        <is>
          <t>1101853598</t>
        </is>
      </c>
      <c r="E442" t="inlineStr">
        <is>
          <t>1</t>
        </is>
      </c>
      <c r="F442" s="163" t="n">
        <v>45743</v>
      </c>
      <c r="G442" t="inlineStr"/>
      <c r="H442" t="inlineStr">
        <is>
          <t>4800002968</t>
        </is>
      </c>
      <c r="I442" t="inlineStr">
        <is>
          <t>150</t>
        </is>
      </c>
      <c r="J442" s="163" t="n">
        <v>45743</v>
      </c>
      <c r="K442" s="163" t="inlineStr"/>
      <c r="L442" t="inlineStr"/>
      <c r="M442" s="163" t="n">
        <v>45744</v>
      </c>
      <c r="N442" s="164" t="n">
        <v>0</v>
      </c>
      <c r="O442" s="164" t="n">
        <v>0</v>
      </c>
      <c r="P442" t="inlineStr"/>
      <c r="Q442" s="165" t="n">
        <v>1</v>
      </c>
      <c r="R442" s="165" t="n">
        <v>1</v>
      </c>
      <c r="S442" s="165" t="n">
        <v>1</v>
      </c>
      <c r="T442" s="165" t="n">
        <v>0</v>
      </c>
      <c r="U442" s="166" t="n">
        <v>0</v>
      </c>
      <c r="V442" s="166" t="n">
        <v>0</v>
      </c>
      <c r="W442" t="inlineStr">
        <is>
          <t>X</t>
        </is>
      </c>
      <c r="X442" t="inlineStr">
        <is>
          <t>0.00</t>
        </is>
      </c>
      <c r="Y442" t="inlineStr"/>
      <c r="Z442" t="inlineStr">
        <is>
          <t>AMIDATA, S.A.</t>
        </is>
      </c>
      <c r="AA442" t="inlineStr"/>
      <c r="AB442" t="inlineStr">
        <is>
          <t>2368155</t>
        </is>
      </c>
      <c r="AC442" t="inlineStr"/>
      <c r="AD442" s="164" t="n">
        <v>0</v>
      </c>
      <c r="AE442" s="185" t="n">
        <v>0</v>
      </c>
      <c r="AG442" s="167" t="inlineStr">
        <is>
          <t>7218|JA2593_1001</t>
        </is>
      </c>
      <c r="AH442" s="46">
        <f>IF(M442=0,"-",M442-J442)</f>
        <v/>
      </c>
      <c r="AI442" s="46">
        <f>IF(AND(S442=0,M442&gt;0,L442=0),IF(AH442&gt;=120,"VERY HIGH",IF(AH442&gt;=90,"HIGH",IF(AH442&gt;=60,"MEDIUM",IF(AH442&lt;60,"LOW")))),"-")</f>
        <v/>
      </c>
      <c r="AJ442" s="12" t="n"/>
      <c r="AK442" s="41">
        <f>IF(AND(W442="X",M442&lt;=$AJ$2),"YES","")</f>
        <v/>
      </c>
      <c r="AL442" s="38">
        <f>IF(AND(W442="X",M442&lt;=$AJ$2),S442,"")</f>
        <v/>
      </c>
      <c r="AM442" s="26">
        <f>IF(AND(W442="X",M442&gt;$AJ$2),"YES","")</f>
        <v/>
      </c>
      <c r="AN442" s="89">
        <f>IF(AND(W442="X",M442&gt;$AJ$2),S442,"")</f>
        <v/>
      </c>
      <c r="AO442" s="35">
        <f>IF(AND(W442="",M442&gt;0,$AJ$2&gt;M442,L442=""),1,0)</f>
        <v/>
      </c>
      <c r="AP442" s="26">
        <f>IF(AND(AK442="YES",W442="X"),"X","")</f>
        <v/>
      </c>
      <c r="AQ442" s="28">
        <f>IF(AP442="X",100%,0%)</f>
        <v/>
      </c>
      <c r="AR442" s="25">
        <f>IF(AND(T442&gt;0,L442=""),H442,"")</f>
        <v/>
      </c>
      <c r="AS442" s="25">
        <f>IF(AND(D442&gt;0,H442=0,G442=""),1,"")</f>
        <v/>
      </c>
      <c r="AT442" s="25">
        <f>IF(G442="BLOQ",1,"")</f>
        <v/>
      </c>
      <c r="AU442" s="25">
        <f>IF(L442="BLOQ",1,"")</f>
        <v/>
      </c>
      <c r="AV442" s="25">
        <f>MONTH(F442)</f>
        <v/>
      </c>
      <c r="AW442" s="65">
        <f>IF(AP442="",100%,0%)</f>
        <v/>
      </c>
      <c r="AX442" s="23" t="n"/>
      <c r="AY442" s="24">
        <f>IF(M442=0,"",M442-$AX$2)</f>
        <v/>
      </c>
      <c r="AZ442" s="66">
        <f>IF(AND(W442="",AY442&gt;0,AY442&lt;15),1,0)</f>
        <v/>
      </c>
      <c r="BA442" s="24">
        <f>IF(AND(W442="",AY442&gt;0,AY442&lt;15),T442,"")</f>
        <v/>
      </c>
      <c r="BB442" s="87">
        <f>IF(R442&lt;Q442,"X","")</f>
        <v/>
      </c>
      <c r="BC442" s="190" t="inlineStr">
        <is>
          <t>NO</t>
        </is>
      </c>
      <c r="BD442" s="190" t="inlineStr">
        <is>
          <t>NO</t>
        </is>
      </c>
    </row>
    <row r="443" ht="15" customHeight="1" s="162">
      <c r="A443" s="7" t="n">
        <v>442</v>
      </c>
      <c r="B443" t="inlineStr">
        <is>
          <t>39121410</t>
        </is>
      </c>
      <c r="C443" t="inlineStr">
        <is>
          <t>Borne terminal pasante, Gris, Terminaci&amp;</t>
        </is>
      </c>
      <c r="D443" t="inlineStr">
        <is>
          <t>1101853930</t>
        </is>
      </c>
      <c r="E443" t="inlineStr">
        <is>
          <t>1</t>
        </is>
      </c>
      <c r="F443" s="163" t="n">
        <v>45743</v>
      </c>
      <c r="G443" t="inlineStr"/>
      <c r="H443" t="inlineStr">
        <is>
          <t>4800002970</t>
        </is>
      </c>
      <c r="I443" t="inlineStr">
        <is>
          <t>30</t>
        </is>
      </c>
      <c r="J443" s="163" t="n">
        <v>45743</v>
      </c>
      <c r="K443" s="163" t="inlineStr"/>
      <c r="L443" t="inlineStr"/>
      <c r="M443" s="163" t="n">
        <v>45744</v>
      </c>
      <c r="N443" s="164" t="n">
        <v>0</v>
      </c>
      <c r="O443" s="164" t="n">
        <v>0</v>
      </c>
      <c r="P443" t="inlineStr"/>
      <c r="Q443" s="165" t="n">
        <v>20</v>
      </c>
      <c r="R443" s="165" t="n">
        <v>20</v>
      </c>
      <c r="S443" s="165" t="n">
        <v>20</v>
      </c>
      <c r="T443" s="165" t="n">
        <v>0</v>
      </c>
      <c r="U443" s="166" t="n">
        <v>0</v>
      </c>
      <c r="V443" s="166" t="n">
        <v>0</v>
      </c>
      <c r="W443" t="inlineStr">
        <is>
          <t>X</t>
        </is>
      </c>
      <c r="X443" t="inlineStr">
        <is>
          <t>0.00</t>
        </is>
      </c>
      <c r="Y443" t="inlineStr"/>
      <c r="Z443" t="inlineStr">
        <is>
          <t>AMIDATA, S.A.</t>
        </is>
      </c>
      <c r="AA443" t="inlineStr"/>
      <c r="AB443" t="inlineStr">
        <is>
          <t>6879436</t>
        </is>
      </c>
      <c r="AC443" t="inlineStr"/>
      <c r="AD443" s="164" t="n">
        <v>0</v>
      </c>
      <c r="AE443" s="185" t="n">
        <v>0</v>
      </c>
      <c r="AG443" s="167" t="inlineStr">
        <is>
          <t>7218|JA2585_1001</t>
        </is>
      </c>
      <c r="AH443" s="46">
        <f>IF(M443=0,"-",M443-J443)</f>
        <v/>
      </c>
      <c r="AI443" s="46">
        <f>IF(AND(S443=0,M443&gt;0,L443=0),IF(AH443&gt;=120,"VERY HIGH",IF(AH443&gt;=90,"HIGH",IF(AH443&gt;=60,"MEDIUM",IF(AH443&lt;60,"LOW")))),"-")</f>
        <v/>
      </c>
      <c r="AJ443" s="12" t="n"/>
      <c r="AK443" s="41">
        <f>IF(AND(W443="X",M443&lt;=$AJ$2),"YES","")</f>
        <v/>
      </c>
      <c r="AL443" s="38">
        <f>IF(AND(W443="X",M443&lt;=$AJ$2),S443,"")</f>
        <v/>
      </c>
      <c r="AM443" s="26">
        <f>IF(AND(W443="X",M443&gt;$AJ$2),"YES","")</f>
        <v/>
      </c>
      <c r="AN443" s="89">
        <f>IF(AND(W443="X",M443&gt;$AJ$2),S443,"")</f>
        <v/>
      </c>
      <c r="AO443" s="35">
        <f>IF(AND(W443="",M443&gt;0,$AJ$2&gt;M443,L443=""),1,0)</f>
        <v/>
      </c>
      <c r="AP443" s="26">
        <f>IF(AND(AK443="YES",W443="X"),"X","")</f>
        <v/>
      </c>
      <c r="AQ443" s="28">
        <f>IF(AP443="X",100%,0%)</f>
        <v/>
      </c>
      <c r="AR443" s="25">
        <f>IF(AND(T443&gt;0,L443=""),H443,"")</f>
        <v/>
      </c>
      <c r="AS443" s="25">
        <f>IF(AND(D443&gt;0,H443=0,G443=""),1,"")</f>
        <v/>
      </c>
      <c r="AT443" s="25">
        <f>IF(G443="BLOQ",1,"")</f>
        <v/>
      </c>
      <c r="AU443" s="25">
        <f>IF(L443="BLOQ",1,"")</f>
        <v/>
      </c>
      <c r="AV443" s="25">
        <f>MONTH(F443)</f>
        <v/>
      </c>
      <c r="AW443" s="65">
        <f>IF(AP443="",100%,0%)</f>
        <v/>
      </c>
      <c r="AX443" s="23" t="n"/>
      <c r="AY443" s="24">
        <f>IF(M443=0,"",M443-$AX$2)</f>
        <v/>
      </c>
      <c r="AZ443" s="66">
        <f>IF(AND(W443="",AY443&gt;0,AY443&lt;15),1,0)</f>
        <v/>
      </c>
      <c r="BA443" s="24">
        <f>IF(AND(W443="",AY443&gt;0,AY443&lt;15),T443,"")</f>
        <v/>
      </c>
      <c r="BB443" s="87">
        <f>IF(R443&lt;Q443,"X","")</f>
        <v/>
      </c>
      <c r="BC443" s="190" t="inlineStr">
        <is>
          <t>NO</t>
        </is>
      </c>
      <c r="BD443" s="190" t="inlineStr">
        <is>
          <t>NO</t>
        </is>
      </c>
    </row>
    <row r="444" ht="15" customHeight="1" s="162">
      <c r="A444" s="7" t="n">
        <v>443</v>
      </c>
      <c r="B444" t="inlineStr">
        <is>
          <t>32121615</t>
        </is>
      </c>
      <c r="C444" t="inlineStr">
        <is>
          <t>Resistencia RS PRO, de 220? &amp;#177;5%, 0.</t>
        </is>
      </c>
      <c r="D444" t="inlineStr">
        <is>
          <t>1101854632</t>
        </is>
      </c>
      <c r="E444" t="inlineStr">
        <is>
          <t>1</t>
        </is>
      </c>
      <c r="F444" s="163" t="n">
        <v>45747</v>
      </c>
      <c r="G444" t="inlineStr"/>
      <c r="H444" t="inlineStr">
        <is>
          <t>4800002972</t>
        </is>
      </c>
      <c r="I444" t="inlineStr">
        <is>
          <t>130</t>
        </is>
      </c>
      <c r="J444" s="163" t="n">
        <v>45744</v>
      </c>
      <c r="K444" s="163" t="inlineStr"/>
      <c r="L444" t="inlineStr"/>
      <c r="M444" s="163" t="n">
        <v>45748</v>
      </c>
      <c r="N444" s="164" t="n">
        <v>0</v>
      </c>
      <c r="O444" s="164" t="n">
        <v>0</v>
      </c>
      <c r="P444" t="inlineStr"/>
      <c r="Q444" s="165" t="n">
        <v>10</v>
      </c>
      <c r="R444" s="165" t="n">
        <v>10</v>
      </c>
      <c r="S444" s="165" t="n">
        <v>10</v>
      </c>
      <c r="T444" s="165" t="n">
        <v>0</v>
      </c>
      <c r="U444" s="166" t="n">
        <v>0</v>
      </c>
      <c r="V444" s="166" t="n">
        <v>0</v>
      </c>
      <c r="W444" t="inlineStr">
        <is>
          <t>X</t>
        </is>
      </c>
      <c r="X444" t="inlineStr">
        <is>
          <t>0.00</t>
        </is>
      </c>
      <c r="Y444" t="inlineStr"/>
      <c r="Z444" t="inlineStr">
        <is>
          <t>AMIDATA, S.A.</t>
        </is>
      </c>
      <c r="AA444" t="inlineStr"/>
      <c r="AB444" t="inlineStr">
        <is>
          <t>7078176</t>
        </is>
      </c>
      <c r="AC444" t="inlineStr"/>
      <c r="AD444" s="164" t="n">
        <v>0</v>
      </c>
      <c r="AE444" s="185" t="n">
        <v>0</v>
      </c>
      <c r="AG444" s="167" t="inlineStr">
        <is>
          <t>7218|JA2585_1001</t>
        </is>
      </c>
      <c r="AH444" s="46">
        <f>IF(M444=0,"-",M444-J444)</f>
        <v/>
      </c>
      <c r="AI444" s="46">
        <f>IF(AND(S444=0,M444&gt;0,L444=0),IF(AH444&gt;=120,"VERY HIGH",IF(AH444&gt;=90,"HIGH",IF(AH444&gt;=60,"MEDIUM",IF(AH444&lt;60,"LOW")))),"-")</f>
        <v/>
      </c>
      <c r="AJ444" s="12" t="n"/>
      <c r="AK444" s="41">
        <f>IF(AND(W444="X",M444&lt;=$AJ$2),"YES","")</f>
        <v/>
      </c>
      <c r="AL444" s="38">
        <f>IF(AND(W444="X",M444&lt;=$AJ$2),S444,"")</f>
        <v/>
      </c>
      <c r="AM444" s="26">
        <f>IF(AND(W444="X",M444&gt;$AJ$2),"YES","")</f>
        <v/>
      </c>
      <c r="AN444" s="89">
        <f>IF(AND(W444="X",M444&gt;$AJ$2),S444,"")</f>
        <v/>
      </c>
      <c r="AO444" s="35">
        <f>IF(AND(W444="",M444&gt;0,$AJ$2&gt;M444,L444=""),1,0)</f>
        <v/>
      </c>
      <c r="AP444" s="26">
        <f>IF(AND(AK444="YES",W444="X"),"X","")</f>
        <v/>
      </c>
      <c r="AQ444" s="28">
        <f>IF(AP444="X",100%,0%)</f>
        <v/>
      </c>
      <c r="AR444" s="25">
        <f>IF(AND(T444&gt;0,L444=""),H444,"")</f>
        <v/>
      </c>
      <c r="AS444" s="25">
        <f>IF(AND(D444&gt;0,H444=0,G444=""),1,"")</f>
        <v/>
      </c>
      <c r="AT444" s="25">
        <f>IF(G444="BLOQ",1,"")</f>
        <v/>
      </c>
      <c r="AU444" s="25">
        <f>IF(L444="BLOQ",1,"")</f>
        <v/>
      </c>
      <c r="AV444" s="25">
        <f>MONTH(F444)</f>
        <v/>
      </c>
      <c r="AW444" s="65">
        <f>IF(AP444="",100%,0%)</f>
        <v/>
      </c>
      <c r="AX444" s="23" t="n"/>
      <c r="AY444" s="24">
        <f>IF(M444=0,"",M444-$AX$2)</f>
        <v/>
      </c>
      <c r="AZ444" s="66">
        <f>IF(AND(W444="",AY444&gt;0,AY444&lt;15),1,0)</f>
        <v/>
      </c>
      <c r="BA444" s="24">
        <f>IF(AND(W444="",AY444&gt;0,AY444&lt;15),T444,"")</f>
        <v/>
      </c>
      <c r="BB444" s="87">
        <f>IF(R444&lt;Q444,"X","")</f>
        <v/>
      </c>
      <c r="BC444" s="190" t="inlineStr">
        <is>
          <t>NO</t>
        </is>
      </c>
      <c r="BD444" s="190" t="inlineStr">
        <is>
          <t>NO</t>
        </is>
      </c>
    </row>
    <row r="445" ht="15" customHeight="1" s="162">
      <c r="A445" s="7" t="n">
        <v>444</v>
      </c>
      <c r="B445" t="inlineStr"/>
      <c r="C445" t="inlineStr">
        <is>
          <t>MONTAJE SIMULADOR A320</t>
        </is>
      </c>
      <c r="D445" t="inlineStr">
        <is>
          <t>1101855158</t>
        </is>
      </c>
      <c r="E445" t="inlineStr">
        <is>
          <t>1</t>
        </is>
      </c>
      <c r="F445" s="163" t="n">
        <v>45748</v>
      </c>
      <c r="G445" t="inlineStr"/>
      <c r="H445" t="inlineStr">
        <is>
          <t>4300343596</t>
        </is>
      </c>
      <c r="I445" t="inlineStr">
        <is>
          <t>20</t>
        </is>
      </c>
      <c r="J445" s="163" t="n">
        <v>45748</v>
      </c>
      <c r="K445" s="163" t="n">
        <v>45749</v>
      </c>
      <c r="L445" t="inlineStr"/>
      <c r="M445" s="163" t="n">
        <v>45771</v>
      </c>
      <c r="N445" s="164" t="n">
        <v>0</v>
      </c>
      <c r="O445" s="164" t="n">
        <v>0</v>
      </c>
      <c r="P445" t="inlineStr">
        <is>
          <t>Liberado</t>
        </is>
      </c>
      <c r="Q445" s="166" t="n">
        <v>1</v>
      </c>
      <c r="R445" s="164" t="n">
        <v>1</v>
      </c>
      <c r="S445" s="164" t="n">
        <v>0</v>
      </c>
      <c r="T445" s="164" t="n">
        <v>0</v>
      </c>
      <c r="U445" s="166" t="n">
        <v>0</v>
      </c>
      <c r="V445" s="166" t="n">
        <v>0</v>
      </c>
      <c r="W445" t="inlineStr">
        <is>
          <t>X</t>
        </is>
      </c>
      <c r="X445" t="inlineStr">
        <is>
          <t>0.00</t>
        </is>
      </c>
      <c r="Y445" t="inlineStr"/>
      <c r="Z445" t="inlineStr">
        <is>
          <t>PENTATEL COMUNICACIONES, S.L.</t>
        </is>
      </c>
      <c r="AA445" t="inlineStr"/>
      <c r="AB445" t="inlineStr"/>
      <c r="AC445" t="inlineStr"/>
      <c r="AD445" s="164" t="n">
        <v>0</v>
      </c>
      <c r="AE445" s="185" t="n">
        <v>0</v>
      </c>
      <c r="AG445" s="167" t="inlineStr">
        <is>
          <t>7218|JA2593_1001</t>
        </is>
      </c>
      <c r="AH445" s="46">
        <f>IF(M445=0,"-",M445-J445)</f>
        <v/>
      </c>
      <c r="AI445" s="46">
        <f>IF(AND(S445=0,M445&gt;0,L445=0),IF(AH445&gt;=120,"VERY HIGH",IF(AH445&gt;=90,"HIGH",IF(AH445&gt;=60,"MEDIUM",IF(AH445&lt;60,"LOW")))),"-")</f>
        <v/>
      </c>
      <c r="AJ445" s="12" t="n"/>
      <c r="AK445" s="41">
        <f>IF(AND(W445="X",M445&lt;=$AJ$2),"YES","")</f>
        <v/>
      </c>
      <c r="AL445" s="38">
        <f>IF(AND(W445="X",M445&lt;=$AJ$2),S445,"")</f>
        <v/>
      </c>
      <c r="AM445" s="26">
        <f>IF(AND(W445="X",M445&gt;$AJ$2),"YES","")</f>
        <v/>
      </c>
      <c r="AN445" s="89">
        <f>IF(AND(W445="X",M445&gt;$AJ$2),S445,"")</f>
        <v/>
      </c>
      <c r="AO445" s="35">
        <f>IF(AND(W445="",M445&gt;0,$AJ$2&gt;M445,L445=""),1,0)</f>
        <v/>
      </c>
      <c r="AP445" s="26">
        <f>IF(AND(AK445="YES",W445="X"),"X","")</f>
        <v/>
      </c>
      <c r="AQ445" s="28">
        <f>IF(AP445="X",100%,0%)</f>
        <v/>
      </c>
      <c r="AR445" s="25">
        <f>IF(AND(T445&gt;0,L445=""),H445,"")</f>
        <v/>
      </c>
      <c r="AS445" s="25">
        <f>IF(AND(D445&gt;0,H445=0,G445=""),1,"")</f>
        <v/>
      </c>
      <c r="AT445" s="25">
        <f>IF(G445="BLOQ",1,"")</f>
        <v/>
      </c>
      <c r="AU445" s="25">
        <f>IF(L445="BLOQ",1,"")</f>
        <v/>
      </c>
      <c r="AV445" s="25">
        <f>MONTH(F445)</f>
        <v/>
      </c>
      <c r="AW445" s="65">
        <f>IF(AP445="",100%,0%)</f>
        <v/>
      </c>
      <c r="AX445" s="23" t="n"/>
      <c r="AY445" s="24">
        <f>IF(M445=0,"",M445-$AX$2)</f>
        <v/>
      </c>
      <c r="AZ445" s="66">
        <f>IF(AND(W445="",AY445&gt;0,AY445&lt;15),1,0)</f>
        <v/>
      </c>
      <c r="BA445" s="24">
        <f>IF(AND(W445="",AY445&gt;0,AY445&lt;15),T445,"")</f>
        <v/>
      </c>
      <c r="BB445" s="87">
        <f>IF(R445&lt;Q445,"X","")</f>
        <v/>
      </c>
      <c r="BC445" s="190" t="inlineStr">
        <is>
          <t>NO</t>
        </is>
      </c>
      <c r="BD445" s="190" t="inlineStr">
        <is>
          <t>NO</t>
        </is>
      </c>
    </row>
    <row r="446" ht="15" customHeight="1" s="162">
      <c r="A446" s="7" t="n">
        <v>445</v>
      </c>
      <c r="B446" t="inlineStr"/>
      <c r="C446" t="inlineStr">
        <is>
          <t>MONTAJE SIMULADOR A320</t>
        </is>
      </c>
      <c r="D446" t="inlineStr">
        <is>
          <t>1101855424</t>
        </is>
      </c>
      <c r="E446" t="inlineStr">
        <is>
          <t>1</t>
        </is>
      </c>
      <c r="F446" s="163" t="n">
        <v>45748</v>
      </c>
      <c r="G446" t="inlineStr"/>
      <c r="H446" t="inlineStr">
        <is>
          <t>4300343641</t>
        </is>
      </c>
      <c r="I446" t="inlineStr">
        <is>
          <t>10</t>
        </is>
      </c>
      <c r="J446" s="163" t="n">
        <v>45749</v>
      </c>
      <c r="K446" s="163" t="n">
        <v>45749</v>
      </c>
      <c r="L446" t="inlineStr"/>
      <c r="M446" s="163" t="n">
        <v>45771</v>
      </c>
      <c r="N446" s="164" t="n">
        <v>0</v>
      </c>
      <c r="O446" s="164" t="n">
        <v>0</v>
      </c>
      <c r="P446" t="inlineStr">
        <is>
          <t>Liberado</t>
        </is>
      </c>
      <c r="Q446" s="166" t="n">
        <v>1</v>
      </c>
      <c r="R446" s="164" t="n">
        <v>1</v>
      </c>
      <c r="S446" s="164" t="n">
        <v>0</v>
      </c>
      <c r="T446" s="164" t="n">
        <v>0</v>
      </c>
      <c r="U446" s="166" t="n">
        <v>0</v>
      </c>
      <c r="V446" s="166" t="n">
        <v>0</v>
      </c>
      <c r="W446" t="inlineStr">
        <is>
          <t>X</t>
        </is>
      </c>
      <c r="X446" t="inlineStr">
        <is>
          <t>0.00</t>
        </is>
      </c>
      <c r="Y446" t="inlineStr"/>
      <c r="Z446" t="inlineStr">
        <is>
          <t>AUXITEL, S.L.</t>
        </is>
      </c>
      <c r="AA446" t="inlineStr"/>
      <c r="AB446" t="inlineStr"/>
      <c r="AC446" t="inlineStr"/>
      <c r="AD446" s="164" t="n">
        <v>0</v>
      </c>
      <c r="AE446" s="185" t="n">
        <v>0</v>
      </c>
      <c r="AG446" s="167" t="inlineStr">
        <is>
          <t>7218|JA2593_1001</t>
        </is>
      </c>
      <c r="AH446" s="46">
        <f>IF(M446=0,"-",M446-J446)</f>
        <v/>
      </c>
      <c r="AI446" s="46">
        <f>IF(AND(S446=0,M446&gt;0,L446=0),IF(AH446&gt;=120,"VERY HIGH",IF(AH446&gt;=90,"HIGH",IF(AH446&gt;=60,"MEDIUM",IF(AH446&lt;60,"LOW")))),"-")</f>
        <v/>
      </c>
      <c r="AJ446" s="12" t="n"/>
      <c r="AK446" s="41">
        <f>IF(AND(W446="X",M446&lt;=$AJ$2),"YES","")</f>
        <v/>
      </c>
      <c r="AL446" s="38">
        <f>IF(AND(W446="X",M446&lt;=$AJ$2),S446,"")</f>
        <v/>
      </c>
      <c r="AM446" s="26">
        <f>IF(AND(W446="X",M446&gt;$AJ$2),"YES","")</f>
        <v/>
      </c>
      <c r="AN446" s="89">
        <f>IF(AND(W446="X",M446&gt;$AJ$2),S446,"")</f>
        <v/>
      </c>
      <c r="AO446" s="35">
        <f>IF(AND(W446="",M446&gt;0,$AJ$2&gt;M446,L446=""),1,0)</f>
        <v/>
      </c>
      <c r="AP446" s="26">
        <f>IF(AND(AK446="YES",W446="X"),"X","")</f>
        <v/>
      </c>
      <c r="AQ446" s="28">
        <f>IF(AP446="X",100%,0%)</f>
        <v/>
      </c>
      <c r="AR446" s="25">
        <f>IF(AND(T446&gt;0,L446=""),H446,"")</f>
        <v/>
      </c>
      <c r="AS446" s="25">
        <f>IF(AND(D446&gt;0,H446=0,G446=""),1,"")</f>
        <v/>
      </c>
      <c r="AT446" s="25">
        <f>IF(G446="BLOQ",1,"")</f>
        <v/>
      </c>
      <c r="AU446" s="25">
        <f>IF(L446="BLOQ",1,"")</f>
        <v/>
      </c>
      <c r="AV446" s="25">
        <f>MONTH(F446)</f>
        <v/>
      </c>
      <c r="AW446" s="65">
        <f>IF(AP446="",100%,0%)</f>
        <v/>
      </c>
      <c r="AX446" s="23" t="n"/>
      <c r="AY446" s="24">
        <f>IF(M446=0,"",M446-$AX$2)</f>
        <v/>
      </c>
      <c r="AZ446" s="66">
        <f>IF(AND(W446="",AY446&gt;0,AY446&lt;15),1,0)</f>
        <v/>
      </c>
      <c r="BA446" s="24">
        <f>IF(AND(W446="",AY446&gt;0,AY446&lt;15),T446,"")</f>
        <v/>
      </c>
      <c r="BB446" s="87">
        <f>IF(R446&lt;Q446,"X","")</f>
        <v/>
      </c>
      <c r="BC446" s="190" t="inlineStr">
        <is>
          <t>NO</t>
        </is>
      </c>
      <c r="BD446" s="190" t="inlineStr">
        <is>
          <t>NO</t>
        </is>
      </c>
    </row>
    <row r="447" ht="15" customHeight="1" s="162">
      <c r="A447" s="7" t="n">
        <v>446</v>
      </c>
      <c r="B447" t="inlineStr">
        <is>
          <t>41113633</t>
        </is>
      </c>
      <c r="C447" t="inlineStr">
        <is>
          <t>Potenci&amp;#243;metro de 4.7k?, &amp;#177;20%,</t>
        </is>
      </c>
      <c r="D447" t="inlineStr">
        <is>
          <t>1101855938</t>
        </is>
      </c>
      <c r="E447" t="inlineStr">
        <is>
          <t>1</t>
        </is>
      </c>
      <c r="F447" s="163" t="n">
        <v>45749</v>
      </c>
      <c r="G447" t="inlineStr"/>
      <c r="H447" t="inlineStr">
        <is>
          <t>4800002981</t>
        </is>
      </c>
      <c r="I447" t="inlineStr">
        <is>
          <t>60</t>
        </is>
      </c>
      <c r="J447" s="163" t="n">
        <v>45749</v>
      </c>
      <c r="K447" s="163" t="inlineStr"/>
      <c r="L447" t="inlineStr"/>
      <c r="M447" s="163" t="n">
        <v>45750</v>
      </c>
      <c r="N447" s="164" t="n">
        <v>0</v>
      </c>
      <c r="O447" s="164" t="n">
        <v>0</v>
      </c>
      <c r="P447" t="inlineStr"/>
      <c r="Q447" s="165" t="n">
        <v>1</v>
      </c>
      <c r="R447" s="165" t="n">
        <v>1</v>
      </c>
      <c r="S447" s="165" t="n">
        <v>1</v>
      </c>
      <c r="T447" s="165" t="n">
        <v>0</v>
      </c>
      <c r="U447" s="166" t="n">
        <v>0</v>
      </c>
      <c r="V447" s="166" t="n">
        <v>0</v>
      </c>
      <c r="W447" t="inlineStr">
        <is>
          <t>X</t>
        </is>
      </c>
      <c r="X447" t="inlineStr">
        <is>
          <t>0.00</t>
        </is>
      </c>
      <c r="Y447" t="inlineStr"/>
      <c r="Z447" t="inlineStr">
        <is>
          <t>AMIDATA, S.A.</t>
        </is>
      </c>
      <c r="AA447" t="inlineStr"/>
      <c r="AB447" t="inlineStr">
        <is>
          <t>7904435</t>
        </is>
      </c>
      <c r="AC447" t="inlineStr"/>
      <c r="AD447" s="164" t="n">
        <v>0</v>
      </c>
      <c r="AE447" s="185" t="n">
        <v>0</v>
      </c>
      <c r="AG447" s="167" t="inlineStr">
        <is>
          <t>7218|JA2585_1001</t>
        </is>
      </c>
      <c r="AH447" s="46">
        <f>IF(M447=0,"-",M447-J447)</f>
        <v/>
      </c>
      <c r="AI447" s="46">
        <f>IF(AND(S447=0,M447&gt;0,L447=0),IF(AH447&gt;=120,"VERY HIGH",IF(AH447&gt;=90,"HIGH",IF(AH447&gt;=60,"MEDIUM",IF(AH447&lt;60,"LOW")))),"-")</f>
        <v/>
      </c>
      <c r="AJ447" s="12" t="n"/>
      <c r="AK447" s="41">
        <f>IF(AND(W447="X",M447&lt;=$AJ$2),"YES","")</f>
        <v/>
      </c>
      <c r="AL447" s="38">
        <f>IF(AND(W447="X",M447&lt;=$AJ$2),S447,"")</f>
        <v/>
      </c>
      <c r="AM447" s="26">
        <f>IF(AND(W447="X",M447&gt;$AJ$2),"YES","")</f>
        <v/>
      </c>
      <c r="AN447" s="89">
        <f>IF(AND(W447="X",M447&gt;$AJ$2),S447,"")</f>
        <v/>
      </c>
      <c r="AO447" s="35">
        <f>IF(AND(W447="",M447&gt;0,$AJ$2&gt;M447,L447=""),1,0)</f>
        <v/>
      </c>
      <c r="AP447" s="26">
        <f>IF(AND(AK447="YES",W447="X"),"X","")</f>
        <v/>
      </c>
      <c r="AQ447" s="28">
        <f>IF(AP447="X",100%,0%)</f>
        <v/>
      </c>
      <c r="AR447" s="25">
        <f>IF(AND(T447&gt;0,L447=""),H447,"")</f>
        <v/>
      </c>
      <c r="AS447" s="25">
        <f>IF(AND(D447&gt;0,H447=0,G447=""),1,"")</f>
        <v/>
      </c>
      <c r="AT447" s="25">
        <f>IF(G447="BLOQ",1,"")</f>
        <v/>
      </c>
      <c r="AU447" s="25">
        <f>IF(L447="BLOQ",1,"")</f>
        <v/>
      </c>
      <c r="AV447" s="25">
        <f>MONTH(F447)</f>
        <v/>
      </c>
      <c r="AW447" s="65">
        <f>IF(AP447="",100%,0%)</f>
        <v/>
      </c>
      <c r="AX447" s="23" t="n"/>
      <c r="AY447" s="24">
        <f>IF(M447=0,"",M447-$AX$2)</f>
        <v/>
      </c>
      <c r="AZ447" s="66">
        <f>IF(AND(W447="",AY447&gt;0,AY447&lt;15),1,0)</f>
        <v/>
      </c>
      <c r="BA447" s="24">
        <f>IF(AND(W447="",AY447&gt;0,AY447&lt;15),T447,"")</f>
        <v/>
      </c>
      <c r="BB447" s="87">
        <f>IF(R447&lt;Q447,"X","")</f>
        <v/>
      </c>
      <c r="BC447" s="190" t="inlineStr">
        <is>
          <t>NO</t>
        </is>
      </c>
      <c r="BD447" s="190" t="inlineStr">
        <is>
          <t>NO</t>
        </is>
      </c>
    </row>
    <row r="448" ht="15" customHeight="1" s="162">
      <c r="A448" s="7" t="n">
        <v>447</v>
      </c>
      <c r="B448" t="inlineStr">
        <is>
          <t>39121534</t>
        </is>
      </c>
      <c r="C448" t="inlineStr">
        <is>
          <t>Luz piloto, Universal LED, di&amp;#225;metro</t>
        </is>
      </c>
      <c r="D448" t="inlineStr">
        <is>
          <t>1101856109</t>
        </is>
      </c>
      <c r="E448" t="inlineStr">
        <is>
          <t>1</t>
        </is>
      </c>
      <c r="F448" s="163" t="n">
        <v>45749</v>
      </c>
      <c r="G448" t="inlineStr"/>
      <c r="H448" t="inlineStr">
        <is>
          <t>4800002981</t>
        </is>
      </c>
      <c r="I448" t="inlineStr">
        <is>
          <t>420</t>
        </is>
      </c>
      <c r="J448" s="163" t="n">
        <v>45749</v>
      </c>
      <c r="K448" s="163" t="inlineStr"/>
      <c r="L448" t="inlineStr"/>
      <c r="M448" s="163" t="n">
        <v>45750</v>
      </c>
      <c r="N448" s="164" t="n">
        <v>0</v>
      </c>
      <c r="O448" s="164" t="n">
        <v>0</v>
      </c>
      <c r="P448" t="inlineStr"/>
      <c r="Q448" s="165" t="n">
        <v>1</v>
      </c>
      <c r="R448" s="165" t="n">
        <v>1</v>
      </c>
      <c r="S448" s="165" t="n">
        <v>1</v>
      </c>
      <c r="T448" s="165" t="n">
        <v>0</v>
      </c>
      <c r="U448" s="166" t="n">
        <v>0</v>
      </c>
      <c r="V448" s="166" t="n">
        <v>0</v>
      </c>
      <c r="W448" t="inlineStr">
        <is>
          <t>X</t>
        </is>
      </c>
      <c r="X448" t="inlineStr">
        <is>
          <t>0.00</t>
        </is>
      </c>
      <c r="Y448" t="inlineStr"/>
      <c r="Z448" t="inlineStr">
        <is>
          <t>AMIDATA, S.A.</t>
        </is>
      </c>
      <c r="AA448" t="inlineStr"/>
      <c r="AB448" t="inlineStr">
        <is>
          <t>6095701</t>
        </is>
      </c>
      <c r="AC448" t="inlineStr"/>
      <c r="AD448" s="164" t="n">
        <v>0</v>
      </c>
      <c r="AE448" s="185" t="n">
        <v>0</v>
      </c>
      <c r="AG448" s="167" t="inlineStr">
        <is>
          <t>7218|JA2593_1001</t>
        </is>
      </c>
      <c r="AH448" s="46">
        <f>IF(M448=0,"-",M448-J448)</f>
        <v/>
      </c>
      <c r="AI448" s="46">
        <f>IF(AND(S448=0,M448&gt;0,L448=0),IF(AH448&gt;=120,"VERY HIGH",IF(AH448&gt;=90,"HIGH",IF(AH448&gt;=60,"MEDIUM",IF(AH448&lt;60,"LOW")))),"-")</f>
        <v/>
      </c>
      <c r="AJ448" s="12" t="n"/>
      <c r="AK448" s="41">
        <f>IF(AND(W448="X",M448&lt;=$AJ$2),"YES","")</f>
        <v/>
      </c>
      <c r="AL448" s="38">
        <f>IF(AND(W448="X",M448&lt;=$AJ$2),S448,"")</f>
        <v/>
      </c>
      <c r="AM448" s="26">
        <f>IF(AND(W448="X",M448&gt;$AJ$2),"YES","")</f>
        <v/>
      </c>
      <c r="AN448" s="89">
        <f>IF(AND(W448="X",M448&gt;$AJ$2),S448,"")</f>
        <v/>
      </c>
      <c r="AO448" s="35">
        <f>IF(AND(W448="",M448&gt;0,$AJ$2&gt;M448,L448=""),1,0)</f>
        <v/>
      </c>
      <c r="AP448" s="26">
        <f>IF(AND(AK448="YES",W448="X"),"X","")</f>
        <v/>
      </c>
      <c r="AQ448" s="28">
        <f>IF(AP448="X",100%,0%)</f>
        <v/>
      </c>
      <c r="AR448" s="25">
        <f>IF(AND(T448&gt;0,L448=""),H448,"")</f>
        <v/>
      </c>
      <c r="AS448" s="25">
        <f>IF(AND(D448&gt;0,H448=0,G448=""),1,"")</f>
        <v/>
      </c>
      <c r="AT448" s="25">
        <f>IF(G448="BLOQ",1,"")</f>
        <v/>
      </c>
      <c r="AU448" s="25">
        <f>IF(L448="BLOQ",1,"")</f>
        <v/>
      </c>
      <c r="AV448" s="25">
        <f>MONTH(F448)</f>
        <v/>
      </c>
      <c r="AW448" s="65">
        <f>IF(AP448="",100%,0%)</f>
        <v/>
      </c>
      <c r="AX448" s="23" t="n"/>
      <c r="AY448" s="24">
        <f>IF(M448=0,"",M448-$AX$2)</f>
        <v/>
      </c>
      <c r="AZ448" s="66">
        <f>IF(AND(W448="",AY448&gt;0,AY448&lt;15),1,0)</f>
        <v/>
      </c>
      <c r="BA448" s="24">
        <f>IF(AND(W448="",AY448&gt;0,AY448&lt;15),T448,"")</f>
        <v/>
      </c>
      <c r="BB448" s="87">
        <f>IF(R448&lt;Q448,"X","")</f>
        <v/>
      </c>
      <c r="BC448" s="190" t="inlineStr">
        <is>
          <t>NO</t>
        </is>
      </c>
      <c r="BD448" s="190" t="inlineStr">
        <is>
          <t>NO</t>
        </is>
      </c>
    </row>
    <row r="449" ht="15" customHeight="1" s="162">
      <c r="A449" s="7" t="n">
        <v>448</v>
      </c>
      <c r="B449" t="inlineStr">
        <is>
          <t>39121402</t>
        </is>
      </c>
      <c r="C449" t="inlineStr">
        <is>
          <t>Punto de toma de tierra para rack para p</t>
        </is>
      </c>
      <c r="D449" t="inlineStr">
        <is>
          <t>1101856114</t>
        </is>
      </c>
      <c r="E449" t="inlineStr">
        <is>
          <t>1</t>
        </is>
      </c>
      <c r="F449" s="163" t="n">
        <v>45749</v>
      </c>
      <c r="G449" t="inlineStr"/>
      <c r="H449" t="inlineStr">
        <is>
          <t>4800002981</t>
        </is>
      </c>
      <c r="I449" t="inlineStr">
        <is>
          <t>430</t>
        </is>
      </c>
      <c r="J449" s="163" t="n">
        <v>45749</v>
      </c>
      <c r="K449" s="163" t="inlineStr"/>
      <c r="L449" t="inlineStr"/>
      <c r="M449" s="163" t="n">
        <v>45750</v>
      </c>
      <c r="N449" s="164" t="n">
        <v>0</v>
      </c>
      <c r="O449" s="164" t="n">
        <v>0</v>
      </c>
      <c r="P449" t="inlineStr"/>
      <c r="Q449" s="165" t="n">
        <v>2</v>
      </c>
      <c r="R449" s="165" t="n">
        <v>2</v>
      </c>
      <c r="S449" s="165" t="n">
        <v>2</v>
      </c>
      <c r="T449" s="165" t="n">
        <v>0</v>
      </c>
      <c r="U449" s="166" t="n">
        <v>0</v>
      </c>
      <c r="V449" s="166" t="n">
        <v>0</v>
      </c>
      <c r="W449" t="inlineStr">
        <is>
          <t>X</t>
        </is>
      </c>
      <c r="X449" t="inlineStr">
        <is>
          <t>0.00</t>
        </is>
      </c>
      <c r="Y449" t="inlineStr"/>
      <c r="Z449" t="inlineStr">
        <is>
          <t>AMIDATA, S.A.</t>
        </is>
      </c>
      <c r="AA449" t="inlineStr"/>
      <c r="AB449" t="inlineStr">
        <is>
          <t>0392141</t>
        </is>
      </c>
      <c r="AC449" t="inlineStr"/>
      <c r="AD449" s="164" t="n">
        <v>0</v>
      </c>
      <c r="AE449" s="185" t="n">
        <v>0</v>
      </c>
      <c r="AG449" s="167" t="inlineStr">
        <is>
          <t>7218|JA2593_1001</t>
        </is>
      </c>
      <c r="AH449" s="46">
        <f>IF(M449=0,"-",M449-J449)</f>
        <v/>
      </c>
      <c r="AI449" s="46">
        <f>IF(AND(S449=0,M449&gt;0,L449=0),IF(AH449&gt;=120,"VERY HIGH",IF(AH449&gt;=90,"HIGH",IF(AH449&gt;=60,"MEDIUM",IF(AH449&lt;60,"LOW")))),"-")</f>
        <v/>
      </c>
      <c r="AJ449" s="12" t="n"/>
      <c r="AK449" s="41">
        <f>IF(AND(W449="X",M449&lt;=$AJ$2),"YES","")</f>
        <v/>
      </c>
      <c r="AL449" s="38">
        <f>IF(AND(W449="X",M449&lt;=$AJ$2),S449,"")</f>
        <v/>
      </c>
      <c r="AM449" s="26">
        <f>IF(AND(W449="X",M449&gt;$AJ$2),"YES","")</f>
        <v/>
      </c>
      <c r="AN449" s="89">
        <f>IF(AND(W449="X",M449&gt;$AJ$2),S449,"")</f>
        <v/>
      </c>
      <c r="AO449" s="35">
        <f>IF(AND(W449="",M449&gt;0,$AJ$2&gt;M449,L449=""),1,0)</f>
        <v/>
      </c>
      <c r="AP449" s="26">
        <f>IF(AND(AK449="YES",W449="X"),"X","")</f>
        <v/>
      </c>
      <c r="AQ449" s="28">
        <f>IF(AP449="X",100%,0%)</f>
        <v/>
      </c>
      <c r="AR449" s="25">
        <f>IF(AND(T449&gt;0,L449=""),H449,"")</f>
        <v/>
      </c>
      <c r="AS449" s="25">
        <f>IF(AND(D449&gt;0,H449=0,G449=""),1,"")</f>
        <v/>
      </c>
      <c r="AT449" s="25">
        <f>IF(G449="BLOQ",1,"")</f>
        <v/>
      </c>
      <c r="AU449" s="25">
        <f>IF(L449="BLOQ",1,"")</f>
        <v/>
      </c>
      <c r="AV449" s="25">
        <f>MONTH(F449)</f>
        <v/>
      </c>
      <c r="AW449" s="65">
        <f>IF(AP449="",100%,0%)</f>
        <v/>
      </c>
      <c r="AX449" s="23" t="n"/>
      <c r="AY449" s="24">
        <f>IF(M449=0,"",M449-$AX$2)</f>
        <v/>
      </c>
      <c r="AZ449" s="66">
        <f>IF(AND(W449="",AY449&gt;0,AY449&lt;15),1,0)</f>
        <v/>
      </c>
      <c r="BA449" s="24">
        <f>IF(AND(W449="",AY449&gt;0,AY449&lt;15),T449,"")</f>
        <v/>
      </c>
      <c r="BB449" s="87">
        <f>IF(R449&lt;Q449,"X","")</f>
        <v/>
      </c>
      <c r="BC449" s="190" t="inlineStr">
        <is>
          <t>NO</t>
        </is>
      </c>
      <c r="BD449" s="190" t="inlineStr">
        <is>
          <t>NO</t>
        </is>
      </c>
    </row>
    <row r="450" ht="15" customHeight="1" s="162">
      <c r="A450" s="7" t="n">
        <v>449</v>
      </c>
      <c r="B450" t="inlineStr">
        <is>
          <t>32000000</t>
        </is>
      </c>
      <c r="C450" t="inlineStr">
        <is>
          <t>Mu&amp;#241;equera antiest&amp;#225;tica Encaje</t>
        </is>
      </c>
      <c r="D450" t="inlineStr">
        <is>
          <t>1101856114</t>
        </is>
      </c>
      <c r="E450" t="inlineStr">
        <is>
          <t>2</t>
        </is>
      </c>
      <c r="F450" s="163" t="n">
        <v>45749</v>
      </c>
      <c r="G450" t="inlineStr"/>
      <c r="H450" t="inlineStr">
        <is>
          <t>4800002981</t>
        </is>
      </c>
      <c r="I450" t="inlineStr">
        <is>
          <t>440</t>
        </is>
      </c>
      <c r="J450" s="163" t="n">
        <v>45749</v>
      </c>
      <c r="K450" s="163" t="inlineStr"/>
      <c r="L450" t="inlineStr"/>
      <c r="M450" s="163" t="n">
        <v>45750</v>
      </c>
      <c r="N450" s="164" t="n">
        <v>0</v>
      </c>
      <c r="O450" s="164" t="n">
        <v>0</v>
      </c>
      <c r="P450" t="inlineStr"/>
      <c r="Q450" s="165" t="n">
        <v>2</v>
      </c>
      <c r="R450" s="165" t="n">
        <v>2</v>
      </c>
      <c r="S450" s="165" t="n">
        <v>2</v>
      </c>
      <c r="T450" s="165" t="n">
        <v>0</v>
      </c>
      <c r="U450" s="166" t="n">
        <v>0</v>
      </c>
      <c r="V450" s="166" t="n">
        <v>0</v>
      </c>
      <c r="W450" t="inlineStr">
        <is>
          <t>X</t>
        </is>
      </c>
      <c r="X450" t="inlineStr">
        <is>
          <t>0.00</t>
        </is>
      </c>
      <c r="Y450" t="inlineStr"/>
      <c r="Z450" t="inlineStr">
        <is>
          <t>AMIDATA, S.A.</t>
        </is>
      </c>
      <c r="AA450" t="inlineStr"/>
      <c r="AB450" t="inlineStr">
        <is>
          <t>2517691</t>
        </is>
      </c>
      <c r="AC450" t="inlineStr"/>
      <c r="AD450" s="164" t="n">
        <v>0</v>
      </c>
      <c r="AE450" s="185" t="n">
        <v>0</v>
      </c>
      <c r="AG450" s="167" t="inlineStr">
        <is>
          <t>7218|JA2593_1001</t>
        </is>
      </c>
      <c r="AH450" s="46">
        <f>IF(M450=0,"-",M450-J450)</f>
        <v/>
      </c>
      <c r="AI450" s="46">
        <f>IF(AND(S450=0,M450&gt;0,L450=0),IF(AH450&gt;=120,"VERY HIGH",IF(AH450&gt;=90,"HIGH",IF(AH450&gt;=60,"MEDIUM",IF(AH450&lt;60,"LOW")))),"-")</f>
        <v/>
      </c>
      <c r="AJ450" s="12" t="n"/>
      <c r="AK450" s="41">
        <f>IF(AND(W450="X",M450&lt;=$AJ$2),"YES","")</f>
        <v/>
      </c>
      <c r="AL450" s="38">
        <f>IF(AND(W450="X",M450&lt;=$AJ$2),S450,"")</f>
        <v/>
      </c>
      <c r="AM450" s="26">
        <f>IF(AND(W450="X",M450&gt;$AJ$2),"YES","")</f>
        <v/>
      </c>
      <c r="AN450" s="89">
        <f>IF(AND(W450="X",M450&gt;$AJ$2),S450,"")</f>
        <v/>
      </c>
      <c r="AO450" s="35">
        <f>IF(AND(W450="",M450&gt;0,$AJ$2&gt;M450,L450=""),1,0)</f>
        <v/>
      </c>
      <c r="AP450" s="26">
        <f>IF(AND(AK450="YES",W450="X"),"X","")</f>
        <v/>
      </c>
      <c r="AQ450" s="28">
        <f>IF(AP450="X",100%,0%)</f>
        <v/>
      </c>
      <c r="AR450" s="25">
        <f>IF(AND(T450&gt;0,L450=""),H450,"")</f>
        <v/>
      </c>
      <c r="AS450" s="25">
        <f>IF(AND(D450&gt;0,H450=0,G450=""),1,"")</f>
        <v/>
      </c>
      <c r="AT450" s="25">
        <f>IF(G450="BLOQ",1,"")</f>
        <v/>
      </c>
      <c r="AU450" s="25">
        <f>IF(L450="BLOQ",1,"")</f>
        <v/>
      </c>
      <c r="AV450" s="25">
        <f>MONTH(F450)</f>
        <v/>
      </c>
      <c r="AW450" s="65">
        <f>IF(AP450="",100%,0%)</f>
        <v/>
      </c>
      <c r="AX450" s="23" t="n"/>
      <c r="AY450" s="24">
        <f>IF(M450=0,"",M450-$AX$2)</f>
        <v/>
      </c>
      <c r="AZ450" s="66">
        <f>IF(AND(W450="",AY450&gt;0,AY450&lt;15),1,0)</f>
        <v/>
      </c>
      <c r="BA450" s="24">
        <f>IF(AND(W450="",AY450&gt;0,AY450&lt;15),T450,"")</f>
        <v/>
      </c>
      <c r="BB450" s="87">
        <f>IF(R450&lt;Q450,"X","")</f>
        <v/>
      </c>
      <c r="BC450" s="190" t="inlineStr">
        <is>
          <t>NO</t>
        </is>
      </c>
      <c r="BD450" s="190" t="inlineStr">
        <is>
          <t>NO</t>
        </is>
      </c>
    </row>
    <row r="451" ht="15" customHeight="1" s="162">
      <c r="A451" s="7" t="n">
        <v>450</v>
      </c>
      <c r="B451" t="inlineStr">
        <is>
          <t>9999000322010</t>
        </is>
      </c>
      <c r="C451" t="inlineStr">
        <is>
          <t>N.R. PANELES SIMULADORES</t>
        </is>
      </c>
      <c r="D451" t="inlineStr">
        <is>
          <t>1101856565</t>
        </is>
      </c>
      <c r="E451" t="inlineStr">
        <is>
          <t>1</t>
        </is>
      </c>
      <c r="F451" s="163" t="n">
        <v>45750</v>
      </c>
      <c r="G451" t="inlineStr"/>
      <c r="H451" t="inlineStr">
        <is>
          <t>4200605815</t>
        </is>
      </c>
      <c r="I451" t="inlineStr">
        <is>
          <t>20</t>
        </is>
      </c>
      <c r="J451" s="163" t="n">
        <v>45751</v>
      </c>
      <c r="K451" s="163" t="n">
        <v>45756</v>
      </c>
      <c r="L451" t="inlineStr"/>
      <c r="M451" s="163" t="n">
        <v>45796</v>
      </c>
      <c r="N451" s="164" t="n">
        <v>175</v>
      </c>
      <c r="O451" s="164" t="n">
        <v>8</v>
      </c>
      <c r="P451" t="inlineStr">
        <is>
          <t>Liberado</t>
        </is>
      </c>
      <c r="Q451" s="165" t="n">
        <v>1</v>
      </c>
      <c r="R451" s="165" t="n">
        <v>1</v>
      </c>
      <c r="S451" s="165" t="n">
        <v>1</v>
      </c>
      <c r="T451" s="165" t="n">
        <v>0</v>
      </c>
      <c r="U451" s="166" t="n">
        <v>0</v>
      </c>
      <c r="V451" s="166" t="n">
        <v>0</v>
      </c>
      <c r="W451" t="inlineStr">
        <is>
          <t>X</t>
        </is>
      </c>
      <c r="X451" t="inlineStr">
        <is>
          <t>0.00</t>
        </is>
      </c>
      <c r="Y451" t="inlineStr"/>
      <c r="Z451" t="inlineStr">
        <is>
          <t>SUMINISTROS, FRESADOS Y GRABADOS</t>
        </is>
      </c>
      <c r="AA451" t="inlineStr"/>
      <c r="AB451" t="inlineStr"/>
      <c r="AC451" t="inlineStr"/>
      <c r="AD451" s="164" t="n">
        <v>0</v>
      </c>
      <c r="AE451" s="185" t="n">
        <v>0</v>
      </c>
      <c r="AG451" s="167" t="inlineStr">
        <is>
          <t>7218|JA2583_1001</t>
        </is>
      </c>
      <c r="AH451" s="46">
        <f>IF(M451=0,"-",M451-J451)</f>
        <v/>
      </c>
      <c r="AI451" s="46">
        <f>IF(AND(S451=0,M451&gt;0,L451=0),IF(AH451&gt;=120,"VERY HIGH",IF(AH451&gt;=90,"HIGH",IF(AH451&gt;=60,"MEDIUM",IF(AH451&lt;60,"LOW")))),"-")</f>
        <v/>
      </c>
      <c r="AJ451" s="12" t="n"/>
      <c r="AK451" s="41">
        <f>IF(AND(W451="X",M451&lt;=$AJ$2),"YES","")</f>
        <v/>
      </c>
      <c r="AL451" s="38">
        <f>IF(AND(W451="X",M451&lt;=$AJ$2),S451,"")</f>
        <v/>
      </c>
      <c r="AM451" s="26">
        <f>IF(AND(W451="X",M451&gt;$AJ$2),"YES","")</f>
        <v/>
      </c>
      <c r="AN451" s="89">
        <f>IF(AND(W451="X",M451&gt;$AJ$2),S451,"")</f>
        <v/>
      </c>
      <c r="AO451" s="35">
        <f>IF(AND(W451="",M451&gt;0,$AJ$2&gt;M451,L451=""),1,0)</f>
        <v/>
      </c>
      <c r="AP451" s="26">
        <f>IF(AND(AK451="YES",W451="X"),"X","")</f>
        <v/>
      </c>
      <c r="AQ451" s="28">
        <f>IF(AP451="X",100%,0%)</f>
        <v/>
      </c>
      <c r="AR451" s="25">
        <f>IF(AND(T451&gt;0,L451=""),H451,"")</f>
        <v/>
      </c>
      <c r="AS451" s="25">
        <f>IF(AND(D451&gt;0,H451=0,G451=""),1,"")</f>
        <v/>
      </c>
      <c r="AT451" s="25">
        <f>IF(G451="BLOQ",1,"")</f>
        <v/>
      </c>
      <c r="AU451" s="25">
        <f>IF(L451="BLOQ",1,"")</f>
        <v/>
      </c>
      <c r="AV451" s="25">
        <f>MONTH(F451)</f>
        <v/>
      </c>
      <c r="AW451" s="65">
        <f>IF(AP451="",100%,0%)</f>
        <v/>
      </c>
      <c r="AX451" s="23" t="n"/>
      <c r="AY451" s="24">
        <f>IF(M451=0,"",M451-$AX$2)</f>
        <v/>
      </c>
      <c r="AZ451" s="66">
        <f>IF(AND(W451="",AY451&gt;0,AY451&lt;15),1,0)</f>
        <v/>
      </c>
      <c r="BA451" s="24">
        <f>IF(AND(W451="",AY451&gt;0,AY451&lt;15),T451,"")</f>
        <v/>
      </c>
      <c r="BB451" s="87">
        <f>IF(R451&lt;Q451,"X","")</f>
        <v/>
      </c>
      <c r="BC451" s="190" t="inlineStr">
        <is>
          <t>NO</t>
        </is>
      </c>
      <c r="BD451" s="191" t="inlineStr">
        <is>
          <t>SI</t>
        </is>
      </c>
    </row>
    <row r="452" ht="15" customHeight="1" s="162">
      <c r="A452" s="7" t="n">
        <v>451</v>
      </c>
      <c r="B452" t="inlineStr">
        <is>
          <t>43202222</t>
        </is>
      </c>
      <c r="C452" t="inlineStr">
        <is>
          <t>Cable DisplayPort negro StarTech.com, co</t>
        </is>
      </c>
      <c r="D452" t="inlineStr">
        <is>
          <t>1101857469</t>
        </is>
      </c>
      <c r="E452" t="inlineStr">
        <is>
          <t>1</t>
        </is>
      </c>
      <c r="F452" s="163" t="n">
        <v>45754</v>
      </c>
      <c r="G452" t="inlineStr"/>
      <c r="H452" t="inlineStr">
        <is>
          <t>4800002987</t>
        </is>
      </c>
      <c r="I452" t="inlineStr">
        <is>
          <t>540</t>
        </is>
      </c>
      <c r="J452" s="163" t="n">
        <v>45751</v>
      </c>
      <c r="K452" s="163" t="inlineStr"/>
      <c r="L452" t="inlineStr"/>
      <c r="M452" s="163" t="n">
        <v>45755</v>
      </c>
      <c r="N452" s="164" t="n">
        <v>0</v>
      </c>
      <c r="O452" s="164" t="n">
        <v>0</v>
      </c>
      <c r="P452" t="inlineStr"/>
      <c r="Q452" s="165" t="n">
        <v>1</v>
      </c>
      <c r="R452" s="165" t="n">
        <v>1</v>
      </c>
      <c r="S452" s="165" t="n">
        <v>1</v>
      </c>
      <c r="T452" s="165" t="n">
        <v>0</v>
      </c>
      <c r="U452" s="166" t="n">
        <v>0</v>
      </c>
      <c r="V452" s="166" t="n">
        <v>0</v>
      </c>
      <c r="W452" t="inlineStr">
        <is>
          <t>X</t>
        </is>
      </c>
      <c r="X452" t="inlineStr">
        <is>
          <t>0.00</t>
        </is>
      </c>
      <c r="Y452" t="inlineStr"/>
      <c r="Z452" t="inlineStr">
        <is>
          <t>AMIDATA, S.A.</t>
        </is>
      </c>
      <c r="AA452" t="inlineStr"/>
      <c r="AB452" t="inlineStr">
        <is>
          <t>2677818</t>
        </is>
      </c>
      <c r="AC452" t="inlineStr"/>
      <c r="AD452" s="164" t="n">
        <v>0</v>
      </c>
      <c r="AE452" s="185" t="n">
        <v>0</v>
      </c>
      <c r="AG452" s="167" t="inlineStr">
        <is>
          <t>7218|JA2582_1001</t>
        </is>
      </c>
      <c r="AH452" s="46">
        <f>IF(M452=0,"-",M452-J452)</f>
        <v/>
      </c>
      <c r="AI452" s="46">
        <f>IF(AND(S452=0,M452&gt;0,L452=0),IF(AH452&gt;=120,"VERY HIGH",IF(AH452&gt;=90,"HIGH",IF(AH452&gt;=60,"MEDIUM",IF(AH452&lt;60,"LOW")))),"-")</f>
        <v/>
      </c>
      <c r="AJ452" s="12" t="n"/>
      <c r="AK452" s="41">
        <f>IF(AND(W452="X",M452&lt;=$AJ$2),"YES","")</f>
        <v/>
      </c>
      <c r="AL452" s="38">
        <f>IF(AND(W452="X",M452&lt;=$AJ$2),S452,"")</f>
        <v/>
      </c>
      <c r="AM452" s="26">
        <f>IF(AND(W452="X",M452&gt;$AJ$2),"YES","")</f>
        <v/>
      </c>
      <c r="AN452" s="89">
        <f>IF(AND(W452="X",M452&gt;$AJ$2),S452,"")</f>
        <v/>
      </c>
      <c r="AO452" s="35">
        <f>IF(AND(W452="",M452&gt;0,$AJ$2&gt;M452,L452=""),1,0)</f>
        <v/>
      </c>
      <c r="AP452" s="26">
        <f>IF(AND(AK452="YES",W452="X"),"X","")</f>
        <v/>
      </c>
      <c r="AQ452" s="28">
        <f>IF(AP452="X",100%,0%)</f>
        <v/>
      </c>
      <c r="AR452" s="25">
        <f>IF(AND(T452&gt;0,L452=""),H452,"")</f>
        <v/>
      </c>
      <c r="AS452" s="25">
        <f>IF(AND(D452&gt;0,H452=0,G452=""),1,"")</f>
        <v/>
      </c>
      <c r="AT452" s="25">
        <f>IF(G452="BLOQ",1,"")</f>
        <v/>
      </c>
      <c r="AU452" s="25">
        <f>IF(L452="BLOQ",1,"")</f>
        <v/>
      </c>
      <c r="AV452" s="25">
        <f>MONTH(F452)</f>
        <v/>
      </c>
      <c r="AW452" s="65">
        <f>IF(AP452="",100%,0%)</f>
        <v/>
      </c>
      <c r="AX452" s="23" t="n"/>
      <c r="AY452" s="24">
        <f>IF(M452=0,"",M452-$AX$2)</f>
        <v/>
      </c>
      <c r="AZ452" s="66">
        <f>IF(AND(W452="",AY452&gt;0,AY452&lt;15),1,0)</f>
        <v/>
      </c>
      <c r="BA452" s="24">
        <f>IF(AND(W452="",AY452&gt;0,AY452&lt;15),T452,"")</f>
        <v/>
      </c>
      <c r="BB452" s="87">
        <f>IF(R452&lt;Q452,"X","")</f>
        <v/>
      </c>
      <c r="BC452" s="190" t="inlineStr">
        <is>
          <t>NO</t>
        </is>
      </c>
      <c r="BD452" s="190" t="inlineStr">
        <is>
          <t>NO</t>
        </is>
      </c>
    </row>
    <row r="453" ht="15" customHeight="1" s="162">
      <c r="A453" s="7" t="n">
        <v>452</v>
      </c>
      <c r="B453" t="inlineStr">
        <is>
          <t>43202222</t>
        </is>
      </c>
      <c r="C453" t="inlineStr">
        <is>
          <t>Cable DisplayPort negro StarTech.com, co</t>
        </is>
      </c>
      <c r="D453" t="inlineStr">
        <is>
          <t>1101858156</t>
        </is>
      </c>
      <c r="E453" t="inlineStr">
        <is>
          <t>1</t>
        </is>
      </c>
      <c r="F453" s="163" t="n">
        <v>45755</v>
      </c>
      <c r="G453" t="inlineStr"/>
      <c r="H453" t="inlineStr">
        <is>
          <t>4800002989</t>
        </is>
      </c>
      <c r="I453" t="inlineStr">
        <is>
          <t>270</t>
        </is>
      </c>
      <c r="J453" s="163" t="n">
        <v>45754</v>
      </c>
      <c r="K453" s="163" t="inlineStr"/>
      <c r="L453" t="inlineStr"/>
      <c r="M453" s="163" t="n">
        <v>45756</v>
      </c>
      <c r="N453" s="164" t="n">
        <v>0</v>
      </c>
      <c r="O453" s="164" t="n">
        <v>0</v>
      </c>
      <c r="P453" t="inlineStr"/>
      <c r="Q453" s="165" t="n">
        <v>1</v>
      </c>
      <c r="R453" s="165" t="n">
        <v>1</v>
      </c>
      <c r="S453" s="165" t="n">
        <v>1</v>
      </c>
      <c r="T453" s="165" t="n">
        <v>0</v>
      </c>
      <c r="U453" s="166" t="n">
        <v>0</v>
      </c>
      <c r="V453" s="166" t="n">
        <v>0</v>
      </c>
      <c r="W453" t="inlineStr">
        <is>
          <t>X</t>
        </is>
      </c>
      <c r="X453" t="inlineStr">
        <is>
          <t>0.00</t>
        </is>
      </c>
      <c r="Y453" t="inlineStr"/>
      <c r="Z453" t="inlineStr">
        <is>
          <t>AMIDATA, S.A.</t>
        </is>
      </c>
      <c r="AA453" t="inlineStr"/>
      <c r="AB453" t="inlineStr">
        <is>
          <t>2677818</t>
        </is>
      </c>
      <c r="AC453" t="inlineStr"/>
      <c r="AD453" s="164" t="n">
        <v>0</v>
      </c>
      <c r="AE453" s="185" t="n">
        <v>0</v>
      </c>
      <c r="AG453" s="167" t="inlineStr">
        <is>
          <t>7218|JA2593_1001</t>
        </is>
      </c>
      <c r="AH453" s="46">
        <f>IF(M453=0,"-",M453-J453)</f>
        <v/>
      </c>
      <c r="AI453" s="46">
        <f>IF(AND(S453=0,M453&gt;0,L453=0),IF(AH453&gt;=120,"VERY HIGH",IF(AH453&gt;=90,"HIGH",IF(AH453&gt;=60,"MEDIUM",IF(AH453&lt;60,"LOW")))),"-")</f>
        <v/>
      </c>
      <c r="AJ453" s="12" t="n"/>
      <c r="AK453" s="41">
        <f>IF(AND(W453="X",M453&lt;=$AJ$2),"YES","")</f>
        <v/>
      </c>
      <c r="AL453" s="38">
        <f>IF(AND(W453="X",M453&lt;=$AJ$2),S453,"")</f>
        <v/>
      </c>
      <c r="AM453" s="26">
        <f>IF(AND(W453="X",M453&gt;$AJ$2),"YES","")</f>
        <v/>
      </c>
      <c r="AN453" s="89">
        <f>IF(AND(W453="X",M453&gt;$AJ$2),S453,"")</f>
        <v/>
      </c>
      <c r="AO453" s="35">
        <f>IF(AND(W453="",M453&gt;0,$AJ$2&gt;M453,L453=""),1,0)</f>
        <v/>
      </c>
      <c r="AP453" s="26">
        <f>IF(AND(AK453="YES",W453="X"),"X","")</f>
        <v/>
      </c>
      <c r="AQ453" s="28">
        <f>IF(AP453="X",100%,0%)</f>
        <v/>
      </c>
      <c r="AR453" s="25">
        <f>IF(AND(T453&gt;0,L453=""),H453,"")</f>
        <v/>
      </c>
      <c r="AS453" s="25">
        <f>IF(AND(D453&gt;0,H453=0,G453=""),1,"")</f>
        <v/>
      </c>
      <c r="AT453" s="25">
        <f>IF(G453="BLOQ",1,"")</f>
        <v/>
      </c>
      <c r="AU453" s="25">
        <f>IF(L453="BLOQ",1,"")</f>
        <v/>
      </c>
      <c r="AV453" s="25">
        <f>MONTH(F453)</f>
        <v/>
      </c>
      <c r="AW453" s="65">
        <f>IF(AP453="",100%,0%)</f>
        <v/>
      </c>
      <c r="AX453" s="23" t="n"/>
      <c r="AY453" s="24">
        <f>IF(M453=0,"",M453-$AX$2)</f>
        <v/>
      </c>
      <c r="AZ453" s="66">
        <f>IF(AND(W453="",AY453&gt;0,AY453&lt;15),1,0)</f>
        <v/>
      </c>
      <c r="BA453" s="24">
        <f>IF(AND(W453="",AY453&gt;0,AY453&lt;15),T453,"")</f>
        <v/>
      </c>
      <c r="BB453" s="87">
        <f>IF(R453&lt;Q453,"X","")</f>
        <v/>
      </c>
      <c r="BC453" s="190" t="inlineStr">
        <is>
          <t>NO</t>
        </is>
      </c>
      <c r="BD453" s="190" t="inlineStr">
        <is>
          <t>NO</t>
        </is>
      </c>
    </row>
    <row r="454" ht="15" customHeight="1" s="162">
      <c r="A454" s="7" t="n">
        <v>453</v>
      </c>
      <c r="B454" t="inlineStr">
        <is>
          <t>1359900000500</t>
        </is>
      </c>
      <c r="C454" t="inlineStr">
        <is>
          <t>COMPRA DIRECTA ELECTRICOS/ELECTRONICOS</t>
        </is>
      </c>
      <c r="D454" t="inlineStr">
        <is>
          <t>1101858741</t>
        </is>
      </c>
      <c r="E454" t="inlineStr">
        <is>
          <t>1</t>
        </is>
      </c>
      <c r="F454" s="163" t="n">
        <v>45756</v>
      </c>
      <c r="G454" t="inlineStr"/>
      <c r="H454" t="inlineStr">
        <is>
          <t>4200607085</t>
        </is>
      </c>
      <c r="I454" t="inlineStr">
        <is>
          <t>10</t>
        </is>
      </c>
      <c r="J454" s="163" t="n">
        <v>45758</v>
      </c>
      <c r="K454" s="163" t="n">
        <v>45768</v>
      </c>
      <c r="L454" t="inlineStr"/>
      <c r="M454" s="163" t="n">
        <v>45772</v>
      </c>
      <c r="N454" s="164" t="n">
        <v>30</v>
      </c>
      <c r="O454" s="164" t="n">
        <v>8</v>
      </c>
      <c r="P454" t="inlineStr">
        <is>
          <t>Liberado</t>
        </is>
      </c>
      <c r="Q454" s="165" t="n">
        <v>1</v>
      </c>
      <c r="R454" s="165" t="n">
        <v>10</v>
      </c>
      <c r="S454" s="165" t="n">
        <v>10</v>
      </c>
      <c r="T454" s="165" t="n">
        <v>0</v>
      </c>
      <c r="U454" s="166" t="n">
        <v>0</v>
      </c>
      <c r="V454" s="166" t="n">
        <v>0</v>
      </c>
      <c r="W454" t="inlineStr">
        <is>
          <t>X</t>
        </is>
      </c>
      <c r="X454" t="inlineStr">
        <is>
          <t>0.00</t>
        </is>
      </c>
      <c r="Y454" t="inlineStr"/>
      <c r="Z454" t="inlineStr">
        <is>
          <t>(AEMSA)ALMACENES ELECTRICOS MADRILE</t>
        </is>
      </c>
      <c r="AA454" t="inlineStr">
        <is>
          <t>OTROS FABRICANTES</t>
        </is>
      </c>
      <c r="AB454" t="inlineStr">
        <is>
          <t>1359900000500</t>
        </is>
      </c>
      <c r="AC454" t="inlineStr"/>
      <c r="AD454" s="164" t="n">
        <v>0</v>
      </c>
      <c r="AE454" s="185" t="n">
        <v>0</v>
      </c>
      <c r="AG454" s="167" t="inlineStr">
        <is>
          <t>7218|JA2593_1001</t>
        </is>
      </c>
      <c r="AH454" s="46">
        <f>IF(M454=0,"-",M454-J454)</f>
        <v/>
      </c>
      <c r="AI454" s="46">
        <f>IF(AND(S454=0,M454&gt;0,L454=0),IF(AH454&gt;=120,"VERY HIGH",IF(AH454&gt;=90,"HIGH",IF(AH454&gt;=60,"MEDIUM",IF(AH454&lt;60,"LOW")))),"-")</f>
        <v/>
      </c>
      <c r="AJ454" s="12" t="n"/>
      <c r="AK454" s="41">
        <f>IF(AND(W454="X",M454&lt;=$AJ$2),"YES","")</f>
        <v/>
      </c>
      <c r="AL454" s="38">
        <f>IF(AND(W454="X",M454&lt;=$AJ$2),S454,"")</f>
        <v/>
      </c>
      <c r="AM454" s="26">
        <f>IF(AND(W454="X",M454&gt;$AJ$2),"YES","")</f>
        <v/>
      </c>
      <c r="AN454" s="89">
        <f>IF(AND(W454="X",M454&gt;$AJ$2),S454,"")</f>
        <v/>
      </c>
      <c r="AO454" s="35">
        <f>IF(AND(W454="",M454&gt;0,$AJ$2&gt;M454,L454=""),1,0)</f>
        <v/>
      </c>
      <c r="AP454" s="26">
        <f>IF(AND(AK454="YES",W454="X"),"X","")</f>
        <v/>
      </c>
      <c r="AQ454" s="28">
        <f>IF(AP454="X",100%,0%)</f>
        <v/>
      </c>
      <c r="AR454" s="25">
        <f>IF(AND(T454&gt;0,L454=""),H454,"")</f>
        <v/>
      </c>
      <c r="AS454" s="25">
        <f>IF(AND(D454&gt;0,H454=0,G454=""),1,"")</f>
        <v/>
      </c>
      <c r="AT454" s="25">
        <f>IF(G454="BLOQ",1,"")</f>
        <v/>
      </c>
      <c r="AU454" s="25">
        <f>IF(L454="BLOQ",1,"")</f>
        <v/>
      </c>
      <c r="AV454" s="25">
        <f>MONTH(F454)</f>
        <v/>
      </c>
      <c r="AW454" s="65">
        <f>IF(AP454="",100%,0%)</f>
        <v/>
      </c>
      <c r="AX454" s="23" t="n"/>
      <c r="AY454" s="24">
        <f>IF(M454=0,"",M454-$AX$2)</f>
        <v/>
      </c>
      <c r="AZ454" s="66">
        <f>IF(AND(W454="",AY454&gt;0,AY454&lt;15),1,0)</f>
        <v/>
      </c>
      <c r="BA454" s="24">
        <f>IF(AND(W454="",AY454&gt;0,AY454&lt;15),T454,"")</f>
        <v/>
      </c>
      <c r="BB454" s="87">
        <f>IF(R454&lt;Q454,"X","")</f>
        <v/>
      </c>
      <c r="BC454" s="190" t="inlineStr">
        <is>
          <t>NO</t>
        </is>
      </c>
      <c r="BD454" s="190" t="inlineStr">
        <is>
          <t>NO</t>
        </is>
      </c>
    </row>
    <row r="455" ht="15" customHeight="1" s="162">
      <c r="A455" s="7" t="n">
        <v>454</v>
      </c>
      <c r="B455" t="inlineStr">
        <is>
          <t>39121332</t>
        </is>
      </c>
      <c r="C455" t="inlineStr">
        <is>
          <t>Caja de conexiones Legrand 0 920 12, 7,</t>
        </is>
      </c>
      <c r="D455" t="inlineStr">
        <is>
          <t>1101861627</t>
        </is>
      </c>
      <c r="E455" t="inlineStr">
        <is>
          <t>1</t>
        </is>
      </c>
      <c r="F455" s="163" t="n">
        <v>45769</v>
      </c>
      <c r="G455" t="inlineStr"/>
      <c r="H455" t="inlineStr">
        <is>
          <t>4800003010</t>
        </is>
      </c>
      <c r="I455" t="inlineStr">
        <is>
          <t>460</t>
        </is>
      </c>
      <c r="J455" s="163" t="n">
        <v>45769</v>
      </c>
      <c r="K455" s="163" t="inlineStr"/>
      <c r="L455" t="inlineStr"/>
      <c r="M455" s="163" t="n">
        <v>45770</v>
      </c>
      <c r="N455" s="164" t="n">
        <v>0</v>
      </c>
      <c r="O455" s="164" t="n">
        <v>0</v>
      </c>
      <c r="P455" t="inlineStr"/>
      <c r="Q455" s="165" t="n">
        <v>1</v>
      </c>
      <c r="R455" s="165" t="n">
        <v>1</v>
      </c>
      <c r="S455" s="165" t="n">
        <v>1</v>
      </c>
      <c r="T455" s="165" t="n">
        <v>0</v>
      </c>
      <c r="U455" s="166" t="n">
        <v>0</v>
      </c>
      <c r="V455" s="166" t="n">
        <v>0</v>
      </c>
      <c r="W455" t="inlineStr">
        <is>
          <t>X</t>
        </is>
      </c>
      <c r="X455" t="inlineStr">
        <is>
          <t>0.00</t>
        </is>
      </c>
      <c r="Y455" t="inlineStr"/>
      <c r="Z455" t="inlineStr">
        <is>
          <t>AMIDATA, S.A.</t>
        </is>
      </c>
      <c r="AA455" t="inlineStr"/>
      <c r="AB455" t="inlineStr">
        <is>
          <t>3982488</t>
        </is>
      </c>
      <c r="AC455" t="inlineStr"/>
      <c r="AD455" s="164" t="n">
        <v>0</v>
      </c>
      <c r="AE455" s="185" t="n">
        <v>0</v>
      </c>
      <c r="AG455" s="167" t="inlineStr">
        <is>
          <t>7218|JA2582_1001</t>
        </is>
      </c>
      <c r="AH455" s="46">
        <f>IF(M455=0,"-",M455-J455)</f>
        <v/>
      </c>
      <c r="AI455" s="46">
        <f>IF(AND(S455=0,M455&gt;0,L455=0),IF(AH455&gt;=120,"VERY HIGH",IF(AH455&gt;=90,"HIGH",IF(AH455&gt;=60,"MEDIUM",IF(AH455&lt;60,"LOW")))),"-")</f>
        <v/>
      </c>
      <c r="AJ455" s="12" t="n"/>
      <c r="AK455" s="41">
        <f>IF(AND(W455="X",M455&lt;=$AJ$2),"YES","")</f>
        <v/>
      </c>
      <c r="AL455" s="38">
        <f>IF(AND(W455="X",M455&lt;=$AJ$2),S455,"")</f>
        <v/>
      </c>
      <c r="AM455" s="26">
        <f>IF(AND(W455="X",M455&gt;$AJ$2),"YES","")</f>
        <v/>
      </c>
      <c r="AN455" s="89">
        <f>IF(AND(W455="X",M455&gt;$AJ$2),S455,"")</f>
        <v/>
      </c>
      <c r="AO455" s="35">
        <f>IF(AND(W455="",M455&gt;0,$AJ$2&gt;M455,L455=""),1,0)</f>
        <v/>
      </c>
      <c r="AP455" s="26">
        <f>IF(AND(AK455="YES",W455="X"),"X","")</f>
        <v/>
      </c>
      <c r="AQ455" s="28">
        <f>IF(AP455="X",100%,0%)</f>
        <v/>
      </c>
      <c r="AR455" s="25">
        <f>IF(AND(T455&gt;0,L455=""),H455,"")</f>
        <v/>
      </c>
      <c r="AS455" s="25">
        <f>IF(AND(D455&gt;0,H455=0,G455=""),1,"")</f>
        <v/>
      </c>
      <c r="AT455" s="25">
        <f>IF(G455="BLOQ",1,"")</f>
        <v/>
      </c>
      <c r="AU455" s="25">
        <f>IF(L455="BLOQ",1,"")</f>
        <v/>
      </c>
      <c r="AV455" s="25">
        <f>MONTH(F455)</f>
        <v/>
      </c>
      <c r="AW455" s="65">
        <f>IF(AP455="",100%,0%)</f>
        <v/>
      </c>
      <c r="AX455" s="23" t="n"/>
      <c r="AY455" s="24">
        <f>IF(M455=0,"",M455-$AX$2)</f>
        <v/>
      </c>
      <c r="AZ455" s="66">
        <f>IF(AND(W455="",AY455&gt;0,AY455&lt;15),1,0)</f>
        <v/>
      </c>
      <c r="BA455" s="24">
        <f>IF(AND(W455="",AY455&gt;0,AY455&lt;15),T455,"")</f>
        <v/>
      </c>
      <c r="BB455" s="87">
        <f>IF(R455&lt;Q455,"X","")</f>
        <v/>
      </c>
      <c r="BC455" s="190" t="inlineStr">
        <is>
          <t>NO</t>
        </is>
      </c>
      <c r="BD455" s="190" t="inlineStr">
        <is>
          <t>NO</t>
        </is>
      </c>
    </row>
    <row r="456" ht="15" customHeight="1" s="162">
      <c r="A456" s="7" t="n">
        <v>455</v>
      </c>
      <c r="B456" t="inlineStr">
        <is>
          <t>31161518</t>
        </is>
      </c>
      <c r="C456" t="inlineStr">
        <is>
          <t>Tornillo Allen de cabeza cil&amp;#237;ndrica</t>
        </is>
      </c>
      <c r="D456" t="inlineStr">
        <is>
          <t>1101861969</t>
        </is>
      </c>
      <c r="E456" t="inlineStr">
        <is>
          <t>1</t>
        </is>
      </c>
      <c r="F456" s="163" t="n">
        <v>45770</v>
      </c>
      <c r="G456" t="inlineStr"/>
      <c r="H456" t="inlineStr">
        <is>
          <t>4800003013</t>
        </is>
      </c>
      <c r="I456" t="inlineStr">
        <is>
          <t>620</t>
        </is>
      </c>
      <c r="J456" s="163" t="n">
        <v>45769</v>
      </c>
      <c r="K456" s="163" t="inlineStr"/>
      <c r="L456" t="inlineStr"/>
      <c r="M456" s="163" t="n">
        <v>45771</v>
      </c>
      <c r="N456" s="164" t="n">
        <v>0</v>
      </c>
      <c r="O456" s="164" t="n">
        <v>0</v>
      </c>
      <c r="P456" t="inlineStr"/>
      <c r="Q456" s="165" t="n">
        <v>1</v>
      </c>
      <c r="R456" s="165" t="n">
        <v>1</v>
      </c>
      <c r="S456" s="165" t="n">
        <v>1</v>
      </c>
      <c r="T456" s="165" t="n">
        <v>0</v>
      </c>
      <c r="U456" s="166" t="n">
        <v>0</v>
      </c>
      <c r="V456" s="166" t="n">
        <v>0</v>
      </c>
      <c r="W456" t="inlineStr">
        <is>
          <t>X</t>
        </is>
      </c>
      <c r="X456" t="inlineStr">
        <is>
          <t>0.00</t>
        </is>
      </c>
      <c r="Y456" t="inlineStr"/>
      <c r="Z456" t="inlineStr">
        <is>
          <t>AMIDATA, S.A.</t>
        </is>
      </c>
      <c r="AA456" t="inlineStr"/>
      <c r="AB456" t="inlineStr">
        <is>
          <t>1247350</t>
        </is>
      </c>
      <c r="AC456" t="inlineStr"/>
      <c r="AD456" s="164" t="n">
        <v>0</v>
      </c>
      <c r="AE456" s="185" t="n">
        <v>0</v>
      </c>
      <c r="AG456" s="167" t="inlineStr">
        <is>
          <t>7218|S24B05_S1071</t>
        </is>
      </c>
      <c r="AH456" s="46">
        <f>IF(M456=0,"-",M456-J456)</f>
        <v/>
      </c>
      <c r="AI456" s="46">
        <f>IF(AND(S456=0,M456&gt;0,L456=0),IF(AH456&gt;=120,"VERY HIGH",IF(AH456&gt;=90,"HIGH",IF(AH456&gt;=60,"MEDIUM",IF(AH456&lt;60,"LOW")))),"-")</f>
        <v/>
      </c>
      <c r="AJ456" s="12" t="n"/>
      <c r="AK456" s="41">
        <f>IF(AND(W456="X",M456&lt;=$AJ$2),"YES","")</f>
        <v/>
      </c>
      <c r="AL456" s="38">
        <f>IF(AND(W456="X",M456&lt;=$AJ$2),S456,"")</f>
        <v/>
      </c>
      <c r="AM456" s="26">
        <f>IF(AND(W456="X",M456&gt;$AJ$2),"YES","")</f>
        <v/>
      </c>
      <c r="AN456" s="89">
        <f>IF(AND(W456="X",M456&gt;$AJ$2),S456,"")</f>
        <v/>
      </c>
      <c r="AO456" s="35">
        <f>IF(AND(W456="",M456&gt;0,$AJ$2&gt;M456,L456=""),1,0)</f>
        <v/>
      </c>
      <c r="AP456" s="26">
        <f>IF(AND(AK456="YES",W456="X"),"X","")</f>
        <v/>
      </c>
      <c r="AQ456" s="28">
        <f>IF(AP456="X",100%,0%)</f>
        <v/>
      </c>
      <c r="AR456" s="25">
        <f>IF(AND(T456&gt;0,L456=""),H456,"")</f>
        <v/>
      </c>
      <c r="AS456" s="25">
        <f>IF(AND(D456&gt;0,H456=0,G456=""),1,"")</f>
        <v/>
      </c>
      <c r="AT456" s="25">
        <f>IF(G456="BLOQ",1,"")</f>
        <v/>
      </c>
      <c r="AU456" s="25">
        <f>IF(L456="BLOQ",1,"")</f>
        <v/>
      </c>
      <c r="AV456" s="25">
        <f>MONTH(F456)</f>
        <v/>
      </c>
      <c r="AW456" s="65">
        <f>IF(AP456="",100%,0%)</f>
        <v/>
      </c>
      <c r="AX456" s="23" t="n"/>
      <c r="AY456" s="24">
        <f>IF(M456=0,"",M456-$AX$2)</f>
        <v/>
      </c>
      <c r="AZ456" s="66">
        <f>IF(AND(W456="",AY456&gt;0,AY456&lt;15),1,0)</f>
        <v/>
      </c>
      <c r="BA456" s="24">
        <f>IF(AND(W456="",AY456&gt;0,AY456&lt;15),T456,"")</f>
        <v/>
      </c>
      <c r="BB456" s="87">
        <f>IF(R456&lt;Q456,"X","")</f>
        <v/>
      </c>
      <c r="BC456" s="190" t="inlineStr">
        <is>
          <t>NO</t>
        </is>
      </c>
      <c r="BD456" s="190" t="inlineStr">
        <is>
          <t>NO</t>
        </is>
      </c>
    </row>
    <row r="457" ht="15" customHeight="1" s="162">
      <c r="A457" s="7" t="n">
        <v>456</v>
      </c>
      <c r="B457" t="inlineStr">
        <is>
          <t>31161618</t>
        </is>
      </c>
      <c r="C457" t="inlineStr">
        <is>
          <t>Varillas Roscada, RS PRO, Galvanizado, A</t>
        </is>
      </c>
      <c r="D457" t="inlineStr">
        <is>
          <t>1101861969</t>
        </is>
      </c>
      <c r="E457" t="inlineStr">
        <is>
          <t>2</t>
        </is>
      </c>
      <c r="F457" s="163" t="n">
        <v>45770</v>
      </c>
      <c r="G457" t="inlineStr"/>
      <c r="H457" t="inlineStr">
        <is>
          <t>4800003013</t>
        </is>
      </c>
      <c r="I457" t="inlineStr">
        <is>
          <t>630</t>
        </is>
      </c>
      <c r="J457" s="163" t="n">
        <v>45769</v>
      </c>
      <c r="K457" s="163" t="inlineStr"/>
      <c r="L457" t="inlineStr"/>
      <c r="M457" s="163" t="n">
        <v>45771</v>
      </c>
      <c r="N457" s="164" t="n">
        <v>0</v>
      </c>
      <c r="O457" s="164" t="n">
        <v>0</v>
      </c>
      <c r="P457" t="inlineStr"/>
      <c r="Q457" s="165" t="n">
        <v>1</v>
      </c>
      <c r="R457" s="165" t="n">
        <v>1</v>
      </c>
      <c r="S457" s="165" t="n">
        <v>1</v>
      </c>
      <c r="T457" s="165" t="n">
        <v>0</v>
      </c>
      <c r="U457" s="166" t="n">
        <v>0</v>
      </c>
      <c r="V457" s="166" t="n">
        <v>0</v>
      </c>
      <c r="W457" t="inlineStr">
        <is>
          <t>X</t>
        </is>
      </c>
      <c r="X457" t="inlineStr">
        <is>
          <t>0.00</t>
        </is>
      </c>
      <c r="Y457" t="inlineStr"/>
      <c r="Z457" t="inlineStr">
        <is>
          <t>AMIDATA, S.A.</t>
        </is>
      </c>
      <c r="AA457" t="inlineStr"/>
      <c r="AB457" t="inlineStr">
        <is>
          <t>1757007</t>
        </is>
      </c>
      <c r="AC457" t="inlineStr"/>
      <c r="AD457" s="164" t="n">
        <v>0</v>
      </c>
      <c r="AE457" s="185" t="n">
        <v>0</v>
      </c>
      <c r="AG457" s="167" t="inlineStr">
        <is>
          <t>7218|S24B05_S1071</t>
        </is>
      </c>
      <c r="AH457" s="46">
        <f>IF(M457=0,"-",M457-J457)</f>
        <v/>
      </c>
      <c r="AI457" s="46">
        <f>IF(AND(S457=0,M457&gt;0,L457=0),IF(AH457&gt;=120,"VERY HIGH",IF(AH457&gt;=90,"HIGH",IF(AH457&gt;=60,"MEDIUM",IF(AH457&lt;60,"LOW")))),"-")</f>
        <v/>
      </c>
      <c r="AJ457" s="12" t="n"/>
      <c r="AK457" s="41">
        <f>IF(AND(W457="X",M457&lt;=$AJ$2),"YES","")</f>
        <v/>
      </c>
      <c r="AL457" s="38">
        <f>IF(AND(W457="X",M457&lt;=$AJ$2),S457,"")</f>
        <v/>
      </c>
      <c r="AM457" s="26">
        <f>IF(AND(W457="X",M457&gt;$AJ$2),"YES","")</f>
        <v/>
      </c>
      <c r="AN457" s="89">
        <f>IF(AND(W457="X",M457&gt;$AJ$2),S457,"")</f>
        <v/>
      </c>
      <c r="AO457" s="35">
        <f>IF(AND(W457="",M457&gt;0,$AJ$2&gt;M457,L457=""),1,0)</f>
        <v/>
      </c>
      <c r="AP457" s="26">
        <f>IF(AND(AK457="YES",W457="X"),"X","")</f>
        <v/>
      </c>
      <c r="AQ457" s="28">
        <f>IF(AP457="X",100%,0%)</f>
        <v/>
      </c>
      <c r="AR457" s="25">
        <f>IF(AND(T457&gt;0,L457=""),H457,"")</f>
        <v/>
      </c>
      <c r="AS457" s="25">
        <f>IF(AND(D457&gt;0,H457=0,G457=""),1,"")</f>
        <v/>
      </c>
      <c r="AT457" s="25">
        <f>IF(G457="BLOQ",1,"")</f>
        <v/>
      </c>
      <c r="AU457" s="25">
        <f>IF(L457="BLOQ",1,"")</f>
        <v/>
      </c>
      <c r="AV457" s="25">
        <f>MONTH(F457)</f>
        <v/>
      </c>
      <c r="AW457" s="65">
        <f>IF(AP457="",100%,0%)</f>
        <v/>
      </c>
      <c r="AX457" s="23" t="n"/>
      <c r="AY457" s="24">
        <f>IF(M457=0,"",M457-$AX$2)</f>
        <v/>
      </c>
      <c r="AZ457" s="66">
        <f>IF(AND(W457="",AY457&gt;0,AY457&lt;15),1,0)</f>
        <v/>
      </c>
      <c r="BA457" s="24">
        <f>IF(AND(W457="",AY457&gt;0,AY457&lt;15),T457,"")</f>
        <v/>
      </c>
      <c r="BB457" s="87">
        <f>IF(R457&lt;Q457,"X","")</f>
        <v/>
      </c>
      <c r="BC457" s="190" t="inlineStr">
        <is>
          <t>NO</t>
        </is>
      </c>
      <c r="BD457" s="190" t="inlineStr">
        <is>
          <t>NO</t>
        </is>
      </c>
    </row>
    <row r="458" ht="15" customHeight="1" s="162">
      <c r="A458" s="7" t="n">
        <v>457</v>
      </c>
      <c r="B458" t="inlineStr">
        <is>
          <t>32000000</t>
        </is>
      </c>
      <c r="C458" t="inlineStr">
        <is>
          <t>Conector circular MIL-C-38999 serie III</t>
        </is>
      </c>
      <c r="D458" t="inlineStr">
        <is>
          <t>1101862318</t>
        </is>
      </c>
      <c r="E458" t="inlineStr">
        <is>
          <t>1</t>
        </is>
      </c>
      <c r="F458" s="163" t="n">
        <v>45770</v>
      </c>
      <c r="G458" t="inlineStr"/>
      <c r="H458" t="inlineStr">
        <is>
          <t>4800003017</t>
        </is>
      </c>
      <c r="I458" t="inlineStr">
        <is>
          <t>60</t>
        </is>
      </c>
      <c r="J458" s="163" t="n">
        <v>45770</v>
      </c>
      <c r="K458" s="163" t="inlineStr"/>
      <c r="L458" t="inlineStr"/>
      <c r="M458" s="163" t="n">
        <v>45771</v>
      </c>
      <c r="N458" s="164" t="n">
        <v>0</v>
      </c>
      <c r="O458" s="164" t="n">
        <v>0</v>
      </c>
      <c r="P458" t="inlineStr"/>
      <c r="Q458" s="165" t="n">
        <v>5</v>
      </c>
      <c r="R458" s="165" t="n">
        <v>5</v>
      </c>
      <c r="S458" s="165" t="n">
        <v>5</v>
      </c>
      <c r="T458" s="165" t="n">
        <v>0</v>
      </c>
      <c r="U458" s="166" t="n">
        <v>0</v>
      </c>
      <c r="V458" s="166" t="n">
        <v>0</v>
      </c>
      <c r="W458" t="inlineStr">
        <is>
          <t>X</t>
        </is>
      </c>
      <c r="X458" t="inlineStr">
        <is>
          <t>0.00</t>
        </is>
      </c>
      <c r="Y458" t="inlineStr"/>
      <c r="Z458" t="inlineStr">
        <is>
          <t>AMIDATA, S.A.</t>
        </is>
      </c>
      <c r="AA458" t="inlineStr"/>
      <c r="AB458" t="inlineStr">
        <is>
          <t>2804849</t>
        </is>
      </c>
      <c r="AC458" t="inlineStr"/>
      <c r="AD458" s="164" t="n">
        <v>0</v>
      </c>
      <c r="AE458" s="185" t="n">
        <v>0</v>
      </c>
      <c r="AG458" s="167" t="inlineStr">
        <is>
          <t>7218|JA2582_1001</t>
        </is>
      </c>
      <c r="AH458" s="46">
        <f>IF(M458=0,"-",M458-J458)</f>
        <v/>
      </c>
      <c r="AI458" s="46">
        <f>IF(AND(S458=0,M458&gt;0,L458=0),IF(AH458&gt;=120,"VERY HIGH",IF(AH458&gt;=90,"HIGH",IF(AH458&gt;=60,"MEDIUM",IF(AH458&lt;60,"LOW")))),"-")</f>
        <v/>
      </c>
      <c r="AJ458" s="12" t="n"/>
      <c r="AK458" s="41">
        <f>IF(AND(W458="X",M458&lt;=$AJ$2),"YES","")</f>
        <v/>
      </c>
      <c r="AL458" s="38">
        <f>IF(AND(W458="X",M458&lt;=$AJ$2),S458,"")</f>
        <v/>
      </c>
      <c r="AM458" s="26">
        <f>IF(AND(W458="X",M458&gt;$AJ$2),"YES","")</f>
        <v/>
      </c>
      <c r="AN458" s="89">
        <f>IF(AND(W458="X",M458&gt;$AJ$2),S458,"")</f>
        <v/>
      </c>
      <c r="AO458" s="35">
        <f>IF(AND(W458="",M458&gt;0,$AJ$2&gt;M458,L458=""),1,0)</f>
        <v/>
      </c>
      <c r="AP458" s="26">
        <f>IF(AND(AK458="YES",W458="X"),"X","")</f>
        <v/>
      </c>
      <c r="AQ458" s="28">
        <f>IF(AP458="X",100%,0%)</f>
        <v/>
      </c>
      <c r="AR458" s="25">
        <f>IF(AND(T458&gt;0,L458=""),H458,"")</f>
        <v/>
      </c>
      <c r="AS458" s="25">
        <f>IF(AND(D458&gt;0,H458=0,G458=""),1,"")</f>
        <v/>
      </c>
      <c r="AT458" s="25">
        <f>IF(G458="BLOQ",1,"")</f>
        <v/>
      </c>
      <c r="AU458" s="25">
        <f>IF(L458="BLOQ",1,"")</f>
        <v/>
      </c>
      <c r="AV458" s="25">
        <f>MONTH(F458)</f>
        <v/>
      </c>
      <c r="AW458" s="65">
        <f>IF(AP458="",100%,0%)</f>
        <v/>
      </c>
      <c r="AX458" s="23" t="n"/>
      <c r="AY458" s="24">
        <f>IF(M458=0,"",M458-$AX$2)</f>
        <v/>
      </c>
      <c r="AZ458" s="66">
        <f>IF(AND(W458="",AY458&gt;0,AY458&lt;15),1,0)</f>
        <v/>
      </c>
      <c r="BA458" s="24">
        <f>IF(AND(W458="",AY458&gt;0,AY458&lt;15),T458,"")</f>
        <v/>
      </c>
      <c r="BB458" s="87">
        <f>IF(R458&lt;Q458,"X","")</f>
        <v/>
      </c>
      <c r="BC458" s="190" t="inlineStr">
        <is>
          <t>NO</t>
        </is>
      </c>
      <c r="BD458" s="190" t="inlineStr">
        <is>
          <t>NO</t>
        </is>
      </c>
    </row>
    <row r="459" ht="15" customHeight="1" s="162">
      <c r="A459" s="7" t="n">
        <v>458</v>
      </c>
      <c r="B459" t="inlineStr">
        <is>
          <t>32000000</t>
        </is>
      </c>
      <c r="C459" t="inlineStr">
        <is>
          <t>Mu&amp;#241;equera antiest&amp;#225;tica Encaje</t>
        </is>
      </c>
      <c r="D459" t="inlineStr">
        <is>
          <t>1101862318</t>
        </is>
      </c>
      <c r="E459" t="inlineStr">
        <is>
          <t>2</t>
        </is>
      </c>
      <c r="F459" s="163" t="n">
        <v>45770</v>
      </c>
      <c r="G459" t="inlineStr"/>
      <c r="H459" t="inlineStr">
        <is>
          <t>4800003017</t>
        </is>
      </c>
      <c r="I459" t="inlineStr">
        <is>
          <t>70</t>
        </is>
      </c>
      <c r="J459" s="163" t="n">
        <v>45770</v>
      </c>
      <c r="K459" s="163" t="inlineStr"/>
      <c r="L459" t="inlineStr"/>
      <c r="M459" s="163" t="n">
        <v>45771</v>
      </c>
      <c r="N459" s="164" t="n">
        <v>0</v>
      </c>
      <c r="O459" s="164" t="n">
        <v>0</v>
      </c>
      <c r="P459" t="inlineStr"/>
      <c r="Q459" s="165" t="n">
        <v>4</v>
      </c>
      <c r="R459" s="165" t="n">
        <v>4</v>
      </c>
      <c r="S459" s="165" t="n">
        <v>4</v>
      </c>
      <c r="T459" s="165" t="n">
        <v>0</v>
      </c>
      <c r="U459" s="166" t="n">
        <v>0</v>
      </c>
      <c r="V459" s="166" t="n">
        <v>0</v>
      </c>
      <c r="W459" t="inlineStr">
        <is>
          <t>X</t>
        </is>
      </c>
      <c r="X459" t="inlineStr">
        <is>
          <t>0.00</t>
        </is>
      </c>
      <c r="Y459" t="inlineStr"/>
      <c r="Z459" t="inlineStr">
        <is>
          <t>AMIDATA, S.A.</t>
        </is>
      </c>
      <c r="AA459" t="inlineStr"/>
      <c r="AB459" t="inlineStr">
        <is>
          <t>2517691</t>
        </is>
      </c>
      <c r="AC459" t="inlineStr"/>
      <c r="AD459" s="164" t="n">
        <v>0</v>
      </c>
      <c r="AE459" s="185" t="n">
        <v>0</v>
      </c>
      <c r="AG459" s="167" t="inlineStr">
        <is>
          <t>7218|JA2582_1001</t>
        </is>
      </c>
      <c r="AH459" s="46">
        <f>IF(M459=0,"-",M459-J459)</f>
        <v/>
      </c>
      <c r="AI459" s="46">
        <f>IF(AND(S459=0,M459&gt;0,L459=0),IF(AH459&gt;=120,"VERY HIGH",IF(AH459&gt;=90,"HIGH",IF(AH459&gt;=60,"MEDIUM",IF(AH459&lt;60,"LOW")))),"-")</f>
        <v/>
      </c>
      <c r="AJ459" s="12" t="n"/>
      <c r="AK459" s="41">
        <f>IF(AND(W459="X",M459&lt;=$AJ$2),"YES","")</f>
        <v/>
      </c>
      <c r="AL459" s="38">
        <f>IF(AND(W459="X",M459&lt;=$AJ$2),S459,"")</f>
        <v/>
      </c>
      <c r="AM459" s="26">
        <f>IF(AND(W459="X",M459&gt;$AJ$2),"YES","")</f>
        <v/>
      </c>
      <c r="AN459" s="89">
        <f>IF(AND(W459="X",M459&gt;$AJ$2),S459,"")</f>
        <v/>
      </c>
      <c r="AO459" s="35">
        <f>IF(AND(W459="",M459&gt;0,$AJ$2&gt;M459,L459=""),1,0)</f>
        <v/>
      </c>
      <c r="AP459" s="26">
        <f>IF(AND(AK459="YES",W459="X"),"X","")</f>
        <v/>
      </c>
      <c r="AQ459" s="28">
        <f>IF(AP459="X",100%,0%)</f>
        <v/>
      </c>
      <c r="AR459" s="25">
        <f>IF(AND(T459&gt;0,L459=""),H459,"")</f>
        <v/>
      </c>
      <c r="AS459" s="25">
        <f>IF(AND(D459&gt;0,H459=0,G459=""),1,"")</f>
        <v/>
      </c>
      <c r="AT459" s="25">
        <f>IF(G459="BLOQ",1,"")</f>
        <v/>
      </c>
      <c r="AU459" s="25">
        <f>IF(L459="BLOQ",1,"")</f>
        <v/>
      </c>
      <c r="AV459" s="25">
        <f>MONTH(F459)</f>
        <v/>
      </c>
      <c r="AW459" s="65">
        <f>IF(AP459="",100%,0%)</f>
        <v/>
      </c>
      <c r="AX459" s="23" t="n"/>
      <c r="AY459" s="24">
        <f>IF(M459=0,"",M459-$AX$2)</f>
        <v/>
      </c>
      <c r="AZ459" s="66">
        <f>IF(AND(W459="",AY459&gt;0,AY459&lt;15),1,0)</f>
        <v/>
      </c>
      <c r="BA459" s="24">
        <f>IF(AND(W459="",AY459&gt;0,AY459&lt;15),T459,"")</f>
        <v/>
      </c>
      <c r="BB459" s="87">
        <f>IF(R459&lt;Q459,"X","")</f>
        <v/>
      </c>
      <c r="BC459" s="190" t="inlineStr">
        <is>
          <t>NO</t>
        </is>
      </c>
      <c r="BD459" s="190" t="inlineStr">
        <is>
          <t>NO</t>
        </is>
      </c>
    </row>
    <row r="460" ht="15" customHeight="1" s="162">
      <c r="A460" s="7" t="n">
        <v>459</v>
      </c>
      <c r="B460" t="inlineStr">
        <is>
          <t>32121618</t>
        </is>
      </c>
      <c r="C460" t="inlineStr">
        <is>
          <t>Resistencia TE Connectivity, de 250? &amp;#1</t>
        </is>
      </c>
      <c r="D460" t="inlineStr">
        <is>
          <t>1101862318</t>
        </is>
      </c>
      <c r="E460" t="inlineStr">
        <is>
          <t>3</t>
        </is>
      </c>
      <c r="F460" s="163" t="n">
        <v>45770</v>
      </c>
      <c r="G460" t="inlineStr"/>
      <c r="H460" t="inlineStr">
        <is>
          <t>4800003017</t>
        </is>
      </c>
      <c r="I460" t="inlineStr">
        <is>
          <t>80</t>
        </is>
      </c>
      <c r="J460" s="163" t="n">
        <v>45770</v>
      </c>
      <c r="K460" s="163" t="inlineStr"/>
      <c r="L460" t="inlineStr"/>
      <c r="M460" s="163" t="n">
        <v>45771</v>
      </c>
      <c r="N460" s="164" t="n">
        <v>0</v>
      </c>
      <c r="O460" s="164" t="n">
        <v>0</v>
      </c>
      <c r="P460" t="inlineStr"/>
      <c r="Q460" s="165" t="n">
        <v>100</v>
      </c>
      <c r="R460" s="165" t="n">
        <v>100</v>
      </c>
      <c r="S460" s="165" t="n">
        <v>100</v>
      </c>
      <c r="T460" s="165" t="n">
        <v>0</v>
      </c>
      <c r="U460" s="166" t="n">
        <v>0</v>
      </c>
      <c r="V460" s="166" t="n">
        <v>0</v>
      </c>
      <c r="W460" t="inlineStr">
        <is>
          <t>X</t>
        </is>
      </c>
      <c r="X460" t="inlineStr">
        <is>
          <t>0.00</t>
        </is>
      </c>
      <c r="Y460" t="inlineStr"/>
      <c r="Z460" t="inlineStr">
        <is>
          <t>AMIDATA, S.A.</t>
        </is>
      </c>
      <c r="AA460" t="inlineStr"/>
      <c r="AB460" t="inlineStr">
        <is>
          <t>1355198</t>
        </is>
      </c>
      <c r="AC460" t="inlineStr"/>
      <c r="AD460" s="164" t="n">
        <v>0</v>
      </c>
      <c r="AE460" s="185" t="n">
        <v>0</v>
      </c>
      <c r="AG460" s="167" t="inlineStr">
        <is>
          <t>7218|JA2582_1001</t>
        </is>
      </c>
      <c r="AH460" s="46">
        <f>IF(M460=0,"-",M460-J460)</f>
        <v/>
      </c>
      <c r="AI460" s="46">
        <f>IF(AND(S460=0,M460&gt;0,L460=0),IF(AH460&gt;=120,"VERY HIGH",IF(AH460&gt;=90,"HIGH",IF(AH460&gt;=60,"MEDIUM",IF(AH460&lt;60,"LOW")))),"-")</f>
        <v/>
      </c>
      <c r="AJ460" s="12" t="n"/>
      <c r="AK460" s="41">
        <f>IF(AND(W460="X",M460&lt;=$AJ$2),"YES","")</f>
        <v/>
      </c>
      <c r="AL460" s="38">
        <f>IF(AND(W460="X",M460&lt;=$AJ$2),S460,"")</f>
        <v/>
      </c>
      <c r="AM460" s="26">
        <f>IF(AND(W460="X",M460&gt;$AJ$2),"YES","")</f>
        <v/>
      </c>
      <c r="AN460" s="89">
        <f>IF(AND(W460="X",M460&gt;$AJ$2),S460,"")</f>
        <v/>
      </c>
      <c r="AO460" s="35">
        <f>IF(AND(W460="",M460&gt;0,$AJ$2&gt;M460,L460=""),1,0)</f>
        <v/>
      </c>
      <c r="AP460" s="26">
        <f>IF(AND(AK460="YES",W460="X"),"X","")</f>
        <v/>
      </c>
      <c r="AQ460" s="28">
        <f>IF(AP460="X",100%,0%)</f>
        <v/>
      </c>
      <c r="AR460" s="25">
        <f>IF(AND(T460&gt;0,L460=""),H460,"")</f>
        <v/>
      </c>
      <c r="AS460" s="25">
        <f>IF(AND(D460&gt;0,H460=0,G460=""),1,"")</f>
        <v/>
      </c>
      <c r="AT460" s="25">
        <f>IF(G460="BLOQ",1,"")</f>
        <v/>
      </c>
      <c r="AU460" s="25">
        <f>IF(L460="BLOQ",1,"")</f>
        <v/>
      </c>
      <c r="AV460" s="25">
        <f>MONTH(F460)</f>
        <v/>
      </c>
      <c r="AW460" s="65">
        <f>IF(AP460="",100%,0%)</f>
        <v/>
      </c>
      <c r="AX460" s="23" t="n"/>
      <c r="AY460" s="24">
        <f>IF(M460=0,"",M460-$AX$2)</f>
        <v/>
      </c>
      <c r="AZ460" s="66">
        <f>IF(AND(W460="",AY460&gt;0,AY460&lt;15),1,0)</f>
        <v/>
      </c>
      <c r="BA460" s="24">
        <f>IF(AND(W460="",AY460&gt;0,AY460&lt;15),T460,"")</f>
        <v/>
      </c>
      <c r="BB460" s="87">
        <f>IF(R460&lt;Q460,"X","")</f>
        <v/>
      </c>
      <c r="BC460" s="190" t="inlineStr">
        <is>
          <t>NO</t>
        </is>
      </c>
      <c r="BD460" s="190" t="inlineStr">
        <is>
          <t>NO</t>
        </is>
      </c>
    </row>
    <row r="461" ht="15" customHeight="1" s="162">
      <c r="A461" s="7" t="n">
        <v>460</v>
      </c>
      <c r="B461" t="inlineStr">
        <is>
          <t>26121522</t>
        </is>
      </c>
      <c r="C461" t="inlineStr">
        <is>
          <t>Cable para Entornos Hostiles TE Connecti</t>
        </is>
      </c>
      <c r="D461" t="inlineStr">
        <is>
          <t>1101862318</t>
        </is>
      </c>
      <c r="E461" t="inlineStr">
        <is>
          <t>4</t>
        </is>
      </c>
      <c r="F461" s="163" t="n">
        <v>45770</v>
      </c>
      <c r="G461" t="inlineStr"/>
      <c r="H461" t="inlineStr">
        <is>
          <t>4800003017</t>
        </is>
      </c>
      <c r="I461" t="inlineStr">
        <is>
          <t>90</t>
        </is>
      </c>
      <c r="J461" s="163" t="n">
        <v>45770</v>
      </c>
      <c r="K461" s="163" t="inlineStr"/>
      <c r="L461" t="inlineStr"/>
      <c r="M461" s="163" t="n">
        <v>45771</v>
      </c>
      <c r="N461" s="164" t="n">
        <v>0</v>
      </c>
      <c r="O461" s="164" t="n">
        <v>0</v>
      </c>
      <c r="P461" t="inlineStr"/>
      <c r="Q461" s="165" t="n">
        <v>1</v>
      </c>
      <c r="R461" s="165" t="n">
        <v>1</v>
      </c>
      <c r="S461" s="165" t="n">
        <v>1</v>
      </c>
      <c r="T461" s="165" t="n">
        <v>0</v>
      </c>
      <c r="U461" s="166" t="n">
        <v>0</v>
      </c>
      <c r="V461" s="166" t="n">
        <v>0</v>
      </c>
      <c r="W461" t="inlineStr">
        <is>
          <t>X</t>
        </is>
      </c>
      <c r="X461" t="inlineStr">
        <is>
          <t>0.00</t>
        </is>
      </c>
      <c r="Y461" t="inlineStr"/>
      <c r="Z461" t="inlineStr">
        <is>
          <t>AMIDATA, S.A.</t>
        </is>
      </c>
      <c r="AA461" t="inlineStr"/>
      <c r="AB461" t="inlineStr">
        <is>
          <t>3299483</t>
        </is>
      </c>
      <c r="AC461" t="inlineStr"/>
      <c r="AD461" s="164" t="n">
        <v>0</v>
      </c>
      <c r="AE461" s="185" t="n">
        <v>0</v>
      </c>
      <c r="AG461" s="167" t="inlineStr">
        <is>
          <t>7218|JA2582_1001</t>
        </is>
      </c>
      <c r="AH461" s="46">
        <f>IF(M461=0,"-",M461-J461)</f>
        <v/>
      </c>
      <c r="AI461" s="46">
        <f>IF(AND(S461=0,M461&gt;0,L461=0),IF(AH461&gt;=120,"VERY HIGH",IF(AH461&gt;=90,"HIGH",IF(AH461&gt;=60,"MEDIUM",IF(AH461&lt;60,"LOW")))),"-")</f>
        <v/>
      </c>
      <c r="AJ461" s="12" t="n"/>
      <c r="AK461" s="41">
        <f>IF(AND(W461="X",M461&lt;=$AJ$2),"YES","")</f>
        <v/>
      </c>
      <c r="AL461" s="38">
        <f>IF(AND(W461="X",M461&lt;=$AJ$2),S461,"")</f>
        <v/>
      </c>
      <c r="AM461" s="26">
        <f>IF(AND(W461="X",M461&gt;$AJ$2),"YES","")</f>
        <v/>
      </c>
      <c r="AN461" s="89">
        <f>IF(AND(W461="X",M461&gt;$AJ$2),S461,"")</f>
        <v/>
      </c>
      <c r="AO461" s="35">
        <f>IF(AND(W461="",M461&gt;0,$AJ$2&gt;M461,L461=""),1,0)</f>
        <v/>
      </c>
      <c r="AP461" s="26">
        <f>IF(AND(AK461="YES",W461="X"),"X","")</f>
        <v/>
      </c>
      <c r="AQ461" s="28">
        <f>IF(AP461="X",100%,0%)</f>
        <v/>
      </c>
      <c r="AR461" s="25">
        <f>IF(AND(T461&gt;0,L461=""),H461,"")</f>
        <v/>
      </c>
      <c r="AS461" s="25">
        <f>IF(AND(D461&gt;0,H461=0,G461=""),1,"")</f>
        <v/>
      </c>
      <c r="AT461" s="25">
        <f>IF(G461="BLOQ",1,"")</f>
        <v/>
      </c>
      <c r="AU461" s="25">
        <f>IF(L461="BLOQ",1,"")</f>
        <v/>
      </c>
      <c r="AV461" s="25">
        <f>MONTH(F461)</f>
        <v/>
      </c>
      <c r="AW461" s="65">
        <f>IF(AP461="",100%,0%)</f>
        <v/>
      </c>
      <c r="AX461" s="23" t="n"/>
      <c r="AY461" s="24">
        <f>IF(M461=0,"",M461-$AX$2)</f>
        <v/>
      </c>
      <c r="AZ461" s="66">
        <f>IF(AND(W461="",AY461&gt;0,AY461&lt;15),1,0)</f>
        <v/>
      </c>
      <c r="BA461" s="24">
        <f>IF(AND(W461="",AY461&gt;0,AY461&lt;15),T461,"")</f>
        <v/>
      </c>
      <c r="BB461" s="87">
        <f>IF(R461&lt;Q461,"X","")</f>
        <v/>
      </c>
      <c r="BC461" s="190" t="inlineStr">
        <is>
          <t>NO</t>
        </is>
      </c>
      <c r="BD461" s="190" t="inlineStr">
        <is>
          <t>NO</t>
        </is>
      </c>
    </row>
    <row r="462" ht="15" customHeight="1" s="162">
      <c r="A462" s="7" t="n">
        <v>461</v>
      </c>
      <c r="B462" t="inlineStr">
        <is>
          <t>26121522</t>
        </is>
      </c>
      <c r="C462" t="inlineStr">
        <is>
          <t>Cable de conexi&amp;#243;n TE Connectivity M</t>
        </is>
      </c>
      <c r="D462" t="inlineStr">
        <is>
          <t>1101862318</t>
        </is>
      </c>
      <c r="E462" t="inlineStr">
        <is>
          <t>5</t>
        </is>
      </c>
      <c r="F462" s="163" t="n">
        <v>45770</v>
      </c>
      <c r="G462" t="inlineStr"/>
      <c r="H462" t="inlineStr">
        <is>
          <t>4800003017</t>
        </is>
      </c>
      <c r="I462" t="inlineStr">
        <is>
          <t>100</t>
        </is>
      </c>
      <c r="J462" s="163" t="n">
        <v>45770</v>
      </c>
      <c r="K462" s="163" t="inlineStr"/>
      <c r="L462" t="inlineStr"/>
      <c r="M462" s="163" t="n">
        <v>45771</v>
      </c>
      <c r="N462" s="164" t="n">
        <v>0</v>
      </c>
      <c r="O462" s="164" t="n">
        <v>0</v>
      </c>
      <c r="P462" t="inlineStr"/>
      <c r="Q462" s="165" t="n">
        <v>1</v>
      </c>
      <c r="R462" s="165" t="n">
        <v>1</v>
      </c>
      <c r="S462" s="165" t="n">
        <v>1</v>
      </c>
      <c r="T462" s="165" t="n">
        <v>0</v>
      </c>
      <c r="U462" s="166" t="n">
        <v>0</v>
      </c>
      <c r="V462" s="166" t="n">
        <v>0</v>
      </c>
      <c r="W462" t="inlineStr">
        <is>
          <t>X</t>
        </is>
      </c>
      <c r="X462" t="inlineStr">
        <is>
          <t>0.00</t>
        </is>
      </c>
      <c r="Y462" t="inlineStr"/>
      <c r="Z462" t="inlineStr">
        <is>
          <t>AMIDATA, S.A.</t>
        </is>
      </c>
      <c r="AA462" t="inlineStr"/>
      <c r="AB462" t="inlineStr">
        <is>
          <t>1135826</t>
        </is>
      </c>
      <c r="AC462" t="inlineStr"/>
      <c r="AD462" s="164" t="n">
        <v>0</v>
      </c>
      <c r="AE462" s="185" t="n">
        <v>0</v>
      </c>
      <c r="AG462" s="167" t="inlineStr">
        <is>
          <t>7218|JA2582_1001</t>
        </is>
      </c>
      <c r="AH462" s="46">
        <f>IF(M462=0,"-",M462-J462)</f>
        <v/>
      </c>
      <c r="AI462" s="46">
        <f>IF(AND(S462=0,M462&gt;0,L462=0),IF(AH462&gt;=120,"VERY HIGH",IF(AH462&gt;=90,"HIGH",IF(AH462&gt;=60,"MEDIUM",IF(AH462&lt;60,"LOW")))),"-")</f>
        <v/>
      </c>
      <c r="AJ462" s="12" t="n"/>
      <c r="AK462" s="41">
        <f>IF(AND(W462="X",M462&lt;=$AJ$2),"YES","")</f>
        <v/>
      </c>
      <c r="AL462" s="38">
        <f>IF(AND(W462="X",M462&lt;=$AJ$2),S462,"")</f>
        <v/>
      </c>
      <c r="AM462" s="26">
        <f>IF(AND(W462="X",M462&gt;$AJ$2),"YES","")</f>
        <v/>
      </c>
      <c r="AN462" s="89">
        <f>IF(AND(W462="X",M462&gt;$AJ$2),S462,"")</f>
        <v/>
      </c>
      <c r="AO462" s="35">
        <f>IF(AND(W462="",M462&gt;0,$AJ$2&gt;M462,L462=""),1,0)</f>
        <v/>
      </c>
      <c r="AP462" s="26">
        <f>IF(AND(AK462="YES",W462="X"),"X","")</f>
        <v/>
      </c>
      <c r="AQ462" s="28">
        <f>IF(AP462="X",100%,0%)</f>
        <v/>
      </c>
      <c r="AR462" s="25">
        <f>IF(AND(T462&gt;0,L462=""),H462,"")</f>
        <v/>
      </c>
      <c r="AS462" s="25">
        <f>IF(AND(D462&gt;0,H462=0,G462=""),1,"")</f>
        <v/>
      </c>
      <c r="AT462" s="25">
        <f>IF(G462="BLOQ",1,"")</f>
        <v/>
      </c>
      <c r="AU462" s="25">
        <f>IF(L462="BLOQ",1,"")</f>
        <v/>
      </c>
      <c r="AV462" s="25">
        <f>MONTH(F462)</f>
        <v/>
      </c>
      <c r="AW462" s="65">
        <f>IF(AP462="",100%,0%)</f>
        <v/>
      </c>
      <c r="AX462" s="23" t="n"/>
      <c r="AY462" s="24">
        <f>IF(M462=0,"",M462-$AX$2)</f>
        <v/>
      </c>
      <c r="AZ462" s="66">
        <f>IF(AND(W462="",AY462&gt;0,AY462&lt;15),1,0)</f>
        <v/>
      </c>
      <c r="BA462" s="24">
        <f>IF(AND(W462="",AY462&gt;0,AY462&lt;15),T462,"")</f>
        <v/>
      </c>
      <c r="BB462" s="87">
        <f>IF(R462&lt;Q462,"X","")</f>
        <v/>
      </c>
      <c r="BC462" s="190" t="inlineStr">
        <is>
          <t>NO</t>
        </is>
      </c>
      <c r="BD462" s="190" t="inlineStr">
        <is>
          <t>NO</t>
        </is>
      </c>
    </row>
    <row r="463" ht="15" customFormat="1" customHeight="1" s="183">
      <c r="A463" s="7" t="n">
        <v>462</v>
      </c>
      <c r="B463" s="168" t="inlineStr"/>
      <c r="C463" s="168" t="inlineStr">
        <is>
          <t>TRABAJOS MONTAJE SIM H175</t>
        </is>
      </c>
      <c r="D463" s="168" t="inlineStr">
        <is>
          <t>1101862638</t>
        </is>
      </c>
      <c r="E463" s="168" t="inlineStr">
        <is>
          <t>1</t>
        </is>
      </c>
      <c r="F463" s="169" t="n">
        <v>45771</v>
      </c>
      <c r="G463" s="168" t="inlineStr"/>
      <c r="H463" s="168" t="inlineStr">
        <is>
          <t>4300344953</t>
        </is>
      </c>
      <c r="I463" s="168" t="inlineStr">
        <is>
          <t>10</t>
        </is>
      </c>
      <c r="J463" s="169" t="n">
        <v>45771</v>
      </c>
      <c r="K463" s="169" t="n">
        <v>45772</v>
      </c>
      <c r="L463" s="168" t="inlineStr"/>
      <c r="M463" s="169" t="n">
        <v>45801</v>
      </c>
      <c r="N463" s="170" t="n">
        <v>0</v>
      </c>
      <c r="O463" s="170" t="n">
        <v>0</v>
      </c>
      <c r="P463" s="168" t="inlineStr">
        <is>
          <t>Liberado</t>
        </is>
      </c>
      <c r="Q463" s="171" t="n">
        <v>1</v>
      </c>
      <c r="R463" s="170" t="n">
        <v>1</v>
      </c>
      <c r="S463" s="170" t="n">
        <v>0</v>
      </c>
      <c r="T463" s="170" t="n">
        <v>0</v>
      </c>
      <c r="U463" s="171" t="n">
        <v>0</v>
      </c>
      <c r="V463" s="171" t="n">
        <v>0</v>
      </c>
      <c r="W463" s="168" t="inlineStr">
        <is>
          <t>X</t>
        </is>
      </c>
      <c r="X463" s="168" t="inlineStr">
        <is>
          <t>0.00</t>
        </is>
      </c>
      <c r="Y463" s="168" t="inlineStr"/>
      <c r="Z463" s="168" t="inlineStr">
        <is>
          <t>AUXITEL, S.L.</t>
        </is>
      </c>
      <c r="AA463" s="168" t="inlineStr"/>
      <c r="AB463" s="168" t="inlineStr"/>
      <c r="AC463" s="168" t="inlineStr"/>
      <c r="AD463" s="170" t="n">
        <v>0</v>
      </c>
      <c r="AE463" s="185" t="n">
        <v>0</v>
      </c>
      <c r="AG463" s="183" t="inlineStr">
        <is>
          <t>7218|JA2593_1001</t>
        </is>
      </c>
      <c r="AH463" s="172">
        <f>IF(M463=0,"-",M463-J463)</f>
        <v/>
      </c>
      <c r="AI463" s="172">
        <f>IF(AND(S463=0,M463&gt;0,L463=0),IF(AH463&gt;=120,"VERY HIGH",IF(AH463&gt;=90,"HIGH",IF(AH463&gt;=60,"MEDIUM",IF(AH463&lt;60,"LOW")))),"-")</f>
        <v/>
      </c>
      <c r="AJ463" s="183" t="n"/>
      <c r="AK463" s="174">
        <f>IF(AND(W463="X",M463&lt;=$AJ$2),"YES","")</f>
        <v/>
      </c>
      <c r="AL463" s="175">
        <f>IF(AND(W463="X",M463&lt;=$AJ$2),S463,"")</f>
        <v/>
      </c>
      <c r="AM463" s="172">
        <f>IF(AND(W463="X",M463&gt;$AJ$2),"YES","")</f>
        <v/>
      </c>
      <c r="AN463" s="176">
        <f>IF(AND(W463="X",M463&gt;$AJ$2),S463,"")</f>
        <v/>
      </c>
      <c r="AO463" s="177">
        <f>IF(AND(W463="",M463&gt;0,$AJ$2&gt;M463,L463=""),1,0)</f>
        <v/>
      </c>
      <c r="AP463" s="172">
        <f>IF(AND(AK463="YES",W463="X"),"X","")</f>
        <v/>
      </c>
      <c r="AQ463" s="178">
        <f>IF(AP463="X",100%,0%)</f>
        <v/>
      </c>
      <c r="AR463" s="177">
        <f>IF(AND(T463&gt;0,L463=""),H463,"")</f>
        <v/>
      </c>
      <c r="AS463" s="177">
        <f>IF(AND(D463&gt;0,H463=0,G463=""),1,"")</f>
        <v/>
      </c>
      <c r="AT463" s="177">
        <f>IF(G463="BLOQ",1,"")</f>
        <v/>
      </c>
      <c r="AU463" s="177">
        <f>IF(L463="BLOQ",1,"")</f>
        <v/>
      </c>
      <c r="AV463" s="177">
        <f>MONTH(F463)</f>
        <v/>
      </c>
      <c r="AW463" s="178">
        <f>IF(AP463="",100%,0%)</f>
        <v/>
      </c>
      <c r="AX463" s="179" t="n"/>
      <c r="AY463" s="180">
        <f>IF(M463=0,"",M463-$AX$2)</f>
        <v/>
      </c>
      <c r="AZ463" s="181">
        <f>IF(AND(W463="",AY463&gt;0,AY463&lt;15),1,0)</f>
        <v/>
      </c>
      <c r="BA463" s="180">
        <f>IF(AND(W463="",AY463&gt;0,AY463&lt;15),T463,"")</f>
        <v/>
      </c>
      <c r="BB463" s="182">
        <f>IF(R463&lt;Q463,"X","")</f>
        <v/>
      </c>
      <c r="BC463" s="190" t="inlineStr">
        <is>
          <t>NO</t>
        </is>
      </c>
      <c r="BD463" s="190" t="inlineStr">
        <is>
          <t>NO</t>
        </is>
      </c>
    </row>
    <row r="464" ht="15" customHeight="1" s="162">
      <c r="A464" s="7" t="n">
        <v>463</v>
      </c>
      <c r="B464" t="inlineStr">
        <is>
          <t>1359900000500</t>
        </is>
      </c>
      <c r="C464" t="inlineStr">
        <is>
          <t>COMPRA DIRECTA ELECTRICOS/ELECTRONICOS</t>
        </is>
      </c>
      <c r="D464" t="inlineStr">
        <is>
          <t>1101864124</t>
        </is>
      </c>
      <c r="E464" t="inlineStr">
        <is>
          <t>1</t>
        </is>
      </c>
      <c r="F464" s="163" t="n">
        <v>45776</v>
      </c>
      <c r="G464" t="inlineStr"/>
      <c r="H464" t="inlineStr">
        <is>
          <t>4200608928</t>
        </is>
      </c>
      <c r="I464" t="inlineStr">
        <is>
          <t>10</t>
        </is>
      </c>
      <c r="J464" s="163" t="n">
        <v>45777</v>
      </c>
      <c r="K464" s="163" t="n">
        <v>45782</v>
      </c>
      <c r="L464" t="inlineStr"/>
      <c r="M464" s="163" t="n">
        <v>45791</v>
      </c>
      <c r="N464" s="164" t="n">
        <v>30</v>
      </c>
      <c r="O464" s="164" t="n">
        <v>8</v>
      </c>
      <c r="P464" t="inlineStr">
        <is>
          <t>Liberado</t>
        </is>
      </c>
      <c r="Q464" s="165" t="n">
        <v>1</v>
      </c>
      <c r="R464" s="165" t="n">
        <v>1</v>
      </c>
      <c r="S464" s="165" t="n">
        <v>1</v>
      </c>
      <c r="T464" s="165" t="n">
        <v>0</v>
      </c>
      <c r="U464" s="166" t="n">
        <v>0</v>
      </c>
      <c r="V464" s="166" t="n">
        <v>0</v>
      </c>
      <c r="W464" t="inlineStr">
        <is>
          <t>X</t>
        </is>
      </c>
      <c r="X464" t="inlineStr">
        <is>
          <t>0.00</t>
        </is>
      </c>
      <c r="Y464" t="inlineStr"/>
      <c r="Z464" t="inlineStr">
        <is>
          <t>SARVER S.L.</t>
        </is>
      </c>
      <c r="AA464" t="inlineStr">
        <is>
          <t>OTROS FABRICANTES</t>
        </is>
      </c>
      <c r="AB464" t="inlineStr">
        <is>
          <t>1359900000500</t>
        </is>
      </c>
      <c r="AC464" t="inlineStr"/>
      <c r="AD464" s="164" t="n">
        <v>0</v>
      </c>
      <c r="AE464" s="185" t="n">
        <v>0</v>
      </c>
      <c r="AG464" s="167" t="inlineStr">
        <is>
          <t>7218|JA2582_1001</t>
        </is>
      </c>
      <c r="AH464" s="46">
        <f>IF(M464=0,"-",M464-J464)</f>
        <v/>
      </c>
      <c r="AI464" s="46">
        <f>IF(AND(S464=0,M464&gt;0,L464=0),IF(AH464&gt;=120,"VERY HIGH",IF(AH464&gt;=90,"HIGH",IF(AH464&gt;=60,"MEDIUM",IF(AH464&lt;60,"LOW")))),"-")</f>
        <v/>
      </c>
      <c r="AJ464" s="12" t="n"/>
      <c r="AK464" s="41">
        <f>IF(AND(W464="X",M464&lt;=$AJ$2),"YES","")</f>
        <v/>
      </c>
      <c r="AL464" s="38">
        <f>IF(AND(W464="X",M464&lt;=$AJ$2),S464,"")</f>
        <v/>
      </c>
      <c r="AM464" s="26">
        <f>IF(AND(W464="X",M464&gt;$AJ$2),"YES","")</f>
        <v/>
      </c>
      <c r="AN464" s="89">
        <f>IF(AND(W464="X",M464&gt;$AJ$2),S464,"")</f>
        <v/>
      </c>
      <c r="AO464" s="35">
        <f>IF(AND(W464="",M464&gt;0,$AJ$2&gt;M464,L464=""),1,0)</f>
        <v/>
      </c>
      <c r="AP464" s="26">
        <f>IF(AND(AK464="YES",W464="X"),"X","")</f>
        <v/>
      </c>
      <c r="AQ464" s="28">
        <f>IF(AP464="X",100%,0%)</f>
        <v/>
      </c>
      <c r="AR464" s="25">
        <f>IF(AND(T464&gt;0,L464=""),H464,"")</f>
        <v/>
      </c>
      <c r="AS464" s="25">
        <f>IF(AND(D464&gt;0,H464=0,G464=""),1,"")</f>
        <v/>
      </c>
      <c r="AT464" s="25">
        <f>IF(G464="BLOQ",1,"")</f>
        <v/>
      </c>
      <c r="AU464" s="25">
        <f>IF(L464="BLOQ",1,"")</f>
        <v/>
      </c>
      <c r="AV464" s="25">
        <f>MONTH(F464)</f>
        <v/>
      </c>
      <c r="AW464" s="65">
        <f>IF(AP464="",100%,0%)</f>
        <v/>
      </c>
      <c r="AX464" s="23" t="n"/>
      <c r="AY464" s="24">
        <f>IF(M464=0,"",M464-$AX$2)</f>
        <v/>
      </c>
      <c r="AZ464" s="66">
        <f>IF(AND(W464="",AY464&gt;0,AY464&lt;15),1,0)</f>
        <v/>
      </c>
      <c r="BA464" s="24">
        <f>IF(AND(W464="",AY464&gt;0,AY464&lt;15),T464,"")</f>
        <v/>
      </c>
      <c r="BB464" s="87">
        <f>IF(R464&lt;Q464,"X","")</f>
        <v/>
      </c>
      <c r="BC464" s="190" t="inlineStr">
        <is>
          <t>NO</t>
        </is>
      </c>
      <c r="BD464" s="190" t="inlineStr">
        <is>
          <t>NO</t>
        </is>
      </c>
    </row>
    <row r="465" ht="15" customHeight="1" s="162">
      <c r="A465" s="7" t="n">
        <v>464</v>
      </c>
      <c r="B465" t="inlineStr">
        <is>
          <t>1359900000500</t>
        </is>
      </c>
      <c r="C465" t="inlineStr">
        <is>
          <t>COMPRA DIRECTA ELECTRICOS/ELECTRONICOS</t>
        </is>
      </c>
      <c r="D465" t="inlineStr">
        <is>
          <t>1101864402</t>
        </is>
      </c>
      <c r="E465" t="inlineStr">
        <is>
          <t>1</t>
        </is>
      </c>
      <c r="F465" s="163" t="n">
        <v>45777</v>
      </c>
      <c r="G465" t="inlineStr"/>
      <c r="H465" t="inlineStr">
        <is>
          <t>4200609201</t>
        </is>
      </c>
      <c r="I465" t="inlineStr">
        <is>
          <t>10</t>
        </is>
      </c>
      <c r="J465" s="163" t="n">
        <v>45782</v>
      </c>
      <c r="K465" s="163" t="n">
        <v>45782</v>
      </c>
      <c r="L465" t="inlineStr"/>
      <c r="M465" s="163" t="n">
        <v>45796</v>
      </c>
      <c r="N465" s="164" t="n">
        <v>30</v>
      </c>
      <c r="O465" s="164" t="n">
        <v>8</v>
      </c>
      <c r="P465" t="inlineStr">
        <is>
          <t>Liberado</t>
        </is>
      </c>
      <c r="Q465" s="165" t="n">
        <v>1</v>
      </c>
      <c r="R465" s="165" t="n">
        <v>20</v>
      </c>
      <c r="S465" s="165" t="n">
        <v>20</v>
      </c>
      <c r="T465" s="165" t="n">
        <v>0</v>
      </c>
      <c r="U465" s="166" t="n">
        <v>0</v>
      </c>
      <c r="V465" s="166" t="n">
        <v>0</v>
      </c>
      <c r="W465" t="inlineStr">
        <is>
          <t>X</t>
        </is>
      </c>
      <c r="X465" t="inlineStr">
        <is>
          <t>0.00</t>
        </is>
      </c>
      <c r="Y465" t="inlineStr"/>
      <c r="Z465" t="inlineStr">
        <is>
          <t>SARVER S.L.</t>
        </is>
      </c>
      <c r="AA465" t="inlineStr">
        <is>
          <t>OTROS FABRICANTES</t>
        </is>
      </c>
      <c r="AB465" t="inlineStr">
        <is>
          <t>1359900000500</t>
        </is>
      </c>
      <c r="AC465" t="inlineStr"/>
      <c r="AD465" s="164" t="n">
        <v>0</v>
      </c>
      <c r="AE465" s="185" t="n">
        <v>0</v>
      </c>
      <c r="AG465" s="167" t="inlineStr">
        <is>
          <t>7218|JA2582_1001</t>
        </is>
      </c>
      <c r="AH465" s="46">
        <f>IF(M465=0,"-",M465-J465)</f>
        <v/>
      </c>
      <c r="AI465" s="46">
        <f>IF(AND(S465=0,M465&gt;0,L465=0),IF(AH465&gt;=120,"VERY HIGH",IF(AH465&gt;=90,"HIGH",IF(AH465&gt;=60,"MEDIUM",IF(AH465&lt;60,"LOW")))),"-")</f>
        <v/>
      </c>
      <c r="AJ465" s="12" t="n"/>
      <c r="AK465" s="41">
        <f>IF(AND(W465="X",M465&lt;=$AJ$2),"YES","")</f>
        <v/>
      </c>
      <c r="AL465" s="38">
        <f>IF(AND(W465="X",M465&lt;=$AJ$2),S465,"")</f>
        <v/>
      </c>
      <c r="AM465" s="26">
        <f>IF(AND(W465="X",M465&gt;$AJ$2),"YES","")</f>
        <v/>
      </c>
      <c r="AN465" s="89">
        <f>IF(AND(W465="X",M465&gt;$AJ$2),S465,"")</f>
        <v/>
      </c>
      <c r="AO465" s="35">
        <f>IF(AND(W465="",M465&gt;0,$AJ$2&gt;M465,L465=""),1,0)</f>
        <v/>
      </c>
      <c r="AP465" s="26">
        <f>IF(AND(AK465="YES",W465="X"),"X","")</f>
        <v/>
      </c>
      <c r="AQ465" s="28">
        <f>IF(AP465="X",100%,0%)</f>
        <v/>
      </c>
      <c r="AR465" s="25">
        <f>IF(AND(T465&gt;0,L465=""),H465,"")</f>
        <v/>
      </c>
      <c r="AS465" s="25">
        <f>IF(AND(D465&gt;0,H465=0,G465=""),1,"")</f>
        <v/>
      </c>
      <c r="AT465" s="25">
        <f>IF(G465="BLOQ",1,"")</f>
        <v/>
      </c>
      <c r="AU465" s="25">
        <f>IF(L465="BLOQ",1,"")</f>
        <v/>
      </c>
      <c r="AV465" s="25">
        <f>MONTH(F465)</f>
        <v/>
      </c>
      <c r="AW465" s="65">
        <f>IF(AP465="",100%,0%)</f>
        <v/>
      </c>
      <c r="AX465" s="23" t="n"/>
      <c r="AY465" s="24">
        <f>IF(M465=0,"",M465-$AX$2)</f>
        <v/>
      </c>
      <c r="AZ465" s="66">
        <f>IF(AND(W465="",AY465&gt;0,AY465&lt;15),1,0)</f>
        <v/>
      </c>
      <c r="BA465" s="24">
        <f>IF(AND(W465="",AY465&gt;0,AY465&lt;15),T465,"")</f>
        <v/>
      </c>
      <c r="BB465" s="87">
        <f>IF(R465&lt;Q465,"X","")</f>
        <v/>
      </c>
      <c r="BC465" s="190" t="inlineStr">
        <is>
          <t>NO</t>
        </is>
      </c>
      <c r="BD465" s="190" t="inlineStr">
        <is>
          <t>NO</t>
        </is>
      </c>
    </row>
    <row r="466" ht="15" customHeight="1" s="162">
      <c r="A466" s="7" t="n">
        <v>465</v>
      </c>
      <c r="B466" t="inlineStr">
        <is>
          <t>1359900000500</t>
        </is>
      </c>
      <c r="C466" t="inlineStr">
        <is>
          <t>COMPRA DIRECTA ELECTRICOS/ELECTRONICOS</t>
        </is>
      </c>
      <c r="D466" t="inlineStr">
        <is>
          <t>1101864402</t>
        </is>
      </c>
      <c r="E466" t="inlineStr">
        <is>
          <t>2</t>
        </is>
      </c>
      <c r="F466" s="163" t="n">
        <v>45777</v>
      </c>
      <c r="G466" t="inlineStr"/>
      <c r="H466" t="inlineStr">
        <is>
          <t>4200609201</t>
        </is>
      </c>
      <c r="I466" t="inlineStr">
        <is>
          <t>20</t>
        </is>
      </c>
      <c r="J466" s="163" t="n">
        <v>45782</v>
      </c>
      <c r="K466" s="163" t="n">
        <v>45782</v>
      </c>
      <c r="L466" t="inlineStr"/>
      <c r="M466" s="163" t="n">
        <v>45796</v>
      </c>
      <c r="N466" s="164" t="n">
        <v>30</v>
      </c>
      <c r="O466" s="164" t="n">
        <v>8</v>
      </c>
      <c r="P466" t="inlineStr">
        <is>
          <t>Liberado</t>
        </is>
      </c>
      <c r="Q466" s="165" t="n">
        <v>1</v>
      </c>
      <c r="R466" s="165" t="n">
        <v>2</v>
      </c>
      <c r="S466" s="165" t="n">
        <v>2</v>
      </c>
      <c r="T466" s="165" t="n">
        <v>0</v>
      </c>
      <c r="U466" s="166" t="n">
        <v>0</v>
      </c>
      <c r="V466" s="166" t="n">
        <v>0</v>
      </c>
      <c r="W466" t="inlineStr">
        <is>
          <t>X</t>
        </is>
      </c>
      <c r="X466" t="inlineStr">
        <is>
          <t>0.00</t>
        </is>
      </c>
      <c r="Y466" t="inlineStr"/>
      <c r="Z466" t="inlineStr">
        <is>
          <t>SARVER S.L.</t>
        </is>
      </c>
      <c r="AA466" t="inlineStr">
        <is>
          <t>OTROS FABRICANTES</t>
        </is>
      </c>
      <c r="AB466" t="inlineStr">
        <is>
          <t>1359900000500</t>
        </is>
      </c>
      <c r="AC466" t="inlineStr"/>
      <c r="AD466" s="164" t="n">
        <v>0</v>
      </c>
      <c r="AE466" s="185" t="n">
        <v>0</v>
      </c>
      <c r="AG466" s="167" t="inlineStr">
        <is>
          <t>7218|JA2582_1001</t>
        </is>
      </c>
      <c r="AH466" s="46">
        <f>IF(M466=0,"-",M466-J466)</f>
        <v/>
      </c>
      <c r="AI466" s="46">
        <f>IF(AND(S466=0,M466&gt;0,L466=0),IF(AH466&gt;=120,"VERY HIGH",IF(AH466&gt;=90,"HIGH",IF(AH466&gt;=60,"MEDIUM",IF(AH466&lt;60,"LOW")))),"-")</f>
        <v/>
      </c>
      <c r="AJ466" s="12" t="n"/>
      <c r="AK466" s="41">
        <f>IF(AND(W466="X",M466&lt;=$AJ$2),"YES","")</f>
        <v/>
      </c>
      <c r="AL466" s="38">
        <f>IF(AND(W466="X",M466&lt;=$AJ$2),S466,"")</f>
        <v/>
      </c>
      <c r="AM466" s="26">
        <f>IF(AND(W466="X",M466&gt;$AJ$2),"YES","")</f>
        <v/>
      </c>
      <c r="AN466" s="89">
        <f>IF(AND(W466="X",M466&gt;$AJ$2),S466,"")</f>
        <v/>
      </c>
      <c r="AO466" s="35">
        <f>IF(AND(W466="",M466&gt;0,$AJ$2&gt;M466,L466=""),1,0)</f>
        <v/>
      </c>
      <c r="AP466" s="26">
        <f>IF(AND(AK466="YES",W466="X"),"X","")</f>
        <v/>
      </c>
      <c r="AQ466" s="28">
        <f>IF(AP466="X",100%,0%)</f>
        <v/>
      </c>
      <c r="AR466" s="25">
        <f>IF(AND(T466&gt;0,L466=""),H466,"")</f>
        <v/>
      </c>
      <c r="AS466" s="25">
        <f>IF(AND(D466&gt;0,H466=0,G466=""),1,"")</f>
        <v/>
      </c>
      <c r="AT466" s="25">
        <f>IF(G466="BLOQ",1,"")</f>
        <v/>
      </c>
      <c r="AU466" s="25">
        <f>IF(L466="BLOQ",1,"")</f>
        <v/>
      </c>
      <c r="AV466" s="25">
        <f>MONTH(F466)</f>
        <v/>
      </c>
      <c r="AW466" s="65">
        <f>IF(AP466="",100%,0%)</f>
        <v/>
      </c>
      <c r="AX466" s="23" t="n"/>
      <c r="AY466" s="24">
        <f>IF(M466=0,"",M466-$AX$2)</f>
        <v/>
      </c>
      <c r="AZ466" s="66">
        <f>IF(AND(W466="",AY466&gt;0,AY466&lt;15),1,0)</f>
        <v/>
      </c>
      <c r="BA466" s="24">
        <f>IF(AND(W466="",AY466&gt;0,AY466&lt;15),T466,"")</f>
        <v/>
      </c>
      <c r="BB466" s="87">
        <f>IF(R466&lt;Q466,"X","")</f>
        <v/>
      </c>
      <c r="BC466" s="190" t="inlineStr">
        <is>
          <t>NO</t>
        </is>
      </c>
      <c r="BD466" s="190" t="inlineStr">
        <is>
          <t>NO</t>
        </is>
      </c>
    </row>
    <row r="467" ht="15" customHeight="1" s="162">
      <c r="A467" s="7" t="n">
        <v>466</v>
      </c>
      <c r="B467" t="inlineStr"/>
      <c r="C467" t="inlineStr">
        <is>
          <t>TRABAJOS INFRASESTRUCTURA COSLADA NH90</t>
        </is>
      </c>
      <c r="D467" t="inlineStr">
        <is>
          <t>1101865310</t>
        </is>
      </c>
      <c r="E467" t="inlineStr">
        <is>
          <t>1</t>
        </is>
      </c>
      <c r="F467" s="163" t="n">
        <v>45782</v>
      </c>
      <c r="G467" t="inlineStr"/>
      <c r="H467" t="inlineStr">
        <is>
          <t>4300345640</t>
        </is>
      </c>
      <c r="I467" t="inlineStr">
        <is>
          <t>10</t>
        </is>
      </c>
      <c r="J467" s="163" t="n">
        <v>45785</v>
      </c>
      <c r="K467" s="163" t="n">
        <v>45786</v>
      </c>
      <c r="L467" t="inlineStr"/>
      <c r="M467" s="163" t="n">
        <v>45805</v>
      </c>
      <c r="N467" s="164" t="n">
        <v>0</v>
      </c>
      <c r="O467" s="164" t="n">
        <v>0</v>
      </c>
      <c r="P467" t="inlineStr">
        <is>
          <t>Liberado</t>
        </is>
      </c>
      <c r="Q467" s="166" t="n">
        <v>1</v>
      </c>
      <c r="R467" s="164" t="n">
        <v>1</v>
      </c>
      <c r="S467" s="164" t="n">
        <v>0</v>
      </c>
      <c r="T467" s="164" t="n">
        <v>0</v>
      </c>
      <c r="U467" s="166" t="n">
        <v>0</v>
      </c>
      <c r="V467" s="166" t="n">
        <v>0</v>
      </c>
      <c r="W467" t="inlineStr">
        <is>
          <t>X</t>
        </is>
      </c>
      <c r="X467" t="inlineStr">
        <is>
          <t>0.00</t>
        </is>
      </c>
      <c r="Y467" t="inlineStr"/>
      <c r="Z467" t="inlineStr">
        <is>
          <t>PENTATEL COMUNICACIONES, S.L.</t>
        </is>
      </c>
      <c r="AA467" t="inlineStr"/>
      <c r="AB467" t="inlineStr"/>
      <c r="AC467" t="inlineStr"/>
      <c r="AD467" s="164" t="n">
        <v>0</v>
      </c>
      <c r="AE467" s="185" t="n">
        <v>0</v>
      </c>
      <c r="AG467" s="167" t="inlineStr">
        <is>
          <t>7218|JA2594_1001</t>
        </is>
      </c>
      <c r="AH467" s="46">
        <f>IF(M467=0,"-",M467-J467)</f>
        <v/>
      </c>
      <c r="AI467" s="46">
        <f>IF(AND(S467=0,M467&gt;0,L467=0),IF(AH467&gt;=120,"VERY HIGH",IF(AH467&gt;=90,"HIGH",IF(AH467&gt;=60,"MEDIUM",IF(AH467&lt;60,"LOW")))),"-")</f>
        <v/>
      </c>
      <c r="AJ467" s="12" t="n"/>
      <c r="AK467" s="41">
        <f>IF(AND(W467="X",M467&lt;=$AJ$2),"YES","")</f>
        <v/>
      </c>
      <c r="AL467" s="38">
        <f>IF(AND(W467="X",M467&lt;=$AJ$2),S467,"")</f>
        <v/>
      </c>
      <c r="AM467" s="26">
        <f>IF(AND(W467="X",M467&gt;$AJ$2),"YES","")</f>
        <v/>
      </c>
      <c r="AN467" s="89">
        <f>IF(AND(W467="X",M467&gt;$AJ$2),S467,"")</f>
        <v/>
      </c>
      <c r="AO467" s="35">
        <f>IF(AND(W467="",M467&gt;0,$AJ$2&gt;M467,L467=""),1,0)</f>
        <v/>
      </c>
      <c r="AP467" s="26">
        <f>IF(AND(AK467="YES",W467="X"),"X","")</f>
        <v/>
      </c>
      <c r="AQ467" s="28">
        <f>IF(AP467="X",100%,0%)</f>
        <v/>
      </c>
      <c r="AR467" s="25">
        <f>IF(AND(T467&gt;0,L467=""),H467,"")</f>
        <v/>
      </c>
      <c r="AS467" s="25">
        <f>IF(AND(D467&gt;0,H467=0,G467=""),1,"")</f>
        <v/>
      </c>
      <c r="AT467" s="25">
        <f>IF(G467="BLOQ",1,"")</f>
        <v/>
      </c>
      <c r="AU467" s="25">
        <f>IF(L467="BLOQ",1,"")</f>
        <v/>
      </c>
      <c r="AV467" s="25">
        <f>MONTH(F467)</f>
        <v/>
      </c>
      <c r="AW467" s="65">
        <f>IF(AP467="",100%,0%)</f>
        <v/>
      </c>
      <c r="AX467" s="23" t="n"/>
      <c r="AY467" s="24">
        <f>IF(M467=0,"",M467-$AX$2)</f>
        <v/>
      </c>
      <c r="AZ467" s="66">
        <f>IF(AND(W467="",AY467&gt;0,AY467&lt;15),1,0)</f>
        <v/>
      </c>
      <c r="BA467" s="24">
        <f>IF(AND(W467="",AY467&gt;0,AY467&lt;15),T467,"")</f>
        <v/>
      </c>
      <c r="BB467" s="87">
        <f>IF(R467&lt;Q467,"X","")</f>
        <v/>
      </c>
      <c r="BC467" s="190" t="inlineStr">
        <is>
          <t>NO</t>
        </is>
      </c>
      <c r="BD467" s="190" t="inlineStr">
        <is>
          <t>NO</t>
        </is>
      </c>
    </row>
    <row r="468" ht="15" customHeight="1" s="162">
      <c r="A468" s="7" t="n">
        <v>467</v>
      </c>
      <c r="B468" t="inlineStr">
        <is>
          <t>39121708</t>
        </is>
      </c>
      <c r="C468" t="inlineStr">
        <is>
          <t>Jumper Bar Phoenix Contact serie FBS 2-5</t>
        </is>
      </c>
      <c r="D468" t="inlineStr">
        <is>
          <t>1101867478</t>
        </is>
      </c>
      <c r="E468" t="inlineStr">
        <is>
          <t>1</t>
        </is>
      </c>
      <c r="F468" s="163" t="n">
        <v>45786</v>
      </c>
      <c r="G468" t="inlineStr"/>
      <c r="H468" t="inlineStr">
        <is>
          <t>4800003052</t>
        </is>
      </c>
      <c r="I468" t="inlineStr">
        <is>
          <t>520</t>
        </is>
      </c>
      <c r="J468" s="163" t="n">
        <v>45786</v>
      </c>
      <c r="K468" s="163" t="inlineStr"/>
      <c r="L468" t="inlineStr"/>
      <c r="M468" s="163" t="n">
        <v>45787</v>
      </c>
      <c r="N468" s="164" t="n">
        <v>0</v>
      </c>
      <c r="O468" s="164" t="n">
        <v>0</v>
      </c>
      <c r="P468" t="inlineStr"/>
      <c r="Q468" s="165" t="n">
        <v>10</v>
      </c>
      <c r="R468" s="165" t="n">
        <v>10</v>
      </c>
      <c r="S468" s="165" t="n">
        <v>10</v>
      </c>
      <c r="T468" s="165" t="n">
        <v>0</v>
      </c>
      <c r="U468" s="166" t="n">
        <v>0</v>
      </c>
      <c r="V468" s="166" t="n">
        <v>0</v>
      </c>
      <c r="W468" t="inlineStr">
        <is>
          <t>X</t>
        </is>
      </c>
      <c r="X468" t="inlineStr">
        <is>
          <t>0.00</t>
        </is>
      </c>
      <c r="Y468" t="inlineStr"/>
      <c r="Z468" t="inlineStr">
        <is>
          <t>AMIDATA, S.A.</t>
        </is>
      </c>
      <c r="AA468" t="inlineStr"/>
      <c r="AB468" t="inlineStr">
        <is>
          <t>6879792</t>
        </is>
      </c>
      <c r="AC468" t="inlineStr"/>
      <c r="AD468" s="164" t="n">
        <v>0</v>
      </c>
      <c r="AE468" s="185" t="n">
        <v>0</v>
      </c>
      <c r="AG468" s="167" t="inlineStr">
        <is>
          <t>7218|JA2582_1001</t>
        </is>
      </c>
      <c r="AH468" s="46">
        <f>IF(M468=0,"-",M468-J468)</f>
        <v/>
      </c>
      <c r="AI468" s="46">
        <f>IF(AND(S468=0,M468&gt;0,L468=0),IF(AH468&gt;=120,"VERY HIGH",IF(AH468&gt;=90,"HIGH",IF(AH468&gt;=60,"MEDIUM",IF(AH468&lt;60,"LOW")))),"-")</f>
        <v/>
      </c>
      <c r="AJ468" s="12" t="n"/>
      <c r="AK468" s="41">
        <f>IF(AND(W468="X",M468&lt;=$AJ$2),"YES","")</f>
        <v/>
      </c>
      <c r="AL468" s="38">
        <f>IF(AND(W468="X",M468&lt;=$AJ$2),S468,"")</f>
        <v/>
      </c>
      <c r="AM468" s="26">
        <f>IF(AND(W468="X",M468&gt;$AJ$2),"YES","")</f>
        <v/>
      </c>
      <c r="AN468" s="89">
        <f>IF(AND(W468="X",M468&gt;$AJ$2),S468,"")</f>
        <v/>
      </c>
      <c r="AO468" s="35">
        <f>IF(AND(W468="",M468&gt;0,$AJ$2&gt;M468,L468=""),1,0)</f>
        <v/>
      </c>
      <c r="AP468" s="26">
        <f>IF(AND(AK468="YES",W468="X"),"X","")</f>
        <v/>
      </c>
      <c r="AQ468" s="28">
        <f>IF(AP468="X",100%,0%)</f>
        <v/>
      </c>
      <c r="AR468" s="25">
        <f>IF(AND(T468&gt;0,L468=""),H468,"")</f>
        <v/>
      </c>
      <c r="AS468" s="25">
        <f>IF(AND(D468&gt;0,H468=0,G468=""),1,"")</f>
        <v/>
      </c>
      <c r="AT468" s="25">
        <f>IF(G468="BLOQ",1,"")</f>
        <v/>
      </c>
      <c r="AU468" s="25">
        <f>IF(L468="BLOQ",1,"")</f>
        <v/>
      </c>
      <c r="AV468" s="25">
        <f>MONTH(F468)</f>
        <v/>
      </c>
      <c r="AW468" s="65">
        <f>IF(AP468="",100%,0%)</f>
        <v/>
      </c>
      <c r="AX468" s="23" t="n"/>
      <c r="AY468" s="24">
        <f>IF(M468=0,"",M468-$AX$2)</f>
        <v/>
      </c>
      <c r="AZ468" s="66">
        <f>IF(AND(W468="",AY468&gt;0,AY468&lt;15),1,0)</f>
        <v/>
      </c>
      <c r="BA468" s="24">
        <f>IF(AND(W468="",AY468&gt;0,AY468&lt;15),T468,"")</f>
        <v/>
      </c>
      <c r="BB468" s="87">
        <f>IF(R468&lt;Q468,"X","")</f>
        <v/>
      </c>
      <c r="BC468" s="190" t="inlineStr">
        <is>
          <t>NO</t>
        </is>
      </c>
      <c r="BD468" s="190" t="inlineStr">
        <is>
          <t>NO</t>
        </is>
      </c>
    </row>
    <row r="469" ht="15" customHeight="1" s="162">
      <c r="A469" s="7" t="n">
        <v>468</v>
      </c>
      <c r="B469" t="inlineStr"/>
      <c r="C469" t="inlineStr">
        <is>
          <t>JOSÉ MARÍA CHAVERO</t>
        </is>
      </c>
      <c r="D469" t="inlineStr">
        <is>
          <t>1101869421</t>
        </is>
      </c>
      <c r="E469" t="inlineStr">
        <is>
          <t>1</t>
        </is>
      </c>
      <c r="F469" s="163" t="n">
        <v>45792</v>
      </c>
      <c r="G469" t="inlineStr"/>
      <c r="H469" t="inlineStr">
        <is>
          <t>4300346317</t>
        </is>
      </c>
      <c r="I469" t="inlineStr">
        <is>
          <t>10</t>
        </is>
      </c>
      <c r="J469" s="163" t="n">
        <v>45797</v>
      </c>
      <c r="K469" s="163" t="n">
        <v>45798</v>
      </c>
      <c r="L469" t="inlineStr"/>
      <c r="M469" s="163" t="n">
        <v>45869</v>
      </c>
      <c r="N469" s="164" t="n">
        <v>0</v>
      </c>
      <c r="O469" s="164" t="n">
        <v>0</v>
      </c>
      <c r="P469" t="inlineStr">
        <is>
          <t>Liberado</t>
        </is>
      </c>
      <c r="Q469" s="166" t="n">
        <v>1</v>
      </c>
      <c r="R469" s="164" t="n">
        <v>1</v>
      </c>
      <c r="S469" s="164" t="n">
        <v>0</v>
      </c>
      <c r="T469" s="164" t="n">
        <v>0</v>
      </c>
      <c r="U469" s="166" t="n">
        <v>0</v>
      </c>
      <c r="V469" s="166" t="n">
        <v>0</v>
      </c>
      <c r="W469" t="inlineStr"/>
      <c r="X469" t="inlineStr">
        <is>
          <t>0.00</t>
        </is>
      </c>
      <c r="Y469" t="inlineStr"/>
      <c r="Z469" t="inlineStr">
        <is>
          <t>TINDAI FORMACION, PREVENCION Y</t>
        </is>
      </c>
      <c r="AA469" t="inlineStr"/>
      <c r="AB469" t="inlineStr"/>
      <c r="AC469" t="inlineStr"/>
      <c r="AD469" s="164" t="n">
        <v>0</v>
      </c>
      <c r="AE469" s="185" t="n">
        <v>0</v>
      </c>
      <c r="AG469" s="167" t="inlineStr">
        <is>
          <t>7218|JA2594_1001</t>
        </is>
      </c>
      <c r="AH469" s="46">
        <f>IF(M469=0,"-",M469-J469)</f>
        <v/>
      </c>
      <c r="AI469" s="46">
        <f>IF(AND(S469=0,M469&gt;0,L469=0),IF(AH469&gt;=120,"VERY HIGH",IF(AH469&gt;=90,"HIGH",IF(AH469&gt;=60,"MEDIUM",IF(AH469&lt;60,"LOW")))),"-")</f>
        <v/>
      </c>
      <c r="AJ469" s="12" t="n"/>
      <c r="AK469" s="41">
        <f>IF(AND(W469="X",M469&lt;=$AJ$2),"YES","")</f>
        <v/>
      </c>
      <c r="AL469" s="38">
        <f>IF(AND(W469="X",M469&lt;=$AJ$2),S469,"")</f>
        <v/>
      </c>
      <c r="AM469" s="26">
        <f>IF(AND(W469="X",M469&gt;$AJ$2),"YES","")</f>
        <v/>
      </c>
      <c r="AN469" s="89">
        <f>IF(AND(W469="X",M469&gt;$AJ$2),S469,"")</f>
        <v/>
      </c>
      <c r="AO469" s="35">
        <f>IF(AND(W469="",M469&gt;0,$AJ$2&gt;M469,L469=""),1,0)</f>
        <v/>
      </c>
      <c r="AP469" s="26">
        <f>IF(AND(AK469="YES",W469="X"),"X","")</f>
        <v/>
      </c>
      <c r="AQ469" s="28">
        <f>IF(AP469="X",100%,0%)</f>
        <v/>
      </c>
      <c r="AR469" s="25">
        <f>IF(AND(T469&gt;0,L469=""),H469,"")</f>
        <v/>
      </c>
      <c r="AS469" s="25">
        <f>IF(AND(D469&gt;0,H469=0,G469=""),1,"")</f>
        <v/>
      </c>
      <c r="AT469" s="25">
        <f>IF(G469="BLOQ",1,"")</f>
        <v/>
      </c>
      <c r="AU469" s="25">
        <f>IF(L469="BLOQ",1,"")</f>
        <v/>
      </c>
      <c r="AV469" s="25">
        <f>MONTH(F469)</f>
        <v/>
      </c>
      <c r="AW469" s="65">
        <f>IF(AP469="",100%,0%)</f>
        <v/>
      </c>
      <c r="AX469" s="23" t="n"/>
      <c r="AY469" s="24">
        <f>IF(M469=0,"",M469-$AX$2)</f>
        <v/>
      </c>
      <c r="AZ469" s="66">
        <f>IF(AND(W469="",AY469&gt;0,AY469&lt;15),1,0)</f>
        <v/>
      </c>
      <c r="BA469" s="24">
        <f>IF(AND(W469="",AY469&gt;0,AY469&lt;15),T469,"")</f>
        <v/>
      </c>
      <c r="BB469" s="87">
        <f>IF(R469&lt;Q469,"X","")</f>
        <v/>
      </c>
      <c r="BC469" s="190" t="inlineStr">
        <is>
          <t>NO</t>
        </is>
      </c>
      <c r="BD469" s="190" t="inlineStr">
        <is>
          <t>NO</t>
        </is>
      </c>
    </row>
    <row r="470" ht="15" customHeight="1" s="162">
      <c r="A470" s="7" t="n">
        <v>469</v>
      </c>
      <c r="B470" t="inlineStr">
        <is>
          <t>1359900000500</t>
        </is>
      </c>
      <c r="C470" t="inlineStr">
        <is>
          <t>COMPRA DIRECTA ELECTRICOS/ELECTRONICOS</t>
        </is>
      </c>
      <c r="D470" t="inlineStr">
        <is>
          <t>1101869602</t>
        </is>
      </c>
      <c r="E470" t="inlineStr">
        <is>
          <t>1</t>
        </is>
      </c>
      <c r="F470" s="163" t="n">
        <v>45792</v>
      </c>
      <c r="G470" t="inlineStr"/>
      <c r="H470" t="inlineStr">
        <is>
          <t>4200611095</t>
        </is>
      </c>
      <c r="I470" t="inlineStr">
        <is>
          <t>30</t>
        </is>
      </c>
      <c r="J470" s="163" t="n">
        <v>45793</v>
      </c>
      <c r="K470" s="163" t="n">
        <v>45793</v>
      </c>
      <c r="L470" t="inlineStr"/>
      <c r="M470" s="163" t="n">
        <v>45807</v>
      </c>
      <c r="N470" s="164" t="n">
        <v>30</v>
      </c>
      <c r="O470" s="164" t="n">
        <v>8</v>
      </c>
      <c r="P470" t="inlineStr">
        <is>
          <t>Liberado</t>
        </is>
      </c>
      <c r="Q470" s="165" t="n">
        <v>1</v>
      </c>
      <c r="R470" s="165" t="n">
        <v>1</v>
      </c>
      <c r="S470" s="165" t="n">
        <v>1</v>
      </c>
      <c r="T470" s="165" t="n">
        <v>0</v>
      </c>
      <c r="U470" s="166" t="n">
        <v>0</v>
      </c>
      <c r="V470" s="166" t="n">
        <v>0</v>
      </c>
      <c r="W470" t="inlineStr">
        <is>
          <t>X</t>
        </is>
      </c>
      <c r="X470" t="inlineStr">
        <is>
          <t>0.00</t>
        </is>
      </c>
      <c r="Y470" t="inlineStr"/>
      <c r="Z470" t="inlineStr">
        <is>
          <t>SARVER S.L.</t>
        </is>
      </c>
      <c r="AA470" t="inlineStr">
        <is>
          <t>OTROS FABRICANTES</t>
        </is>
      </c>
      <c r="AB470" t="inlineStr">
        <is>
          <t>1359900000500</t>
        </is>
      </c>
      <c r="AC470" t="inlineStr"/>
      <c r="AD470" s="164" t="n">
        <v>0</v>
      </c>
      <c r="AE470" s="185" t="n">
        <v>0</v>
      </c>
      <c r="AG470" s="167" t="inlineStr">
        <is>
          <t>7218|JA2582_1001</t>
        </is>
      </c>
      <c r="AH470" s="46">
        <f>IF(M470=0,"-",M470-J470)</f>
        <v/>
      </c>
      <c r="AI470" s="46">
        <f>IF(AND(S470=0,M470&gt;0,L470=0),IF(AH470&gt;=120,"VERY HIGH",IF(AH470&gt;=90,"HIGH",IF(AH470&gt;=60,"MEDIUM",IF(AH470&lt;60,"LOW")))),"-")</f>
        <v/>
      </c>
      <c r="AJ470" s="12" t="n"/>
      <c r="AK470" s="41">
        <f>IF(AND(W470="X",M470&lt;=$AJ$2),"YES","")</f>
        <v/>
      </c>
      <c r="AL470" s="38">
        <f>IF(AND(W470="X",M470&lt;=$AJ$2),S470,"")</f>
        <v/>
      </c>
      <c r="AM470" s="26">
        <f>IF(AND(W470="X",M470&gt;$AJ$2),"YES","")</f>
        <v/>
      </c>
      <c r="AN470" s="89">
        <f>IF(AND(W470="X",M470&gt;$AJ$2),S470,"")</f>
        <v/>
      </c>
      <c r="AO470" s="35">
        <f>IF(AND(W470="",M470&gt;0,$AJ$2&gt;M470,L470=""),1,0)</f>
        <v/>
      </c>
      <c r="AP470" s="26">
        <f>IF(AND(AK470="YES",W470="X"),"X","")</f>
        <v/>
      </c>
      <c r="AQ470" s="28">
        <f>IF(AP470="X",100%,0%)</f>
        <v/>
      </c>
      <c r="AR470" s="25">
        <f>IF(AND(T470&gt;0,L470=""),H470,"")</f>
        <v/>
      </c>
      <c r="AS470" s="25">
        <f>IF(AND(D470&gt;0,H470=0,G470=""),1,"")</f>
        <v/>
      </c>
      <c r="AT470" s="25">
        <f>IF(G470="BLOQ",1,"")</f>
        <v/>
      </c>
      <c r="AU470" s="25">
        <f>IF(L470="BLOQ",1,"")</f>
        <v/>
      </c>
      <c r="AV470" s="25">
        <f>MONTH(F470)</f>
        <v/>
      </c>
      <c r="AW470" s="65">
        <f>IF(AP470="",100%,0%)</f>
        <v/>
      </c>
      <c r="AX470" s="23" t="n"/>
      <c r="AY470" s="24">
        <f>IF(M470=0,"",M470-$AX$2)</f>
        <v/>
      </c>
      <c r="AZ470" s="66">
        <f>IF(AND(W470="",AY470&gt;0,AY470&lt;15),1,0)</f>
        <v/>
      </c>
      <c r="BA470" s="24">
        <f>IF(AND(W470="",AY470&gt;0,AY470&lt;15),T470,"")</f>
        <v/>
      </c>
      <c r="BB470" s="87">
        <f>IF(R470&lt;Q470,"X","")</f>
        <v/>
      </c>
      <c r="BC470" s="190" t="inlineStr">
        <is>
          <t>NO</t>
        </is>
      </c>
      <c r="BD470" s="190" t="inlineStr">
        <is>
          <t>NO</t>
        </is>
      </c>
    </row>
    <row r="471" ht="15" customHeight="1" s="162">
      <c r="A471" s="7" t="n">
        <v>470</v>
      </c>
      <c r="B471" t="inlineStr">
        <is>
          <t>1709800000500</t>
        </is>
      </c>
      <c r="C471" t="inlineStr">
        <is>
          <t>COMPRA DIRECTA FERRETERIA Y HERRAMIENTAS</t>
        </is>
      </c>
      <c r="D471" t="inlineStr">
        <is>
          <t>1101870648</t>
        </is>
      </c>
      <c r="E471" t="inlineStr">
        <is>
          <t>1</t>
        </is>
      </c>
      <c r="F471" s="163" t="n">
        <v>45796</v>
      </c>
      <c r="G471" t="inlineStr"/>
      <c r="H471" t="inlineStr">
        <is>
          <t>4200612503</t>
        </is>
      </c>
      <c r="I471" t="inlineStr">
        <is>
          <t>10</t>
        </is>
      </c>
      <c r="J471" s="163" t="n">
        <v>45803</v>
      </c>
      <c r="K471" s="163" t="n">
        <v>45803</v>
      </c>
      <c r="L471" t="inlineStr"/>
      <c r="M471" s="163" t="n">
        <v>45817</v>
      </c>
      <c r="N471" s="164" t="n">
        <v>30</v>
      </c>
      <c r="O471" s="164" t="n">
        <v>8</v>
      </c>
      <c r="P471" t="inlineStr">
        <is>
          <t>Liberado</t>
        </is>
      </c>
      <c r="Q471" s="165" t="n">
        <v>1</v>
      </c>
      <c r="R471" s="165" t="n">
        <v>13</v>
      </c>
      <c r="S471" s="165" t="n">
        <v>13</v>
      </c>
      <c r="T471" s="165" t="n">
        <v>0</v>
      </c>
      <c r="U471" s="166" t="n">
        <v>0</v>
      </c>
      <c r="V471" s="166" t="n">
        <v>0</v>
      </c>
      <c r="W471" t="inlineStr">
        <is>
          <t>X</t>
        </is>
      </c>
      <c r="X471" t="inlineStr">
        <is>
          <t>0.00</t>
        </is>
      </c>
      <c r="Y471" t="inlineStr"/>
      <c r="Z471" t="inlineStr">
        <is>
          <t>ABACO SUYTEC, S.A.U.</t>
        </is>
      </c>
      <c r="AA471" t="inlineStr">
        <is>
          <t>OTROS FABRICANTES</t>
        </is>
      </c>
      <c r="AB471" t="inlineStr">
        <is>
          <t>1709800000500</t>
        </is>
      </c>
      <c r="AC471" t="inlineStr"/>
      <c r="AD471" s="164" t="n">
        <v>0</v>
      </c>
      <c r="AE471" s="185" t="n">
        <v>0</v>
      </c>
      <c r="AG471" s="167" t="inlineStr">
        <is>
          <t>7218|JA2594_1001</t>
        </is>
      </c>
      <c r="AH471" s="46">
        <f>IF(M471=0,"-",M471-J471)</f>
        <v/>
      </c>
      <c r="AI471" s="46">
        <f>IF(AND(S471=0,M471&gt;0,L471=0),IF(AH471&gt;=120,"VERY HIGH",IF(AH471&gt;=90,"HIGH",IF(AH471&gt;=60,"MEDIUM",IF(AH471&lt;60,"LOW")))),"-")</f>
        <v/>
      </c>
      <c r="AJ471" s="12" t="n"/>
      <c r="AK471" s="41">
        <f>IF(AND(W471="X",M471&lt;=$AJ$2),"YES","")</f>
        <v/>
      </c>
      <c r="AL471" s="38">
        <f>IF(AND(W471="X",M471&lt;=$AJ$2),S471,"")</f>
        <v/>
      </c>
      <c r="AM471" s="26">
        <f>IF(AND(W471="X",M471&gt;$AJ$2),"YES","")</f>
        <v/>
      </c>
      <c r="AN471" s="89">
        <f>IF(AND(W471="X",M471&gt;$AJ$2),S471,"")</f>
        <v/>
      </c>
      <c r="AO471" s="35">
        <f>IF(AND(W471="",M471&gt;0,$AJ$2&gt;M471,L471=""),1,0)</f>
        <v/>
      </c>
      <c r="AP471" s="26">
        <f>IF(AND(AK471="YES",W471="X"),"X","")</f>
        <v/>
      </c>
      <c r="AQ471" s="28">
        <f>IF(AP471="X",100%,0%)</f>
        <v/>
      </c>
      <c r="AR471" s="25">
        <f>IF(AND(T471&gt;0,L471=""),H471,"")</f>
        <v/>
      </c>
      <c r="AS471" s="25">
        <f>IF(AND(D471&gt;0,H471=0,G471=""),1,"")</f>
        <v/>
      </c>
      <c r="AT471" s="25">
        <f>IF(G471="BLOQ",1,"")</f>
        <v/>
      </c>
      <c r="AU471" s="25">
        <f>IF(L471="BLOQ",1,"")</f>
        <v/>
      </c>
      <c r="AV471" s="25">
        <f>MONTH(F471)</f>
        <v/>
      </c>
      <c r="AW471" s="65">
        <f>IF(AP471="",100%,0%)</f>
        <v/>
      </c>
      <c r="AX471" s="23" t="n"/>
      <c r="AY471" s="24">
        <f>IF(M471=0,"",M471-$AX$2)</f>
        <v/>
      </c>
      <c r="AZ471" s="66">
        <f>IF(AND(W471="",AY471&gt;0,AY471&lt;15),1,0)</f>
        <v/>
      </c>
      <c r="BA471" s="24">
        <f>IF(AND(W471="",AY471&gt;0,AY471&lt;15),T471,"")</f>
        <v/>
      </c>
      <c r="BB471" s="87">
        <f>IF(R471&lt;Q471,"X","")</f>
        <v/>
      </c>
      <c r="BC471" s="190" t="inlineStr">
        <is>
          <t>NO</t>
        </is>
      </c>
      <c r="BD471" s="190" t="inlineStr">
        <is>
          <t>NO</t>
        </is>
      </c>
    </row>
    <row r="472" ht="15" customHeight="1" s="162">
      <c r="A472" s="7" t="n">
        <v>471</v>
      </c>
      <c r="B472" t="inlineStr">
        <is>
          <t>1709800000500</t>
        </is>
      </c>
      <c r="C472" t="inlineStr">
        <is>
          <t>COMPRA DIRECTA FERRETERIA Y HERRAMIENTAS</t>
        </is>
      </c>
      <c r="D472" t="inlineStr">
        <is>
          <t>1101870648</t>
        </is>
      </c>
      <c r="E472" t="inlineStr">
        <is>
          <t>2</t>
        </is>
      </c>
      <c r="F472" s="163" t="n">
        <v>45796</v>
      </c>
      <c r="G472" t="inlineStr"/>
      <c r="H472" t="inlineStr">
        <is>
          <t>4200612503</t>
        </is>
      </c>
      <c r="I472" t="inlineStr">
        <is>
          <t>20</t>
        </is>
      </c>
      <c r="J472" s="163" t="n">
        <v>45803</v>
      </c>
      <c r="K472" s="163" t="n">
        <v>45803</v>
      </c>
      <c r="L472" t="inlineStr"/>
      <c r="M472" s="163" t="n">
        <v>45817</v>
      </c>
      <c r="N472" s="164" t="n">
        <v>30</v>
      </c>
      <c r="O472" s="164" t="n">
        <v>8</v>
      </c>
      <c r="P472" t="inlineStr">
        <is>
          <t>Liberado</t>
        </is>
      </c>
      <c r="Q472" s="165" t="n">
        <v>1</v>
      </c>
      <c r="R472" s="165" t="n">
        <v>20</v>
      </c>
      <c r="S472" s="165" t="n">
        <v>20</v>
      </c>
      <c r="T472" s="165" t="n">
        <v>0</v>
      </c>
      <c r="U472" s="166" t="n">
        <v>0</v>
      </c>
      <c r="V472" s="166" t="n">
        <v>0</v>
      </c>
      <c r="W472" t="inlineStr">
        <is>
          <t>X</t>
        </is>
      </c>
      <c r="X472" t="inlineStr">
        <is>
          <t>0.00</t>
        </is>
      </c>
      <c r="Y472" t="inlineStr"/>
      <c r="Z472" t="inlineStr">
        <is>
          <t>ABACO SUYTEC, S.A.U.</t>
        </is>
      </c>
      <c r="AA472" t="inlineStr">
        <is>
          <t>OTROS FABRICANTES</t>
        </is>
      </c>
      <c r="AB472" t="inlineStr">
        <is>
          <t>1709800000500</t>
        </is>
      </c>
      <c r="AC472" t="inlineStr"/>
      <c r="AD472" s="164" t="n">
        <v>0</v>
      </c>
      <c r="AE472" s="185" t="n">
        <v>0</v>
      </c>
      <c r="AG472" s="167" t="inlineStr">
        <is>
          <t>7218|JA2594_1001</t>
        </is>
      </c>
      <c r="AH472" s="46">
        <f>IF(M472=0,"-",M472-J472)</f>
        <v/>
      </c>
      <c r="AI472" s="46">
        <f>IF(AND(S472=0,M472&gt;0,L472=0),IF(AH472&gt;=120,"VERY HIGH",IF(AH472&gt;=90,"HIGH",IF(AH472&gt;=60,"MEDIUM",IF(AH472&lt;60,"LOW")))),"-")</f>
        <v/>
      </c>
      <c r="AJ472" s="12" t="n"/>
      <c r="AK472" s="41">
        <f>IF(AND(W472="X",M472&lt;=$AJ$2),"YES","")</f>
        <v/>
      </c>
      <c r="AL472" s="38">
        <f>IF(AND(W472="X",M472&lt;=$AJ$2),S472,"")</f>
        <v/>
      </c>
      <c r="AM472" s="26">
        <f>IF(AND(W472="X",M472&gt;$AJ$2),"YES","")</f>
        <v/>
      </c>
      <c r="AN472" s="89">
        <f>IF(AND(W472="X",M472&gt;$AJ$2),S472,"")</f>
        <v/>
      </c>
      <c r="AO472" s="35">
        <f>IF(AND(W472="",M472&gt;0,$AJ$2&gt;M472,L472=""),1,0)</f>
        <v/>
      </c>
      <c r="AP472" s="26">
        <f>IF(AND(AK472="YES",W472="X"),"X","")</f>
        <v/>
      </c>
      <c r="AQ472" s="28">
        <f>IF(AP472="X",100%,0%)</f>
        <v/>
      </c>
      <c r="AR472" s="25">
        <f>IF(AND(T472&gt;0,L472=""),H472,"")</f>
        <v/>
      </c>
      <c r="AS472" s="25">
        <f>IF(AND(D472&gt;0,H472=0,G472=""),1,"")</f>
        <v/>
      </c>
      <c r="AT472" s="25">
        <f>IF(G472="BLOQ",1,"")</f>
        <v/>
      </c>
      <c r="AU472" s="25">
        <f>IF(L472="BLOQ",1,"")</f>
        <v/>
      </c>
      <c r="AV472" s="25">
        <f>MONTH(F472)</f>
        <v/>
      </c>
      <c r="AW472" s="65">
        <f>IF(AP472="",100%,0%)</f>
        <v/>
      </c>
      <c r="AX472" s="23" t="n"/>
      <c r="AY472" s="24">
        <f>IF(M472=0,"",M472-$AX$2)</f>
        <v/>
      </c>
      <c r="AZ472" s="66">
        <f>IF(AND(W472="",AY472&gt;0,AY472&lt;15),1,0)</f>
        <v/>
      </c>
      <c r="BA472" s="24">
        <f>IF(AND(W472="",AY472&gt;0,AY472&lt;15),T472,"")</f>
        <v/>
      </c>
      <c r="BB472" s="87">
        <f>IF(R472&lt;Q472,"X","")</f>
        <v/>
      </c>
      <c r="BC472" s="190" t="inlineStr">
        <is>
          <t>NO</t>
        </is>
      </c>
      <c r="BD472" s="190" t="inlineStr">
        <is>
          <t>NO</t>
        </is>
      </c>
    </row>
    <row r="473" ht="15" customHeight="1" s="162">
      <c r="A473" s="7" t="n">
        <v>472</v>
      </c>
      <c r="B473" t="inlineStr">
        <is>
          <t>1709800000500</t>
        </is>
      </c>
      <c r="C473" t="inlineStr">
        <is>
          <t>COMPRA DIRECTA FERRETERIA Y HERRAMIENTAS</t>
        </is>
      </c>
      <c r="D473" t="inlineStr">
        <is>
          <t>1101870648</t>
        </is>
      </c>
      <c r="E473" t="inlineStr">
        <is>
          <t>3</t>
        </is>
      </c>
      <c r="F473" s="163" t="n">
        <v>45796</v>
      </c>
      <c r="G473" t="inlineStr"/>
      <c r="H473" t="inlineStr">
        <is>
          <t>4200612503</t>
        </is>
      </c>
      <c r="I473" t="inlineStr">
        <is>
          <t>30</t>
        </is>
      </c>
      <c r="J473" s="163" t="n">
        <v>45803</v>
      </c>
      <c r="K473" s="163" t="n">
        <v>45803</v>
      </c>
      <c r="L473" t="inlineStr"/>
      <c r="M473" s="163" t="n">
        <v>45817</v>
      </c>
      <c r="N473" s="164" t="n">
        <v>30</v>
      </c>
      <c r="O473" s="164" t="n">
        <v>8</v>
      </c>
      <c r="P473" t="inlineStr">
        <is>
          <t>Liberado</t>
        </is>
      </c>
      <c r="Q473" s="165" t="n">
        <v>1</v>
      </c>
      <c r="R473" s="165" t="n">
        <v>6</v>
      </c>
      <c r="S473" s="165" t="n">
        <v>6</v>
      </c>
      <c r="T473" s="165" t="n">
        <v>0</v>
      </c>
      <c r="U473" s="166" t="n">
        <v>0</v>
      </c>
      <c r="V473" s="166" t="n">
        <v>0</v>
      </c>
      <c r="W473" t="inlineStr">
        <is>
          <t>X</t>
        </is>
      </c>
      <c r="X473" t="inlineStr">
        <is>
          <t>0.00</t>
        </is>
      </c>
      <c r="Y473" t="inlineStr"/>
      <c r="Z473" t="inlineStr">
        <is>
          <t>ABACO SUYTEC, S.A.U.</t>
        </is>
      </c>
      <c r="AA473" t="inlineStr">
        <is>
          <t>OTROS FABRICANTES</t>
        </is>
      </c>
      <c r="AB473" t="inlineStr">
        <is>
          <t>1709800000500</t>
        </is>
      </c>
      <c r="AC473" t="inlineStr"/>
      <c r="AD473" s="164" t="n">
        <v>0</v>
      </c>
      <c r="AE473" s="185" t="n">
        <v>0</v>
      </c>
      <c r="AG473" s="167" t="inlineStr">
        <is>
          <t>7218|JA2594_1001</t>
        </is>
      </c>
      <c r="AH473" s="46">
        <f>IF(M473=0,"-",M473-J473)</f>
        <v/>
      </c>
      <c r="AI473" s="46">
        <f>IF(AND(S473=0,M473&gt;0,L473=0),IF(AH473&gt;=120,"VERY HIGH",IF(AH473&gt;=90,"HIGH",IF(AH473&gt;=60,"MEDIUM",IF(AH473&lt;60,"LOW")))),"-")</f>
        <v/>
      </c>
      <c r="AJ473" s="12" t="n"/>
      <c r="AK473" s="41">
        <f>IF(AND(W473="X",M473&lt;=$AJ$2),"YES","")</f>
        <v/>
      </c>
      <c r="AL473" s="38">
        <f>IF(AND(W473="X",M473&lt;=$AJ$2),S473,"")</f>
        <v/>
      </c>
      <c r="AM473" s="26">
        <f>IF(AND(W473="X",M473&gt;$AJ$2),"YES","")</f>
        <v/>
      </c>
      <c r="AN473" s="89">
        <f>IF(AND(W473="X",M473&gt;$AJ$2),S473,"")</f>
        <v/>
      </c>
      <c r="AO473" s="35">
        <f>IF(AND(W473="",M473&gt;0,$AJ$2&gt;M473,L473=""),1,0)</f>
        <v/>
      </c>
      <c r="AP473" s="26">
        <f>IF(AND(AK473="YES",W473="X"),"X","")</f>
        <v/>
      </c>
      <c r="AQ473" s="28">
        <f>IF(AP473="X",100%,0%)</f>
        <v/>
      </c>
      <c r="AR473" s="25">
        <f>IF(AND(T473&gt;0,L473=""),H473,"")</f>
        <v/>
      </c>
      <c r="AS473" s="25">
        <f>IF(AND(D473&gt;0,H473=0,G473=""),1,"")</f>
        <v/>
      </c>
      <c r="AT473" s="25">
        <f>IF(G473="BLOQ",1,"")</f>
        <v/>
      </c>
      <c r="AU473" s="25">
        <f>IF(L473="BLOQ",1,"")</f>
        <v/>
      </c>
      <c r="AV473" s="25">
        <f>MONTH(F473)</f>
        <v/>
      </c>
      <c r="AW473" s="65">
        <f>IF(AP473="",100%,0%)</f>
        <v/>
      </c>
      <c r="AX473" s="23" t="n"/>
      <c r="AY473" s="24">
        <f>IF(M473=0,"",M473-$AX$2)</f>
        <v/>
      </c>
      <c r="AZ473" s="66">
        <f>IF(AND(W473="",AY473&gt;0,AY473&lt;15),1,0)</f>
        <v/>
      </c>
      <c r="BA473" s="24">
        <f>IF(AND(W473="",AY473&gt;0,AY473&lt;15),T473,"")</f>
        <v/>
      </c>
      <c r="BB473" s="87">
        <f>IF(R473&lt;Q473,"X","")</f>
        <v/>
      </c>
      <c r="BC473" s="190" t="inlineStr">
        <is>
          <t>NO</t>
        </is>
      </c>
      <c r="BD473" s="190" t="inlineStr">
        <is>
          <t>NO</t>
        </is>
      </c>
    </row>
    <row r="474" ht="15" customHeight="1" s="162">
      <c r="A474" s="7" t="n">
        <v>473</v>
      </c>
      <c r="B474" t="inlineStr">
        <is>
          <t>1709800000500</t>
        </is>
      </c>
      <c r="C474" t="inlineStr">
        <is>
          <t>COMPRA DIRECTA FERRETERIA Y HERRAMIENTAS</t>
        </is>
      </c>
      <c r="D474" t="inlineStr">
        <is>
          <t>1101870648</t>
        </is>
      </c>
      <c r="E474" t="inlineStr">
        <is>
          <t>4</t>
        </is>
      </c>
      <c r="F474" s="163" t="n">
        <v>45796</v>
      </c>
      <c r="G474" t="inlineStr"/>
      <c r="H474" t="inlineStr">
        <is>
          <t>4200612503</t>
        </is>
      </c>
      <c r="I474" t="inlineStr">
        <is>
          <t>40</t>
        </is>
      </c>
      <c r="J474" s="163" t="n">
        <v>45803</v>
      </c>
      <c r="K474" s="163" t="n">
        <v>45803</v>
      </c>
      <c r="L474" t="inlineStr"/>
      <c r="M474" s="163" t="n">
        <v>45817</v>
      </c>
      <c r="N474" s="164" t="n">
        <v>30</v>
      </c>
      <c r="O474" s="164" t="n">
        <v>8</v>
      </c>
      <c r="P474" t="inlineStr">
        <is>
          <t>Liberado</t>
        </is>
      </c>
      <c r="Q474" s="165" t="n">
        <v>1</v>
      </c>
      <c r="R474" s="165" t="n">
        <v>6</v>
      </c>
      <c r="S474" s="165" t="n">
        <v>6</v>
      </c>
      <c r="T474" s="165" t="n">
        <v>0</v>
      </c>
      <c r="U474" s="166" t="n">
        <v>0</v>
      </c>
      <c r="V474" s="166" t="n">
        <v>0</v>
      </c>
      <c r="W474" t="inlineStr">
        <is>
          <t>X</t>
        </is>
      </c>
      <c r="X474" t="inlineStr">
        <is>
          <t>0.00</t>
        </is>
      </c>
      <c r="Y474" t="inlineStr"/>
      <c r="Z474" t="inlineStr">
        <is>
          <t>ABACO SUYTEC, S.A.U.</t>
        </is>
      </c>
      <c r="AA474" t="inlineStr">
        <is>
          <t>OTROS FABRICANTES</t>
        </is>
      </c>
      <c r="AB474" t="inlineStr">
        <is>
          <t>1709800000500</t>
        </is>
      </c>
      <c r="AC474" t="inlineStr"/>
      <c r="AD474" s="164" t="n">
        <v>0</v>
      </c>
      <c r="AE474" s="185" t="n">
        <v>0</v>
      </c>
      <c r="AG474" s="167" t="inlineStr">
        <is>
          <t>7218|JA2594_1001</t>
        </is>
      </c>
      <c r="AH474" s="46">
        <f>IF(M474=0,"-",M474-J474)</f>
        <v/>
      </c>
      <c r="AI474" s="46">
        <f>IF(AND(S474=0,M474&gt;0,L474=0),IF(AH474&gt;=120,"VERY HIGH",IF(AH474&gt;=90,"HIGH",IF(AH474&gt;=60,"MEDIUM",IF(AH474&lt;60,"LOW")))),"-")</f>
        <v/>
      </c>
      <c r="AJ474" s="12" t="n"/>
      <c r="AK474" s="41">
        <f>IF(AND(W474="X",M474&lt;=$AJ$2),"YES","")</f>
        <v/>
      </c>
      <c r="AL474" s="38">
        <f>IF(AND(W474="X",M474&lt;=$AJ$2),S474,"")</f>
        <v/>
      </c>
      <c r="AM474" s="26">
        <f>IF(AND(W474="X",M474&gt;$AJ$2),"YES","")</f>
        <v/>
      </c>
      <c r="AN474" s="89">
        <f>IF(AND(W474="X",M474&gt;$AJ$2),S474,"")</f>
        <v/>
      </c>
      <c r="AO474" s="35">
        <f>IF(AND(W474="",M474&gt;0,$AJ$2&gt;M474,L474=""),1,0)</f>
        <v/>
      </c>
      <c r="AP474" s="26">
        <f>IF(AND(AK474="YES",W474="X"),"X","")</f>
        <v/>
      </c>
      <c r="AQ474" s="28">
        <f>IF(AP474="X",100%,0%)</f>
        <v/>
      </c>
      <c r="AR474" s="25">
        <f>IF(AND(T474&gt;0,L474=""),H474,"")</f>
        <v/>
      </c>
      <c r="AS474" s="25">
        <f>IF(AND(D474&gt;0,H474=0,G474=""),1,"")</f>
        <v/>
      </c>
      <c r="AT474" s="25">
        <f>IF(G474="BLOQ",1,"")</f>
        <v/>
      </c>
      <c r="AU474" s="25">
        <f>IF(L474="BLOQ",1,"")</f>
        <v/>
      </c>
      <c r="AV474" s="25">
        <f>MONTH(F474)</f>
        <v/>
      </c>
      <c r="AW474" s="65">
        <f>IF(AP474="",100%,0%)</f>
        <v/>
      </c>
      <c r="AX474" s="23" t="n"/>
      <c r="AY474" s="24">
        <f>IF(M474=0,"",M474-$AX$2)</f>
        <v/>
      </c>
      <c r="AZ474" s="66">
        <f>IF(AND(W474="",AY474&gt;0,AY474&lt;15),1,0)</f>
        <v/>
      </c>
      <c r="BA474" s="24">
        <f>IF(AND(W474="",AY474&gt;0,AY474&lt;15),T474,"")</f>
        <v/>
      </c>
      <c r="BB474" s="87">
        <f>IF(R474&lt;Q474,"X","")</f>
        <v/>
      </c>
      <c r="BC474" s="190" t="inlineStr">
        <is>
          <t>NO</t>
        </is>
      </c>
      <c r="BD474" s="190" t="inlineStr">
        <is>
          <t>NO</t>
        </is>
      </c>
    </row>
    <row r="475" ht="15" customHeight="1" s="162">
      <c r="A475" s="7" t="n">
        <v>474</v>
      </c>
      <c r="B475" t="inlineStr">
        <is>
          <t>43211503</t>
        </is>
      </c>
      <c r="C475" t="inlineStr">
        <is>
          <t>Kingston ValueRAM - DDR4 - m�dulo - 16 G</t>
        </is>
      </c>
      <c r="D475" t="inlineStr">
        <is>
          <t>1101870650</t>
        </is>
      </c>
      <c r="E475" t="inlineStr">
        <is>
          <t>1</t>
        </is>
      </c>
      <c r="F475" s="163" t="n">
        <v>45796</v>
      </c>
      <c r="G475" t="inlineStr"/>
      <c r="H475" t="inlineStr">
        <is>
          <t>4800003053</t>
        </is>
      </c>
      <c r="I475" t="inlineStr">
        <is>
          <t>690</t>
        </is>
      </c>
      <c r="J475" s="163" t="n">
        <v>45787</v>
      </c>
      <c r="K475" s="163" t="inlineStr"/>
      <c r="L475" t="inlineStr"/>
      <c r="M475" s="163" t="n">
        <v>45797</v>
      </c>
      <c r="N475" s="164" t="n">
        <v>0</v>
      </c>
      <c r="O475" s="164" t="n">
        <v>0</v>
      </c>
      <c r="P475" t="inlineStr"/>
      <c r="Q475" s="165" t="n">
        <v>1</v>
      </c>
      <c r="R475" s="165" t="n">
        <v>1</v>
      </c>
      <c r="S475" s="165" t="n">
        <v>1</v>
      </c>
      <c r="T475" s="165" t="n">
        <v>0</v>
      </c>
      <c r="U475" s="166" t="n">
        <v>0</v>
      </c>
      <c r="V475" s="166" t="n">
        <v>0</v>
      </c>
      <c r="W475" t="inlineStr">
        <is>
          <t>X</t>
        </is>
      </c>
      <c r="X475" t="inlineStr">
        <is>
          <t>0.00</t>
        </is>
      </c>
      <c r="Y475" t="inlineStr"/>
      <c r="Z475" t="inlineStr">
        <is>
          <t>TD SYNNEX SPAIN, S.L.U.</t>
        </is>
      </c>
      <c r="AA475" t="inlineStr"/>
      <c r="AB475" t="inlineStr">
        <is>
          <t>5490987</t>
        </is>
      </c>
      <c r="AC475" t="inlineStr"/>
      <c r="AD475" s="164" t="n">
        <v>0</v>
      </c>
      <c r="AE475" s="185" t="n">
        <v>0</v>
      </c>
      <c r="AG475" s="167" t="inlineStr">
        <is>
          <t>7218|JA2594_1001</t>
        </is>
      </c>
      <c r="AH475" s="46">
        <f>IF(M475=0,"-",M475-J475)</f>
        <v/>
      </c>
      <c r="AI475" s="46">
        <f>IF(AND(S475=0,M475&gt;0,L475=0),IF(AH475&gt;=120,"VERY HIGH",IF(AH475&gt;=90,"HIGH",IF(AH475&gt;=60,"MEDIUM",IF(AH475&lt;60,"LOW")))),"-")</f>
        <v/>
      </c>
      <c r="AJ475" s="12" t="n"/>
      <c r="AK475" s="41">
        <f>IF(AND(W475="X",M475&lt;=$AJ$2),"YES","")</f>
        <v/>
      </c>
      <c r="AL475" s="38">
        <f>IF(AND(W475="X",M475&lt;=$AJ$2),S475,"")</f>
        <v/>
      </c>
      <c r="AM475" s="26">
        <f>IF(AND(W475="X",M475&gt;$AJ$2),"YES","")</f>
        <v/>
      </c>
      <c r="AN475" s="89">
        <f>IF(AND(W475="X",M475&gt;$AJ$2),S475,"")</f>
        <v/>
      </c>
      <c r="AO475" s="35">
        <f>IF(AND(W475="",M475&gt;0,$AJ$2&gt;M475,L475=""),1,0)</f>
        <v/>
      </c>
      <c r="AP475" s="26">
        <f>IF(AND(AK475="YES",W475="X"),"X","")</f>
        <v/>
      </c>
      <c r="AQ475" s="28">
        <f>IF(AP475="X",100%,0%)</f>
        <v/>
      </c>
      <c r="AR475" s="25">
        <f>IF(AND(T475&gt;0,L475=""),H475,"")</f>
        <v/>
      </c>
      <c r="AS475" s="25">
        <f>IF(AND(D475&gt;0,H475=0,G475=""),1,"")</f>
        <v/>
      </c>
      <c r="AT475" s="25">
        <f>IF(G475="BLOQ",1,"")</f>
        <v/>
      </c>
      <c r="AU475" s="25">
        <f>IF(L475="BLOQ",1,"")</f>
        <v/>
      </c>
      <c r="AV475" s="25">
        <f>MONTH(F475)</f>
        <v/>
      </c>
      <c r="AW475" s="65">
        <f>IF(AP475="",100%,0%)</f>
        <v/>
      </c>
      <c r="AX475" s="23" t="n"/>
      <c r="AY475" s="24">
        <f>IF(M475=0,"",M475-$AX$2)</f>
        <v/>
      </c>
      <c r="AZ475" s="66">
        <f>IF(AND(W475="",AY475&gt;0,AY475&lt;15),1,0)</f>
        <v/>
      </c>
      <c r="BA475" s="24">
        <f>IF(AND(W475="",AY475&gt;0,AY475&lt;15),T475,"")</f>
        <v/>
      </c>
      <c r="BB475" s="87">
        <f>IF(R475&lt;Q475,"X","")</f>
        <v/>
      </c>
      <c r="BC475" s="190" t="inlineStr">
        <is>
          <t>NO</t>
        </is>
      </c>
      <c r="BD475" s="190" t="inlineStr">
        <is>
          <t>NO</t>
        </is>
      </c>
    </row>
    <row r="476" ht="15" customHeight="1" s="162">
      <c r="A476" s="7" t="n">
        <v>475</v>
      </c>
      <c r="B476" t="inlineStr">
        <is>
          <t>31211904</t>
        </is>
      </c>
      <c r="C476" t="inlineStr">
        <is>
          <t>Brocha para pintura Loctite  con punta p</t>
        </is>
      </c>
      <c r="D476" t="inlineStr">
        <is>
          <t>1101871032</t>
        </is>
      </c>
      <c r="E476" t="inlineStr">
        <is>
          <t>1</t>
        </is>
      </c>
      <c r="F476" s="163" t="n">
        <v>45797</v>
      </c>
      <c r="G476" t="inlineStr"/>
      <c r="H476" t="inlineStr">
        <is>
          <t>4800003072</t>
        </is>
      </c>
      <c r="I476" t="inlineStr">
        <is>
          <t>650</t>
        </is>
      </c>
      <c r="J476" s="163" t="n">
        <v>45797</v>
      </c>
      <c r="K476" s="163" t="inlineStr"/>
      <c r="L476" t="inlineStr"/>
      <c r="M476" s="163" t="n">
        <v>45798</v>
      </c>
      <c r="N476" s="164" t="n">
        <v>0</v>
      </c>
      <c r="O476" s="164" t="n">
        <v>0</v>
      </c>
      <c r="P476" t="inlineStr"/>
      <c r="Q476" s="165" t="n">
        <v>3</v>
      </c>
      <c r="R476" s="165" t="n">
        <v>3</v>
      </c>
      <c r="S476" s="165" t="n">
        <v>3</v>
      </c>
      <c r="T476" s="165" t="n">
        <v>0</v>
      </c>
      <c r="U476" s="166" t="n">
        <v>0</v>
      </c>
      <c r="V476" s="166" t="n">
        <v>0</v>
      </c>
      <c r="W476" t="inlineStr">
        <is>
          <t>X</t>
        </is>
      </c>
      <c r="X476" t="inlineStr">
        <is>
          <t>0.00</t>
        </is>
      </c>
      <c r="Y476" t="inlineStr"/>
      <c r="Z476" t="inlineStr">
        <is>
          <t>AMIDATA, S.A.</t>
        </is>
      </c>
      <c r="AA476" t="inlineStr"/>
      <c r="AB476" t="inlineStr">
        <is>
          <t>2907745</t>
        </is>
      </c>
      <c r="AC476" t="inlineStr"/>
      <c r="AD476" s="164" t="n">
        <v>0</v>
      </c>
      <c r="AE476" s="185" t="n">
        <v>0</v>
      </c>
      <c r="AG476" s="167" t="inlineStr">
        <is>
          <t>7218|S24B05_S1071</t>
        </is>
      </c>
      <c r="AH476" s="46">
        <f>IF(M476=0,"-",M476-J476)</f>
        <v/>
      </c>
      <c r="AI476" s="46">
        <f>IF(AND(S476=0,M476&gt;0,L476=0),IF(AH476&gt;=120,"VERY HIGH",IF(AH476&gt;=90,"HIGH",IF(AH476&gt;=60,"MEDIUM",IF(AH476&lt;60,"LOW")))),"-")</f>
        <v/>
      </c>
      <c r="AJ476" s="12" t="n"/>
      <c r="AK476" s="41">
        <f>IF(AND(W476="X",M476&lt;=$AJ$2),"YES","")</f>
        <v/>
      </c>
      <c r="AL476" s="38">
        <f>IF(AND(W476="X",M476&lt;=$AJ$2),S476,"")</f>
        <v/>
      </c>
      <c r="AM476" s="26">
        <f>IF(AND(W476="X",M476&gt;$AJ$2),"YES","")</f>
        <v/>
      </c>
      <c r="AN476" s="89">
        <f>IF(AND(W476="X",M476&gt;$AJ$2),S476,"")</f>
        <v/>
      </c>
      <c r="AO476" s="35">
        <f>IF(AND(W476="",M476&gt;0,$AJ$2&gt;M476,L476=""),1,0)</f>
        <v/>
      </c>
      <c r="AP476" s="26">
        <f>IF(AND(AK476="YES",W476="X"),"X","")</f>
        <v/>
      </c>
      <c r="AQ476" s="28">
        <f>IF(AP476="X",100%,0%)</f>
        <v/>
      </c>
      <c r="AR476" s="25">
        <f>IF(AND(T476&gt;0,L476=""),H476,"")</f>
        <v/>
      </c>
      <c r="AS476" s="25">
        <f>IF(AND(D476&gt;0,H476=0,G476=""),1,"")</f>
        <v/>
      </c>
      <c r="AT476" s="25">
        <f>IF(G476="BLOQ",1,"")</f>
        <v/>
      </c>
      <c r="AU476" s="25">
        <f>IF(L476="BLOQ",1,"")</f>
        <v/>
      </c>
      <c r="AV476" s="25">
        <f>MONTH(F476)</f>
        <v/>
      </c>
      <c r="AW476" s="65">
        <f>IF(AP476="",100%,0%)</f>
        <v/>
      </c>
      <c r="AX476" s="23" t="n"/>
      <c r="AY476" s="24">
        <f>IF(M476=0,"",M476-$AX$2)</f>
        <v/>
      </c>
      <c r="AZ476" s="66">
        <f>IF(AND(W476="",AY476&gt;0,AY476&lt;15),1,0)</f>
        <v/>
      </c>
      <c r="BA476" s="24">
        <f>IF(AND(W476="",AY476&gt;0,AY476&lt;15),T476,"")</f>
        <v/>
      </c>
      <c r="BB476" s="87">
        <f>IF(R476&lt;Q476,"X","")</f>
        <v/>
      </c>
      <c r="BC476" s="190" t="inlineStr">
        <is>
          <t>NO</t>
        </is>
      </c>
      <c r="BD476" s="190" t="inlineStr">
        <is>
          <t>NO</t>
        </is>
      </c>
    </row>
    <row r="477" ht="15" customHeight="1" s="162">
      <c r="A477" s="7" t="n">
        <v>476</v>
      </c>
      <c r="B477" t="inlineStr">
        <is>
          <t>46182002</t>
        </is>
      </c>
      <c r="C477" t="inlineStr">
        <is>
          <t>Mascarillas desechables FFP1 9312+, seri</t>
        </is>
      </c>
      <c r="D477" t="inlineStr">
        <is>
          <t>1101871032</t>
        </is>
      </c>
      <c r="E477" t="inlineStr">
        <is>
          <t>2</t>
        </is>
      </c>
      <c r="F477" s="163" t="n">
        <v>45797</v>
      </c>
      <c r="G477" t="inlineStr"/>
      <c r="H477" t="inlineStr">
        <is>
          <t>4800003072</t>
        </is>
      </c>
      <c r="I477" t="inlineStr">
        <is>
          <t>660</t>
        </is>
      </c>
      <c r="J477" s="163" t="n">
        <v>45797</v>
      </c>
      <c r="K477" s="163" t="inlineStr"/>
      <c r="L477" t="inlineStr"/>
      <c r="M477" s="163" t="n">
        <v>45798</v>
      </c>
      <c r="N477" s="164" t="n">
        <v>0</v>
      </c>
      <c r="O477" s="164" t="n">
        <v>0</v>
      </c>
      <c r="P477" t="inlineStr"/>
      <c r="Q477" s="165" t="n">
        <v>1</v>
      </c>
      <c r="R477" s="165" t="n">
        <v>1</v>
      </c>
      <c r="S477" s="165" t="n">
        <v>1</v>
      </c>
      <c r="T477" s="165" t="n">
        <v>0</v>
      </c>
      <c r="U477" s="166" t="n">
        <v>0</v>
      </c>
      <c r="V477" s="166" t="n">
        <v>0</v>
      </c>
      <c r="W477" t="inlineStr">
        <is>
          <t>X</t>
        </is>
      </c>
      <c r="X477" t="inlineStr">
        <is>
          <t>0.00</t>
        </is>
      </c>
      <c r="Y477" t="inlineStr"/>
      <c r="Z477" t="inlineStr">
        <is>
          <t>AMIDATA, S.A.</t>
        </is>
      </c>
      <c r="AA477" t="inlineStr"/>
      <c r="AB477" t="inlineStr">
        <is>
          <t>7660378</t>
        </is>
      </c>
      <c r="AC477" t="inlineStr"/>
      <c r="AD477" s="164" t="n">
        <v>0</v>
      </c>
      <c r="AE477" s="185" t="n">
        <v>0</v>
      </c>
      <c r="AG477" s="167" t="inlineStr">
        <is>
          <t>7218|S24B05_S1071</t>
        </is>
      </c>
      <c r="AH477" s="46">
        <f>IF(M477=0,"-",M477-J477)</f>
        <v/>
      </c>
      <c r="AI477" s="46">
        <f>IF(AND(S477=0,M477&gt;0,L477=0),IF(AH477&gt;=120,"VERY HIGH",IF(AH477&gt;=90,"HIGH",IF(AH477&gt;=60,"MEDIUM",IF(AH477&lt;60,"LOW")))),"-")</f>
        <v/>
      </c>
      <c r="AJ477" s="12" t="n"/>
      <c r="AK477" s="41">
        <f>IF(AND(W477="X",M477&lt;=$AJ$2),"YES","")</f>
        <v/>
      </c>
      <c r="AL477" s="38">
        <f>IF(AND(W477="X",M477&lt;=$AJ$2),S477,"")</f>
        <v/>
      </c>
      <c r="AM477" s="26">
        <f>IF(AND(W477="X",M477&gt;$AJ$2),"YES","")</f>
        <v/>
      </c>
      <c r="AN477" s="89">
        <f>IF(AND(W477="X",M477&gt;$AJ$2),S477,"")</f>
        <v/>
      </c>
      <c r="AO477" s="35">
        <f>IF(AND(W477="",M477&gt;0,$AJ$2&gt;M477,L477=""),1,0)</f>
        <v/>
      </c>
      <c r="AP477" s="26">
        <f>IF(AND(AK477="YES",W477="X"),"X","")</f>
        <v/>
      </c>
      <c r="AQ477" s="28">
        <f>IF(AP477="X",100%,0%)</f>
        <v/>
      </c>
      <c r="AR477" s="25">
        <f>IF(AND(T477&gt;0,L477=""),H477,"")</f>
        <v/>
      </c>
      <c r="AS477" s="25">
        <f>IF(AND(D477&gt;0,H477=0,G477=""),1,"")</f>
        <v/>
      </c>
      <c r="AT477" s="25">
        <f>IF(G477="BLOQ",1,"")</f>
        <v/>
      </c>
      <c r="AU477" s="25">
        <f>IF(L477="BLOQ",1,"")</f>
        <v/>
      </c>
      <c r="AV477" s="25">
        <f>MONTH(F477)</f>
        <v/>
      </c>
      <c r="AW477" s="65">
        <f>IF(AP477="",100%,0%)</f>
        <v/>
      </c>
      <c r="AX477" s="23" t="n"/>
      <c r="AY477" s="24">
        <f>IF(M477=0,"",M477-$AX$2)</f>
        <v/>
      </c>
      <c r="AZ477" s="66">
        <f>IF(AND(W477="",AY477&gt;0,AY477&lt;15),1,0)</f>
        <v/>
      </c>
      <c r="BA477" s="24">
        <f>IF(AND(W477="",AY477&gt;0,AY477&lt;15),T477,"")</f>
        <v/>
      </c>
      <c r="BB477" s="87">
        <f>IF(R477&lt;Q477,"X","")</f>
        <v/>
      </c>
      <c r="BC477" s="190" t="inlineStr">
        <is>
          <t>NO</t>
        </is>
      </c>
      <c r="BD477" s="190" t="inlineStr">
        <is>
          <t>NO</t>
        </is>
      </c>
    </row>
    <row r="478" ht="15" customHeight="1" s="162">
      <c r="A478" s="7" t="n">
        <v>477</v>
      </c>
      <c r="B478" t="inlineStr">
        <is>
          <t>31161518</t>
        </is>
      </c>
      <c r="C478" t="inlineStr">
        <is>
          <t>Tornillo Allen de cabeza cil&amp;#237;ndrica</t>
        </is>
      </c>
      <c r="D478" t="inlineStr">
        <is>
          <t>1101871205</t>
        </is>
      </c>
      <c r="E478" t="inlineStr">
        <is>
          <t>1</t>
        </is>
      </c>
      <c r="F478" s="163" t="n">
        <v>45797</v>
      </c>
      <c r="G478" t="inlineStr"/>
      <c r="H478" t="inlineStr">
        <is>
          <t>4800003073</t>
        </is>
      </c>
      <c r="I478" t="inlineStr">
        <is>
          <t>30</t>
        </is>
      </c>
      <c r="J478" s="163" t="n">
        <v>45797</v>
      </c>
      <c r="K478" s="163" t="inlineStr"/>
      <c r="L478" t="inlineStr"/>
      <c r="M478" s="163" t="n">
        <v>45798</v>
      </c>
      <c r="N478" s="164" t="n">
        <v>0</v>
      </c>
      <c r="O478" s="164" t="n">
        <v>0</v>
      </c>
      <c r="P478" t="inlineStr"/>
      <c r="Q478" s="165" t="n">
        <v>1</v>
      </c>
      <c r="R478" s="165" t="n">
        <v>1</v>
      </c>
      <c r="S478" s="165" t="n">
        <v>1</v>
      </c>
      <c r="T478" s="165" t="n">
        <v>0</v>
      </c>
      <c r="U478" s="166" t="n">
        <v>0</v>
      </c>
      <c r="V478" s="166" t="n">
        <v>0</v>
      </c>
      <c r="W478" t="inlineStr">
        <is>
          <t>X</t>
        </is>
      </c>
      <c r="X478" t="inlineStr">
        <is>
          <t>0.00</t>
        </is>
      </c>
      <c r="Y478" t="inlineStr"/>
      <c r="Z478" t="inlineStr">
        <is>
          <t>AMIDATA, S.A.</t>
        </is>
      </c>
      <c r="AA478" t="inlineStr"/>
      <c r="AB478" t="inlineStr">
        <is>
          <t>0293325</t>
        </is>
      </c>
      <c r="AC478" t="inlineStr"/>
      <c r="AD478" s="164" t="n">
        <v>0</v>
      </c>
      <c r="AE478" s="185" t="n">
        <v>0</v>
      </c>
      <c r="AG478" s="167" t="inlineStr">
        <is>
          <t>7218|S24B05_S1071</t>
        </is>
      </c>
      <c r="AH478" s="46">
        <f>IF(M478=0,"-",M478-J478)</f>
        <v/>
      </c>
      <c r="AI478" s="46">
        <f>IF(AND(S478=0,M478&gt;0,L478=0),IF(AH478&gt;=120,"VERY HIGH",IF(AH478&gt;=90,"HIGH",IF(AH478&gt;=60,"MEDIUM",IF(AH478&lt;60,"LOW")))),"-")</f>
        <v/>
      </c>
      <c r="AJ478" s="12" t="n"/>
      <c r="AK478" s="41">
        <f>IF(AND(W478="X",M478&lt;=$AJ$2),"YES","")</f>
        <v/>
      </c>
      <c r="AL478" s="38">
        <f>IF(AND(W478="X",M478&lt;=$AJ$2),S478,"")</f>
        <v/>
      </c>
      <c r="AM478" s="26">
        <f>IF(AND(W478="X",M478&gt;$AJ$2),"YES","")</f>
        <v/>
      </c>
      <c r="AN478" s="89">
        <f>IF(AND(W478="X",M478&gt;$AJ$2),S478,"")</f>
        <v/>
      </c>
      <c r="AO478" s="35">
        <f>IF(AND(W478="",M478&gt;0,$AJ$2&gt;M478,L478=""),1,0)</f>
        <v/>
      </c>
      <c r="AP478" s="26">
        <f>IF(AND(AK478="YES",W478="X"),"X","")</f>
        <v/>
      </c>
      <c r="AQ478" s="28">
        <f>IF(AP478="X",100%,0%)</f>
        <v/>
      </c>
      <c r="AR478" s="25">
        <f>IF(AND(T478&gt;0,L478=""),H478,"")</f>
        <v/>
      </c>
      <c r="AS478" s="25">
        <f>IF(AND(D478&gt;0,H478=0,G478=""),1,"")</f>
        <v/>
      </c>
      <c r="AT478" s="25">
        <f>IF(G478="BLOQ",1,"")</f>
        <v/>
      </c>
      <c r="AU478" s="25">
        <f>IF(L478="BLOQ",1,"")</f>
        <v/>
      </c>
      <c r="AV478" s="25">
        <f>MONTH(F478)</f>
        <v/>
      </c>
      <c r="AW478" s="65">
        <f>IF(AP478="",100%,0%)</f>
        <v/>
      </c>
      <c r="AX478" s="23" t="n"/>
      <c r="AY478" s="24">
        <f>IF(M478=0,"",M478-$AX$2)</f>
        <v/>
      </c>
      <c r="AZ478" s="66">
        <f>IF(AND(W478="",AY478&gt;0,AY478&lt;15),1,0)</f>
        <v/>
      </c>
      <c r="BA478" s="24">
        <f>IF(AND(W478="",AY478&gt;0,AY478&lt;15),T478,"")</f>
        <v/>
      </c>
      <c r="BB478" s="87">
        <f>IF(R478&lt;Q478,"X","")</f>
        <v/>
      </c>
      <c r="BC478" s="190" t="inlineStr">
        <is>
          <t>NO</t>
        </is>
      </c>
      <c r="BD478" s="190" t="inlineStr">
        <is>
          <t>NO</t>
        </is>
      </c>
    </row>
    <row r="479" ht="15" customHeight="1" s="162">
      <c r="A479" s="7" t="n">
        <v>478</v>
      </c>
      <c r="B479" t="inlineStr">
        <is>
          <t>1709800000500</t>
        </is>
      </c>
      <c r="C479" t="inlineStr">
        <is>
          <t>COMPRA DIRECTA FERRETERIA Y HERRAMIENTAS</t>
        </is>
      </c>
      <c r="D479" t="inlineStr">
        <is>
          <t>1101871581</t>
        </is>
      </c>
      <c r="E479" t="inlineStr">
        <is>
          <t>1</t>
        </is>
      </c>
      <c r="F479" s="163" t="n">
        <v>45798</v>
      </c>
      <c r="G479" t="inlineStr"/>
      <c r="H479" t="inlineStr">
        <is>
          <t>4200612677</t>
        </is>
      </c>
      <c r="I479" t="inlineStr">
        <is>
          <t>10</t>
        </is>
      </c>
      <c r="J479" s="163" t="n">
        <v>45804</v>
      </c>
      <c r="K479" s="163" t="n">
        <v>45804</v>
      </c>
      <c r="L479" t="inlineStr"/>
      <c r="M479" s="163" t="n">
        <v>45818</v>
      </c>
      <c r="N479" s="164" t="n">
        <v>30</v>
      </c>
      <c r="O479" s="164" t="n">
        <v>8</v>
      </c>
      <c r="P479" t="inlineStr">
        <is>
          <t>Liberado</t>
        </is>
      </c>
      <c r="Q479" s="165" t="n">
        <v>1</v>
      </c>
      <c r="R479" s="165" t="n">
        <v>1</v>
      </c>
      <c r="S479" s="165" t="n">
        <v>1</v>
      </c>
      <c r="T479" s="165" t="n">
        <v>0</v>
      </c>
      <c r="U479" s="166" t="n">
        <v>0</v>
      </c>
      <c r="V479" s="166" t="n">
        <v>0</v>
      </c>
      <c r="W479" t="inlineStr">
        <is>
          <t>X</t>
        </is>
      </c>
      <c r="X479" t="inlineStr">
        <is>
          <t>0.00</t>
        </is>
      </c>
      <c r="Y479" t="inlineStr"/>
      <c r="Z479" t="inlineStr">
        <is>
          <t>ABACO SUYTEC, S.A.U.</t>
        </is>
      </c>
      <c r="AA479" t="inlineStr">
        <is>
          <t>OTROS FABRICANTES</t>
        </is>
      </c>
      <c r="AB479" t="inlineStr">
        <is>
          <t>1709800000500</t>
        </is>
      </c>
      <c r="AC479" t="inlineStr"/>
      <c r="AD479" s="164" t="n">
        <v>0</v>
      </c>
      <c r="AE479" s="185" t="n">
        <v>0</v>
      </c>
      <c r="AG479" s="167" t="inlineStr">
        <is>
          <t>7218|JA2594_1001</t>
        </is>
      </c>
      <c r="AH479" s="46">
        <f>IF(M479=0,"-",M479-J479)</f>
        <v/>
      </c>
      <c r="AI479" s="46">
        <f>IF(AND(S479=0,M479&gt;0,L479=0),IF(AH479&gt;=120,"VERY HIGH",IF(AH479&gt;=90,"HIGH",IF(AH479&gt;=60,"MEDIUM",IF(AH479&lt;60,"LOW")))),"-")</f>
        <v/>
      </c>
      <c r="AJ479" s="12" t="n"/>
      <c r="AK479" s="41">
        <f>IF(AND(W479="X",M479&lt;=$AJ$2),"YES","")</f>
        <v/>
      </c>
      <c r="AL479" s="38">
        <f>IF(AND(W479="X",M479&lt;=$AJ$2),S479,"")</f>
        <v/>
      </c>
      <c r="AM479" s="26">
        <f>IF(AND(W479="X",M479&gt;$AJ$2),"YES","")</f>
        <v/>
      </c>
      <c r="AN479" s="89">
        <f>IF(AND(W479="X",M479&gt;$AJ$2),S479,"")</f>
        <v/>
      </c>
      <c r="AO479" s="35">
        <f>IF(AND(W479="",M479&gt;0,$AJ$2&gt;M479,L479=""),1,0)</f>
        <v/>
      </c>
      <c r="AP479" s="26">
        <f>IF(AND(AK479="YES",W479="X"),"X","")</f>
        <v/>
      </c>
      <c r="AQ479" s="28">
        <f>IF(AP479="X",100%,0%)</f>
        <v/>
      </c>
      <c r="AR479" s="25">
        <f>IF(AND(T479&gt;0,L479=""),H479,"")</f>
        <v/>
      </c>
      <c r="AS479" s="25">
        <f>IF(AND(D479&gt;0,H479=0,G479=""),1,"")</f>
        <v/>
      </c>
      <c r="AT479" s="25">
        <f>IF(G479="BLOQ",1,"")</f>
        <v/>
      </c>
      <c r="AU479" s="25">
        <f>IF(L479="BLOQ",1,"")</f>
        <v/>
      </c>
      <c r="AV479" s="25">
        <f>MONTH(F479)</f>
        <v/>
      </c>
      <c r="AW479" s="65">
        <f>IF(AP479="",100%,0%)</f>
        <v/>
      </c>
      <c r="AX479" s="23" t="n"/>
      <c r="AY479" s="24">
        <f>IF(M479=0,"",M479-$AX$2)</f>
        <v/>
      </c>
      <c r="AZ479" s="66">
        <f>IF(AND(W479="",AY479&gt;0,AY479&lt;15),1,0)</f>
        <v/>
      </c>
      <c r="BA479" s="24">
        <f>IF(AND(W479="",AY479&gt;0,AY479&lt;15),T479,"")</f>
        <v/>
      </c>
      <c r="BB479" s="87">
        <f>IF(R479&lt;Q479,"X","")</f>
        <v/>
      </c>
      <c r="BC479" s="190" t="inlineStr">
        <is>
          <t>NO</t>
        </is>
      </c>
      <c r="BD479" s="190" t="inlineStr">
        <is>
          <t>NO</t>
        </is>
      </c>
    </row>
    <row r="480" ht="15" customFormat="1" customHeight="1" s="183">
      <c r="A480" s="7" t="n">
        <v>479</v>
      </c>
      <c r="B480" t="inlineStr"/>
      <c r="C480" t="inlineStr">
        <is>
          <t>TRABAJOS MONTAJE SIM H175</t>
        </is>
      </c>
      <c r="D480" t="inlineStr">
        <is>
          <t>1101872115</t>
        </is>
      </c>
      <c r="E480" t="inlineStr">
        <is>
          <t>1</t>
        </is>
      </c>
      <c r="F480" s="163" t="n">
        <v>45799</v>
      </c>
      <c r="G480" t="inlineStr"/>
      <c r="H480" t="inlineStr">
        <is>
          <t>4300346671</t>
        </is>
      </c>
      <c r="I480" t="inlineStr">
        <is>
          <t>10</t>
        </is>
      </c>
      <c r="J480" s="163" t="n">
        <v>45803</v>
      </c>
      <c r="K480" s="163" t="n">
        <v>45803</v>
      </c>
      <c r="L480" t="inlineStr"/>
      <c r="M480" s="163" t="n">
        <v>45822</v>
      </c>
      <c r="N480" s="164" t="n">
        <v>0</v>
      </c>
      <c r="O480" s="164" t="n">
        <v>0</v>
      </c>
      <c r="P480" t="inlineStr">
        <is>
          <t>Liberado</t>
        </is>
      </c>
      <c r="Q480" s="166" t="n">
        <v>1</v>
      </c>
      <c r="R480" s="164" t="n">
        <v>1</v>
      </c>
      <c r="S480" s="164" t="n">
        <v>0</v>
      </c>
      <c r="T480" s="164" t="n">
        <v>0</v>
      </c>
      <c r="U480" s="166" t="n">
        <v>0</v>
      </c>
      <c r="V480" s="166" t="n">
        <v>0</v>
      </c>
      <c r="W480" t="inlineStr">
        <is>
          <t>X</t>
        </is>
      </c>
      <c r="X480" t="inlineStr">
        <is>
          <t>0.00</t>
        </is>
      </c>
      <c r="Y480" t="inlineStr"/>
      <c r="Z480" t="inlineStr">
        <is>
          <t>AUXITEL, S.L.</t>
        </is>
      </c>
      <c r="AA480" t="inlineStr"/>
      <c r="AB480" t="inlineStr"/>
      <c r="AC480" t="inlineStr"/>
      <c r="AD480" s="164" t="n">
        <v>0</v>
      </c>
      <c r="AE480" s="185" t="n">
        <v>0</v>
      </c>
      <c r="AG480" s="183" t="inlineStr">
        <is>
          <t>7218|JA2593_1001</t>
        </is>
      </c>
      <c r="AH480" s="172">
        <f>IF(M480=0,"-",M480-J480)</f>
        <v/>
      </c>
      <c r="AI480" s="172">
        <f>IF(AND(S480=0,M480&gt;0,L480=0),IF(AH480&gt;=120,"VERY HIGH",IF(AH480&gt;=90,"HIGH",IF(AH480&gt;=60,"MEDIUM",IF(AH480&lt;60,"LOW")))),"-")</f>
        <v/>
      </c>
      <c r="AJ480" s="183" t="n"/>
      <c r="AK480" s="174">
        <f>IF(AND(W480="X",M480&lt;=$AJ$2),"YES","")</f>
        <v/>
      </c>
      <c r="AL480" s="175">
        <f>IF(AND(W480="X",M480&lt;=$AJ$2),S480,"")</f>
        <v/>
      </c>
      <c r="AM480" s="172">
        <f>IF(AND(W480="X",M480&gt;$AJ$2),"YES","")</f>
        <v/>
      </c>
      <c r="AN480" s="176">
        <f>IF(AND(W480="X",M480&gt;$AJ$2),S480,"")</f>
        <v/>
      </c>
      <c r="AO480" s="177">
        <f>IF(AND(W480="",M480&gt;0,$AJ$2&gt;M480,L480=""),1,0)</f>
        <v/>
      </c>
      <c r="AP480" s="172">
        <f>IF(AND(AK480="YES",W480="X"),"X","")</f>
        <v/>
      </c>
      <c r="AQ480" s="178">
        <f>IF(AP480="X",100%,0%)</f>
        <v/>
      </c>
      <c r="AR480" s="177">
        <f>IF(AND(T480&gt;0,L480=""),H480,"")</f>
        <v/>
      </c>
      <c r="AS480" s="177">
        <f>IF(AND(D480&gt;0,H480=0,G480=""),1,"")</f>
        <v/>
      </c>
      <c r="AT480" s="177">
        <f>IF(G480="BLOQ",1,"")</f>
        <v/>
      </c>
      <c r="AU480" s="177">
        <f>IF(L480="BLOQ",1,"")</f>
        <v/>
      </c>
      <c r="AV480" s="177">
        <f>MONTH(F480)</f>
        <v/>
      </c>
      <c r="AW480" s="178">
        <f>IF(AP480="",100%,0%)</f>
        <v/>
      </c>
      <c r="AX480" s="179" t="n"/>
      <c r="AY480" s="180">
        <f>IF(M480=0,"",M480-$AX$2)</f>
        <v/>
      </c>
      <c r="AZ480" s="181">
        <f>IF(AND(W480="",AY480&gt;0,AY480&lt;15),1,0)</f>
        <v/>
      </c>
      <c r="BA480" s="180">
        <f>IF(AND(W480="",AY480&gt;0,AY480&lt;15),T480,"")</f>
        <v/>
      </c>
      <c r="BB480" s="182">
        <f>IF(R480&lt;Q480,"X","")</f>
        <v/>
      </c>
      <c r="BC480" s="190" t="inlineStr">
        <is>
          <t>NO</t>
        </is>
      </c>
      <c r="BD480" s="190" t="inlineStr">
        <is>
          <t>NO</t>
        </is>
      </c>
    </row>
    <row r="481" ht="15" customHeight="1" s="162">
      <c r="A481" s="7" t="n">
        <v>480</v>
      </c>
      <c r="B481" t="inlineStr">
        <is>
          <t>26121609</t>
        </is>
      </c>
      <c r="C481" t="inlineStr">
        <is>
          <t>Cable telef&amp;#243;nico Decelect, 2 pares,</t>
        </is>
      </c>
      <c r="D481" t="inlineStr">
        <is>
          <t>1101872649</t>
        </is>
      </c>
      <c r="E481" t="inlineStr">
        <is>
          <t>1</t>
        </is>
      </c>
      <c r="F481" s="163" t="n">
        <v>45800</v>
      </c>
      <c r="G481" t="inlineStr"/>
      <c r="H481" t="inlineStr">
        <is>
          <t>4800003080</t>
        </is>
      </c>
      <c r="I481" t="inlineStr">
        <is>
          <t>80</t>
        </is>
      </c>
      <c r="J481" s="163" t="n">
        <v>45800</v>
      </c>
      <c r="K481" s="163" t="inlineStr"/>
      <c r="L481" t="inlineStr"/>
      <c r="M481" s="163" t="n">
        <v>45801</v>
      </c>
      <c r="N481" s="164" t="n">
        <v>0</v>
      </c>
      <c r="O481" s="164" t="n">
        <v>0</v>
      </c>
      <c r="P481" t="inlineStr"/>
      <c r="Q481" s="165" t="n">
        <v>1</v>
      </c>
      <c r="R481" s="165" t="n">
        <v>1</v>
      </c>
      <c r="S481" s="165" t="n">
        <v>1</v>
      </c>
      <c r="T481" s="165" t="n">
        <v>0</v>
      </c>
      <c r="U481" s="166" t="n">
        <v>0</v>
      </c>
      <c r="V481" s="166" t="n">
        <v>0</v>
      </c>
      <c r="W481" t="inlineStr">
        <is>
          <t>X</t>
        </is>
      </c>
      <c r="X481" t="inlineStr">
        <is>
          <t>0.00</t>
        </is>
      </c>
      <c r="Y481" t="inlineStr"/>
      <c r="Z481" t="inlineStr">
        <is>
          <t>AMIDATA, S.A.</t>
        </is>
      </c>
      <c r="AA481" t="inlineStr"/>
      <c r="AB481" t="inlineStr">
        <is>
          <t>5185667</t>
        </is>
      </c>
      <c r="AC481" t="inlineStr"/>
      <c r="AD481" s="164" t="n">
        <v>0</v>
      </c>
      <c r="AE481" s="185" t="n">
        <v>0</v>
      </c>
      <c r="AG481" s="167" t="inlineStr">
        <is>
          <t>7218|JA2582_1001</t>
        </is>
      </c>
      <c r="AH481" s="46">
        <f>IF(M481=0,"-",M481-J481)</f>
        <v/>
      </c>
      <c r="AI481" s="46">
        <f>IF(AND(S481=0,M481&gt;0,L481=0),IF(AH481&gt;=120,"VERY HIGH",IF(AH481&gt;=90,"HIGH",IF(AH481&gt;=60,"MEDIUM",IF(AH481&lt;60,"LOW")))),"-")</f>
        <v/>
      </c>
      <c r="AJ481" s="12" t="n"/>
      <c r="AK481" s="41">
        <f>IF(AND(W481="X",M481&lt;=$AJ$2),"YES","")</f>
        <v/>
      </c>
      <c r="AL481" s="38">
        <f>IF(AND(W481="X",M481&lt;=$AJ$2),S481,"")</f>
        <v/>
      </c>
      <c r="AM481" s="26">
        <f>IF(AND(W481="X",M481&gt;$AJ$2),"YES","")</f>
        <v/>
      </c>
      <c r="AN481" s="89">
        <f>IF(AND(W481="X",M481&gt;$AJ$2),S481,"")</f>
        <v/>
      </c>
      <c r="AO481" s="35">
        <f>IF(AND(W481="",M481&gt;0,$AJ$2&gt;M481,L481=""),1,0)</f>
        <v/>
      </c>
      <c r="AP481" s="26">
        <f>IF(AND(AK481="YES",W481="X"),"X","")</f>
        <v/>
      </c>
      <c r="AQ481" s="28">
        <f>IF(AP481="X",100%,0%)</f>
        <v/>
      </c>
      <c r="AR481" s="25">
        <f>IF(AND(T481&gt;0,L481=""),H481,"")</f>
        <v/>
      </c>
      <c r="AS481" s="25">
        <f>IF(AND(D481&gt;0,H481=0,G481=""),1,"")</f>
        <v/>
      </c>
      <c r="AT481" s="25">
        <f>IF(G481="BLOQ",1,"")</f>
        <v/>
      </c>
      <c r="AU481" s="25">
        <f>IF(L481="BLOQ",1,"")</f>
        <v/>
      </c>
      <c r="AV481" s="25">
        <f>MONTH(F481)</f>
        <v/>
      </c>
      <c r="AW481" s="65">
        <f>IF(AP481="",100%,0%)</f>
        <v/>
      </c>
      <c r="AX481" s="23" t="n"/>
      <c r="AY481" s="24">
        <f>IF(M481=0,"",M481-$AX$2)</f>
        <v/>
      </c>
      <c r="AZ481" s="66">
        <f>IF(AND(W481="",AY481&gt;0,AY481&lt;15),1,0)</f>
        <v/>
      </c>
      <c r="BA481" s="24">
        <f>IF(AND(W481="",AY481&gt;0,AY481&lt;15),T481,"")</f>
        <v/>
      </c>
      <c r="BB481" s="87">
        <f>IF(R481&lt;Q481,"X","")</f>
        <v/>
      </c>
      <c r="BC481" s="190" t="inlineStr">
        <is>
          <t>NO</t>
        </is>
      </c>
      <c r="BD481" s="190" t="inlineStr">
        <is>
          <t>NO</t>
        </is>
      </c>
    </row>
    <row r="482" ht="15" customHeight="1" s="162">
      <c r="A482" s="7" t="n">
        <v>481</v>
      </c>
      <c r="B482" t="inlineStr">
        <is>
          <t>31162906</t>
        </is>
      </c>
      <c r="C482" t="inlineStr">
        <is>
          <t>Abrazadera HI-TORQUE de Acero inoxidable</t>
        </is>
      </c>
      <c r="D482" t="inlineStr">
        <is>
          <t>1101873624</t>
        </is>
      </c>
      <c r="E482" t="inlineStr">
        <is>
          <t>1</t>
        </is>
      </c>
      <c r="F482" s="163" t="n">
        <v>45804</v>
      </c>
      <c r="G482" t="inlineStr"/>
      <c r="H482" t="inlineStr">
        <is>
          <t>4800003085</t>
        </is>
      </c>
      <c r="I482" t="inlineStr">
        <is>
          <t>120</t>
        </is>
      </c>
      <c r="J482" s="163" t="n">
        <v>45804</v>
      </c>
      <c r="K482" s="163" t="inlineStr"/>
      <c r="L482" t="inlineStr"/>
      <c r="M482" s="163" t="n">
        <v>45805</v>
      </c>
      <c r="N482" s="164" t="n">
        <v>0</v>
      </c>
      <c r="O482" s="164" t="n">
        <v>0</v>
      </c>
      <c r="P482" t="inlineStr"/>
      <c r="Q482" s="165" t="n">
        <v>10</v>
      </c>
      <c r="R482" s="165" t="n">
        <v>10</v>
      </c>
      <c r="S482" s="165" t="n">
        <v>10</v>
      </c>
      <c r="T482" s="165" t="n">
        <v>0</v>
      </c>
      <c r="U482" s="166" t="n">
        <v>0</v>
      </c>
      <c r="V482" s="166" t="n">
        <v>0</v>
      </c>
      <c r="W482" t="inlineStr">
        <is>
          <t>X</t>
        </is>
      </c>
      <c r="X482" t="inlineStr">
        <is>
          <t>0.00</t>
        </is>
      </c>
      <c r="Y482" t="inlineStr"/>
      <c r="Z482" t="inlineStr">
        <is>
          <t>AMIDATA, S.A.</t>
        </is>
      </c>
      <c r="AA482" t="inlineStr"/>
      <c r="AB482" t="inlineStr">
        <is>
          <t>2682684</t>
        </is>
      </c>
      <c r="AC482" t="inlineStr"/>
      <c r="AD482" s="164" t="n">
        <v>0</v>
      </c>
      <c r="AE482" s="185" t="n">
        <v>0</v>
      </c>
      <c r="AG482" s="167" t="inlineStr">
        <is>
          <t>7218|S24B05_S1071</t>
        </is>
      </c>
      <c r="AH482" s="46">
        <f>IF(M482=0,"-",M482-J482)</f>
        <v/>
      </c>
      <c r="AI482" s="46">
        <f>IF(AND(S482=0,M482&gt;0,L482=0),IF(AH482&gt;=120,"VERY HIGH",IF(AH482&gt;=90,"HIGH",IF(AH482&gt;=60,"MEDIUM",IF(AH482&lt;60,"LOW")))),"-")</f>
        <v/>
      </c>
      <c r="AJ482" s="12" t="n"/>
      <c r="AK482" s="41">
        <f>IF(AND(W482="X",M482&lt;=$AJ$2),"YES","")</f>
        <v/>
      </c>
      <c r="AL482" s="38">
        <f>IF(AND(W482="X",M482&lt;=$AJ$2),S482,"")</f>
        <v/>
      </c>
      <c r="AM482" s="26">
        <f>IF(AND(W482="X",M482&gt;$AJ$2),"YES","")</f>
        <v/>
      </c>
      <c r="AN482" s="89">
        <f>IF(AND(W482="X",M482&gt;$AJ$2),S482,"")</f>
        <v/>
      </c>
      <c r="AO482" s="35">
        <f>IF(AND(W482="",M482&gt;0,$AJ$2&gt;M482,L482=""),1,0)</f>
        <v/>
      </c>
      <c r="AP482" s="26">
        <f>IF(AND(AK482="YES",W482="X"),"X","")</f>
        <v/>
      </c>
      <c r="AQ482" s="28">
        <f>IF(AP482="X",100%,0%)</f>
        <v/>
      </c>
      <c r="AR482" s="25">
        <f>IF(AND(T482&gt;0,L482=""),H482,"")</f>
        <v/>
      </c>
      <c r="AS482" s="25">
        <f>IF(AND(D482&gt;0,H482=0,G482=""),1,"")</f>
        <v/>
      </c>
      <c r="AT482" s="25">
        <f>IF(G482="BLOQ",1,"")</f>
        <v/>
      </c>
      <c r="AU482" s="25">
        <f>IF(L482="BLOQ",1,"")</f>
        <v/>
      </c>
      <c r="AV482" s="25">
        <f>MONTH(F482)</f>
        <v/>
      </c>
      <c r="AW482" s="65">
        <f>IF(AP482="",100%,0%)</f>
        <v/>
      </c>
      <c r="AX482" s="23" t="n"/>
      <c r="AY482" s="24">
        <f>IF(M482=0,"",M482-$AX$2)</f>
        <v/>
      </c>
      <c r="AZ482" s="66">
        <f>IF(AND(W482="",AY482&gt;0,AY482&lt;15),1,0)</f>
        <v/>
      </c>
      <c r="BA482" s="24">
        <f>IF(AND(W482="",AY482&gt;0,AY482&lt;15),T482,"")</f>
        <v/>
      </c>
      <c r="BB482" s="87">
        <f>IF(R482&lt;Q482,"X","")</f>
        <v/>
      </c>
      <c r="BC482" s="190" t="inlineStr">
        <is>
          <t>NO</t>
        </is>
      </c>
      <c r="BD482" s="190" t="inlineStr">
        <is>
          <t>NO</t>
        </is>
      </c>
    </row>
    <row r="483" ht="15" customHeight="1" s="162">
      <c r="A483" s="7" t="n">
        <v>482</v>
      </c>
      <c r="B483" t="inlineStr">
        <is>
          <t>1709800000500</t>
        </is>
      </c>
      <c r="C483" t="inlineStr">
        <is>
          <t>COMPRA DIRECTA FERRETERIA Y HERRAMIENTAS</t>
        </is>
      </c>
      <c r="D483" t="inlineStr">
        <is>
          <t>1101874504</t>
        </is>
      </c>
      <c r="E483" t="inlineStr">
        <is>
          <t>1</t>
        </is>
      </c>
      <c r="F483" s="163" t="n">
        <v>45805</v>
      </c>
      <c r="G483" t="inlineStr"/>
      <c r="H483" t="inlineStr">
        <is>
          <t>4200613724</t>
        </is>
      </c>
      <c r="I483" t="inlineStr">
        <is>
          <t>10</t>
        </is>
      </c>
      <c r="J483" s="163" t="n">
        <v>45810</v>
      </c>
      <c r="K483" s="163" t="n">
        <v>45810</v>
      </c>
      <c r="L483" t="inlineStr"/>
      <c r="M483" s="163" t="n">
        <v>45824</v>
      </c>
      <c r="N483" s="164" t="n">
        <v>30</v>
      </c>
      <c r="O483" s="164" t="n">
        <v>8</v>
      </c>
      <c r="P483" t="inlineStr">
        <is>
          <t>Liberado</t>
        </is>
      </c>
      <c r="Q483" s="165" t="n">
        <v>1</v>
      </c>
      <c r="R483" s="165" t="n">
        <v>1</v>
      </c>
      <c r="S483" s="165" t="n">
        <v>1</v>
      </c>
      <c r="T483" s="165" t="n">
        <v>0</v>
      </c>
      <c r="U483" s="166" t="n">
        <v>0</v>
      </c>
      <c r="V483" s="166" t="n">
        <v>0</v>
      </c>
      <c r="W483" t="inlineStr">
        <is>
          <t>X</t>
        </is>
      </c>
      <c r="X483" t="inlineStr">
        <is>
          <t>0.00</t>
        </is>
      </c>
      <c r="Y483" t="inlineStr"/>
      <c r="Z483" t="inlineStr">
        <is>
          <t>ABACO SUYTEC, S.A.U.</t>
        </is>
      </c>
      <c r="AA483" t="inlineStr">
        <is>
          <t>OTROS FABRICANTES</t>
        </is>
      </c>
      <c r="AB483" t="inlineStr">
        <is>
          <t>1709800000500</t>
        </is>
      </c>
      <c r="AC483" t="inlineStr"/>
      <c r="AD483" s="164" t="n">
        <v>0</v>
      </c>
      <c r="AE483" s="185" t="n">
        <v>0</v>
      </c>
      <c r="AG483" s="167" t="inlineStr">
        <is>
          <t>7218|JA2594_1001</t>
        </is>
      </c>
      <c r="AH483" s="46">
        <f>IF(M483=0,"-",M483-J483)</f>
        <v/>
      </c>
      <c r="AI483" s="46">
        <f>IF(AND(S483=0,M483&gt;0,L483=0),IF(AH483&gt;=120,"VERY HIGH",IF(AH483&gt;=90,"HIGH",IF(AH483&gt;=60,"MEDIUM",IF(AH483&lt;60,"LOW")))),"-")</f>
        <v/>
      </c>
      <c r="AJ483" s="12" t="n"/>
      <c r="AK483" s="41">
        <f>IF(AND(W483="X",M483&lt;=$AJ$2),"YES","")</f>
        <v/>
      </c>
      <c r="AL483" s="38">
        <f>IF(AND(W483="X",M483&lt;=$AJ$2),S483,"")</f>
        <v/>
      </c>
      <c r="AM483" s="26">
        <f>IF(AND(W483="X",M483&gt;$AJ$2),"YES","")</f>
        <v/>
      </c>
      <c r="AN483" s="89">
        <f>IF(AND(W483="X",M483&gt;$AJ$2),S483,"")</f>
        <v/>
      </c>
      <c r="AO483" s="35">
        <f>IF(AND(W483="",M483&gt;0,$AJ$2&gt;M483,L483=""),1,0)</f>
        <v/>
      </c>
      <c r="AP483" s="26">
        <f>IF(AND(AK483="YES",W483="X"),"X","")</f>
        <v/>
      </c>
      <c r="AQ483" s="28">
        <f>IF(AP483="X",100%,0%)</f>
        <v/>
      </c>
      <c r="AR483" s="25">
        <f>IF(AND(T483&gt;0,L483=""),H483,"")</f>
        <v/>
      </c>
      <c r="AS483" s="25">
        <f>IF(AND(D483&gt;0,H483=0,G483=""),1,"")</f>
        <v/>
      </c>
      <c r="AT483" s="25">
        <f>IF(G483="BLOQ",1,"")</f>
        <v/>
      </c>
      <c r="AU483" s="25">
        <f>IF(L483="BLOQ",1,"")</f>
        <v/>
      </c>
      <c r="AV483" s="25">
        <f>MONTH(F483)</f>
        <v/>
      </c>
      <c r="AW483" s="65">
        <f>IF(AP483="",100%,0%)</f>
        <v/>
      </c>
      <c r="AX483" s="23" t="n"/>
      <c r="AY483" s="24">
        <f>IF(M483=0,"",M483-$AX$2)</f>
        <v/>
      </c>
      <c r="AZ483" s="66">
        <f>IF(AND(W483="",AY483&gt;0,AY483&lt;15),1,0)</f>
        <v/>
      </c>
      <c r="BA483" s="24">
        <f>IF(AND(W483="",AY483&gt;0,AY483&lt;15),T483,"")</f>
        <v/>
      </c>
      <c r="BB483" s="87">
        <f>IF(R483&lt;Q483,"X","")</f>
        <v/>
      </c>
      <c r="BC483" s="190" t="inlineStr">
        <is>
          <t>NO</t>
        </is>
      </c>
      <c r="BD483" s="190" t="inlineStr">
        <is>
          <t>NO</t>
        </is>
      </c>
    </row>
    <row r="484" ht="15" customHeight="1" s="162">
      <c r="A484" s="7" t="n">
        <v>483</v>
      </c>
      <c r="B484" t="inlineStr">
        <is>
          <t>1709800000500</t>
        </is>
      </c>
      <c r="C484" t="inlineStr">
        <is>
          <t>COMPRA DIRECTA FERRETERIA Y HERRAMIENTAS</t>
        </is>
      </c>
      <c r="D484" t="inlineStr">
        <is>
          <t>1101874516</t>
        </is>
      </c>
      <c r="E484" t="inlineStr">
        <is>
          <t>1</t>
        </is>
      </c>
      <c r="F484" s="163" t="n">
        <v>45805</v>
      </c>
      <c r="G484" t="inlineStr"/>
      <c r="H484" t="inlineStr">
        <is>
          <t>4200613726</t>
        </is>
      </c>
      <c r="I484" t="inlineStr">
        <is>
          <t>10</t>
        </is>
      </c>
      <c r="J484" s="163" t="n">
        <v>45810</v>
      </c>
      <c r="K484" s="163" t="n">
        <v>45810</v>
      </c>
      <c r="L484" t="inlineStr"/>
      <c r="M484" s="163" t="n">
        <v>45824</v>
      </c>
      <c r="N484" s="164" t="n">
        <v>30</v>
      </c>
      <c r="O484" s="164" t="n">
        <v>8</v>
      </c>
      <c r="P484" t="inlineStr">
        <is>
          <t>Liberado</t>
        </is>
      </c>
      <c r="Q484" s="165" t="n">
        <v>1</v>
      </c>
      <c r="R484" s="165" t="n">
        <v>100</v>
      </c>
      <c r="S484" s="165" t="n">
        <v>100</v>
      </c>
      <c r="T484" s="165" t="n">
        <v>0</v>
      </c>
      <c r="U484" s="166" t="n">
        <v>0</v>
      </c>
      <c r="V484" s="166" t="n">
        <v>0</v>
      </c>
      <c r="W484" t="inlineStr">
        <is>
          <t>X</t>
        </is>
      </c>
      <c r="X484" t="inlineStr">
        <is>
          <t>0.00</t>
        </is>
      </c>
      <c r="Y484" t="inlineStr"/>
      <c r="Z484" t="inlineStr">
        <is>
          <t>ABACO SUYTEC, S.A.U.</t>
        </is>
      </c>
      <c r="AA484" t="inlineStr">
        <is>
          <t>OTROS FABRICANTES</t>
        </is>
      </c>
      <c r="AB484" t="inlineStr">
        <is>
          <t>1709800000500</t>
        </is>
      </c>
      <c r="AC484" t="inlineStr"/>
      <c r="AD484" s="164" t="n">
        <v>0</v>
      </c>
      <c r="AE484" s="185" t="n">
        <v>0</v>
      </c>
      <c r="AG484" s="167" t="inlineStr">
        <is>
          <t>7218|JA2594_1001</t>
        </is>
      </c>
      <c r="AH484" s="46">
        <f>IF(M484=0,"-",M484-J484)</f>
        <v/>
      </c>
      <c r="AI484" s="46">
        <f>IF(AND(S484=0,M484&gt;0,L484=0),IF(AH484&gt;=120,"VERY HIGH",IF(AH484&gt;=90,"HIGH",IF(AH484&gt;=60,"MEDIUM",IF(AH484&lt;60,"LOW")))),"-")</f>
        <v/>
      </c>
      <c r="AJ484" s="12" t="n"/>
      <c r="AK484" s="41">
        <f>IF(AND(W484="X",M484&lt;=$AJ$2),"YES","")</f>
        <v/>
      </c>
      <c r="AL484" s="38">
        <f>IF(AND(W484="X",M484&lt;=$AJ$2),S484,"")</f>
        <v/>
      </c>
      <c r="AM484" s="26">
        <f>IF(AND(W484="X",M484&gt;$AJ$2),"YES","")</f>
        <v/>
      </c>
      <c r="AN484" s="89">
        <f>IF(AND(W484="X",M484&gt;$AJ$2),S484,"")</f>
        <v/>
      </c>
      <c r="AO484" s="35">
        <f>IF(AND(W484="",M484&gt;0,$AJ$2&gt;M484,L484=""),1,0)</f>
        <v/>
      </c>
      <c r="AP484" s="26">
        <f>IF(AND(AK484="YES",W484="X"),"X","")</f>
        <v/>
      </c>
      <c r="AQ484" s="28">
        <f>IF(AP484="X",100%,0%)</f>
        <v/>
      </c>
      <c r="AR484" s="25">
        <f>IF(AND(T484&gt;0,L484=""),H484,"")</f>
        <v/>
      </c>
      <c r="AS484" s="25">
        <f>IF(AND(D484&gt;0,H484=0,G484=""),1,"")</f>
        <v/>
      </c>
      <c r="AT484" s="25">
        <f>IF(G484="BLOQ",1,"")</f>
        <v/>
      </c>
      <c r="AU484" s="25">
        <f>IF(L484="BLOQ",1,"")</f>
        <v/>
      </c>
      <c r="AV484" s="25">
        <f>MONTH(F484)</f>
        <v/>
      </c>
      <c r="AW484" s="65">
        <f>IF(AP484="",100%,0%)</f>
        <v/>
      </c>
      <c r="AX484" s="23" t="n"/>
      <c r="AY484" s="24">
        <f>IF(M484=0,"",M484-$AX$2)</f>
        <v/>
      </c>
      <c r="AZ484" s="66">
        <f>IF(AND(W484="",AY484&gt;0,AY484&lt;15),1,0)</f>
        <v/>
      </c>
      <c r="BA484" s="24">
        <f>IF(AND(W484="",AY484&gt;0,AY484&lt;15),T484,"")</f>
        <v/>
      </c>
      <c r="BB484" s="87">
        <f>IF(R484&lt;Q484,"X","")</f>
        <v/>
      </c>
      <c r="BC484" s="190" t="inlineStr">
        <is>
          <t>NO</t>
        </is>
      </c>
      <c r="BD484" s="190" t="inlineStr">
        <is>
          <t>NO</t>
        </is>
      </c>
    </row>
    <row r="485" ht="15" customHeight="1" s="162">
      <c r="A485" s="7" t="n">
        <v>484</v>
      </c>
      <c r="B485" t="inlineStr">
        <is>
          <t>47131821</t>
        </is>
      </c>
      <c r="C485" t="inlineStr">
        <is>
          <t>Desengrasante industrial 3M Industrial D</t>
        </is>
      </c>
      <c r="D485" t="inlineStr">
        <is>
          <t>1101874630</t>
        </is>
      </c>
      <c r="E485" t="inlineStr">
        <is>
          <t>1</t>
        </is>
      </c>
      <c r="F485" s="163" t="n">
        <v>45805</v>
      </c>
      <c r="G485" t="inlineStr"/>
      <c r="H485" t="inlineStr">
        <is>
          <t>4800003089</t>
        </is>
      </c>
      <c r="I485" t="inlineStr">
        <is>
          <t>590</t>
        </is>
      </c>
      <c r="J485" s="163" t="n">
        <v>45805</v>
      </c>
      <c r="K485" s="163" t="inlineStr"/>
      <c r="L485" t="inlineStr"/>
      <c r="M485" s="163" t="n">
        <v>45806</v>
      </c>
      <c r="N485" s="164" t="n">
        <v>0</v>
      </c>
      <c r="O485" s="164" t="n">
        <v>0</v>
      </c>
      <c r="P485" t="inlineStr"/>
      <c r="Q485" s="165" t="n">
        <v>2</v>
      </c>
      <c r="R485" s="165" t="n">
        <v>2</v>
      </c>
      <c r="S485" s="165" t="n">
        <v>2</v>
      </c>
      <c r="T485" s="165" t="n">
        <v>0</v>
      </c>
      <c r="U485" s="166" t="n">
        <v>0</v>
      </c>
      <c r="V485" s="166" t="n">
        <v>0</v>
      </c>
      <c r="W485" t="inlineStr">
        <is>
          <t>X</t>
        </is>
      </c>
      <c r="X485" t="inlineStr">
        <is>
          <t>0.00</t>
        </is>
      </c>
      <c r="Y485" t="inlineStr"/>
      <c r="Z485" t="inlineStr">
        <is>
          <t>AMIDATA, S.A.</t>
        </is>
      </c>
      <c r="AA485" t="inlineStr"/>
      <c r="AB485" t="inlineStr">
        <is>
          <t>1921475</t>
        </is>
      </c>
      <c r="AC485" t="inlineStr"/>
      <c r="AD485" s="164" t="n">
        <v>0</v>
      </c>
      <c r="AE485" s="185" t="n">
        <v>0</v>
      </c>
      <c r="AG485" s="167" t="inlineStr">
        <is>
          <t>7218|S24B05_S1071</t>
        </is>
      </c>
      <c r="AH485" s="46">
        <f>IF(M485=0,"-",M485-J485)</f>
        <v/>
      </c>
      <c r="AI485" s="46">
        <f>IF(AND(S485=0,M485&gt;0,L485=0),IF(AH485&gt;=120,"VERY HIGH",IF(AH485&gt;=90,"HIGH",IF(AH485&gt;=60,"MEDIUM",IF(AH485&lt;60,"LOW")))),"-")</f>
        <v/>
      </c>
      <c r="AJ485" s="12" t="n"/>
      <c r="AK485" s="41">
        <f>IF(AND(W485="X",M485&lt;=$AJ$2),"YES","")</f>
        <v/>
      </c>
      <c r="AL485" s="38">
        <f>IF(AND(W485="X",M485&lt;=$AJ$2),S485,"")</f>
        <v/>
      </c>
      <c r="AM485" s="26">
        <f>IF(AND(W485="X",M485&gt;$AJ$2),"YES","")</f>
        <v/>
      </c>
      <c r="AN485" s="89">
        <f>IF(AND(W485="X",M485&gt;$AJ$2),S485,"")</f>
        <v/>
      </c>
      <c r="AO485" s="35">
        <f>IF(AND(W485="",M485&gt;0,$AJ$2&gt;M485,L485=""),1,0)</f>
        <v/>
      </c>
      <c r="AP485" s="26">
        <f>IF(AND(AK485="YES",W485="X"),"X","")</f>
        <v/>
      </c>
      <c r="AQ485" s="28">
        <f>IF(AP485="X",100%,0%)</f>
        <v/>
      </c>
      <c r="AR485" s="25">
        <f>IF(AND(T485&gt;0,L485=""),H485,"")</f>
        <v/>
      </c>
      <c r="AS485" s="25">
        <f>IF(AND(D485&gt;0,H485=0,G485=""),1,"")</f>
        <v/>
      </c>
      <c r="AT485" s="25">
        <f>IF(G485="BLOQ",1,"")</f>
        <v/>
      </c>
      <c r="AU485" s="25">
        <f>IF(L485="BLOQ",1,"")</f>
        <v/>
      </c>
      <c r="AV485" s="25">
        <f>MONTH(F485)</f>
        <v/>
      </c>
      <c r="AW485" s="65">
        <f>IF(AP485="",100%,0%)</f>
        <v/>
      </c>
      <c r="AX485" s="23" t="n"/>
      <c r="AY485" s="24">
        <f>IF(M485=0,"",M485-$AX$2)</f>
        <v/>
      </c>
      <c r="AZ485" s="66">
        <f>IF(AND(W485="",AY485&gt;0,AY485&lt;15),1,0)</f>
        <v/>
      </c>
      <c r="BA485" s="24">
        <f>IF(AND(W485="",AY485&gt;0,AY485&lt;15),T485,"")</f>
        <v/>
      </c>
      <c r="BB485" s="87">
        <f>IF(R485&lt;Q485,"X","")</f>
        <v/>
      </c>
      <c r="BC485" s="190" t="inlineStr">
        <is>
          <t>NO</t>
        </is>
      </c>
      <c r="BD485" s="190" t="inlineStr">
        <is>
          <t>NO</t>
        </is>
      </c>
    </row>
    <row r="486" ht="15" customHeight="1" s="162">
      <c r="A486" s="7" t="n">
        <v>485</v>
      </c>
      <c r="B486" t="inlineStr">
        <is>
          <t>1359900000500</t>
        </is>
      </c>
      <c r="C486" t="inlineStr">
        <is>
          <t>COMPRA DIRECTA ELECTRICOS/ELECTRONICOS</t>
        </is>
      </c>
      <c r="D486" t="inlineStr">
        <is>
          <t>1101875026</t>
        </is>
      </c>
      <c r="E486" t="inlineStr">
        <is>
          <t>1</t>
        </is>
      </c>
      <c r="F486" s="163" t="n">
        <v>45806</v>
      </c>
      <c r="G486" t="inlineStr"/>
      <c r="H486" t="inlineStr">
        <is>
          <t>4200613313</t>
        </is>
      </c>
      <c r="I486" t="inlineStr">
        <is>
          <t>10</t>
        </is>
      </c>
      <c r="J486" s="163" t="n">
        <v>45806</v>
      </c>
      <c r="K486" s="163" t="n">
        <v>45807</v>
      </c>
      <c r="L486" t="inlineStr"/>
      <c r="M486" s="163" t="n">
        <v>45820</v>
      </c>
      <c r="N486" s="164" t="n">
        <v>30</v>
      </c>
      <c r="O486" s="164" t="n">
        <v>8</v>
      </c>
      <c r="P486" t="inlineStr">
        <is>
          <t>Liberado</t>
        </is>
      </c>
      <c r="Q486" s="165" t="n">
        <v>1</v>
      </c>
      <c r="R486" s="165" t="n">
        <v>1</v>
      </c>
      <c r="S486" s="165" t="n">
        <v>1</v>
      </c>
      <c r="T486" s="165" t="n">
        <v>0</v>
      </c>
      <c r="U486" s="166" t="n">
        <v>0</v>
      </c>
      <c r="V486" s="166" t="n">
        <v>0</v>
      </c>
      <c r="W486" t="inlineStr">
        <is>
          <t>X</t>
        </is>
      </c>
      <c r="X486" t="inlineStr">
        <is>
          <t>0.00</t>
        </is>
      </c>
      <c r="Y486" t="inlineStr"/>
      <c r="Z486" t="inlineStr">
        <is>
          <t>TCX MICRO, S.L.U</t>
        </is>
      </c>
      <c r="AA486" t="inlineStr">
        <is>
          <t>OTROS FABRICANTES</t>
        </is>
      </c>
      <c r="AB486" t="inlineStr">
        <is>
          <t>1359900000500</t>
        </is>
      </c>
      <c r="AC486" t="inlineStr"/>
      <c r="AD486" s="164" t="n">
        <v>0</v>
      </c>
      <c r="AE486" s="185" t="n">
        <v>0</v>
      </c>
      <c r="AG486" s="167" t="inlineStr">
        <is>
          <t>7218|JA2594_1001</t>
        </is>
      </c>
      <c r="AH486" s="46">
        <f>IF(M486=0,"-",M486-J486)</f>
        <v/>
      </c>
      <c r="AI486" s="46">
        <f>IF(AND(S486=0,M486&gt;0,L486=0),IF(AH486&gt;=120,"VERY HIGH",IF(AH486&gt;=90,"HIGH",IF(AH486&gt;=60,"MEDIUM",IF(AH486&lt;60,"LOW")))),"-")</f>
        <v/>
      </c>
      <c r="AJ486" s="12" t="n"/>
      <c r="AK486" s="41">
        <f>IF(AND(W486="X",M486&lt;=$AJ$2),"YES","")</f>
        <v/>
      </c>
      <c r="AL486" s="38">
        <f>IF(AND(W486="X",M486&lt;=$AJ$2),S486,"")</f>
        <v/>
      </c>
      <c r="AM486" s="26">
        <f>IF(AND(W486="X",M486&gt;$AJ$2),"YES","")</f>
        <v/>
      </c>
      <c r="AN486" s="89">
        <f>IF(AND(W486="X",M486&gt;$AJ$2),S486,"")</f>
        <v/>
      </c>
      <c r="AO486" s="35">
        <f>IF(AND(W486="",M486&gt;0,$AJ$2&gt;M486,L486=""),1,0)</f>
        <v/>
      </c>
      <c r="AP486" s="26">
        <f>IF(AND(AK486="YES",W486="X"),"X","")</f>
        <v/>
      </c>
      <c r="AQ486" s="28">
        <f>IF(AP486="X",100%,0%)</f>
        <v/>
      </c>
      <c r="AR486" s="25">
        <f>IF(AND(T486&gt;0,L486=""),H486,"")</f>
        <v/>
      </c>
      <c r="AS486" s="25">
        <f>IF(AND(D486&gt;0,H486=0,G486=""),1,"")</f>
        <v/>
      </c>
      <c r="AT486" s="25">
        <f>IF(G486="BLOQ",1,"")</f>
        <v/>
      </c>
      <c r="AU486" s="25">
        <f>IF(L486="BLOQ",1,"")</f>
        <v/>
      </c>
      <c r="AV486" s="25">
        <f>MONTH(F486)</f>
        <v/>
      </c>
      <c r="AW486" s="65">
        <f>IF(AP486="",100%,0%)</f>
        <v/>
      </c>
      <c r="AX486" s="23" t="n"/>
      <c r="AY486" s="24">
        <f>IF(M486=0,"",M486-$AX$2)</f>
        <v/>
      </c>
      <c r="AZ486" s="66">
        <f>IF(AND(W486="",AY486&gt;0,AY486&lt;15),1,0)</f>
        <v/>
      </c>
      <c r="BA486" s="24">
        <f>IF(AND(W486="",AY486&gt;0,AY486&lt;15),T486,"")</f>
        <v/>
      </c>
      <c r="BB486" s="87">
        <f>IF(R486&lt;Q486,"X","")</f>
        <v/>
      </c>
      <c r="BC486" s="190" t="inlineStr">
        <is>
          <t>NO</t>
        </is>
      </c>
      <c r="BD486" s="190" t="inlineStr">
        <is>
          <t>NO</t>
        </is>
      </c>
    </row>
    <row r="487" ht="15" customHeight="1" s="162">
      <c r="A487" s="7" t="n">
        <v>486</v>
      </c>
      <c r="B487" t="inlineStr">
        <is>
          <t>1359900000500</t>
        </is>
      </c>
      <c r="C487" t="inlineStr">
        <is>
          <t>COMPRA DIRECTA ELECTRICOS/ELECTRONICOS</t>
        </is>
      </c>
      <c r="D487" t="inlineStr">
        <is>
          <t>1101875026</t>
        </is>
      </c>
      <c r="E487" t="inlineStr">
        <is>
          <t>2</t>
        </is>
      </c>
      <c r="F487" s="163" t="n">
        <v>45806</v>
      </c>
      <c r="G487" t="inlineStr"/>
      <c r="H487" t="inlineStr">
        <is>
          <t>4200613313</t>
        </is>
      </c>
      <c r="I487" t="inlineStr">
        <is>
          <t>20</t>
        </is>
      </c>
      <c r="J487" s="163" t="n">
        <v>45806</v>
      </c>
      <c r="K487" s="163" t="n">
        <v>45807</v>
      </c>
      <c r="L487" t="inlineStr"/>
      <c r="M487" s="163" t="n">
        <v>45820</v>
      </c>
      <c r="N487" s="164" t="n">
        <v>30</v>
      </c>
      <c r="O487" s="164" t="n">
        <v>8</v>
      </c>
      <c r="P487" t="inlineStr">
        <is>
          <t>Liberado</t>
        </is>
      </c>
      <c r="Q487" s="165" t="n">
        <v>1</v>
      </c>
      <c r="R487" s="165" t="n">
        <v>1</v>
      </c>
      <c r="S487" s="165" t="n">
        <v>1</v>
      </c>
      <c r="T487" s="165" t="n">
        <v>0</v>
      </c>
      <c r="U487" s="166" t="n">
        <v>0</v>
      </c>
      <c r="V487" s="166" t="n">
        <v>0</v>
      </c>
      <c r="W487" t="inlineStr">
        <is>
          <t>X</t>
        </is>
      </c>
      <c r="X487" t="inlineStr">
        <is>
          <t>0.00</t>
        </is>
      </c>
      <c r="Y487" t="inlineStr"/>
      <c r="Z487" t="inlineStr">
        <is>
          <t>TCX MICRO, S.L.U</t>
        </is>
      </c>
      <c r="AA487" t="inlineStr">
        <is>
          <t>OTROS FABRICANTES</t>
        </is>
      </c>
      <c r="AB487" t="inlineStr">
        <is>
          <t>1359900000500</t>
        </is>
      </c>
      <c r="AC487" t="inlineStr"/>
      <c r="AD487" s="164" t="n">
        <v>0</v>
      </c>
      <c r="AE487" s="185" t="n">
        <v>0</v>
      </c>
      <c r="AG487" s="167" t="inlineStr">
        <is>
          <t>7218|JA2594_1001</t>
        </is>
      </c>
      <c r="AH487" s="46">
        <f>IF(M487=0,"-",M487-J487)</f>
        <v/>
      </c>
      <c r="AI487" s="46">
        <f>IF(AND(S487=0,M487&gt;0,L487=0),IF(AH487&gt;=120,"VERY HIGH",IF(AH487&gt;=90,"HIGH",IF(AH487&gt;=60,"MEDIUM",IF(AH487&lt;60,"LOW")))),"-")</f>
        <v/>
      </c>
      <c r="AJ487" s="12" t="n"/>
      <c r="AK487" s="41">
        <f>IF(AND(W487="X",M487&lt;=$AJ$2),"YES","")</f>
        <v/>
      </c>
      <c r="AL487" s="38">
        <f>IF(AND(W487="X",M487&lt;=$AJ$2),S487,"")</f>
        <v/>
      </c>
      <c r="AM487" s="26">
        <f>IF(AND(W487="X",M487&gt;$AJ$2),"YES","")</f>
        <v/>
      </c>
      <c r="AN487" s="89">
        <f>IF(AND(W487="X",M487&gt;$AJ$2),S487,"")</f>
        <v/>
      </c>
      <c r="AO487" s="35">
        <f>IF(AND(W487="",M487&gt;0,$AJ$2&gt;M487,L487=""),1,0)</f>
        <v/>
      </c>
      <c r="AP487" s="26">
        <f>IF(AND(AK487="YES",W487="X"),"X","")</f>
        <v/>
      </c>
      <c r="AQ487" s="28">
        <f>IF(AP487="X",100%,0%)</f>
        <v/>
      </c>
      <c r="AR487" s="25">
        <f>IF(AND(T487&gt;0,L487=""),H487,"")</f>
        <v/>
      </c>
      <c r="AS487" s="25">
        <f>IF(AND(D487&gt;0,H487=0,G487=""),1,"")</f>
        <v/>
      </c>
      <c r="AT487" s="25">
        <f>IF(G487="BLOQ",1,"")</f>
        <v/>
      </c>
      <c r="AU487" s="25">
        <f>IF(L487="BLOQ",1,"")</f>
        <v/>
      </c>
      <c r="AV487" s="25">
        <f>MONTH(F487)</f>
        <v/>
      </c>
      <c r="AW487" s="65">
        <f>IF(AP487="",100%,0%)</f>
        <v/>
      </c>
      <c r="AX487" s="23" t="n"/>
      <c r="AY487" s="24">
        <f>IF(M487=0,"",M487-$AX$2)</f>
        <v/>
      </c>
      <c r="AZ487" s="66">
        <f>IF(AND(W487="",AY487&gt;0,AY487&lt;15),1,0)</f>
        <v/>
      </c>
      <c r="BA487" s="24">
        <f>IF(AND(W487="",AY487&gt;0,AY487&lt;15),T487,"")</f>
        <v/>
      </c>
      <c r="BB487" s="87">
        <f>IF(R487&lt;Q487,"X","")</f>
        <v/>
      </c>
      <c r="BC487" s="190" t="inlineStr">
        <is>
          <t>NO</t>
        </is>
      </c>
      <c r="BD487" s="190" t="inlineStr">
        <is>
          <t>NO</t>
        </is>
      </c>
    </row>
    <row r="488" ht="15" customHeight="1" s="162">
      <c r="A488" s="7" t="n">
        <v>487</v>
      </c>
      <c r="B488" t="inlineStr">
        <is>
          <t>1359900000500</t>
        </is>
      </c>
      <c r="C488" t="inlineStr">
        <is>
          <t>COMPRA DIRECTA ELECTRICOS/ELECTRONICOS</t>
        </is>
      </c>
      <c r="D488" t="inlineStr">
        <is>
          <t>1101875035</t>
        </is>
      </c>
      <c r="E488" t="inlineStr">
        <is>
          <t>1</t>
        </is>
      </c>
      <c r="F488" s="163" t="n">
        <v>45806</v>
      </c>
      <c r="G488" t="inlineStr"/>
      <c r="H488" t="inlineStr">
        <is>
          <t>4200613559</t>
        </is>
      </c>
      <c r="I488" t="inlineStr">
        <is>
          <t>20</t>
        </is>
      </c>
      <c r="J488" s="163" t="n">
        <v>45810</v>
      </c>
      <c r="K488" s="163" t="n">
        <v>45810</v>
      </c>
      <c r="L488" t="inlineStr"/>
      <c r="M488" s="163" t="n">
        <v>45824</v>
      </c>
      <c r="N488" s="164" t="n">
        <v>30</v>
      </c>
      <c r="O488" s="164" t="n">
        <v>8</v>
      </c>
      <c r="P488" t="inlineStr">
        <is>
          <t>Liberado</t>
        </is>
      </c>
      <c r="Q488" s="165" t="n">
        <v>1</v>
      </c>
      <c r="R488" s="165" t="n">
        <v>1</v>
      </c>
      <c r="S488" s="165" t="n">
        <v>1</v>
      </c>
      <c r="T488" s="165" t="n">
        <v>0</v>
      </c>
      <c r="U488" s="166" t="n">
        <v>0</v>
      </c>
      <c r="V488" s="166" t="n">
        <v>0</v>
      </c>
      <c r="W488" t="inlineStr">
        <is>
          <t>X</t>
        </is>
      </c>
      <c r="X488" t="inlineStr">
        <is>
          <t>0.00</t>
        </is>
      </c>
      <c r="Y488" t="inlineStr"/>
      <c r="Z488" t="inlineStr">
        <is>
          <t>SARVER S.L.</t>
        </is>
      </c>
      <c r="AA488" t="inlineStr">
        <is>
          <t>OTROS FABRICANTES</t>
        </is>
      </c>
      <c r="AB488" t="inlineStr">
        <is>
          <t>1359900000500</t>
        </is>
      </c>
      <c r="AC488" t="inlineStr"/>
      <c r="AD488" s="164" t="n">
        <v>0</v>
      </c>
      <c r="AE488" s="185" t="n">
        <v>0</v>
      </c>
      <c r="AG488" s="167" t="inlineStr">
        <is>
          <t>7218|JA2594_1001</t>
        </is>
      </c>
      <c r="AH488" s="46">
        <f>IF(M488=0,"-",M488-J488)</f>
        <v/>
      </c>
      <c r="AI488" s="46">
        <f>IF(AND(S488=0,M488&gt;0,L488=0),IF(AH488&gt;=120,"VERY HIGH",IF(AH488&gt;=90,"HIGH",IF(AH488&gt;=60,"MEDIUM",IF(AH488&lt;60,"LOW")))),"-")</f>
        <v/>
      </c>
      <c r="AJ488" s="12" t="n"/>
      <c r="AK488" s="41">
        <f>IF(AND(W488="X",M488&lt;=$AJ$2),"YES","")</f>
        <v/>
      </c>
      <c r="AL488" s="38">
        <f>IF(AND(W488="X",M488&lt;=$AJ$2),S488,"")</f>
        <v/>
      </c>
      <c r="AM488" s="26">
        <f>IF(AND(W488="X",M488&gt;$AJ$2),"YES","")</f>
        <v/>
      </c>
      <c r="AN488" s="89">
        <f>IF(AND(W488="X",M488&gt;$AJ$2),S488,"")</f>
        <v/>
      </c>
      <c r="AO488" s="35">
        <f>IF(AND(W488="",M488&gt;0,$AJ$2&gt;M488,L488=""),1,0)</f>
        <v/>
      </c>
      <c r="AP488" s="26">
        <f>IF(AND(AK488="YES",W488="X"),"X","")</f>
        <v/>
      </c>
      <c r="AQ488" s="28">
        <f>IF(AP488="X",100%,0%)</f>
        <v/>
      </c>
      <c r="AR488" s="25">
        <f>IF(AND(T488&gt;0,L488=""),H488,"")</f>
        <v/>
      </c>
      <c r="AS488" s="25">
        <f>IF(AND(D488&gt;0,H488=0,G488=""),1,"")</f>
        <v/>
      </c>
      <c r="AT488" s="25">
        <f>IF(G488="BLOQ",1,"")</f>
        <v/>
      </c>
      <c r="AU488" s="25">
        <f>IF(L488="BLOQ",1,"")</f>
        <v/>
      </c>
      <c r="AV488" s="25">
        <f>MONTH(F488)</f>
        <v/>
      </c>
      <c r="AW488" s="65">
        <f>IF(AP488="",100%,0%)</f>
        <v/>
      </c>
      <c r="AX488" s="23" t="n"/>
      <c r="AY488" s="24">
        <f>IF(M488=0,"",M488-$AX$2)</f>
        <v/>
      </c>
      <c r="AZ488" s="66">
        <f>IF(AND(W488="",AY488&gt;0,AY488&lt;15),1,0)</f>
        <v/>
      </c>
      <c r="BA488" s="24">
        <f>IF(AND(W488="",AY488&gt;0,AY488&lt;15),T488,"")</f>
        <v/>
      </c>
      <c r="BB488" s="87">
        <f>IF(R488&lt;Q488,"X","")</f>
        <v/>
      </c>
      <c r="BC488" s="190" t="inlineStr">
        <is>
          <t>NO</t>
        </is>
      </c>
      <c r="BD488" s="190" t="inlineStr">
        <is>
          <t>NO</t>
        </is>
      </c>
    </row>
    <row r="489" ht="15" customFormat="1" customHeight="1" s="183">
      <c r="A489" s="7" t="n">
        <v>488</v>
      </c>
      <c r="B489" t="inlineStr"/>
      <c r="C489" t="inlineStr">
        <is>
          <t>TRABAJOS MONTAJE SIM H175</t>
        </is>
      </c>
      <c r="D489" t="inlineStr">
        <is>
          <t>1101876071</t>
        </is>
      </c>
      <c r="E489" t="inlineStr">
        <is>
          <t>1</t>
        </is>
      </c>
      <c r="F489" s="163" t="n">
        <v>45810</v>
      </c>
      <c r="G489" t="inlineStr"/>
      <c r="H489" t="inlineStr">
        <is>
          <t>4300347247</t>
        </is>
      </c>
      <c r="I489" t="inlineStr">
        <is>
          <t>30</t>
        </is>
      </c>
      <c r="J489" s="163" t="n">
        <v>45811</v>
      </c>
      <c r="K489" s="163" t="n">
        <v>45813</v>
      </c>
      <c r="L489" t="inlineStr"/>
      <c r="M489" s="163" t="n">
        <v>45894</v>
      </c>
      <c r="N489" s="164" t="n">
        <v>0</v>
      </c>
      <c r="O489" s="164" t="n">
        <v>0</v>
      </c>
      <c r="P489" t="inlineStr">
        <is>
          <t>Liberado</t>
        </is>
      </c>
      <c r="Q489" s="166" t="n">
        <v>1</v>
      </c>
      <c r="R489" s="164" t="n">
        <v>1</v>
      </c>
      <c r="S489" s="164" t="n">
        <v>0</v>
      </c>
      <c r="T489" s="164" t="n">
        <v>0</v>
      </c>
      <c r="U489" s="166" t="n">
        <v>0</v>
      </c>
      <c r="V489" s="166" t="n">
        <v>0</v>
      </c>
      <c r="W489" t="inlineStr">
        <is>
          <t>X</t>
        </is>
      </c>
      <c r="X489" t="inlineStr">
        <is>
          <t>0.00</t>
        </is>
      </c>
      <c r="Y489" t="inlineStr"/>
      <c r="Z489" t="inlineStr">
        <is>
          <t>AUXITEL, S.L.</t>
        </is>
      </c>
      <c r="AA489" t="inlineStr"/>
      <c r="AB489" t="inlineStr"/>
      <c r="AC489" t="inlineStr"/>
      <c r="AD489" s="164" t="n">
        <v>1</v>
      </c>
      <c r="AE489" s="185" t="n">
        <v>1</v>
      </c>
      <c r="AG489" s="183" t="inlineStr">
        <is>
          <t>7218|JA2593_1001</t>
        </is>
      </c>
      <c r="AH489" s="172">
        <f>IF(M489=0,"-",M489-J489)</f>
        <v/>
      </c>
      <c r="AI489" s="172">
        <f>IF(AND(S489=0,M489&gt;0,L489=0),IF(AH489&gt;=120,"VERY HIGH",IF(AH489&gt;=90,"HIGH",IF(AH489&gt;=60,"MEDIUM",IF(AH489&lt;60,"LOW")))),"-")</f>
        <v/>
      </c>
      <c r="AJ489" s="183" t="n"/>
      <c r="AK489" s="174">
        <f>IF(AND(W489="X",M489&lt;=$AJ$2),"YES","")</f>
        <v/>
      </c>
      <c r="AL489" s="175">
        <f>IF(AND(W489="X",M489&lt;=$AJ$2),S489,"")</f>
        <v/>
      </c>
      <c r="AM489" s="172">
        <f>IF(AND(W489="X",M489&gt;$AJ$2),"YES","")</f>
        <v/>
      </c>
      <c r="AN489" s="176">
        <f>IF(AND(W489="X",M489&gt;$AJ$2),S489,"")</f>
        <v/>
      </c>
      <c r="AO489" s="177">
        <f>IF(AND(W489="",M489&gt;0,$AJ$2&gt;M489,L489=""),1,0)</f>
        <v/>
      </c>
      <c r="AP489" s="172">
        <f>IF(AND(AK489="YES",W489="X"),"X","")</f>
        <v/>
      </c>
      <c r="AQ489" s="178">
        <f>IF(AP489="X",100%,0%)</f>
        <v/>
      </c>
      <c r="AR489" s="177">
        <f>IF(AND(T489&gt;0,L489=""),H489,"")</f>
        <v/>
      </c>
      <c r="AS489" s="177">
        <f>IF(AND(D489&gt;0,H489=0,G489=""),1,"")</f>
        <v/>
      </c>
      <c r="AT489" s="177">
        <f>IF(G489="BLOQ",1,"")</f>
        <v/>
      </c>
      <c r="AU489" s="177">
        <f>IF(L489="BLOQ",1,"")</f>
        <v/>
      </c>
      <c r="AV489" s="177">
        <f>MONTH(F489)</f>
        <v/>
      </c>
      <c r="AW489" s="178">
        <f>IF(AP489="",100%,0%)</f>
        <v/>
      </c>
      <c r="AX489" s="179" t="n"/>
      <c r="AY489" s="180">
        <f>IF(M489=0,"",M489-$AX$2)</f>
        <v/>
      </c>
      <c r="AZ489" s="181">
        <f>IF(AND(W489="",AY489&gt;0,AY489&lt;15),1,0)</f>
        <v/>
      </c>
      <c r="BA489" s="180">
        <f>IF(AND(W489="",AY489&gt;0,AY489&lt;15),T489,"")</f>
        <v/>
      </c>
      <c r="BB489" s="182">
        <f>IF(R489&lt;Q489,"X","")</f>
        <v/>
      </c>
      <c r="BC489" s="190" t="inlineStr">
        <is>
          <t>NO</t>
        </is>
      </c>
      <c r="BD489" s="190" t="inlineStr">
        <is>
          <t>NO</t>
        </is>
      </c>
    </row>
    <row r="490" ht="15" customHeight="1" s="162">
      <c r="A490" s="7" t="n">
        <v>489</v>
      </c>
      <c r="B490" t="inlineStr">
        <is>
          <t>1709800000500</t>
        </is>
      </c>
      <c r="C490" t="inlineStr">
        <is>
          <t>COMPRA DIRECTA FERRETERIA Y HERRAMIENTAS</t>
        </is>
      </c>
      <c r="D490" t="inlineStr">
        <is>
          <t>1101876404</t>
        </is>
      </c>
      <c r="E490" t="inlineStr">
        <is>
          <t>1</t>
        </is>
      </c>
      <c r="F490" s="163" t="n">
        <v>45811</v>
      </c>
      <c r="G490" t="inlineStr"/>
      <c r="H490" t="inlineStr">
        <is>
          <t>4200614302</t>
        </is>
      </c>
      <c r="I490" t="inlineStr">
        <is>
          <t>10</t>
        </is>
      </c>
      <c r="J490" s="163" t="n">
        <v>45813</v>
      </c>
      <c r="K490" s="163" t="n">
        <v>45813</v>
      </c>
      <c r="L490" t="inlineStr"/>
      <c r="M490" s="163" t="n">
        <v>45827</v>
      </c>
      <c r="N490" s="164" t="n">
        <v>30</v>
      </c>
      <c r="O490" s="164" t="n">
        <v>8</v>
      </c>
      <c r="P490" t="inlineStr">
        <is>
          <t>Liberado</t>
        </is>
      </c>
      <c r="Q490" s="165" t="n">
        <v>1</v>
      </c>
      <c r="R490" s="165" t="n">
        <v>110</v>
      </c>
      <c r="S490" s="165" t="n">
        <v>110</v>
      </c>
      <c r="T490" s="165" t="n">
        <v>0</v>
      </c>
      <c r="U490" s="166" t="n">
        <v>0</v>
      </c>
      <c r="V490" s="166" t="n">
        <v>0</v>
      </c>
      <c r="W490" t="inlineStr">
        <is>
          <t>X</t>
        </is>
      </c>
      <c r="X490" t="inlineStr">
        <is>
          <t>0.00</t>
        </is>
      </c>
      <c r="Y490" t="inlineStr"/>
      <c r="Z490" t="inlineStr">
        <is>
          <t>ABACO SUYTEC, S.A.U.</t>
        </is>
      </c>
      <c r="AA490" t="inlineStr">
        <is>
          <t>OTROS FABRICANTES</t>
        </is>
      </c>
      <c r="AB490" t="inlineStr">
        <is>
          <t>1709800000500</t>
        </is>
      </c>
      <c r="AC490" t="inlineStr"/>
      <c r="AD490" s="164" t="n">
        <v>0</v>
      </c>
      <c r="AE490" s="185" t="n">
        <v>0</v>
      </c>
      <c r="AG490" s="167" t="inlineStr">
        <is>
          <t>7218|JA2594_1001</t>
        </is>
      </c>
      <c r="AH490" s="46">
        <f>IF(M490=0,"-",M490-J490)</f>
        <v/>
      </c>
      <c r="AI490" s="46">
        <f>IF(AND(S490=0,M490&gt;0,L490=0),IF(AH490&gt;=120,"VERY HIGH",IF(AH490&gt;=90,"HIGH",IF(AH490&gt;=60,"MEDIUM",IF(AH490&lt;60,"LOW")))),"-")</f>
        <v/>
      </c>
      <c r="AJ490" s="12" t="n"/>
      <c r="AK490" s="41">
        <f>IF(AND(W490="X",M490&lt;=$AJ$2),"YES","")</f>
        <v/>
      </c>
      <c r="AL490" s="38">
        <f>IF(AND(W490="X",M490&lt;=$AJ$2),S490,"")</f>
        <v/>
      </c>
      <c r="AM490" s="26">
        <f>IF(AND(W490="X",M490&gt;$AJ$2),"YES","")</f>
        <v/>
      </c>
      <c r="AN490" s="89">
        <f>IF(AND(W490="X",M490&gt;$AJ$2),S490,"")</f>
        <v/>
      </c>
      <c r="AO490" s="35">
        <f>IF(AND(W490="",M490&gt;0,$AJ$2&gt;M490,L490=""),1,0)</f>
        <v/>
      </c>
      <c r="AP490" s="26">
        <f>IF(AND(AK490="YES",W490="X"),"X","")</f>
        <v/>
      </c>
      <c r="AQ490" s="28">
        <f>IF(AP490="X",100%,0%)</f>
        <v/>
      </c>
      <c r="AR490" s="25">
        <f>IF(AND(T490&gt;0,L490=""),H490,"")</f>
        <v/>
      </c>
      <c r="AS490" s="25">
        <f>IF(AND(D490&gt;0,H490=0,G490=""),1,"")</f>
        <v/>
      </c>
      <c r="AT490" s="25">
        <f>IF(G490="BLOQ",1,"")</f>
        <v/>
      </c>
      <c r="AU490" s="25">
        <f>IF(L490="BLOQ",1,"")</f>
        <v/>
      </c>
      <c r="AV490" s="25">
        <f>MONTH(F490)</f>
        <v/>
      </c>
      <c r="AW490" s="65">
        <f>IF(AP490="",100%,0%)</f>
        <v/>
      </c>
      <c r="AX490" s="23" t="n"/>
      <c r="AY490" s="24">
        <f>IF(M490=0,"",M490-$AX$2)</f>
        <v/>
      </c>
      <c r="AZ490" s="66">
        <f>IF(AND(W490="",AY490&gt;0,AY490&lt;15),1,0)</f>
        <v/>
      </c>
      <c r="BA490" s="24">
        <f>IF(AND(W490="",AY490&gt;0,AY490&lt;15),T490,"")</f>
        <v/>
      </c>
      <c r="BB490" s="87">
        <f>IF(R490&lt;Q490,"X","")</f>
        <v/>
      </c>
      <c r="BC490" s="190" t="inlineStr">
        <is>
          <t>NO</t>
        </is>
      </c>
      <c r="BD490" s="190" t="inlineStr">
        <is>
          <t>NO</t>
        </is>
      </c>
    </row>
    <row r="491" ht="15" customHeight="1" s="162">
      <c r="A491" s="7" t="n">
        <v>490</v>
      </c>
      <c r="B491" t="inlineStr">
        <is>
          <t>1709800000500</t>
        </is>
      </c>
      <c r="C491" t="inlineStr">
        <is>
          <t>COMPRA DIRECTA FERRETERIA Y HERRAMIENTAS</t>
        </is>
      </c>
      <c r="D491" t="inlineStr">
        <is>
          <t>1101876404</t>
        </is>
      </c>
      <c r="E491" t="inlineStr">
        <is>
          <t>2</t>
        </is>
      </c>
      <c r="F491" s="163" t="n">
        <v>45811</v>
      </c>
      <c r="G491" t="inlineStr"/>
      <c r="H491" t="inlineStr">
        <is>
          <t>4200614302</t>
        </is>
      </c>
      <c r="I491" t="inlineStr">
        <is>
          <t>20</t>
        </is>
      </c>
      <c r="J491" s="163" t="n">
        <v>45813</v>
      </c>
      <c r="K491" s="163" t="n">
        <v>45813</v>
      </c>
      <c r="L491" t="inlineStr"/>
      <c r="M491" s="163" t="n">
        <v>45827</v>
      </c>
      <c r="N491" s="164" t="n">
        <v>30</v>
      </c>
      <c r="O491" s="164" t="n">
        <v>8</v>
      </c>
      <c r="P491" t="inlineStr">
        <is>
          <t>Liberado</t>
        </is>
      </c>
      <c r="Q491" s="165" t="n">
        <v>1</v>
      </c>
      <c r="R491" s="165" t="n">
        <v>50</v>
      </c>
      <c r="S491" s="165" t="n">
        <v>50</v>
      </c>
      <c r="T491" s="165" t="n">
        <v>0</v>
      </c>
      <c r="U491" s="166" t="n">
        <v>0</v>
      </c>
      <c r="V491" s="166" t="n">
        <v>0</v>
      </c>
      <c r="W491" t="inlineStr">
        <is>
          <t>X</t>
        </is>
      </c>
      <c r="X491" t="inlineStr">
        <is>
          <t>0.00</t>
        </is>
      </c>
      <c r="Y491" t="inlineStr"/>
      <c r="Z491" t="inlineStr">
        <is>
          <t>ABACO SUYTEC, S.A.U.</t>
        </is>
      </c>
      <c r="AA491" t="inlineStr">
        <is>
          <t>OTROS FABRICANTES</t>
        </is>
      </c>
      <c r="AB491" t="inlineStr">
        <is>
          <t>1709800000500</t>
        </is>
      </c>
      <c r="AC491" t="inlineStr"/>
      <c r="AD491" s="164" t="n">
        <v>0</v>
      </c>
      <c r="AE491" s="185" t="n">
        <v>0</v>
      </c>
      <c r="AG491" s="167" t="inlineStr">
        <is>
          <t>7218|JA2594_1001</t>
        </is>
      </c>
      <c r="AH491" s="46">
        <f>IF(M491=0,"-",M491-J491)</f>
        <v/>
      </c>
      <c r="AI491" s="46">
        <f>IF(AND(S491=0,M491&gt;0,L491=0),IF(AH491&gt;=120,"VERY HIGH",IF(AH491&gt;=90,"HIGH",IF(AH491&gt;=60,"MEDIUM",IF(AH491&lt;60,"LOW")))),"-")</f>
        <v/>
      </c>
      <c r="AJ491" s="12" t="n"/>
      <c r="AK491" s="41">
        <f>IF(AND(W491="X",M491&lt;=$AJ$2),"YES","")</f>
        <v/>
      </c>
      <c r="AL491" s="38">
        <f>IF(AND(W491="X",M491&lt;=$AJ$2),S491,"")</f>
        <v/>
      </c>
      <c r="AM491" s="26">
        <f>IF(AND(W491="X",M491&gt;$AJ$2),"YES","")</f>
        <v/>
      </c>
      <c r="AN491" s="89">
        <f>IF(AND(W491="X",M491&gt;$AJ$2),S491,"")</f>
        <v/>
      </c>
      <c r="AO491" s="35">
        <f>IF(AND(W491="",M491&gt;0,$AJ$2&gt;M491,L491=""),1,0)</f>
        <v/>
      </c>
      <c r="AP491" s="26">
        <f>IF(AND(AK491="YES",W491="X"),"X","")</f>
        <v/>
      </c>
      <c r="AQ491" s="28">
        <f>IF(AP491="X",100%,0%)</f>
        <v/>
      </c>
      <c r="AR491" s="25">
        <f>IF(AND(T491&gt;0,L491=""),H491,"")</f>
        <v/>
      </c>
      <c r="AS491" s="25">
        <f>IF(AND(D491&gt;0,H491=0,G491=""),1,"")</f>
        <v/>
      </c>
      <c r="AT491" s="25">
        <f>IF(G491="BLOQ",1,"")</f>
        <v/>
      </c>
      <c r="AU491" s="25">
        <f>IF(L491="BLOQ",1,"")</f>
        <v/>
      </c>
      <c r="AV491" s="25">
        <f>MONTH(F491)</f>
        <v/>
      </c>
      <c r="AW491" s="65">
        <f>IF(AP491="",100%,0%)</f>
        <v/>
      </c>
      <c r="AX491" s="23" t="n"/>
      <c r="AY491" s="24">
        <f>IF(M491=0,"",M491-$AX$2)</f>
        <v/>
      </c>
      <c r="AZ491" s="66">
        <f>IF(AND(W491="",AY491&gt;0,AY491&lt;15),1,0)</f>
        <v/>
      </c>
      <c r="BA491" s="24">
        <f>IF(AND(W491="",AY491&gt;0,AY491&lt;15),T491,"")</f>
        <v/>
      </c>
      <c r="BB491" s="87">
        <f>IF(R491&lt;Q491,"X","")</f>
        <v/>
      </c>
      <c r="BC491" s="190" t="inlineStr">
        <is>
          <t>NO</t>
        </is>
      </c>
      <c r="BD491" s="190" t="inlineStr">
        <is>
          <t>NO</t>
        </is>
      </c>
    </row>
    <row r="492" ht="15" customHeight="1" s="162">
      <c r="A492" s="7" t="n">
        <v>491</v>
      </c>
      <c r="B492" t="inlineStr">
        <is>
          <t>1709800000500</t>
        </is>
      </c>
      <c r="C492" t="inlineStr">
        <is>
          <t>COMPRA DIRECTA FERRETERIA Y HERRAMIENTAS</t>
        </is>
      </c>
      <c r="D492" t="inlineStr">
        <is>
          <t>1101876404</t>
        </is>
      </c>
      <c r="E492" t="inlineStr">
        <is>
          <t>3</t>
        </is>
      </c>
      <c r="F492" s="163" t="n">
        <v>45811</v>
      </c>
      <c r="G492" t="inlineStr"/>
      <c r="H492" t="inlineStr">
        <is>
          <t>4200614302</t>
        </is>
      </c>
      <c r="I492" t="inlineStr">
        <is>
          <t>30</t>
        </is>
      </c>
      <c r="J492" s="163" t="n">
        <v>45813</v>
      </c>
      <c r="K492" s="163" t="n">
        <v>45813</v>
      </c>
      <c r="L492" t="inlineStr"/>
      <c r="M492" s="163" t="n">
        <v>45827</v>
      </c>
      <c r="N492" s="164" t="n">
        <v>30</v>
      </c>
      <c r="O492" s="164" t="n">
        <v>8</v>
      </c>
      <c r="P492" t="inlineStr">
        <is>
          <t>Liberado</t>
        </is>
      </c>
      <c r="Q492" s="165" t="n">
        <v>1</v>
      </c>
      <c r="R492" s="165" t="n">
        <v>30</v>
      </c>
      <c r="S492" s="165" t="n">
        <v>30</v>
      </c>
      <c r="T492" s="165" t="n">
        <v>0</v>
      </c>
      <c r="U492" s="166" t="n">
        <v>0</v>
      </c>
      <c r="V492" s="166" t="n">
        <v>0</v>
      </c>
      <c r="W492" t="inlineStr">
        <is>
          <t>X</t>
        </is>
      </c>
      <c r="X492" t="inlineStr">
        <is>
          <t>0.00</t>
        </is>
      </c>
      <c r="Y492" t="inlineStr"/>
      <c r="Z492" t="inlineStr">
        <is>
          <t>ABACO SUYTEC, S.A.U.</t>
        </is>
      </c>
      <c r="AA492" t="inlineStr">
        <is>
          <t>OTROS FABRICANTES</t>
        </is>
      </c>
      <c r="AB492" t="inlineStr">
        <is>
          <t>1709800000500</t>
        </is>
      </c>
      <c r="AC492" t="inlineStr"/>
      <c r="AD492" s="164" t="n">
        <v>0</v>
      </c>
      <c r="AE492" s="185" t="n">
        <v>0</v>
      </c>
      <c r="AG492" s="167" t="inlineStr">
        <is>
          <t>7218|JA2594_1001</t>
        </is>
      </c>
      <c r="AH492" s="46">
        <f>IF(M492=0,"-",M492-J492)</f>
        <v/>
      </c>
      <c r="AI492" s="46">
        <f>IF(AND(S492=0,M492&gt;0,L492=0),IF(AH492&gt;=120,"VERY HIGH",IF(AH492&gt;=90,"HIGH",IF(AH492&gt;=60,"MEDIUM",IF(AH492&lt;60,"LOW")))),"-")</f>
        <v/>
      </c>
      <c r="AJ492" s="12" t="n"/>
      <c r="AK492" s="41">
        <f>IF(AND(W492="X",M492&lt;=$AJ$2),"YES","")</f>
        <v/>
      </c>
      <c r="AL492" s="38">
        <f>IF(AND(W492="X",M492&lt;=$AJ$2),S492,"")</f>
        <v/>
      </c>
      <c r="AM492" s="26">
        <f>IF(AND(W492="X",M492&gt;$AJ$2),"YES","")</f>
        <v/>
      </c>
      <c r="AN492" s="89">
        <f>IF(AND(W492="X",M492&gt;$AJ$2),S492,"")</f>
        <v/>
      </c>
      <c r="AO492" s="35">
        <f>IF(AND(W492="",M492&gt;0,$AJ$2&gt;M492,L492=""),1,0)</f>
        <v/>
      </c>
      <c r="AP492" s="26">
        <f>IF(AND(AK492="YES",W492="X"),"X","")</f>
        <v/>
      </c>
      <c r="AQ492" s="28">
        <f>IF(AP492="X",100%,0%)</f>
        <v/>
      </c>
      <c r="AR492" s="25">
        <f>IF(AND(T492&gt;0,L492=""),H492,"")</f>
        <v/>
      </c>
      <c r="AS492" s="25">
        <f>IF(AND(D492&gt;0,H492=0,G492=""),1,"")</f>
        <v/>
      </c>
      <c r="AT492" s="25">
        <f>IF(G492="BLOQ",1,"")</f>
        <v/>
      </c>
      <c r="AU492" s="25">
        <f>IF(L492="BLOQ",1,"")</f>
        <v/>
      </c>
      <c r="AV492" s="25">
        <f>MONTH(F492)</f>
        <v/>
      </c>
      <c r="AW492" s="65">
        <f>IF(AP492="",100%,0%)</f>
        <v/>
      </c>
      <c r="AX492" s="23" t="n"/>
      <c r="AY492" s="24">
        <f>IF(M492=0,"",M492-$AX$2)</f>
        <v/>
      </c>
      <c r="AZ492" s="66">
        <f>IF(AND(W492="",AY492&gt;0,AY492&lt;15),1,0)</f>
        <v/>
      </c>
      <c r="BA492" s="24">
        <f>IF(AND(W492="",AY492&gt;0,AY492&lt;15),T492,"")</f>
        <v/>
      </c>
      <c r="BB492" s="87">
        <f>IF(R492&lt;Q492,"X","")</f>
        <v/>
      </c>
      <c r="BC492" s="190" t="inlineStr">
        <is>
          <t>NO</t>
        </is>
      </c>
      <c r="BD492" s="190" t="inlineStr">
        <is>
          <t>NO</t>
        </is>
      </c>
    </row>
    <row r="493" ht="15" customHeight="1" s="162">
      <c r="A493" s="7" t="n">
        <v>492</v>
      </c>
      <c r="B493" t="inlineStr">
        <is>
          <t>1709800000500</t>
        </is>
      </c>
      <c r="C493" t="inlineStr">
        <is>
          <t>COMPRA DIRECTA FERRETERIA Y HERRAMIENTAS</t>
        </is>
      </c>
      <c r="D493" t="inlineStr">
        <is>
          <t>1101876404</t>
        </is>
      </c>
      <c r="E493" t="inlineStr">
        <is>
          <t>4</t>
        </is>
      </c>
      <c r="F493" s="163" t="n">
        <v>45811</v>
      </c>
      <c r="G493" t="inlineStr"/>
      <c r="H493" t="inlineStr">
        <is>
          <t>4200614302</t>
        </is>
      </c>
      <c r="I493" t="inlineStr">
        <is>
          <t>40</t>
        </is>
      </c>
      <c r="J493" s="163" t="n">
        <v>45813</v>
      </c>
      <c r="K493" s="163" t="n">
        <v>45813</v>
      </c>
      <c r="L493" t="inlineStr"/>
      <c r="M493" s="163" t="n">
        <v>45827</v>
      </c>
      <c r="N493" s="164" t="n">
        <v>30</v>
      </c>
      <c r="O493" s="164" t="n">
        <v>8</v>
      </c>
      <c r="P493" t="inlineStr">
        <is>
          <t>Liberado</t>
        </is>
      </c>
      <c r="Q493" s="165" t="n">
        <v>1</v>
      </c>
      <c r="R493" s="165" t="n">
        <v>10</v>
      </c>
      <c r="S493" s="165" t="n">
        <v>10</v>
      </c>
      <c r="T493" s="165" t="n">
        <v>0</v>
      </c>
      <c r="U493" s="166" t="n">
        <v>0</v>
      </c>
      <c r="V493" s="166" t="n">
        <v>0</v>
      </c>
      <c r="W493" t="inlineStr">
        <is>
          <t>X</t>
        </is>
      </c>
      <c r="X493" t="inlineStr">
        <is>
          <t>0.00</t>
        </is>
      </c>
      <c r="Y493" t="inlineStr"/>
      <c r="Z493" t="inlineStr">
        <is>
          <t>ABACO SUYTEC, S.A.U.</t>
        </is>
      </c>
      <c r="AA493" t="inlineStr">
        <is>
          <t>OTROS FABRICANTES</t>
        </is>
      </c>
      <c r="AB493" t="inlineStr">
        <is>
          <t>1709800000500</t>
        </is>
      </c>
      <c r="AC493" t="inlineStr"/>
      <c r="AD493" s="164" t="n">
        <v>0</v>
      </c>
      <c r="AE493" s="185" t="n">
        <v>0</v>
      </c>
      <c r="AG493" s="167" t="inlineStr">
        <is>
          <t>7218|JA2594_1001</t>
        </is>
      </c>
      <c r="AH493" s="46">
        <f>IF(M493=0,"-",M493-J493)</f>
        <v/>
      </c>
      <c r="AI493" s="46">
        <f>IF(AND(S493=0,M493&gt;0,L493=0),IF(AH493&gt;=120,"VERY HIGH",IF(AH493&gt;=90,"HIGH",IF(AH493&gt;=60,"MEDIUM",IF(AH493&lt;60,"LOW")))),"-")</f>
        <v/>
      </c>
      <c r="AJ493" s="12" t="n"/>
      <c r="AK493" s="41">
        <f>IF(AND(W493="X",M493&lt;=$AJ$2),"YES","")</f>
        <v/>
      </c>
      <c r="AL493" s="38">
        <f>IF(AND(W493="X",M493&lt;=$AJ$2),S493,"")</f>
        <v/>
      </c>
      <c r="AM493" s="26">
        <f>IF(AND(W493="X",M493&gt;$AJ$2),"YES","")</f>
        <v/>
      </c>
      <c r="AN493" s="89">
        <f>IF(AND(W493="X",M493&gt;$AJ$2),S493,"")</f>
        <v/>
      </c>
      <c r="AO493" s="35">
        <f>IF(AND(W493="",M493&gt;0,$AJ$2&gt;M493,L493=""),1,0)</f>
        <v/>
      </c>
      <c r="AP493" s="26">
        <f>IF(AND(AK493="YES",W493="X"),"X","")</f>
        <v/>
      </c>
      <c r="AQ493" s="28">
        <f>IF(AP493="X",100%,0%)</f>
        <v/>
      </c>
      <c r="AR493" s="25">
        <f>IF(AND(T493&gt;0,L493=""),H493,"")</f>
        <v/>
      </c>
      <c r="AS493" s="25">
        <f>IF(AND(D493&gt;0,H493=0,G493=""),1,"")</f>
        <v/>
      </c>
      <c r="AT493" s="25">
        <f>IF(G493="BLOQ",1,"")</f>
        <v/>
      </c>
      <c r="AU493" s="25">
        <f>IF(L493="BLOQ",1,"")</f>
        <v/>
      </c>
      <c r="AV493" s="25">
        <f>MONTH(F493)</f>
        <v/>
      </c>
      <c r="AW493" s="65">
        <f>IF(AP493="",100%,0%)</f>
        <v/>
      </c>
      <c r="AX493" s="23" t="n"/>
      <c r="AY493" s="24">
        <f>IF(M493=0,"",M493-$AX$2)</f>
        <v/>
      </c>
      <c r="AZ493" s="66">
        <f>IF(AND(W493="",AY493&gt;0,AY493&lt;15),1,0)</f>
        <v/>
      </c>
      <c r="BA493" s="24">
        <f>IF(AND(W493="",AY493&gt;0,AY493&lt;15),T493,"")</f>
        <v/>
      </c>
      <c r="BB493" s="87">
        <f>IF(R493&lt;Q493,"X","")</f>
        <v/>
      </c>
      <c r="BC493" s="190" t="inlineStr">
        <is>
          <t>NO</t>
        </is>
      </c>
      <c r="BD493" s="190" t="inlineStr">
        <is>
          <t>NO</t>
        </is>
      </c>
    </row>
    <row r="494" ht="15" customHeight="1" s="162">
      <c r="A494" s="7" t="n">
        <v>493</v>
      </c>
      <c r="B494" t="inlineStr">
        <is>
          <t>1709800000500</t>
        </is>
      </c>
      <c r="C494" t="inlineStr">
        <is>
          <t>COMPRA DIRECTA FERRETERIA Y HERRAMIENTAS</t>
        </is>
      </c>
      <c r="D494" t="inlineStr">
        <is>
          <t>1101876404</t>
        </is>
      </c>
      <c r="E494" t="inlineStr">
        <is>
          <t>5</t>
        </is>
      </c>
      <c r="F494" s="163" t="n">
        <v>45811</v>
      </c>
      <c r="G494" t="inlineStr"/>
      <c r="H494" t="inlineStr">
        <is>
          <t>4200614302</t>
        </is>
      </c>
      <c r="I494" t="inlineStr">
        <is>
          <t>50</t>
        </is>
      </c>
      <c r="J494" s="163" t="n">
        <v>45813</v>
      </c>
      <c r="K494" s="163" t="n">
        <v>45813</v>
      </c>
      <c r="L494" t="inlineStr"/>
      <c r="M494" s="163" t="n">
        <v>45827</v>
      </c>
      <c r="N494" s="164" t="n">
        <v>30</v>
      </c>
      <c r="O494" s="164" t="n">
        <v>8</v>
      </c>
      <c r="P494" t="inlineStr">
        <is>
          <t>Liberado</t>
        </is>
      </c>
      <c r="Q494" s="165" t="n">
        <v>1</v>
      </c>
      <c r="R494" s="165" t="n">
        <v>40</v>
      </c>
      <c r="S494" s="165" t="n">
        <v>40</v>
      </c>
      <c r="T494" s="165" t="n">
        <v>0</v>
      </c>
      <c r="U494" s="166" t="n">
        <v>0</v>
      </c>
      <c r="V494" s="166" t="n">
        <v>0</v>
      </c>
      <c r="W494" t="inlineStr">
        <is>
          <t>X</t>
        </is>
      </c>
      <c r="X494" t="inlineStr">
        <is>
          <t>0.00</t>
        </is>
      </c>
      <c r="Y494" t="inlineStr"/>
      <c r="Z494" t="inlineStr">
        <is>
          <t>ABACO SUYTEC, S.A.U.</t>
        </is>
      </c>
      <c r="AA494" t="inlineStr">
        <is>
          <t>OTROS FABRICANTES</t>
        </is>
      </c>
      <c r="AB494" t="inlineStr">
        <is>
          <t>1709800000500</t>
        </is>
      </c>
      <c r="AC494" t="inlineStr"/>
      <c r="AD494" s="164" t="n">
        <v>0</v>
      </c>
      <c r="AE494" s="185" t="n">
        <v>0</v>
      </c>
      <c r="AG494" s="167" t="inlineStr">
        <is>
          <t>7218|JA2594_1001</t>
        </is>
      </c>
      <c r="AH494" s="46">
        <f>IF(M494=0,"-",M494-J494)</f>
        <v/>
      </c>
      <c r="AI494" s="46">
        <f>IF(AND(S494=0,M494&gt;0,L494=0),IF(AH494&gt;=120,"VERY HIGH",IF(AH494&gt;=90,"HIGH",IF(AH494&gt;=60,"MEDIUM",IF(AH494&lt;60,"LOW")))),"-")</f>
        <v/>
      </c>
      <c r="AJ494" s="12" t="n"/>
      <c r="AK494" s="41">
        <f>IF(AND(W494="X",M494&lt;=$AJ$2),"YES","")</f>
        <v/>
      </c>
      <c r="AL494" s="38">
        <f>IF(AND(W494="X",M494&lt;=$AJ$2),S494,"")</f>
        <v/>
      </c>
      <c r="AM494" s="26">
        <f>IF(AND(W494="X",M494&gt;$AJ$2),"YES","")</f>
        <v/>
      </c>
      <c r="AN494" s="89">
        <f>IF(AND(W494="X",M494&gt;$AJ$2),S494,"")</f>
        <v/>
      </c>
      <c r="AO494" s="35">
        <f>IF(AND(W494="",M494&gt;0,$AJ$2&gt;M494,L494=""),1,0)</f>
        <v/>
      </c>
      <c r="AP494" s="26">
        <f>IF(AND(AK494="YES",W494="X"),"X","")</f>
        <v/>
      </c>
      <c r="AQ494" s="28">
        <f>IF(AP494="X",100%,0%)</f>
        <v/>
      </c>
      <c r="AR494" s="25">
        <f>IF(AND(T494&gt;0,L494=""),H494,"")</f>
        <v/>
      </c>
      <c r="AS494" s="25">
        <f>IF(AND(D494&gt;0,H494=0,G494=""),1,"")</f>
        <v/>
      </c>
      <c r="AT494" s="25">
        <f>IF(G494="BLOQ",1,"")</f>
        <v/>
      </c>
      <c r="AU494" s="25">
        <f>IF(L494="BLOQ",1,"")</f>
        <v/>
      </c>
      <c r="AV494" s="25">
        <f>MONTH(F494)</f>
        <v/>
      </c>
      <c r="AW494" s="65">
        <f>IF(AP494="",100%,0%)</f>
        <v/>
      </c>
      <c r="AX494" s="23" t="n"/>
      <c r="AY494" s="24">
        <f>IF(M494=0,"",M494-$AX$2)</f>
        <v/>
      </c>
      <c r="AZ494" s="66">
        <f>IF(AND(W494="",AY494&gt;0,AY494&lt;15),1,0)</f>
        <v/>
      </c>
      <c r="BA494" s="24">
        <f>IF(AND(W494="",AY494&gt;0,AY494&lt;15),T494,"")</f>
        <v/>
      </c>
      <c r="BB494" s="87">
        <f>IF(R494&lt;Q494,"X","")</f>
        <v/>
      </c>
      <c r="BC494" s="190" t="inlineStr">
        <is>
          <t>NO</t>
        </is>
      </c>
      <c r="BD494" s="190" t="inlineStr">
        <is>
          <t>NO</t>
        </is>
      </c>
    </row>
    <row r="495" ht="15" customHeight="1" s="162">
      <c r="A495" s="7" t="n">
        <v>494</v>
      </c>
      <c r="B495" t="inlineStr">
        <is>
          <t>1709800000500</t>
        </is>
      </c>
      <c r="C495" t="inlineStr">
        <is>
          <t>COMPRA DIRECTA FERRETERIA Y HERRAMIENTAS</t>
        </is>
      </c>
      <c r="D495" t="inlineStr">
        <is>
          <t>1101876404</t>
        </is>
      </c>
      <c r="E495" t="inlineStr">
        <is>
          <t>6</t>
        </is>
      </c>
      <c r="F495" s="163" t="n">
        <v>45811</v>
      </c>
      <c r="G495" t="inlineStr"/>
      <c r="H495" t="inlineStr">
        <is>
          <t>4200614302</t>
        </is>
      </c>
      <c r="I495" t="inlineStr">
        <is>
          <t>60</t>
        </is>
      </c>
      <c r="J495" s="163" t="n">
        <v>45813</v>
      </c>
      <c r="K495" s="163" t="n">
        <v>45813</v>
      </c>
      <c r="L495" t="inlineStr"/>
      <c r="M495" s="163" t="n">
        <v>45827</v>
      </c>
      <c r="N495" s="164" t="n">
        <v>30</v>
      </c>
      <c r="O495" s="164" t="n">
        <v>8</v>
      </c>
      <c r="P495" t="inlineStr">
        <is>
          <t>Liberado</t>
        </is>
      </c>
      <c r="Q495" s="165" t="n">
        <v>1</v>
      </c>
      <c r="R495" s="165" t="n">
        <v>30</v>
      </c>
      <c r="S495" s="165" t="n">
        <v>30</v>
      </c>
      <c r="T495" s="165" t="n">
        <v>0</v>
      </c>
      <c r="U495" s="166" t="n">
        <v>0</v>
      </c>
      <c r="V495" s="166" t="n">
        <v>0</v>
      </c>
      <c r="W495" t="inlineStr">
        <is>
          <t>X</t>
        </is>
      </c>
      <c r="X495" t="inlineStr">
        <is>
          <t>0.00</t>
        </is>
      </c>
      <c r="Y495" t="inlineStr"/>
      <c r="Z495" t="inlineStr">
        <is>
          <t>ABACO SUYTEC, S.A.U.</t>
        </is>
      </c>
      <c r="AA495" t="inlineStr">
        <is>
          <t>OTROS FABRICANTES</t>
        </is>
      </c>
      <c r="AB495" t="inlineStr">
        <is>
          <t>1709800000500</t>
        </is>
      </c>
      <c r="AC495" t="inlineStr"/>
      <c r="AD495" s="164" t="n">
        <v>0</v>
      </c>
      <c r="AE495" s="185" t="n">
        <v>0</v>
      </c>
      <c r="AG495" s="167" t="inlineStr">
        <is>
          <t>7218|JA2594_1001</t>
        </is>
      </c>
      <c r="AH495" s="46">
        <f>IF(M495=0,"-",M495-J495)</f>
        <v/>
      </c>
      <c r="AI495" s="46">
        <f>IF(AND(S495=0,M495&gt;0,L495=0),IF(AH495&gt;=120,"VERY HIGH",IF(AH495&gt;=90,"HIGH",IF(AH495&gt;=60,"MEDIUM",IF(AH495&lt;60,"LOW")))),"-")</f>
        <v/>
      </c>
      <c r="AJ495" s="12" t="n"/>
      <c r="AK495" s="41">
        <f>IF(AND(W495="X",M495&lt;=$AJ$2),"YES","")</f>
        <v/>
      </c>
      <c r="AL495" s="38">
        <f>IF(AND(W495="X",M495&lt;=$AJ$2),S495,"")</f>
        <v/>
      </c>
      <c r="AM495" s="26">
        <f>IF(AND(W495="X",M495&gt;$AJ$2),"YES","")</f>
        <v/>
      </c>
      <c r="AN495" s="89">
        <f>IF(AND(W495="X",M495&gt;$AJ$2),S495,"")</f>
        <v/>
      </c>
      <c r="AO495" s="35">
        <f>IF(AND(W495="",M495&gt;0,$AJ$2&gt;M495,L495=""),1,0)</f>
        <v/>
      </c>
      <c r="AP495" s="26">
        <f>IF(AND(AK495="YES",W495="X"),"X","")</f>
        <v/>
      </c>
      <c r="AQ495" s="28">
        <f>IF(AP495="X",100%,0%)</f>
        <v/>
      </c>
      <c r="AR495" s="25">
        <f>IF(AND(T495&gt;0,L495=""),H495,"")</f>
        <v/>
      </c>
      <c r="AS495" s="25">
        <f>IF(AND(D495&gt;0,H495=0,G495=""),1,"")</f>
        <v/>
      </c>
      <c r="AT495" s="25">
        <f>IF(G495="BLOQ",1,"")</f>
        <v/>
      </c>
      <c r="AU495" s="25">
        <f>IF(L495="BLOQ",1,"")</f>
        <v/>
      </c>
      <c r="AV495" s="25">
        <f>MONTH(F495)</f>
        <v/>
      </c>
      <c r="AW495" s="65">
        <f>IF(AP495="",100%,0%)</f>
        <v/>
      </c>
      <c r="AX495" s="23" t="n"/>
      <c r="AY495" s="24">
        <f>IF(M495=0,"",M495-$AX$2)</f>
        <v/>
      </c>
      <c r="AZ495" s="66">
        <f>IF(AND(W495="",AY495&gt;0,AY495&lt;15),1,0)</f>
        <v/>
      </c>
      <c r="BA495" s="24">
        <f>IF(AND(W495="",AY495&gt;0,AY495&lt;15),T495,"")</f>
        <v/>
      </c>
      <c r="BB495" s="87">
        <f>IF(R495&lt;Q495,"X","")</f>
        <v/>
      </c>
      <c r="BC495" s="190" t="inlineStr">
        <is>
          <t>NO</t>
        </is>
      </c>
      <c r="BD495" s="190" t="inlineStr">
        <is>
          <t>NO</t>
        </is>
      </c>
    </row>
    <row r="496" ht="15" customHeight="1" s="162">
      <c r="A496" s="7" t="n">
        <v>495</v>
      </c>
      <c r="B496" t="inlineStr">
        <is>
          <t>1709800000500</t>
        </is>
      </c>
      <c r="C496" t="inlineStr">
        <is>
          <t>COMPRA DIRECTA FERRETERIA Y HERRAMIENTAS</t>
        </is>
      </c>
      <c r="D496" t="inlineStr">
        <is>
          <t>1101876404</t>
        </is>
      </c>
      <c r="E496" t="inlineStr">
        <is>
          <t>7</t>
        </is>
      </c>
      <c r="F496" s="163" t="n">
        <v>45811</v>
      </c>
      <c r="G496" t="inlineStr"/>
      <c r="H496" t="inlineStr">
        <is>
          <t>4200614302</t>
        </is>
      </c>
      <c r="I496" t="inlineStr">
        <is>
          <t>70</t>
        </is>
      </c>
      <c r="J496" s="163" t="n">
        <v>45813</v>
      </c>
      <c r="K496" s="163" t="n">
        <v>45813</v>
      </c>
      <c r="L496" t="inlineStr"/>
      <c r="M496" s="163" t="n">
        <v>45827</v>
      </c>
      <c r="N496" s="164" t="n">
        <v>30</v>
      </c>
      <c r="O496" s="164" t="n">
        <v>8</v>
      </c>
      <c r="P496" t="inlineStr">
        <is>
          <t>Liberado</t>
        </is>
      </c>
      <c r="Q496" s="165" t="n">
        <v>1</v>
      </c>
      <c r="R496" s="165" t="n">
        <v>70</v>
      </c>
      <c r="S496" s="165" t="n">
        <v>70</v>
      </c>
      <c r="T496" s="165" t="n">
        <v>0</v>
      </c>
      <c r="U496" s="166" t="n">
        <v>0</v>
      </c>
      <c r="V496" s="166" t="n">
        <v>0</v>
      </c>
      <c r="W496" t="inlineStr">
        <is>
          <t>X</t>
        </is>
      </c>
      <c r="X496" t="inlineStr">
        <is>
          <t>0.00</t>
        </is>
      </c>
      <c r="Y496" t="inlineStr"/>
      <c r="Z496" t="inlineStr">
        <is>
          <t>ABACO SUYTEC, S.A.U.</t>
        </is>
      </c>
      <c r="AA496" t="inlineStr">
        <is>
          <t>OTROS FABRICANTES</t>
        </is>
      </c>
      <c r="AB496" t="inlineStr">
        <is>
          <t>1709800000500</t>
        </is>
      </c>
      <c r="AC496" t="inlineStr"/>
      <c r="AD496" s="164" t="n">
        <v>0</v>
      </c>
      <c r="AE496" s="185" t="n">
        <v>0</v>
      </c>
      <c r="AG496" s="167" t="inlineStr">
        <is>
          <t>7218|JA2594_1001</t>
        </is>
      </c>
      <c r="AH496" s="46">
        <f>IF(M496=0,"-",M496-J496)</f>
        <v/>
      </c>
      <c r="AI496" s="46">
        <f>IF(AND(S496=0,M496&gt;0,L496=0),IF(AH496&gt;=120,"VERY HIGH",IF(AH496&gt;=90,"HIGH",IF(AH496&gt;=60,"MEDIUM",IF(AH496&lt;60,"LOW")))),"-")</f>
        <v/>
      </c>
      <c r="AJ496" s="12" t="n"/>
      <c r="AK496" s="41">
        <f>IF(AND(W496="X",M496&lt;=$AJ$2),"YES","")</f>
        <v/>
      </c>
      <c r="AL496" s="38">
        <f>IF(AND(W496="X",M496&lt;=$AJ$2),S496,"")</f>
        <v/>
      </c>
      <c r="AM496" s="26">
        <f>IF(AND(W496="X",M496&gt;$AJ$2),"YES","")</f>
        <v/>
      </c>
      <c r="AN496" s="89">
        <f>IF(AND(W496="X",M496&gt;$AJ$2),S496,"")</f>
        <v/>
      </c>
      <c r="AO496" s="35">
        <f>IF(AND(W496="",M496&gt;0,$AJ$2&gt;M496,L496=""),1,0)</f>
        <v/>
      </c>
      <c r="AP496" s="26">
        <f>IF(AND(AK496="YES",W496="X"),"X","")</f>
        <v/>
      </c>
      <c r="AQ496" s="28">
        <f>IF(AP496="X",100%,0%)</f>
        <v/>
      </c>
      <c r="AR496" s="25">
        <f>IF(AND(T496&gt;0,L496=""),H496,"")</f>
        <v/>
      </c>
      <c r="AS496" s="25">
        <f>IF(AND(D496&gt;0,H496=0,G496=""),1,"")</f>
        <v/>
      </c>
      <c r="AT496" s="25">
        <f>IF(G496="BLOQ",1,"")</f>
        <v/>
      </c>
      <c r="AU496" s="25">
        <f>IF(L496="BLOQ",1,"")</f>
        <v/>
      </c>
      <c r="AV496" s="25">
        <f>MONTH(F496)</f>
        <v/>
      </c>
      <c r="AW496" s="65">
        <f>IF(AP496="",100%,0%)</f>
        <v/>
      </c>
      <c r="AX496" s="23" t="n"/>
      <c r="AY496" s="24">
        <f>IF(M496=0,"",M496-$AX$2)</f>
        <v/>
      </c>
      <c r="AZ496" s="66">
        <f>IF(AND(W496="",AY496&gt;0,AY496&lt;15),1,0)</f>
        <v/>
      </c>
      <c r="BA496" s="24">
        <f>IF(AND(W496="",AY496&gt;0,AY496&lt;15),T496,"")</f>
        <v/>
      </c>
      <c r="BB496" s="87">
        <f>IF(R496&lt;Q496,"X","")</f>
        <v/>
      </c>
      <c r="BC496" s="190" t="inlineStr">
        <is>
          <t>NO</t>
        </is>
      </c>
      <c r="BD496" s="190" t="inlineStr">
        <is>
          <t>NO</t>
        </is>
      </c>
    </row>
    <row r="497" ht="15" customHeight="1" s="162">
      <c r="A497" s="7" t="n">
        <v>496</v>
      </c>
      <c r="B497" t="inlineStr">
        <is>
          <t>1709800000500</t>
        </is>
      </c>
      <c r="C497" t="inlineStr">
        <is>
          <t>COMPRA DIRECTA FERRETERIA Y HERRAMIENTAS</t>
        </is>
      </c>
      <c r="D497" t="inlineStr">
        <is>
          <t>1101876404</t>
        </is>
      </c>
      <c r="E497" t="inlineStr">
        <is>
          <t>8</t>
        </is>
      </c>
      <c r="F497" s="163" t="n">
        <v>45811</v>
      </c>
      <c r="G497" t="inlineStr"/>
      <c r="H497" t="inlineStr">
        <is>
          <t>4200614302</t>
        </is>
      </c>
      <c r="I497" t="inlineStr">
        <is>
          <t>80</t>
        </is>
      </c>
      <c r="J497" s="163" t="n">
        <v>45813</v>
      </c>
      <c r="K497" s="163" t="n">
        <v>45813</v>
      </c>
      <c r="L497" t="inlineStr"/>
      <c r="M497" s="163" t="n">
        <v>45827</v>
      </c>
      <c r="N497" s="164" t="n">
        <v>30</v>
      </c>
      <c r="O497" s="164" t="n">
        <v>8</v>
      </c>
      <c r="P497" t="inlineStr">
        <is>
          <t>Liberado</t>
        </is>
      </c>
      <c r="Q497" s="165" t="n">
        <v>1</v>
      </c>
      <c r="R497" s="165" t="n">
        <v>30</v>
      </c>
      <c r="S497" s="165" t="n">
        <v>30</v>
      </c>
      <c r="T497" s="165" t="n">
        <v>0</v>
      </c>
      <c r="U497" s="166" t="n">
        <v>0</v>
      </c>
      <c r="V497" s="166" t="n">
        <v>0</v>
      </c>
      <c r="W497" t="inlineStr">
        <is>
          <t>X</t>
        </is>
      </c>
      <c r="X497" t="inlineStr">
        <is>
          <t>0.00</t>
        </is>
      </c>
      <c r="Y497" t="inlineStr"/>
      <c r="Z497" t="inlineStr">
        <is>
          <t>ABACO SUYTEC, S.A.U.</t>
        </is>
      </c>
      <c r="AA497" t="inlineStr">
        <is>
          <t>OTROS FABRICANTES</t>
        </is>
      </c>
      <c r="AB497" t="inlineStr">
        <is>
          <t>1709800000500</t>
        </is>
      </c>
      <c r="AC497" t="inlineStr"/>
      <c r="AD497" s="164" t="n">
        <v>0</v>
      </c>
      <c r="AE497" s="185" t="n">
        <v>0</v>
      </c>
      <c r="AG497" s="167" t="inlineStr">
        <is>
          <t>7218|JA2594_1001</t>
        </is>
      </c>
      <c r="AH497" s="46">
        <f>IF(M497=0,"-",M497-J497)</f>
        <v/>
      </c>
      <c r="AI497" s="46">
        <f>IF(AND(S497=0,M497&gt;0,L497=0),IF(AH497&gt;=120,"VERY HIGH",IF(AH497&gt;=90,"HIGH",IF(AH497&gt;=60,"MEDIUM",IF(AH497&lt;60,"LOW")))),"-")</f>
        <v/>
      </c>
      <c r="AJ497" s="12" t="n"/>
      <c r="AK497" s="41">
        <f>IF(AND(W497="X",M497&lt;=$AJ$2),"YES","")</f>
        <v/>
      </c>
      <c r="AL497" s="38">
        <f>IF(AND(W497="X",M497&lt;=$AJ$2),S497,"")</f>
        <v/>
      </c>
      <c r="AM497" s="26">
        <f>IF(AND(W497="X",M497&gt;$AJ$2),"YES","")</f>
        <v/>
      </c>
      <c r="AN497" s="89">
        <f>IF(AND(W497="X",M497&gt;$AJ$2),S497,"")</f>
        <v/>
      </c>
      <c r="AO497" s="35">
        <f>IF(AND(W497="",M497&gt;0,$AJ$2&gt;M497,L497=""),1,0)</f>
        <v/>
      </c>
      <c r="AP497" s="26">
        <f>IF(AND(AK497="YES",W497="X"),"X","")</f>
        <v/>
      </c>
      <c r="AQ497" s="28">
        <f>IF(AP497="X",100%,0%)</f>
        <v/>
      </c>
      <c r="AR497" s="25">
        <f>IF(AND(T497&gt;0,L497=""),H497,"")</f>
        <v/>
      </c>
      <c r="AS497" s="25">
        <f>IF(AND(D497&gt;0,H497=0,G497=""),1,"")</f>
        <v/>
      </c>
      <c r="AT497" s="25">
        <f>IF(G497="BLOQ",1,"")</f>
        <v/>
      </c>
      <c r="AU497" s="25">
        <f>IF(L497="BLOQ",1,"")</f>
        <v/>
      </c>
      <c r="AV497" s="25">
        <f>MONTH(F497)</f>
        <v/>
      </c>
      <c r="AW497" s="65">
        <f>IF(AP497="",100%,0%)</f>
        <v/>
      </c>
      <c r="AX497" s="23" t="n"/>
      <c r="AY497" s="24">
        <f>IF(M497=0,"",M497-$AX$2)</f>
        <v/>
      </c>
      <c r="AZ497" s="66">
        <f>IF(AND(W497="",AY497&gt;0,AY497&lt;15),1,0)</f>
        <v/>
      </c>
      <c r="BA497" s="24">
        <f>IF(AND(W497="",AY497&gt;0,AY497&lt;15),T497,"")</f>
        <v/>
      </c>
      <c r="BB497" s="87">
        <f>IF(R497&lt;Q497,"X","")</f>
        <v/>
      </c>
      <c r="BC497" s="190" t="inlineStr">
        <is>
          <t>NO</t>
        </is>
      </c>
      <c r="BD497" s="190" t="inlineStr">
        <is>
          <t>NO</t>
        </is>
      </c>
    </row>
    <row r="498" ht="15" customHeight="1" s="162">
      <c r="A498" s="7" t="n">
        <v>497</v>
      </c>
      <c r="B498" t="inlineStr">
        <is>
          <t>1709800000500</t>
        </is>
      </c>
      <c r="C498" t="inlineStr">
        <is>
          <t>COMPRA DIRECTA FERRETERIA Y HERRAMIENTAS</t>
        </is>
      </c>
      <c r="D498" t="inlineStr">
        <is>
          <t>1101876404</t>
        </is>
      </c>
      <c r="E498" t="inlineStr">
        <is>
          <t>9</t>
        </is>
      </c>
      <c r="F498" s="163" t="n">
        <v>45811</v>
      </c>
      <c r="G498" t="inlineStr"/>
      <c r="H498" t="inlineStr">
        <is>
          <t>4200614302</t>
        </is>
      </c>
      <c r="I498" t="inlineStr">
        <is>
          <t>90</t>
        </is>
      </c>
      <c r="J498" s="163" t="n">
        <v>45813</v>
      </c>
      <c r="K498" s="163" t="n">
        <v>45813</v>
      </c>
      <c r="L498" t="inlineStr"/>
      <c r="M498" s="163" t="n">
        <v>45827</v>
      </c>
      <c r="N498" s="164" t="n">
        <v>30</v>
      </c>
      <c r="O498" s="164" t="n">
        <v>8</v>
      </c>
      <c r="P498" t="inlineStr">
        <is>
          <t>Liberado</t>
        </is>
      </c>
      <c r="Q498" s="165" t="n">
        <v>1</v>
      </c>
      <c r="R498" s="165" t="n">
        <v>30</v>
      </c>
      <c r="S498" s="165" t="n">
        <v>30</v>
      </c>
      <c r="T498" s="165" t="n">
        <v>0</v>
      </c>
      <c r="U498" s="166" t="n">
        <v>0</v>
      </c>
      <c r="V498" s="166" t="n">
        <v>0</v>
      </c>
      <c r="W498" t="inlineStr">
        <is>
          <t>X</t>
        </is>
      </c>
      <c r="X498" t="inlineStr">
        <is>
          <t>0.00</t>
        </is>
      </c>
      <c r="Y498" t="inlineStr"/>
      <c r="Z498" t="inlineStr">
        <is>
          <t>ABACO SUYTEC, S.A.U.</t>
        </is>
      </c>
      <c r="AA498" t="inlineStr">
        <is>
          <t>OTROS FABRICANTES</t>
        </is>
      </c>
      <c r="AB498" t="inlineStr">
        <is>
          <t>1709800000500</t>
        </is>
      </c>
      <c r="AC498" t="inlineStr"/>
      <c r="AD498" s="164" t="n">
        <v>0</v>
      </c>
      <c r="AE498" s="185" t="n">
        <v>0</v>
      </c>
      <c r="AG498" s="167" t="inlineStr">
        <is>
          <t>7218|JA2594_1001</t>
        </is>
      </c>
      <c r="AH498" s="46">
        <f>IF(M498=0,"-",M498-J498)</f>
        <v/>
      </c>
      <c r="AI498" s="46">
        <f>IF(AND(S498=0,M498&gt;0,L498=0),IF(AH498&gt;=120,"VERY HIGH",IF(AH498&gt;=90,"HIGH",IF(AH498&gt;=60,"MEDIUM",IF(AH498&lt;60,"LOW")))),"-")</f>
        <v/>
      </c>
      <c r="AJ498" s="12" t="n"/>
      <c r="AK498" s="41">
        <f>IF(AND(W498="X",M498&lt;=$AJ$2),"YES","")</f>
        <v/>
      </c>
      <c r="AL498" s="38">
        <f>IF(AND(W498="X",M498&lt;=$AJ$2),S498,"")</f>
        <v/>
      </c>
      <c r="AM498" s="26">
        <f>IF(AND(W498="X",M498&gt;$AJ$2),"YES","")</f>
        <v/>
      </c>
      <c r="AN498" s="89">
        <f>IF(AND(W498="X",M498&gt;$AJ$2),S498,"")</f>
        <v/>
      </c>
      <c r="AO498" s="35">
        <f>IF(AND(W498="",M498&gt;0,$AJ$2&gt;M498,L498=""),1,0)</f>
        <v/>
      </c>
      <c r="AP498" s="26">
        <f>IF(AND(AK498="YES",W498="X"),"X","")</f>
        <v/>
      </c>
      <c r="AQ498" s="28">
        <f>IF(AP498="X",100%,0%)</f>
        <v/>
      </c>
      <c r="AR498" s="25">
        <f>IF(AND(T498&gt;0,L498=""),H498,"")</f>
        <v/>
      </c>
      <c r="AS498" s="25">
        <f>IF(AND(D498&gt;0,H498=0,G498=""),1,"")</f>
        <v/>
      </c>
      <c r="AT498" s="25">
        <f>IF(G498="BLOQ",1,"")</f>
        <v/>
      </c>
      <c r="AU498" s="25">
        <f>IF(L498="BLOQ",1,"")</f>
        <v/>
      </c>
      <c r="AV498" s="25">
        <f>MONTH(F498)</f>
        <v/>
      </c>
      <c r="AW498" s="65">
        <f>IF(AP498="",100%,0%)</f>
        <v/>
      </c>
      <c r="AX498" s="23" t="n"/>
      <c r="AY498" s="24">
        <f>IF(M498=0,"",M498-$AX$2)</f>
        <v/>
      </c>
      <c r="AZ498" s="66">
        <f>IF(AND(W498="",AY498&gt;0,AY498&lt;15),1,0)</f>
        <v/>
      </c>
      <c r="BA498" s="24">
        <f>IF(AND(W498="",AY498&gt;0,AY498&lt;15),T498,"")</f>
        <v/>
      </c>
      <c r="BB498" s="87">
        <f>IF(R498&lt;Q498,"X","")</f>
        <v/>
      </c>
      <c r="BC498" s="190" t="inlineStr">
        <is>
          <t>NO</t>
        </is>
      </c>
      <c r="BD498" s="190" t="inlineStr">
        <is>
          <t>NO</t>
        </is>
      </c>
    </row>
    <row r="499" ht="15" customHeight="1" s="162">
      <c r="A499" s="7" t="n">
        <v>498</v>
      </c>
      <c r="B499" t="inlineStr">
        <is>
          <t>39121421</t>
        </is>
      </c>
      <c r="C499" t="inlineStr">
        <is>
          <t>Carcasa de conector Molex 39-01-4031, Se</t>
        </is>
      </c>
      <c r="D499" t="inlineStr">
        <is>
          <t>1101876743</t>
        </is>
      </c>
      <c r="E499" t="inlineStr">
        <is>
          <t>1</t>
        </is>
      </c>
      <c r="F499" s="163" t="n">
        <v>45812</v>
      </c>
      <c r="G499" t="inlineStr"/>
      <c r="H499" t="inlineStr">
        <is>
          <t>4800003109</t>
        </is>
      </c>
      <c r="I499" t="inlineStr">
        <is>
          <t>110</t>
        </is>
      </c>
      <c r="J499" s="163" t="n">
        <v>45812</v>
      </c>
      <c r="K499" s="163" t="inlineStr"/>
      <c r="L499" t="inlineStr"/>
      <c r="M499" s="163" t="n">
        <v>45813</v>
      </c>
      <c r="N499" s="164" t="n">
        <v>0</v>
      </c>
      <c r="O499" s="164" t="n">
        <v>0</v>
      </c>
      <c r="P499" t="inlineStr"/>
      <c r="Q499" s="165" t="n">
        <v>10</v>
      </c>
      <c r="R499" s="165" t="n">
        <v>10</v>
      </c>
      <c r="S499" s="165" t="n">
        <v>10</v>
      </c>
      <c r="T499" s="165" t="n">
        <v>0</v>
      </c>
      <c r="U499" s="166" t="n">
        <v>0</v>
      </c>
      <c r="V499" s="166" t="n">
        <v>0</v>
      </c>
      <c r="W499" t="inlineStr">
        <is>
          <t>X</t>
        </is>
      </c>
      <c r="X499" t="inlineStr">
        <is>
          <t>0.00</t>
        </is>
      </c>
      <c r="Y499" t="inlineStr"/>
      <c r="Z499" t="inlineStr">
        <is>
          <t>AMIDATA, S.A.</t>
        </is>
      </c>
      <c r="AA499" t="inlineStr"/>
      <c r="AB499" t="inlineStr">
        <is>
          <t>6795842</t>
        </is>
      </c>
      <c r="AC499" t="inlineStr"/>
      <c r="AD499" s="164" t="n">
        <v>0</v>
      </c>
      <c r="AE499" s="185" t="n">
        <v>0</v>
      </c>
      <c r="AG499" s="167" t="inlineStr">
        <is>
          <t>7218|JA2582_1001</t>
        </is>
      </c>
      <c r="AH499" s="46">
        <f>IF(M499=0,"-",M499-J499)</f>
        <v/>
      </c>
      <c r="AI499" s="46">
        <f>IF(AND(S499=0,M499&gt;0,L499=0),IF(AH499&gt;=120,"VERY HIGH",IF(AH499&gt;=90,"HIGH",IF(AH499&gt;=60,"MEDIUM",IF(AH499&lt;60,"LOW")))),"-")</f>
        <v/>
      </c>
      <c r="AJ499" s="12" t="n"/>
      <c r="AK499" s="41">
        <f>IF(AND(W499="X",M499&lt;=$AJ$2),"YES","")</f>
        <v/>
      </c>
      <c r="AL499" s="38">
        <f>IF(AND(W499="X",M499&lt;=$AJ$2),S499,"")</f>
        <v/>
      </c>
      <c r="AM499" s="26">
        <f>IF(AND(W499="X",M499&gt;$AJ$2),"YES","")</f>
        <v/>
      </c>
      <c r="AN499" s="89">
        <f>IF(AND(W499="X",M499&gt;$AJ$2),S499,"")</f>
        <v/>
      </c>
      <c r="AO499" s="35">
        <f>IF(AND(W499="",M499&gt;0,$AJ$2&gt;M499,L499=""),1,0)</f>
        <v/>
      </c>
      <c r="AP499" s="26">
        <f>IF(AND(AK499="YES",W499="X"),"X","")</f>
        <v/>
      </c>
      <c r="AQ499" s="28">
        <f>IF(AP499="X",100%,0%)</f>
        <v/>
      </c>
      <c r="AR499" s="25">
        <f>IF(AND(T499&gt;0,L499=""),H499,"")</f>
        <v/>
      </c>
      <c r="AS499" s="25">
        <f>IF(AND(D499&gt;0,H499=0,G499=""),1,"")</f>
        <v/>
      </c>
      <c r="AT499" s="25">
        <f>IF(G499="BLOQ",1,"")</f>
        <v/>
      </c>
      <c r="AU499" s="25">
        <f>IF(L499="BLOQ",1,"")</f>
        <v/>
      </c>
      <c r="AV499" s="25">
        <f>MONTH(F499)</f>
        <v/>
      </c>
      <c r="AW499" s="65">
        <f>IF(AP499="",100%,0%)</f>
        <v/>
      </c>
      <c r="AX499" s="23" t="n"/>
      <c r="AY499" s="24">
        <f>IF(M499=0,"",M499-$AX$2)</f>
        <v/>
      </c>
      <c r="AZ499" s="66">
        <f>IF(AND(W499="",AY499&gt;0,AY499&lt;15),1,0)</f>
        <v/>
      </c>
      <c r="BA499" s="24">
        <f>IF(AND(W499="",AY499&gt;0,AY499&lt;15),T499,"")</f>
        <v/>
      </c>
      <c r="BB499" s="87">
        <f>IF(R499&lt;Q499,"X","")</f>
        <v/>
      </c>
      <c r="BC499" s="190" t="inlineStr">
        <is>
          <t>NO</t>
        </is>
      </c>
      <c r="BD499" s="190" t="inlineStr">
        <is>
          <t>NO</t>
        </is>
      </c>
    </row>
    <row r="500" ht="15" customHeight="1" s="162">
      <c r="A500" s="7" t="n">
        <v>499</v>
      </c>
      <c r="B500" t="inlineStr"/>
      <c r="C500" t="inlineStr">
        <is>
          <t>ADEC. LUMINARIAS BANCO ST.01</t>
        </is>
      </c>
      <c r="D500" t="inlineStr">
        <is>
          <t>1101876885</t>
        </is>
      </c>
      <c r="E500" t="inlineStr">
        <is>
          <t>1</t>
        </is>
      </c>
      <c r="F500" s="163" t="n">
        <v>45812</v>
      </c>
      <c r="G500" t="inlineStr"/>
      <c r="H500" t="inlineStr">
        <is>
          <t>4300348534</t>
        </is>
      </c>
      <c r="I500" t="inlineStr">
        <is>
          <t>10</t>
        </is>
      </c>
      <c r="J500" s="163" t="n">
        <v>45833</v>
      </c>
      <c r="K500" s="163" t="n">
        <v>45834</v>
      </c>
      <c r="L500" t="inlineStr"/>
      <c r="M500" s="163" t="n">
        <v>45961</v>
      </c>
      <c r="N500" s="164" t="n">
        <v>0</v>
      </c>
      <c r="O500" s="164" t="n">
        <v>0</v>
      </c>
      <c r="P500" t="inlineStr">
        <is>
          <t>Liberado</t>
        </is>
      </c>
      <c r="Q500" s="166" t="n">
        <v>1</v>
      </c>
      <c r="R500" s="164" t="n">
        <v>1</v>
      </c>
      <c r="S500" s="164" t="n">
        <v>0</v>
      </c>
      <c r="T500" s="164" t="n">
        <v>0</v>
      </c>
      <c r="U500" s="166" t="n">
        <v>0</v>
      </c>
      <c r="V500" s="166" t="n">
        <v>0</v>
      </c>
      <c r="W500" t="inlineStr"/>
      <c r="X500" t="inlineStr">
        <is>
          <t>0.00</t>
        </is>
      </c>
      <c r="Y500" t="inlineStr"/>
      <c r="Z500" t="inlineStr">
        <is>
          <t>VEOLIA SERVICIOS LECAM, S.A.U.</t>
        </is>
      </c>
      <c r="AA500" t="inlineStr"/>
      <c r="AB500" t="inlineStr"/>
      <c r="AC500" t="inlineStr"/>
      <c r="AD500" s="164" t="n">
        <v>0</v>
      </c>
      <c r="AE500" s="185" t="n">
        <v>0</v>
      </c>
      <c r="AG500" s="167" t="inlineStr">
        <is>
          <t>7218|JA2594_1001</t>
        </is>
      </c>
      <c r="AH500" s="46">
        <f>IF(M500=0,"-",M500-J500)</f>
        <v/>
      </c>
      <c r="AI500" s="46">
        <f>IF(AND(S500=0,M500&gt;0,L500=0),IF(AH500&gt;=120,"VERY HIGH",IF(AH500&gt;=90,"HIGH",IF(AH500&gt;=60,"MEDIUM",IF(AH500&lt;60,"LOW")))),"-")</f>
        <v/>
      </c>
      <c r="AJ500" s="12" t="n"/>
      <c r="AK500" s="41">
        <f>IF(AND(W500="X",M500&lt;=$AJ$2),"YES","")</f>
        <v/>
      </c>
      <c r="AL500" s="38">
        <f>IF(AND(W500="X",M500&lt;=$AJ$2),S500,"")</f>
        <v/>
      </c>
      <c r="AM500" s="26">
        <f>IF(AND(W500="X",M500&gt;$AJ$2),"YES","")</f>
        <v/>
      </c>
      <c r="AN500" s="89">
        <f>IF(AND(W500="X",M500&gt;$AJ$2),S500,"")</f>
        <v/>
      </c>
      <c r="AO500" s="35">
        <f>IF(AND(W500="",M500&gt;0,$AJ$2&gt;M500,L500=""),1,0)</f>
        <v/>
      </c>
      <c r="AP500" s="26">
        <f>IF(AND(AK500="YES",W500="X"),"X","")</f>
        <v/>
      </c>
      <c r="AQ500" s="28">
        <f>IF(AP500="X",100%,0%)</f>
        <v/>
      </c>
      <c r="AR500" s="25">
        <f>IF(AND(T500&gt;0,L500=""),H500,"")</f>
        <v/>
      </c>
      <c r="AS500" s="25">
        <f>IF(AND(D500&gt;0,H500=0,G500=""),1,"")</f>
        <v/>
      </c>
      <c r="AT500" s="25">
        <f>IF(G500="BLOQ",1,"")</f>
        <v/>
      </c>
      <c r="AU500" s="25">
        <f>IF(L500="BLOQ",1,"")</f>
        <v/>
      </c>
      <c r="AV500" s="25">
        <f>MONTH(F500)</f>
        <v/>
      </c>
      <c r="AW500" s="65">
        <f>IF(AP500="",100%,0%)</f>
        <v/>
      </c>
      <c r="AX500" s="23" t="n"/>
      <c r="AY500" s="24">
        <f>IF(M500=0,"",M500-$AX$2)</f>
        <v/>
      </c>
      <c r="AZ500" s="66">
        <f>IF(AND(W500="",AY500&gt;0,AY500&lt;15),1,0)</f>
        <v/>
      </c>
      <c r="BA500" s="24">
        <f>IF(AND(W500="",AY500&gt;0,AY500&lt;15),T500,"")</f>
        <v/>
      </c>
      <c r="BB500" s="87">
        <f>IF(R500&lt;Q500,"X","")</f>
        <v/>
      </c>
      <c r="BC500" s="190" t="inlineStr">
        <is>
          <t>NO</t>
        </is>
      </c>
      <c r="BD500" s="190" t="inlineStr">
        <is>
          <t>NO</t>
        </is>
      </c>
    </row>
    <row r="501" ht="15" customHeight="1" s="162">
      <c r="A501" s="7" t="n">
        <v>500</v>
      </c>
      <c r="B501" t="inlineStr">
        <is>
          <t>1359900000500</t>
        </is>
      </c>
      <c r="C501" t="inlineStr">
        <is>
          <t>COMPRA DIRECTA ELECTRICOS/ELECTRONICOS</t>
        </is>
      </c>
      <c r="D501" t="inlineStr">
        <is>
          <t>1101876990</t>
        </is>
      </c>
      <c r="E501" t="inlineStr">
        <is>
          <t>1</t>
        </is>
      </c>
      <c r="F501" s="163" t="n">
        <v>45812</v>
      </c>
      <c r="G501" t="inlineStr"/>
      <c r="H501" t="inlineStr">
        <is>
          <t>4200616938</t>
        </is>
      </c>
      <c r="I501" t="inlineStr">
        <is>
          <t>20</t>
        </is>
      </c>
      <c r="J501" s="163" t="n">
        <v>45832</v>
      </c>
      <c r="K501" s="163" t="n">
        <v>45833</v>
      </c>
      <c r="L501" t="inlineStr"/>
      <c r="M501" s="163" t="n">
        <v>45846</v>
      </c>
      <c r="N501" s="164" t="n">
        <v>30</v>
      </c>
      <c r="O501" s="164" t="n">
        <v>8</v>
      </c>
      <c r="P501" t="inlineStr">
        <is>
          <t>Liberado</t>
        </is>
      </c>
      <c r="Q501" s="165" t="n">
        <v>2</v>
      </c>
      <c r="R501" s="165" t="n">
        <v>2</v>
      </c>
      <c r="S501" s="165" t="n">
        <v>2</v>
      </c>
      <c r="T501" s="165" t="n">
        <v>0</v>
      </c>
      <c r="U501" s="166" t="n">
        <v>0</v>
      </c>
      <c r="V501" s="166" t="n">
        <v>0</v>
      </c>
      <c r="W501" t="inlineStr">
        <is>
          <t>X</t>
        </is>
      </c>
      <c r="X501" t="inlineStr">
        <is>
          <t>0.00</t>
        </is>
      </c>
      <c r="Y501" t="inlineStr"/>
      <c r="Z501" t="inlineStr">
        <is>
          <t>SARVER S.L.</t>
        </is>
      </c>
      <c r="AA501" t="inlineStr">
        <is>
          <t>OTROS FABRICANTES</t>
        </is>
      </c>
      <c r="AB501" t="inlineStr">
        <is>
          <t>1359900000500</t>
        </is>
      </c>
      <c r="AC501" t="inlineStr"/>
      <c r="AD501" s="164" t="n">
        <v>0</v>
      </c>
      <c r="AE501" s="185" t="n">
        <v>0</v>
      </c>
      <c r="AG501" s="167" t="inlineStr">
        <is>
          <t>7218|S24B05_S08</t>
        </is>
      </c>
      <c r="AH501" s="46">
        <f>IF(M501=0,"-",M501-J501)</f>
        <v/>
      </c>
      <c r="AI501" s="46">
        <f>IF(AND(S501=0,M501&gt;0,L501=0),IF(AH501&gt;=120,"VERY HIGH",IF(AH501&gt;=90,"HIGH",IF(AH501&gt;=60,"MEDIUM",IF(AH501&lt;60,"LOW")))),"-")</f>
        <v/>
      </c>
      <c r="AJ501" s="12" t="n"/>
      <c r="AK501" s="41">
        <f>IF(AND(W501="X",M501&lt;=$AJ$2),"YES","")</f>
        <v/>
      </c>
      <c r="AL501" s="38">
        <f>IF(AND(W501="X",M501&lt;=$AJ$2),S501,"")</f>
        <v/>
      </c>
      <c r="AM501" s="26">
        <f>IF(AND(W501="X",M501&gt;$AJ$2),"YES","")</f>
        <v/>
      </c>
      <c r="AN501" s="89">
        <f>IF(AND(W501="X",M501&gt;$AJ$2),S501,"")</f>
        <v/>
      </c>
      <c r="AO501" s="35">
        <f>IF(AND(W501="",M501&gt;0,$AJ$2&gt;M501,L501=""),1,0)</f>
        <v/>
      </c>
      <c r="AP501" s="26">
        <f>IF(AND(AK501="YES",W501="X"),"X","")</f>
        <v/>
      </c>
      <c r="AQ501" s="28">
        <f>IF(AP501="X",100%,0%)</f>
        <v/>
      </c>
      <c r="AR501" s="25">
        <f>IF(AND(T501&gt;0,L501=""),H501,"")</f>
        <v/>
      </c>
      <c r="AS501" s="25">
        <f>IF(AND(D501&gt;0,H501=0,G501=""),1,"")</f>
        <v/>
      </c>
      <c r="AT501" s="25">
        <f>IF(G501="BLOQ",1,"")</f>
        <v/>
      </c>
      <c r="AU501" s="25">
        <f>IF(L501="BLOQ",1,"")</f>
        <v/>
      </c>
      <c r="AV501" s="25">
        <f>MONTH(F501)</f>
        <v/>
      </c>
      <c r="AW501" s="65">
        <f>IF(AP501="",100%,0%)</f>
        <v/>
      </c>
      <c r="AX501" s="23" t="n"/>
      <c r="AY501" s="24">
        <f>IF(M501=0,"",M501-$AX$2)</f>
        <v/>
      </c>
      <c r="AZ501" s="66">
        <f>IF(AND(W501="",AY501&gt;0,AY501&lt;15),1,0)</f>
        <v/>
      </c>
      <c r="BA501" s="24">
        <f>IF(AND(W501="",AY501&gt;0,AY501&lt;15),T501,"")</f>
        <v/>
      </c>
      <c r="BB501" s="87">
        <f>IF(R501&lt;Q501,"X","")</f>
        <v/>
      </c>
      <c r="BC501" s="190" t="inlineStr">
        <is>
          <t>NO</t>
        </is>
      </c>
      <c r="BD501" s="190" t="inlineStr">
        <is>
          <t>NO</t>
        </is>
      </c>
    </row>
    <row r="502" ht="15" customHeight="1" s="162">
      <c r="A502" s="7" t="n">
        <v>501</v>
      </c>
      <c r="B502" t="inlineStr">
        <is>
          <t>1709800000500</t>
        </is>
      </c>
      <c r="C502" t="inlineStr">
        <is>
          <t>COMPRA DIRECTA FERRETERIA Y HERRAMIENTAS</t>
        </is>
      </c>
      <c r="D502" t="inlineStr">
        <is>
          <t>1101877066</t>
        </is>
      </c>
      <c r="E502" t="inlineStr">
        <is>
          <t>1</t>
        </is>
      </c>
      <c r="F502" s="163" t="n">
        <v>45812</v>
      </c>
      <c r="G502" t="inlineStr"/>
      <c r="H502" t="inlineStr">
        <is>
          <t>4200614720</t>
        </is>
      </c>
      <c r="I502" t="inlineStr">
        <is>
          <t>10</t>
        </is>
      </c>
      <c r="J502" s="163" t="n">
        <v>45817</v>
      </c>
      <c r="K502" s="163" t="n">
        <v>45817</v>
      </c>
      <c r="L502" t="inlineStr"/>
      <c r="M502" s="163" t="n">
        <v>45831</v>
      </c>
      <c r="N502" s="164" t="n">
        <v>30</v>
      </c>
      <c r="O502" s="164" t="n">
        <v>8</v>
      </c>
      <c r="P502" t="inlineStr">
        <is>
          <t>Liberado</t>
        </is>
      </c>
      <c r="Q502" s="165" t="n">
        <v>1</v>
      </c>
      <c r="R502" s="165" t="n">
        <v>1</v>
      </c>
      <c r="S502" s="165" t="n">
        <v>1</v>
      </c>
      <c r="T502" s="165" t="n">
        <v>0</v>
      </c>
      <c r="U502" s="166" t="n">
        <v>0</v>
      </c>
      <c r="V502" s="166" t="n">
        <v>0</v>
      </c>
      <c r="W502" t="inlineStr">
        <is>
          <t>X</t>
        </is>
      </c>
      <c r="X502" t="inlineStr">
        <is>
          <t>0.00</t>
        </is>
      </c>
      <c r="Y502" t="inlineStr"/>
      <c r="Z502" t="inlineStr">
        <is>
          <t>ABACO SUYTEC, S.A.U.</t>
        </is>
      </c>
      <c r="AA502" t="inlineStr">
        <is>
          <t>OTROS FABRICANTES</t>
        </is>
      </c>
      <c r="AB502" t="inlineStr">
        <is>
          <t>1709800000500</t>
        </is>
      </c>
      <c r="AC502" t="inlineStr"/>
      <c r="AD502" s="164" t="n">
        <v>0</v>
      </c>
      <c r="AE502" s="185" t="n">
        <v>0</v>
      </c>
      <c r="AG502" s="167" t="inlineStr">
        <is>
          <t>7218|JA2594_1001</t>
        </is>
      </c>
      <c r="AH502" s="46">
        <f>IF(M502=0,"-",M502-J502)</f>
        <v/>
      </c>
      <c r="AI502" s="46">
        <f>IF(AND(S502=0,M502&gt;0,L502=0),IF(AH502&gt;=120,"VERY HIGH",IF(AH502&gt;=90,"HIGH",IF(AH502&gt;=60,"MEDIUM",IF(AH502&lt;60,"LOW")))),"-")</f>
        <v/>
      </c>
      <c r="AJ502" s="12" t="n"/>
      <c r="AK502" s="41">
        <f>IF(AND(W502="X",M502&lt;=$AJ$2),"YES","")</f>
        <v/>
      </c>
      <c r="AL502" s="38">
        <f>IF(AND(W502="X",M502&lt;=$AJ$2),S502,"")</f>
        <v/>
      </c>
      <c r="AM502" s="26">
        <f>IF(AND(W502="X",M502&gt;$AJ$2),"YES","")</f>
        <v/>
      </c>
      <c r="AN502" s="89">
        <f>IF(AND(W502="X",M502&gt;$AJ$2),S502,"")</f>
        <v/>
      </c>
      <c r="AO502" s="35">
        <f>IF(AND(W502="",M502&gt;0,$AJ$2&gt;M502,L502=""),1,0)</f>
        <v/>
      </c>
      <c r="AP502" s="26">
        <f>IF(AND(AK502="YES",W502="X"),"X","")</f>
        <v/>
      </c>
      <c r="AQ502" s="28">
        <f>IF(AP502="X",100%,0%)</f>
        <v/>
      </c>
      <c r="AR502" s="25">
        <f>IF(AND(T502&gt;0,L502=""),H502,"")</f>
        <v/>
      </c>
      <c r="AS502" s="25">
        <f>IF(AND(D502&gt;0,H502=0,G502=""),1,"")</f>
        <v/>
      </c>
      <c r="AT502" s="25">
        <f>IF(G502="BLOQ",1,"")</f>
        <v/>
      </c>
      <c r="AU502" s="25">
        <f>IF(L502="BLOQ",1,"")</f>
        <v/>
      </c>
      <c r="AV502" s="25">
        <f>MONTH(F502)</f>
        <v/>
      </c>
      <c r="AW502" s="65">
        <f>IF(AP502="",100%,0%)</f>
        <v/>
      </c>
      <c r="AX502" s="23" t="n"/>
      <c r="AY502" s="24">
        <f>IF(M502=0,"",M502-$AX$2)</f>
        <v/>
      </c>
      <c r="AZ502" s="66">
        <f>IF(AND(W502="",AY502&gt;0,AY502&lt;15),1,0)</f>
        <v/>
      </c>
      <c r="BA502" s="24">
        <f>IF(AND(W502="",AY502&gt;0,AY502&lt;15),T502,"")</f>
        <v/>
      </c>
      <c r="BB502" s="87">
        <f>IF(R502&lt;Q502,"X","")</f>
        <v/>
      </c>
      <c r="BC502" s="190" t="inlineStr">
        <is>
          <t>NO</t>
        </is>
      </c>
      <c r="BD502" s="190" t="inlineStr">
        <is>
          <t>NO</t>
        </is>
      </c>
    </row>
    <row r="503" ht="15" customHeight="1" s="162">
      <c r="A503" s="7" t="n">
        <v>502</v>
      </c>
      <c r="B503" t="inlineStr">
        <is>
          <t>1709800000500</t>
        </is>
      </c>
      <c r="C503" t="inlineStr">
        <is>
          <t>COMPRA DIRECTA FERRETERIA Y HERRAMIENTAS</t>
        </is>
      </c>
      <c r="D503" t="inlineStr">
        <is>
          <t>1101877066</t>
        </is>
      </c>
      <c r="E503" t="inlineStr">
        <is>
          <t>2</t>
        </is>
      </c>
      <c r="F503" s="163" t="n">
        <v>45812</v>
      </c>
      <c r="G503" t="inlineStr"/>
      <c r="H503" t="inlineStr">
        <is>
          <t>4200614720</t>
        </is>
      </c>
      <c r="I503" t="inlineStr">
        <is>
          <t>20</t>
        </is>
      </c>
      <c r="J503" s="163" t="n">
        <v>45817</v>
      </c>
      <c r="K503" s="163" t="n">
        <v>45817</v>
      </c>
      <c r="L503" t="inlineStr"/>
      <c r="M503" s="163" t="n">
        <v>45831</v>
      </c>
      <c r="N503" s="164" t="n">
        <v>30</v>
      </c>
      <c r="O503" s="164" t="n">
        <v>8</v>
      </c>
      <c r="P503" t="inlineStr">
        <is>
          <t>Liberado</t>
        </is>
      </c>
      <c r="Q503" s="165" t="n">
        <v>1</v>
      </c>
      <c r="R503" s="165" t="n">
        <v>2</v>
      </c>
      <c r="S503" s="165" t="n">
        <v>2</v>
      </c>
      <c r="T503" s="165" t="n">
        <v>0</v>
      </c>
      <c r="U503" s="166" t="n">
        <v>0</v>
      </c>
      <c r="V503" s="166" t="n">
        <v>0</v>
      </c>
      <c r="W503" t="inlineStr">
        <is>
          <t>X</t>
        </is>
      </c>
      <c r="X503" t="inlineStr">
        <is>
          <t>0.00</t>
        </is>
      </c>
      <c r="Y503" t="inlineStr"/>
      <c r="Z503" t="inlineStr">
        <is>
          <t>ABACO SUYTEC, S.A.U.</t>
        </is>
      </c>
      <c r="AA503" t="inlineStr">
        <is>
          <t>OTROS FABRICANTES</t>
        </is>
      </c>
      <c r="AB503" t="inlineStr">
        <is>
          <t>1709800000500</t>
        </is>
      </c>
      <c r="AC503" t="inlineStr"/>
      <c r="AD503" s="164" t="n">
        <v>0</v>
      </c>
      <c r="AE503" s="185" t="n">
        <v>0</v>
      </c>
      <c r="AG503" s="167" t="inlineStr">
        <is>
          <t>7218|JA2594_1001</t>
        </is>
      </c>
      <c r="AH503" s="46">
        <f>IF(M503=0,"-",M503-J503)</f>
        <v/>
      </c>
      <c r="AI503" s="46">
        <f>IF(AND(S503=0,M503&gt;0,L503=0),IF(AH503&gt;=120,"VERY HIGH",IF(AH503&gt;=90,"HIGH",IF(AH503&gt;=60,"MEDIUM",IF(AH503&lt;60,"LOW")))),"-")</f>
        <v/>
      </c>
      <c r="AJ503" s="12" t="n"/>
      <c r="AK503" s="41">
        <f>IF(AND(W503="X",M503&lt;=$AJ$2),"YES","")</f>
        <v/>
      </c>
      <c r="AL503" s="38">
        <f>IF(AND(W503="X",M503&lt;=$AJ$2),S503,"")</f>
        <v/>
      </c>
      <c r="AM503" s="26">
        <f>IF(AND(W503="X",M503&gt;$AJ$2),"YES","")</f>
        <v/>
      </c>
      <c r="AN503" s="89">
        <f>IF(AND(W503="X",M503&gt;$AJ$2),S503,"")</f>
        <v/>
      </c>
      <c r="AO503" s="35">
        <f>IF(AND(W503="",M503&gt;0,$AJ$2&gt;M503,L503=""),1,0)</f>
        <v/>
      </c>
      <c r="AP503" s="26">
        <f>IF(AND(AK503="YES",W503="X"),"X","")</f>
        <v/>
      </c>
      <c r="AQ503" s="28">
        <f>IF(AP503="X",100%,0%)</f>
        <v/>
      </c>
      <c r="AR503" s="25">
        <f>IF(AND(T503&gt;0,L503=""),H503,"")</f>
        <v/>
      </c>
      <c r="AS503" s="25">
        <f>IF(AND(D503&gt;0,H503=0,G503=""),1,"")</f>
        <v/>
      </c>
      <c r="AT503" s="25">
        <f>IF(G503="BLOQ",1,"")</f>
        <v/>
      </c>
      <c r="AU503" s="25">
        <f>IF(L503="BLOQ",1,"")</f>
        <v/>
      </c>
      <c r="AV503" s="25">
        <f>MONTH(F503)</f>
        <v/>
      </c>
      <c r="AW503" s="65">
        <f>IF(AP503="",100%,0%)</f>
        <v/>
      </c>
      <c r="AX503" s="23" t="n"/>
      <c r="AY503" s="24">
        <f>IF(M503=0,"",M503-$AX$2)</f>
        <v/>
      </c>
      <c r="AZ503" s="66">
        <f>IF(AND(W503="",AY503&gt;0,AY503&lt;15),1,0)</f>
        <v/>
      </c>
      <c r="BA503" s="24">
        <f>IF(AND(W503="",AY503&gt;0,AY503&lt;15),T503,"")</f>
        <v/>
      </c>
      <c r="BB503" s="87">
        <f>IF(R503&lt;Q503,"X","")</f>
        <v/>
      </c>
      <c r="BC503" s="190" t="inlineStr">
        <is>
          <t>NO</t>
        </is>
      </c>
      <c r="BD503" s="190" t="inlineStr">
        <is>
          <t>NO</t>
        </is>
      </c>
    </row>
    <row r="504" ht="15" customHeight="1" s="162">
      <c r="A504" s="7" t="n">
        <v>503</v>
      </c>
      <c r="B504" t="inlineStr">
        <is>
          <t>1709800000500</t>
        </is>
      </c>
      <c r="C504" t="inlineStr">
        <is>
          <t>COMPRA DIRECTA FERRETERIA Y HERRAMIENTAS</t>
        </is>
      </c>
      <c r="D504" t="inlineStr">
        <is>
          <t>1101877066</t>
        </is>
      </c>
      <c r="E504" t="inlineStr">
        <is>
          <t>3</t>
        </is>
      </c>
      <c r="F504" s="163" t="n">
        <v>45812</v>
      </c>
      <c r="G504" t="inlineStr"/>
      <c r="H504" t="inlineStr">
        <is>
          <t>4200614720</t>
        </is>
      </c>
      <c r="I504" t="inlineStr">
        <is>
          <t>30</t>
        </is>
      </c>
      <c r="J504" s="163" t="n">
        <v>45817</v>
      </c>
      <c r="K504" s="163" t="n">
        <v>45817</v>
      </c>
      <c r="L504" t="inlineStr"/>
      <c r="M504" s="163" t="n">
        <v>45831</v>
      </c>
      <c r="N504" s="164" t="n">
        <v>30</v>
      </c>
      <c r="O504" s="164" t="n">
        <v>8</v>
      </c>
      <c r="P504" t="inlineStr">
        <is>
          <t>Liberado</t>
        </is>
      </c>
      <c r="Q504" s="165" t="n">
        <v>1</v>
      </c>
      <c r="R504" s="165" t="n">
        <v>2</v>
      </c>
      <c r="S504" s="165" t="n">
        <v>2</v>
      </c>
      <c r="T504" s="165" t="n">
        <v>0</v>
      </c>
      <c r="U504" s="166" t="n">
        <v>0</v>
      </c>
      <c r="V504" s="166" t="n">
        <v>0</v>
      </c>
      <c r="W504" t="inlineStr">
        <is>
          <t>X</t>
        </is>
      </c>
      <c r="X504" t="inlineStr">
        <is>
          <t>0.00</t>
        </is>
      </c>
      <c r="Y504" t="inlineStr"/>
      <c r="Z504" t="inlineStr">
        <is>
          <t>ABACO SUYTEC, S.A.U.</t>
        </is>
      </c>
      <c r="AA504" t="inlineStr">
        <is>
          <t>OTROS FABRICANTES</t>
        </is>
      </c>
      <c r="AB504" t="inlineStr">
        <is>
          <t>1709800000500</t>
        </is>
      </c>
      <c r="AC504" t="inlineStr"/>
      <c r="AD504" s="164" t="n">
        <v>0</v>
      </c>
      <c r="AE504" s="185" t="n">
        <v>0</v>
      </c>
      <c r="AG504" s="167" t="inlineStr">
        <is>
          <t>7218|JA2594_1001</t>
        </is>
      </c>
      <c r="AH504" s="46">
        <f>IF(M504=0,"-",M504-J504)</f>
        <v/>
      </c>
      <c r="AI504" s="46">
        <f>IF(AND(S504=0,M504&gt;0,L504=0),IF(AH504&gt;=120,"VERY HIGH",IF(AH504&gt;=90,"HIGH",IF(AH504&gt;=60,"MEDIUM",IF(AH504&lt;60,"LOW")))),"-")</f>
        <v/>
      </c>
      <c r="AJ504" s="12" t="n"/>
      <c r="AK504" s="41">
        <f>IF(AND(W504="X",M504&lt;=$AJ$2),"YES","")</f>
        <v/>
      </c>
      <c r="AL504" s="38">
        <f>IF(AND(W504="X",M504&lt;=$AJ$2),S504,"")</f>
        <v/>
      </c>
      <c r="AM504" s="26">
        <f>IF(AND(W504="X",M504&gt;$AJ$2),"YES","")</f>
        <v/>
      </c>
      <c r="AN504" s="89">
        <f>IF(AND(W504="X",M504&gt;$AJ$2),S504,"")</f>
        <v/>
      </c>
      <c r="AO504" s="35">
        <f>IF(AND(W504="",M504&gt;0,$AJ$2&gt;M504,L504=""),1,0)</f>
        <v/>
      </c>
      <c r="AP504" s="26">
        <f>IF(AND(AK504="YES",W504="X"),"X","")</f>
        <v/>
      </c>
      <c r="AQ504" s="28">
        <f>IF(AP504="X",100%,0%)</f>
        <v/>
      </c>
      <c r="AR504" s="25">
        <f>IF(AND(T504&gt;0,L504=""),H504,"")</f>
        <v/>
      </c>
      <c r="AS504" s="25">
        <f>IF(AND(D504&gt;0,H504=0,G504=""),1,"")</f>
        <v/>
      </c>
      <c r="AT504" s="25">
        <f>IF(G504="BLOQ",1,"")</f>
        <v/>
      </c>
      <c r="AU504" s="25">
        <f>IF(L504="BLOQ",1,"")</f>
        <v/>
      </c>
      <c r="AV504" s="25">
        <f>MONTH(F504)</f>
        <v/>
      </c>
      <c r="AW504" s="65">
        <f>IF(AP504="",100%,0%)</f>
        <v/>
      </c>
      <c r="AX504" s="23" t="n"/>
      <c r="AY504" s="24">
        <f>IF(M504=0,"",M504-$AX$2)</f>
        <v/>
      </c>
      <c r="AZ504" s="66">
        <f>IF(AND(W504="",AY504&gt;0,AY504&lt;15),1,0)</f>
        <v/>
      </c>
      <c r="BA504" s="24">
        <f>IF(AND(W504="",AY504&gt;0,AY504&lt;15),T504,"")</f>
        <v/>
      </c>
      <c r="BB504" s="87">
        <f>IF(R504&lt;Q504,"X","")</f>
        <v/>
      </c>
      <c r="BC504" s="190" t="inlineStr">
        <is>
          <t>NO</t>
        </is>
      </c>
      <c r="BD504" s="190" t="inlineStr">
        <is>
          <t>NO</t>
        </is>
      </c>
    </row>
    <row r="505" ht="15" customHeight="1" s="162">
      <c r="A505" s="7" t="n">
        <v>504</v>
      </c>
      <c r="B505" t="inlineStr">
        <is>
          <t>1709800000500</t>
        </is>
      </c>
      <c r="C505" t="inlineStr">
        <is>
          <t>COMPRA DIRECTA FERRETERIA Y HERRAMIENTAS</t>
        </is>
      </c>
      <c r="D505" t="inlineStr">
        <is>
          <t>1101877066</t>
        </is>
      </c>
      <c r="E505" t="inlineStr">
        <is>
          <t>4</t>
        </is>
      </c>
      <c r="F505" s="163" t="n">
        <v>45812</v>
      </c>
      <c r="G505" t="inlineStr"/>
      <c r="H505" t="inlineStr">
        <is>
          <t>4200614720</t>
        </is>
      </c>
      <c r="I505" t="inlineStr">
        <is>
          <t>40</t>
        </is>
      </c>
      <c r="J505" s="163" t="n">
        <v>45817</v>
      </c>
      <c r="K505" s="163" t="n">
        <v>45817</v>
      </c>
      <c r="L505" t="inlineStr"/>
      <c r="M505" s="163" t="n">
        <v>45831</v>
      </c>
      <c r="N505" s="164" t="n">
        <v>30</v>
      </c>
      <c r="O505" s="164" t="n">
        <v>8</v>
      </c>
      <c r="P505" t="inlineStr">
        <is>
          <t>Liberado</t>
        </is>
      </c>
      <c r="Q505" s="165" t="n">
        <v>1</v>
      </c>
      <c r="R505" s="165" t="n">
        <v>2</v>
      </c>
      <c r="S505" s="165" t="n">
        <v>2</v>
      </c>
      <c r="T505" s="165" t="n">
        <v>0</v>
      </c>
      <c r="U505" s="166" t="n">
        <v>0</v>
      </c>
      <c r="V505" s="166" t="n">
        <v>0</v>
      </c>
      <c r="W505" t="inlineStr">
        <is>
          <t>X</t>
        </is>
      </c>
      <c r="X505" t="inlineStr">
        <is>
          <t>0.00</t>
        </is>
      </c>
      <c r="Y505" t="inlineStr"/>
      <c r="Z505" t="inlineStr">
        <is>
          <t>ABACO SUYTEC, S.A.U.</t>
        </is>
      </c>
      <c r="AA505" t="inlineStr">
        <is>
          <t>OTROS FABRICANTES</t>
        </is>
      </c>
      <c r="AB505" t="inlineStr">
        <is>
          <t>1709800000500</t>
        </is>
      </c>
      <c r="AC505" t="inlineStr"/>
      <c r="AD505" s="164" t="n">
        <v>0</v>
      </c>
      <c r="AE505" s="185" t="n">
        <v>0</v>
      </c>
      <c r="AG505" s="167" t="inlineStr">
        <is>
          <t>7218|JA2594_1001</t>
        </is>
      </c>
      <c r="AH505" s="46">
        <f>IF(M505=0,"-",M505-J505)</f>
        <v/>
      </c>
      <c r="AI505" s="46">
        <f>IF(AND(S505=0,M505&gt;0,L505=0),IF(AH505&gt;=120,"VERY HIGH",IF(AH505&gt;=90,"HIGH",IF(AH505&gt;=60,"MEDIUM",IF(AH505&lt;60,"LOW")))),"-")</f>
        <v/>
      </c>
      <c r="AJ505" s="12" t="n"/>
      <c r="AK505" s="41">
        <f>IF(AND(W505="X",M505&lt;=$AJ$2),"YES","")</f>
        <v/>
      </c>
      <c r="AL505" s="38">
        <f>IF(AND(W505="X",M505&lt;=$AJ$2),S505,"")</f>
        <v/>
      </c>
      <c r="AM505" s="26">
        <f>IF(AND(W505="X",M505&gt;$AJ$2),"YES","")</f>
        <v/>
      </c>
      <c r="AN505" s="89">
        <f>IF(AND(W505="X",M505&gt;$AJ$2),S505,"")</f>
        <v/>
      </c>
      <c r="AO505" s="35">
        <f>IF(AND(W505="",M505&gt;0,$AJ$2&gt;M505,L505=""),1,0)</f>
        <v/>
      </c>
      <c r="AP505" s="26">
        <f>IF(AND(AK505="YES",W505="X"),"X","")</f>
        <v/>
      </c>
      <c r="AQ505" s="28">
        <f>IF(AP505="X",100%,0%)</f>
        <v/>
      </c>
      <c r="AR505" s="25">
        <f>IF(AND(T505&gt;0,L505=""),H505,"")</f>
        <v/>
      </c>
      <c r="AS505" s="25">
        <f>IF(AND(D505&gt;0,H505=0,G505=""),1,"")</f>
        <v/>
      </c>
      <c r="AT505" s="25">
        <f>IF(G505="BLOQ",1,"")</f>
        <v/>
      </c>
      <c r="AU505" s="25">
        <f>IF(L505="BLOQ",1,"")</f>
        <v/>
      </c>
      <c r="AV505" s="25">
        <f>MONTH(F505)</f>
        <v/>
      </c>
      <c r="AW505" s="65">
        <f>IF(AP505="",100%,0%)</f>
        <v/>
      </c>
      <c r="AX505" s="23" t="n"/>
      <c r="AY505" s="24">
        <f>IF(M505=0,"",M505-$AX$2)</f>
        <v/>
      </c>
      <c r="AZ505" s="66">
        <f>IF(AND(W505="",AY505&gt;0,AY505&lt;15),1,0)</f>
        <v/>
      </c>
      <c r="BA505" s="24">
        <f>IF(AND(W505="",AY505&gt;0,AY505&lt;15),T505,"")</f>
        <v/>
      </c>
      <c r="BB505" s="87">
        <f>IF(R505&lt;Q505,"X","")</f>
        <v/>
      </c>
      <c r="BC505" s="190" t="inlineStr">
        <is>
          <t>NO</t>
        </is>
      </c>
      <c r="BD505" s="190" t="inlineStr">
        <is>
          <t>NO</t>
        </is>
      </c>
    </row>
    <row r="506" ht="15" customHeight="1" s="162">
      <c r="A506" s="7" t="n">
        <v>505</v>
      </c>
      <c r="B506" t="inlineStr">
        <is>
          <t>1709800000500</t>
        </is>
      </c>
      <c r="C506" t="inlineStr">
        <is>
          <t>COMPRA DIRECTA FERRETERIA Y HERRAMIENTAS</t>
        </is>
      </c>
      <c r="D506" t="inlineStr">
        <is>
          <t>1101877066</t>
        </is>
      </c>
      <c r="E506" t="inlineStr">
        <is>
          <t>5</t>
        </is>
      </c>
      <c r="F506" s="163" t="n">
        <v>45812</v>
      </c>
      <c r="G506" t="inlineStr"/>
      <c r="H506" t="inlineStr">
        <is>
          <t>4200614720</t>
        </is>
      </c>
      <c r="I506" t="inlineStr">
        <is>
          <t>50</t>
        </is>
      </c>
      <c r="J506" s="163" t="n">
        <v>45817</v>
      </c>
      <c r="K506" s="163" t="n">
        <v>45817</v>
      </c>
      <c r="L506" t="inlineStr"/>
      <c r="M506" s="163" t="n">
        <v>45831</v>
      </c>
      <c r="N506" s="164" t="n">
        <v>30</v>
      </c>
      <c r="O506" s="164" t="n">
        <v>8</v>
      </c>
      <c r="P506" t="inlineStr">
        <is>
          <t>Liberado</t>
        </is>
      </c>
      <c r="Q506" s="165" t="n">
        <v>1</v>
      </c>
      <c r="R506" s="165" t="n">
        <v>10</v>
      </c>
      <c r="S506" s="165" t="n">
        <v>10</v>
      </c>
      <c r="T506" s="165" t="n">
        <v>0</v>
      </c>
      <c r="U506" s="166" t="n">
        <v>0</v>
      </c>
      <c r="V506" s="166" t="n">
        <v>0</v>
      </c>
      <c r="W506" t="inlineStr">
        <is>
          <t>X</t>
        </is>
      </c>
      <c r="X506" t="inlineStr">
        <is>
          <t>0.00</t>
        </is>
      </c>
      <c r="Y506" t="inlineStr"/>
      <c r="Z506" t="inlineStr">
        <is>
          <t>ABACO SUYTEC, S.A.U.</t>
        </is>
      </c>
      <c r="AA506" t="inlineStr">
        <is>
          <t>OTROS FABRICANTES</t>
        </is>
      </c>
      <c r="AB506" t="inlineStr">
        <is>
          <t>1709800000500</t>
        </is>
      </c>
      <c r="AC506" t="inlineStr"/>
      <c r="AD506" s="164" t="n">
        <v>0</v>
      </c>
      <c r="AE506" s="185" t="n">
        <v>0</v>
      </c>
      <c r="AG506" s="167" t="inlineStr">
        <is>
          <t>7218|JA2594_1001</t>
        </is>
      </c>
      <c r="AH506" s="46">
        <f>IF(M506=0,"-",M506-J506)</f>
        <v/>
      </c>
      <c r="AI506" s="46">
        <f>IF(AND(S506=0,M506&gt;0,L506=0),IF(AH506&gt;=120,"VERY HIGH",IF(AH506&gt;=90,"HIGH",IF(AH506&gt;=60,"MEDIUM",IF(AH506&lt;60,"LOW")))),"-")</f>
        <v/>
      </c>
      <c r="AJ506" s="12" t="n"/>
      <c r="AK506" s="41">
        <f>IF(AND(W506="X",M506&lt;=$AJ$2),"YES","")</f>
        <v/>
      </c>
      <c r="AL506" s="38">
        <f>IF(AND(W506="X",M506&lt;=$AJ$2),S506,"")</f>
        <v/>
      </c>
      <c r="AM506" s="26">
        <f>IF(AND(W506="X",M506&gt;$AJ$2),"YES","")</f>
        <v/>
      </c>
      <c r="AN506" s="89">
        <f>IF(AND(W506="X",M506&gt;$AJ$2),S506,"")</f>
        <v/>
      </c>
      <c r="AO506" s="35">
        <f>IF(AND(W506="",M506&gt;0,$AJ$2&gt;M506,L506=""),1,0)</f>
        <v/>
      </c>
      <c r="AP506" s="26">
        <f>IF(AND(AK506="YES",W506="X"),"X","")</f>
        <v/>
      </c>
      <c r="AQ506" s="28">
        <f>IF(AP506="X",100%,0%)</f>
        <v/>
      </c>
      <c r="AR506" s="25">
        <f>IF(AND(T506&gt;0,L506=""),H506,"")</f>
        <v/>
      </c>
      <c r="AS506" s="25">
        <f>IF(AND(D506&gt;0,H506=0,G506=""),1,"")</f>
        <v/>
      </c>
      <c r="AT506" s="25">
        <f>IF(G506="BLOQ",1,"")</f>
        <v/>
      </c>
      <c r="AU506" s="25">
        <f>IF(L506="BLOQ",1,"")</f>
        <v/>
      </c>
      <c r="AV506" s="25">
        <f>MONTH(F506)</f>
        <v/>
      </c>
      <c r="AW506" s="65">
        <f>IF(AP506="",100%,0%)</f>
        <v/>
      </c>
      <c r="AX506" s="23" t="n"/>
      <c r="AY506" s="24">
        <f>IF(M506=0,"",M506-$AX$2)</f>
        <v/>
      </c>
      <c r="AZ506" s="66">
        <f>IF(AND(W506="",AY506&gt;0,AY506&lt;15),1,0)</f>
        <v/>
      </c>
      <c r="BA506" s="24">
        <f>IF(AND(W506="",AY506&gt;0,AY506&lt;15),T506,"")</f>
        <v/>
      </c>
      <c r="BB506" s="87">
        <f>IF(R506&lt;Q506,"X","")</f>
        <v/>
      </c>
      <c r="BC506" s="190" t="inlineStr">
        <is>
          <t>NO</t>
        </is>
      </c>
      <c r="BD506" s="190" t="inlineStr">
        <is>
          <t>NO</t>
        </is>
      </c>
    </row>
    <row r="507" ht="15" customHeight="1" s="162">
      <c r="A507" s="7" t="n">
        <v>506</v>
      </c>
      <c r="B507" t="inlineStr">
        <is>
          <t>1709800000500</t>
        </is>
      </c>
      <c r="C507" t="inlineStr">
        <is>
          <t>COMPRA DIRECTA FERRETERIA Y HERRAMIENTAS</t>
        </is>
      </c>
      <c r="D507" t="inlineStr">
        <is>
          <t>1101877066</t>
        </is>
      </c>
      <c r="E507" t="inlineStr">
        <is>
          <t>6</t>
        </is>
      </c>
      <c r="F507" s="163" t="n">
        <v>45812</v>
      </c>
      <c r="G507" t="inlineStr"/>
      <c r="H507" t="inlineStr">
        <is>
          <t>4200614720</t>
        </is>
      </c>
      <c r="I507" t="inlineStr">
        <is>
          <t>60</t>
        </is>
      </c>
      <c r="J507" s="163" t="n">
        <v>45817</v>
      </c>
      <c r="K507" s="163" t="n">
        <v>45817</v>
      </c>
      <c r="L507" t="inlineStr"/>
      <c r="M507" s="163" t="n">
        <v>45831</v>
      </c>
      <c r="N507" s="164" t="n">
        <v>30</v>
      </c>
      <c r="O507" s="164" t="n">
        <v>8</v>
      </c>
      <c r="P507" t="inlineStr">
        <is>
          <t>Liberado</t>
        </is>
      </c>
      <c r="Q507" s="165" t="n">
        <v>1</v>
      </c>
      <c r="R507" s="165" t="n">
        <v>2</v>
      </c>
      <c r="S507" s="165" t="n">
        <v>2</v>
      </c>
      <c r="T507" s="165" t="n">
        <v>0</v>
      </c>
      <c r="U507" s="166" t="n">
        <v>0</v>
      </c>
      <c r="V507" s="166" t="n">
        <v>0</v>
      </c>
      <c r="W507" t="inlineStr">
        <is>
          <t>X</t>
        </is>
      </c>
      <c r="X507" t="inlineStr">
        <is>
          <t>0.00</t>
        </is>
      </c>
      <c r="Y507" t="inlineStr"/>
      <c r="Z507" t="inlineStr">
        <is>
          <t>ABACO SUYTEC, S.A.U.</t>
        </is>
      </c>
      <c r="AA507" t="inlineStr">
        <is>
          <t>OTROS FABRICANTES</t>
        </is>
      </c>
      <c r="AB507" t="inlineStr">
        <is>
          <t>1709800000500</t>
        </is>
      </c>
      <c r="AC507" t="inlineStr"/>
      <c r="AD507" s="164" t="n">
        <v>0</v>
      </c>
      <c r="AE507" s="185" t="n">
        <v>0</v>
      </c>
      <c r="AG507" s="167" t="inlineStr">
        <is>
          <t>7218|JA2594_1001</t>
        </is>
      </c>
      <c r="AH507" s="46">
        <f>IF(M507=0,"-",M507-J507)</f>
        <v/>
      </c>
      <c r="AI507" s="46">
        <f>IF(AND(S507=0,M507&gt;0,L507=0),IF(AH507&gt;=120,"VERY HIGH",IF(AH507&gt;=90,"HIGH",IF(AH507&gt;=60,"MEDIUM",IF(AH507&lt;60,"LOW")))),"-")</f>
        <v/>
      </c>
      <c r="AJ507" s="12" t="n"/>
      <c r="AK507" s="41">
        <f>IF(AND(W507="X",M507&lt;=$AJ$2),"YES","")</f>
        <v/>
      </c>
      <c r="AL507" s="38">
        <f>IF(AND(W507="X",M507&lt;=$AJ$2),S507,"")</f>
        <v/>
      </c>
      <c r="AM507" s="26">
        <f>IF(AND(W507="X",M507&gt;$AJ$2),"YES","")</f>
        <v/>
      </c>
      <c r="AN507" s="89">
        <f>IF(AND(W507="X",M507&gt;$AJ$2),S507,"")</f>
        <v/>
      </c>
      <c r="AO507" s="35">
        <f>IF(AND(W507="",M507&gt;0,$AJ$2&gt;M507,L507=""),1,0)</f>
        <v/>
      </c>
      <c r="AP507" s="26">
        <f>IF(AND(AK507="YES",W507="X"),"X","")</f>
        <v/>
      </c>
      <c r="AQ507" s="28">
        <f>IF(AP507="X",100%,0%)</f>
        <v/>
      </c>
      <c r="AR507" s="25">
        <f>IF(AND(T507&gt;0,L507=""),H507,"")</f>
        <v/>
      </c>
      <c r="AS507" s="25">
        <f>IF(AND(D507&gt;0,H507=0,G507=""),1,"")</f>
        <v/>
      </c>
      <c r="AT507" s="25">
        <f>IF(G507="BLOQ",1,"")</f>
        <v/>
      </c>
      <c r="AU507" s="25">
        <f>IF(L507="BLOQ",1,"")</f>
        <v/>
      </c>
      <c r="AV507" s="25">
        <f>MONTH(F507)</f>
        <v/>
      </c>
      <c r="AW507" s="65">
        <f>IF(AP507="",100%,0%)</f>
        <v/>
      </c>
      <c r="AX507" s="23" t="n"/>
      <c r="AY507" s="24">
        <f>IF(M507=0,"",M507-$AX$2)</f>
        <v/>
      </c>
      <c r="AZ507" s="66">
        <f>IF(AND(W507="",AY507&gt;0,AY507&lt;15),1,0)</f>
        <v/>
      </c>
      <c r="BA507" s="24">
        <f>IF(AND(W507="",AY507&gt;0,AY507&lt;15),T507,"")</f>
        <v/>
      </c>
      <c r="BB507" s="87">
        <f>IF(R507&lt;Q507,"X","")</f>
        <v/>
      </c>
      <c r="BC507" s="190" t="inlineStr">
        <is>
          <t>NO</t>
        </is>
      </c>
      <c r="BD507" s="190" t="inlineStr">
        <is>
          <t>NO</t>
        </is>
      </c>
    </row>
    <row r="508" ht="15" customHeight="1" s="162">
      <c r="A508" s="7" t="n">
        <v>507</v>
      </c>
      <c r="B508" t="inlineStr">
        <is>
          <t>1709800000500</t>
        </is>
      </c>
      <c r="C508" t="inlineStr">
        <is>
          <t>COMPRA DIRECTA FERRETERIA Y HERRAMIENTAS</t>
        </is>
      </c>
      <c r="D508" t="inlineStr">
        <is>
          <t>1101877066</t>
        </is>
      </c>
      <c r="E508" t="inlineStr">
        <is>
          <t>7</t>
        </is>
      </c>
      <c r="F508" s="163" t="n">
        <v>45812</v>
      </c>
      <c r="G508" t="inlineStr"/>
      <c r="H508" t="inlineStr">
        <is>
          <t>4200614720</t>
        </is>
      </c>
      <c r="I508" t="inlineStr">
        <is>
          <t>70</t>
        </is>
      </c>
      <c r="J508" s="163" t="n">
        <v>45817</v>
      </c>
      <c r="K508" s="163" t="n">
        <v>45817</v>
      </c>
      <c r="L508" t="inlineStr"/>
      <c r="M508" s="163" t="n">
        <v>45831</v>
      </c>
      <c r="N508" s="164" t="n">
        <v>30</v>
      </c>
      <c r="O508" s="164" t="n">
        <v>8</v>
      </c>
      <c r="P508" t="inlineStr">
        <is>
          <t>Liberado</t>
        </is>
      </c>
      <c r="Q508" s="165" t="n">
        <v>1</v>
      </c>
      <c r="R508" s="165" t="n">
        <v>1</v>
      </c>
      <c r="S508" s="165" t="n">
        <v>1</v>
      </c>
      <c r="T508" s="165" t="n">
        <v>0</v>
      </c>
      <c r="U508" s="166" t="n">
        <v>0</v>
      </c>
      <c r="V508" s="166" t="n">
        <v>0</v>
      </c>
      <c r="W508" t="inlineStr">
        <is>
          <t>X</t>
        </is>
      </c>
      <c r="X508" t="inlineStr">
        <is>
          <t>0.00</t>
        </is>
      </c>
      <c r="Y508" t="inlineStr"/>
      <c r="Z508" t="inlineStr">
        <is>
          <t>ABACO SUYTEC, S.A.U.</t>
        </is>
      </c>
      <c r="AA508" t="inlineStr">
        <is>
          <t>OTROS FABRICANTES</t>
        </is>
      </c>
      <c r="AB508" t="inlineStr">
        <is>
          <t>1709800000500</t>
        </is>
      </c>
      <c r="AC508" t="inlineStr"/>
      <c r="AD508" s="164" t="n">
        <v>0</v>
      </c>
      <c r="AE508" s="185" t="n">
        <v>0</v>
      </c>
      <c r="AG508" s="167" t="inlineStr">
        <is>
          <t>7218|JA2594_1001</t>
        </is>
      </c>
      <c r="AH508" s="46">
        <f>IF(M508=0,"-",M508-J508)</f>
        <v/>
      </c>
      <c r="AI508" s="46">
        <f>IF(AND(S508=0,M508&gt;0,L508=0),IF(AH508&gt;=120,"VERY HIGH",IF(AH508&gt;=90,"HIGH",IF(AH508&gt;=60,"MEDIUM",IF(AH508&lt;60,"LOW")))),"-")</f>
        <v/>
      </c>
      <c r="AJ508" s="12" t="n"/>
      <c r="AK508" s="41">
        <f>IF(AND(W508="X",M508&lt;=$AJ$2),"YES","")</f>
        <v/>
      </c>
      <c r="AL508" s="38">
        <f>IF(AND(W508="X",M508&lt;=$AJ$2),S508,"")</f>
        <v/>
      </c>
      <c r="AM508" s="26">
        <f>IF(AND(W508="X",M508&gt;$AJ$2),"YES","")</f>
        <v/>
      </c>
      <c r="AN508" s="89">
        <f>IF(AND(W508="X",M508&gt;$AJ$2),S508,"")</f>
        <v/>
      </c>
      <c r="AO508" s="35">
        <f>IF(AND(W508="",M508&gt;0,$AJ$2&gt;M508,L508=""),1,0)</f>
        <v/>
      </c>
      <c r="AP508" s="26">
        <f>IF(AND(AK508="YES",W508="X"),"X","")</f>
        <v/>
      </c>
      <c r="AQ508" s="28">
        <f>IF(AP508="X",100%,0%)</f>
        <v/>
      </c>
      <c r="AR508" s="25">
        <f>IF(AND(T508&gt;0,L508=""),H508,"")</f>
        <v/>
      </c>
      <c r="AS508" s="25">
        <f>IF(AND(D508&gt;0,H508=0,G508=""),1,"")</f>
        <v/>
      </c>
      <c r="AT508" s="25">
        <f>IF(G508="BLOQ",1,"")</f>
        <v/>
      </c>
      <c r="AU508" s="25">
        <f>IF(L508="BLOQ",1,"")</f>
        <v/>
      </c>
      <c r="AV508" s="25">
        <f>MONTH(F508)</f>
        <v/>
      </c>
      <c r="AW508" s="65">
        <f>IF(AP508="",100%,0%)</f>
        <v/>
      </c>
      <c r="AX508" s="23" t="n"/>
      <c r="AY508" s="24">
        <f>IF(M508=0,"",M508-$AX$2)</f>
        <v/>
      </c>
      <c r="AZ508" s="66">
        <f>IF(AND(W508="",AY508&gt;0,AY508&lt;15),1,0)</f>
        <v/>
      </c>
      <c r="BA508" s="24">
        <f>IF(AND(W508="",AY508&gt;0,AY508&lt;15),T508,"")</f>
        <v/>
      </c>
      <c r="BB508" s="87">
        <f>IF(R508&lt;Q508,"X","")</f>
        <v/>
      </c>
      <c r="BC508" s="190" t="inlineStr">
        <is>
          <t>NO</t>
        </is>
      </c>
      <c r="BD508" s="190" t="inlineStr">
        <is>
          <t>NO</t>
        </is>
      </c>
    </row>
    <row r="509" ht="15" customHeight="1" s="162">
      <c r="A509" s="7" t="n">
        <v>508</v>
      </c>
      <c r="B509" t="inlineStr">
        <is>
          <t>1709800000500</t>
        </is>
      </c>
      <c r="C509" t="inlineStr">
        <is>
          <t>COMPRA DIRECTA FERRETERIA Y HERRAMIENTAS</t>
        </is>
      </c>
      <c r="D509" t="inlineStr">
        <is>
          <t>1101877066</t>
        </is>
      </c>
      <c r="E509" t="inlineStr">
        <is>
          <t>8</t>
        </is>
      </c>
      <c r="F509" s="163" t="n">
        <v>45812</v>
      </c>
      <c r="G509" t="inlineStr"/>
      <c r="H509" t="inlineStr">
        <is>
          <t>4200614720</t>
        </is>
      </c>
      <c r="I509" t="inlineStr">
        <is>
          <t>80</t>
        </is>
      </c>
      <c r="J509" s="163" t="n">
        <v>45817</v>
      </c>
      <c r="K509" s="163" t="n">
        <v>45817</v>
      </c>
      <c r="L509" t="inlineStr"/>
      <c r="M509" s="163" t="n">
        <v>45831</v>
      </c>
      <c r="N509" s="164" t="n">
        <v>30</v>
      </c>
      <c r="O509" s="164" t="n">
        <v>8</v>
      </c>
      <c r="P509" t="inlineStr">
        <is>
          <t>Liberado</t>
        </is>
      </c>
      <c r="Q509" s="165" t="n">
        <v>1</v>
      </c>
      <c r="R509" s="165" t="n">
        <v>2</v>
      </c>
      <c r="S509" s="165" t="n">
        <v>2</v>
      </c>
      <c r="T509" s="165" t="n">
        <v>0</v>
      </c>
      <c r="U509" s="166" t="n">
        <v>0</v>
      </c>
      <c r="V509" s="166" t="n">
        <v>0</v>
      </c>
      <c r="W509" t="inlineStr">
        <is>
          <t>X</t>
        </is>
      </c>
      <c r="X509" t="inlineStr">
        <is>
          <t>0.00</t>
        </is>
      </c>
      <c r="Y509" t="inlineStr"/>
      <c r="Z509" t="inlineStr">
        <is>
          <t>ABACO SUYTEC, S.A.U.</t>
        </is>
      </c>
      <c r="AA509" t="inlineStr">
        <is>
          <t>OTROS FABRICANTES</t>
        </is>
      </c>
      <c r="AB509" t="inlineStr">
        <is>
          <t>1709800000500</t>
        </is>
      </c>
      <c r="AC509" t="inlineStr"/>
      <c r="AD509" s="164" t="n">
        <v>0</v>
      </c>
      <c r="AE509" s="185" t="n">
        <v>0</v>
      </c>
      <c r="AG509" s="167" t="inlineStr">
        <is>
          <t>7218|JA2594_1001</t>
        </is>
      </c>
      <c r="AH509" s="46">
        <f>IF(M509=0,"-",M509-J509)</f>
        <v/>
      </c>
      <c r="AI509" s="46">
        <f>IF(AND(S509=0,M509&gt;0,L509=0),IF(AH509&gt;=120,"VERY HIGH",IF(AH509&gt;=90,"HIGH",IF(AH509&gt;=60,"MEDIUM",IF(AH509&lt;60,"LOW")))),"-")</f>
        <v/>
      </c>
      <c r="AJ509" s="12" t="n"/>
      <c r="AK509" s="41">
        <f>IF(AND(W509="X",M509&lt;=$AJ$2),"YES","")</f>
        <v/>
      </c>
      <c r="AL509" s="38">
        <f>IF(AND(W509="X",M509&lt;=$AJ$2),S509,"")</f>
        <v/>
      </c>
      <c r="AM509" s="26">
        <f>IF(AND(W509="X",M509&gt;$AJ$2),"YES","")</f>
        <v/>
      </c>
      <c r="AN509" s="89">
        <f>IF(AND(W509="X",M509&gt;$AJ$2),S509,"")</f>
        <v/>
      </c>
      <c r="AO509" s="35">
        <f>IF(AND(W509="",M509&gt;0,$AJ$2&gt;M509,L509=""),1,0)</f>
        <v/>
      </c>
      <c r="AP509" s="26">
        <f>IF(AND(AK509="YES",W509="X"),"X","")</f>
        <v/>
      </c>
      <c r="AQ509" s="28">
        <f>IF(AP509="X",100%,0%)</f>
        <v/>
      </c>
      <c r="AR509" s="25">
        <f>IF(AND(T509&gt;0,L509=""),H509,"")</f>
        <v/>
      </c>
      <c r="AS509" s="25">
        <f>IF(AND(D509&gt;0,H509=0,G509=""),1,"")</f>
        <v/>
      </c>
      <c r="AT509" s="25">
        <f>IF(G509="BLOQ",1,"")</f>
        <v/>
      </c>
      <c r="AU509" s="25">
        <f>IF(L509="BLOQ",1,"")</f>
        <v/>
      </c>
      <c r="AV509" s="25">
        <f>MONTH(F509)</f>
        <v/>
      </c>
      <c r="AW509" s="65">
        <f>IF(AP509="",100%,0%)</f>
        <v/>
      </c>
      <c r="AX509" s="23" t="n"/>
      <c r="AY509" s="24">
        <f>IF(M509=0,"",M509-$AX$2)</f>
        <v/>
      </c>
      <c r="AZ509" s="66">
        <f>IF(AND(W509="",AY509&gt;0,AY509&lt;15),1,0)</f>
        <v/>
      </c>
      <c r="BA509" s="24">
        <f>IF(AND(W509="",AY509&gt;0,AY509&lt;15),T509,"")</f>
        <v/>
      </c>
      <c r="BB509" s="87">
        <f>IF(R509&lt;Q509,"X","")</f>
        <v/>
      </c>
      <c r="BC509" s="190" t="inlineStr">
        <is>
          <t>NO</t>
        </is>
      </c>
      <c r="BD509" s="190" t="inlineStr">
        <is>
          <t>NO</t>
        </is>
      </c>
    </row>
    <row r="510" ht="15" customHeight="1" s="162">
      <c r="A510" s="7" t="n">
        <v>509</v>
      </c>
      <c r="B510" t="inlineStr">
        <is>
          <t>1709800000500</t>
        </is>
      </c>
      <c r="C510" t="inlineStr">
        <is>
          <t>COMPRA DIRECTA FERRETERIA Y HERRAMIENTAS</t>
        </is>
      </c>
      <c r="D510" t="inlineStr">
        <is>
          <t>1101877066</t>
        </is>
      </c>
      <c r="E510" t="inlineStr">
        <is>
          <t>9</t>
        </is>
      </c>
      <c r="F510" s="163" t="n">
        <v>45812</v>
      </c>
      <c r="G510" t="inlineStr"/>
      <c r="H510" t="inlineStr">
        <is>
          <t>4200614720</t>
        </is>
      </c>
      <c r="I510" t="inlineStr">
        <is>
          <t>90</t>
        </is>
      </c>
      <c r="J510" s="163" t="n">
        <v>45817</v>
      </c>
      <c r="K510" s="163" t="n">
        <v>45817</v>
      </c>
      <c r="L510" t="inlineStr"/>
      <c r="M510" s="163" t="n">
        <v>45831</v>
      </c>
      <c r="N510" s="164" t="n">
        <v>30</v>
      </c>
      <c r="O510" s="164" t="n">
        <v>8</v>
      </c>
      <c r="P510" t="inlineStr">
        <is>
          <t>Liberado</t>
        </is>
      </c>
      <c r="Q510" s="165" t="n">
        <v>1</v>
      </c>
      <c r="R510" s="165" t="n">
        <v>1</v>
      </c>
      <c r="S510" s="165" t="n">
        <v>1</v>
      </c>
      <c r="T510" s="165" t="n">
        <v>0</v>
      </c>
      <c r="U510" s="166" t="n">
        <v>0</v>
      </c>
      <c r="V510" s="166" t="n">
        <v>0</v>
      </c>
      <c r="W510" t="inlineStr">
        <is>
          <t>X</t>
        </is>
      </c>
      <c r="X510" t="inlineStr">
        <is>
          <t>0.00</t>
        </is>
      </c>
      <c r="Y510" t="inlineStr"/>
      <c r="Z510" t="inlineStr">
        <is>
          <t>ABACO SUYTEC, S.A.U.</t>
        </is>
      </c>
      <c r="AA510" t="inlineStr">
        <is>
          <t>OTROS FABRICANTES</t>
        </is>
      </c>
      <c r="AB510" t="inlineStr">
        <is>
          <t>1709800000500</t>
        </is>
      </c>
      <c r="AC510" t="inlineStr"/>
      <c r="AD510" s="164" t="n">
        <v>0</v>
      </c>
      <c r="AE510" s="185" t="n">
        <v>0</v>
      </c>
      <c r="AG510" s="167" t="inlineStr">
        <is>
          <t>7218|JA2594_1001</t>
        </is>
      </c>
      <c r="AH510" s="46">
        <f>IF(M510=0,"-",M510-J510)</f>
        <v/>
      </c>
      <c r="AI510" s="46">
        <f>IF(AND(S510=0,M510&gt;0,L510=0),IF(AH510&gt;=120,"VERY HIGH",IF(AH510&gt;=90,"HIGH",IF(AH510&gt;=60,"MEDIUM",IF(AH510&lt;60,"LOW")))),"-")</f>
        <v/>
      </c>
      <c r="AJ510" s="12" t="n"/>
      <c r="AK510" s="41">
        <f>IF(AND(W510="X",M510&lt;=$AJ$2),"YES","")</f>
        <v/>
      </c>
      <c r="AL510" s="38">
        <f>IF(AND(W510="X",M510&lt;=$AJ$2),S510,"")</f>
        <v/>
      </c>
      <c r="AM510" s="26">
        <f>IF(AND(W510="X",M510&gt;$AJ$2),"YES","")</f>
        <v/>
      </c>
      <c r="AN510" s="89">
        <f>IF(AND(W510="X",M510&gt;$AJ$2),S510,"")</f>
        <v/>
      </c>
      <c r="AO510" s="35">
        <f>IF(AND(W510="",M510&gt;0,$AJ$2&gt;M510,L510=""),1,0)</f>
        <v/>
      </c>
      <c r="AP510" s="26">
        <f>IF(AND(AK510="YES",W510="X"),"X","")</f>
        <v/>
      </c>
      <c r="AQ510" s="28">
        <f>IF(AP510="X",100%,0%)</f>
        <v/>
      </c>
      <c r="AR510" s="25">
        <f>IF(AND(T510&gt;0,L510=""),H510,"")</f>
        <v/>
      </c>
      <c r="AS510" s="25">
        <f>IF(AND(D510&gt;0,H510=0,G510=""),1,"")</f>
        <v/>
      </c>
      <c r="AT510" s="25">
        <f>IF(G510="BLOQ",1,"")</f>
        <v/>
      </c>
      <c r="AU510" s="25">
        <f>IF(L510="BLOQ",1,"")</f>
        <v/>
      </c>
      <c r="AV510" s="25">
        <f>MONTH(F510)</f>
        <v/>
      </c>
      <c r="AW510" s="65">
        <f>IF(AP510="",100%,0%)</f>
        <v/>
      </c>
      <c r="AX510" s="23" t="n"/>
      <c r="AY510" s="24">
        <f>IF(M510=0,"",M510-$AX$2)</f>
        <v/>
      </c>
      <c r="AZ510" s="66">
        <f>IF(AND(W510="",AY510&gt;0,AY510&lt;15),1,0)</f>
        <v/>
      </c>
      <c r="BA510" s="24">
        <f>IF(AND(W510="",AY510&gt;0,AY510&lt;15),T510,"")</f>
        <v/>
      </c>
      <c r="BB510" s="87">
        <f>IF(R510&lt;Q510,"X","")</f>
        <v/>
      </c>
      <c r="BC510" s="190" t="inlineStr">
        <is>
          <t>NO</t>
        </is>
      </c>
      <c r="BD510" s="190" t="inlineStr">
        <is>
          <t>NO</t>
        </is>
      </c>
    </row>
    <row r="511" ht="15" customHeight="1" s="162">
      <c r="A511" s="7" t="n">
        <v>510</v>
      </c>
      <c r="B511" t="inlineStr">
        <is>
          <t>43211609</t>
        </is>
      </c>
      <c r="C511" t="inlineStr">
        <is>
          <t>Concentrador de bus serial universal o c</t>
        </is>
      </c>
      <c r="D511" t="inlineStr">
        <is>
          <t>1101877309</t>
        </is>
      </c>
      <c r="E511" t="inlineStr">
        <is>
          <t>1</t>
        </is>
      </c>
      <c r="F511" s="163" t="n">
        <v>45813</v>
      </c>
      <c r="G511" t="inlineStr"/>
      <c r="H511" t="inlineStr">
        <is>
          <t>4800003111</t>
        </is>
      </c>
      <c r="I511" t="inlineStr">
        <is>
          <t>200</t>
        </is>
      </c>
      <c r="J511" s="163" t="n">
        <v>45813</v>
      </c>
      <c r="K511" s="163" t="inlineStr"/>
      <c r="L511" t="inlineStr"/>
      <c r="M511" s="163" t="n">
        <v>45814</v>
      </c>
      <c r="N511" s="164" t="n">
        <v>0</v>
      </c>
      <c r="O511" s="164" t="n">
        <v>0</v>
      </c>
      <c r="P511" t="inlineStr"/>
      <c r="Q511" s="165" t="n">
        <v>1</v>
      </c>
      <c r="R511" s="165" t="n">
        <v>1</v>
      </c>
      <c r="S511" s="165" t="n">
        <v>1</v>
      </c>
      <c r="T511" s="165" t="n">
        <v>0</v>
      </c>
      <c r="U511" s="166" t="n">
        <v>0</v>
      </c>
      <c r="V511" s="166" t="n">
        <v>0</v>
      </c>
      <c r="W511" t="inlineStr">
        <is>
          <t>X</t>
        </is>
      </c>
      <c r="X511" t="inlineStr">
        <is>
          <t>0.00</t>
        </is>
      </c>
      <c r="Y511" t="inlineStr"/>
      <c r="Z511" t="inlineStr">
        <is>
          <t>AMIDATA, S.A.</t>
        </is>
      </c>
      <c r="AA511" t="inlineStr"/>
      <c r="AB511" t="inlineStr">
        <is>
          <t>2368995</t>
        </is>
      </c>
      <c r="AC511" t="inlineStr"/>
      <c r="AD511" s="164" t="n">
        <v>0</v>
      </c>
      <c r="AE511" s="185" t="n">
        <v>0</v>
      </c>
      <c r="AG511" s="167" t="inlineStr">
        <is>
          <t>7218|S24B05_S1071</t>
        </is>
      </c>
      <c r="AH511" s="46">
        <f>IF(M511=0,"-",M511-J511)</f>
        <v/>
      </c>
      <c r="AI511" s="46">
        <f>IF(AND(S511=0,M511&gt;0,L511=0),IF(AH511&gt;=120,"VERY HIGH",IF(AH511&gt;=90,"HIGH",IF(AH511&gt;=60,"MEDIUM",IF(AH511&lt;60,"LOW")))),"-")</f>
        <v/>
      </c>
      <c r="AJ511" s="12" t="n"/>
      <c r="AK511" s="41">
        <f>IF(AND(W511="X",M511&lt;=$AJ$2),"YES","")</f>
        <v/>
      </c>
      <c r="AL511" s="38">
        <f>IF(AND(W511="X",M511&lt;=$AJ$2),S511,"")</f>
        <v/>
      </c>
      <c r="AM511" s="26">
        <f>IF(AND(W511="X",M511&gt;$AJ$2),"YES","")</f>
        <v/>
      </c>
      <c r="AN511" s="89">
        <f>IF(AND(W511="X",M511&gt;$AJ$2),S511,"")</f>
        <v/>
      </c>
      <c r="AO511" s="35">
        <f>IF(AND(W511="",M511&gt;0,$AJ$2&gt;M511,L511=""),1,0)</f>
        <v/>
      </c>
      <c r="AP511" s="26">
        <f>IF(AND(AK511="YES",W511="X"),"X","")</f>
        <v/>
      </c>
      <c r="AQ511" s="28">
        <f>IF(AP511="X",100%,0%)</f>
        <v/>
      </c>
      <c r="AR511" s="25">
        <f>IF(AND(T511&gt;0,L511=""),H511,"")</f>
        <v/>
      </c>
      <c r="AS511" s="25">
        <f>IF(AND(D511&gt;0,H511=0,G511=""),1,"")</f>
        <v/>
      </c>
      <c r="AT511" s="25">
        <f>IF(G511="BLOQ",1,"")</f>
        <v/>
      </c>
      <c r="AU511" s="25">
        <f>IF(L511="BLOQ",1,"")</f>
        <v/>
      </c>
      <c r="AV511" s="25">
        <f>MONTH(F511)</f>
        <v/>
      </c>
      <c r="AW511" s="65">
        <f>IF(AP511="",100%,0%)</f>
        <v/>
      </c>
      <c r="AX511" s="23" t="n"/>
      <c r="AY511" s="24">
        <f>IF(M511=0,"",M511-$AX$2)</f>
        <v/>
      </c>
      <c r="AZ511" s="66">
        <f>IF(AND(W511="",AY511&gt;0,AY511&lt;15),1,0)</f>
        <v/>
      </c>
      <c r="BA511" s="24">
        <f>IF(AND(W511="",AY511&gt;0,AY511&lt;15),T511,"")</f>
        <v/>
      </c>
      <c r="BB511" s="87">
        <f>IF(R511&lt;Q511,"X","")</f>
        <v/>
      </c>
      <c r="BC511" s="190" t="inlineStr">
        <is>
          <t>NO</t>
        </is>
      </c>
      <c r="BD511" s="190" t="inlineStr">
        <is>
          <t>NO</t>
        </is>
      </c>
    </row>
    <row r="512" ht="15" customHeight="1" s="162">
      <c r="A512" s="7" t="n">
        <v>511</v>
      </c>
      <c r="B512" t="inlineStr">
        <is>
          <t>39122216</t>
        </is>
      </c>
      <c r="C512" t="inlineStr">
        <is>
          <t>Seta de emergencia Schneider Electric se</t>
        </is>
      </c>
      <c r="D512" t="inlineStr">
        <is>
          <t>1101877310</t>
        </is>
      </c>
      <c r="E512" t="inlineStr">
        <is>
          <t>1</t>
        </is>
      </c>
      <c r="F512" s="163" t="n">
        <v>45813</v>
      </c>
      <c r="G512" t="inlineStr"/>
      <c r="H512" t="inlineStr">
        <is>
          <t>4800003111</t>
        </is>
      </c>
      <c r="I512" t="inlineStr">
        <is>
          <t>210</t>
        </is>
      </c>
      <c r="J512" s="163" t="n">
        <v>45813</v>
      </c>
      <c r="K512" s="163" t="inlineStr"/>
      <c r="L512" t="inlineStr"/>
      <c r="M512" s="163" t="n">
        <v>45814</v>
      </c>
      <c r="N512" s="164" t="n">
        <v>0</v>
      </c>
      <c r="O512" s="164" t="n">
        <v>0</v>
      </c>
      <c r="P512" t="inlineStr"/>
      <c r="Q512" s="165" t="n">
        <v>1</v>
      </c>
      <c r="R512" s="165" t="n">
        <v>1</v>
      </c>
      <c r="S512" s="165" t="n">
        <v>1</v>
      </c>
      <c r="T512" s="165" t="n">
        <v>0</v>
      </c>
      <c r="U512" s="166" t="n">
        <v>0</v>
      </c>
      <c r="V512" s="166" t="n">
        <v>0</v>
      </c>
      <c r="W512" t="inlineStr">
        <is>
          <t>X</t>
        </is>
      </c>
      <c r="X512" t="inlineStr">
        <is>
          <t>0.00</t>
        </is>
      </c>
      <c r="Y512" t="inlineStr"/>
      <c r="Z512" t="inlineStr">
        <is>
          <t>AMIDATA, S.A.</t>
        </is>
      </c>
      <c r="AA512" t="inlineStr"/>
      <c r="AB512" t="inlineStr">
        <is>
          <t>4262808</t>
        </is>
      </c>
      <c r="AC512" t="inlineStr"/>
      <c r="AD512" s="164" t="n">
        <v>0</v>
      </c>
      <c r="AE512" s="185" t="n">
        <v>0</v>
      </c>
      <c r="AG512" s="167" t="inlineStr">
        <is>
          <t>7218|JA2582_1001</t>
        </is>
      </c>
      <c r="AH512" s="46">
        <f>IF(M512=0,"-",M512-J512)</f>
        <v/>
      </c>
      <c r="AI512" s="46">
        <f>IF(AND(S512=0,M512&gt;0,L512=0),IF(AH512&gt;=120,"VERY HIGH",IF(AH512&gt;=90,"HIGH",IF(AH512&gt;=60,"MEDIUM",IF(AH512&lt;60,"LOW")))),"-")</f>
        <v/>
      </c>
      <c r="AJ512" s="12" t="n"/>
      <c r="AK512" s="41">
        <f>IF(AND(W512="X",M512&lt;=$AJ$2),"YES","")</f>
        <v/>
      </c>
      <c r="AL512" s="38">
        <f>IF(AND(W512="X",M512&lt;=$AJ$2),S512,"")</f>
        <v/>
      </c>
      <c r="AM512" s="26">
        <f>IF(AND(W512="X",M512&gt;$AJ$2),"YES","")</f>
        <v/>
      </c>
      <c r="AN512" s="89">
        <f>IF(AND(W512="X",M512&gt;$AJ$2),S512,"")</f>
        <v/>
      </c>
      <c r="AO512" s="35">
        <f>IF(AND(W512="",M512&gt;0,$AJ$2&gt;M512,L512=""),1,0)</f>
        <v/>
      </c>
      <c r="AP512" s="26">
        <f>IF(AND(AK512="YES",W512="X"),"X","")</f>
        <v/>
      </c>
      <c r="AQ512" s="28">
        <f>IF(AP512="X",100%,0%)</f>
        <v/>
      </c>
      <c r="AR512" s="25">
        <f>IF(AND(T512&gt;0,L512=""),H512,"")</f>
        <v/>
      </c>
      <c r="AS512" s="25">
        <f>IF(AND(D512&gt;0,H512=0,G512=""),1,"")</f>
        <v/>
      </c>
      <c r="AT512" s="25">
        <f>IF(G512="BLOQ",1,"")</f>
        <v/>
      </c>
      <c r="AU512" s="25">
        <f>IF(L512="BLOQ",1,"")</f>
        <v/>
      </c>
      <c r="AV512" s="25">
        <f>MONTH(F512)</f>
        <v/>
      </c>
      <c r="AW512" s="65">
        <f>IF(AP512="",100%,0%)</f>
        <v/>
      </c>
      <c r="AX512" s="23" t="n"/>
      <c r="AY512" s="24">
        <f>IF(M512=0,"",M512-$AX$2)</f>
        <v/>
      </c>
      <c r="AZ512" s="66">
        <f>IF(AND(W512="",AY512&gt;0,AY512&lt;15),1,0)</f>
        <v/>
      </c>
      <c r="BA512" s="24">
        <f>IF(AND(W512="",AY512&gt;0,AY512&lt;15),T512,"")</f>
        <v/>
      </c>
      <c r="BB512" s="87">
        <f>IF(R512&lt;Q512,"X","")</f>
        <v/>
      </c>
      <c r="BC512" s="190" t="inlineStr">
        <is>
          <t>NO</t>
        </is>
      </c>
      <c r="BD512" s="190" t="inlineStr">
        <is>
          <t>NO</t>
        </is>
      </c>
    </row>
    <row r="513" ht="15" customHeight="1" s="162">
      <c r="A513" s="7" t="n">
        <v>512</v>
      </c>
      <c r="B513" t="inlineStr">
        <is>
          <t>39121006</t>
        </is>
      </c>
      <c r="C513" t="inlineStr">
        <is>
          <t>Adaptador AC/DC MEAN WELL 100V ac, 12V d</t>
        </is>
      </c>
      <c r="D513" t="inlineStr">
        <is>
          <t>1101878578</t>
        </is>
      </c>
      <c r="E513" t="inlineStr">
        <is>
          <t>1</t>
        </is>
      </c>
      <c r="F513" s="163" t="n">
        <v>45817</v>
      </c>
      <c r="G513" t="inlineStr"/>
      <c r="H513" t="inlineStr">
        <is>
          <t>4800003113</t>
        </is>
      </c>
      <c r="I513" t="inlineStr">
        <is>
          <t>730</t>
        </is>
      </c>
      <c r="J513" s="163" t="n">
        <v>45814</v>
      </c>
      <c r="K513" s="163" t="inlineStr"/>
      <c r="L513" t="inlineStr"/>
      <c r="M513" s="163" t="n">
        <v>45818</v>
      </c>
      <c r="N513" s="164" t="n">
        <v>0</v>
      </c>
      <c r="O513" s="164" t="n">
        <v>0</v>
      </c>
      <c r="P513" t="inlineStr"/>
      <c r="Q513" s="165" t="n">
        <v>1</v>
      </c>
      <c r="R513" s="165" t="n">
        <v>1</v>
      </c>
      <c r="S513" s="165" t="n">
        <v>1</v>
      </c>
      <c r="T513" s="165" t="n">
        <v>0</v>
      </c>
      <c r="U513" s="166" t="n">
        <v>0</v>
      </c>
      <c r="V513" s="166" t="n">
        <v>0</v>
      </c>
      <c r="W513" t="inlineStr">
        <is>
          <t>X</t>
        </is>
      </c>
      <c r="X513" t="inlineStr">
        <is>
          <t>0.00</t>
        </is>
      </c>
      <c r="Y513" t="inlineStr"/>
      <c r="Z513" t="inlineStr">
        <is>
          <t>AMIDATA, S.A.</t>
        </is>
      </c>
      <c r="AA513" t="inlineStr"/>
      <c r="AB513" t="inlineStr">
        <is>
          <t>1361342</t>
        </is>
      </c>
      <c r="AC513" t="inlineStr"/>
      <c r="AD513" s="164" t="n">
        <v>0</v>
      </c>
      <c r="AE513" s="185" t="n">
        <v>0</v>
      </c>
      <c r="AG513" s="167" t="inlineStr">
        <is>
          <t>7218|S24B05_S1071</t>
        </is>
      </c>
      <c r="AH513" s="46">
        <f>IF(M513=0,"-",M513-J513)</f>
        <v/>
      </c>
      <c r="AI513" s="46">
        <f>IF(AND(S513=0,M513&gt;0,L513=0),IF(AH513&gt;=120,"VERY HIGH",IF(AH513&gt;=90,"HIGH",IF(AH513&gt;=60,"MEDIUM",IF(AH513&lt;60,"LOW")))),"-")</f>
        <v/>
      </c>
      <c r="AJ513" s="12" t="n"/>
      <c r="AK513" s="41">
        <f>IF(AND(W513="X",M513&lt;=$AJ$2),"YES","")</f>
        <v/>
      </c>
      <c r="AL513" s="38">
        <f>IF(AND(W513="X",M513&lt;=$AJ$2),S513,"")</f>
        <v/>
      </c>
      <c r="AM513" s="26">
        <f>IF(AND(W513="X",M513&gt;$AJ$2),"YES","")</f>
        <v/>
      </c>
      <c r="AN513" s="89">
        <f>IF(AND(W513="X",M513&gt;$AJ$2),S513,"")</f>
        <v/>
      </c>
      <c r="AO513" s="35">
        <f>IF(AND(W513="",M513&gt;0,$AJ$2&gt;M513,L513=""),1,0)</f>
        <v/>
      </c>
      <c r="AP513" s="26">
        <f>IF(AND(AK513="YES",W513="X"),"X","")</f>
        <v/>
      </c>
      <c r="AQ513" s="28">
        <f>IF(AP513="X",100%,0%)</f>
        <v/>
      </c>
      <c r="AR513" s="25">
        <f>IF(AND(T513&gt;0,L513=""),H513,"")</f>
        <v/>
      </c>
      <c r="AS513" s="25">
        <f>IF(AND(D513&gt;0,H513=0,G513=""),1,"")</f>
        <v/>
      </c>
      <c r="AT513" s="25">
        <f>IF(G513="BLOQ",1,"")</f>
        <v/>
      </c>
      <c r="AU513" s="25">
        <f>IF(L513="BLOQ",1,"")</f>
        <v/>
      </c>
      <c r="AV513" s="25">
        <f>MONTH(F513)</f>
        <v/>
      </c>
      <c r="AW513" s="65">
        <f>IF(AP513="",100%,0%)</f>
        <v/>
      </c>
      <c r="AX513" s="23" t="n"/>
      <c r="AY513" s="24">
        <f>IF(M513=0,"",M513-$AX$2)</f>
        <v/>
      </c>
      <c r="AZ513" s="66">
        <f>IF(AND(W513="",AY513&gt;0,AY513&lt;15),1,0)</f>
        <v/>
      </c>
      <c r="BA513" s="24">
        <f>IF(AND(W513="",AY513&gt;0,AY513&lt;15),T513,"")</f>
        <v/>
      </c>
      <c r="BB513" s="87">
        <f>IF(R513&lt;Q513,"X","")</f>
        <v/>
      </c>
      <c r="BC513" s="190" t="inlineStr">
        <is>
          <t>NO</t>
        </is>
      </c>
      <c r="BD513" s="190" t="inlineStr">
        <is>
          <t>NO</t>
        </is>
      </c>
    </row>
    <row r="514" ht="15" customHeight="1" s="162">
      <c r="A514" s="7" t="n">
        <v>513</v>
      </c>
      <c r="B514" t="inlineStr">
        <is>
          <t>31162401</t>
        </is>
      </c>
      <c r="C514" t="inlineStr">
        <is>
          <t>Pasamuro SES Sterling DK de PVC Negro, &amp;</t>
        </is>
      </c>
      <c r="D514" t="inlineStr">
        <is>
          <t>1101878755</t>
        </is>
      </c>
      <c r="E514" t="inlineStr">
        <is>
          <t>1</t>
        </is>
      </c>
      <c r="F514" s="163" t="n">
        <v>45817</v>
      </c>
      <c r="G514" t="inlineStr"/>
      <c r="H514" t="inlineStr">
        <is>
          <t>4800003116</t>
        </is>
      </c>
      <c r="I514" t="inlineStr">
        <is>
          <t>70</t>
        </is>
      </c>
      <c r="J514" s="163" t="n">
        <v>45817</v>
      </c>
      <c r="K514" s="163" t="inlineStr"/>
      <c r="L514" t="inlineStr"/>
      <c r="M514" s="163" t="n">
        <v>45818</v>
      </c>
      <c r="N514" s="164" t="n">
        <v>0</v>
      </c>
      <c r="O514" s="164" t="n">
        <v>0</v>
      </c>
      <c r="P514" t="inlineStr"/>
      <c r="Q514" s="165" t="n">
        <v>1</v>
      </c>
      <c r="R514" s="165" t="n">
        <v>1</v>
      </c>
      <c r="S514" s="165" t="n">
        <v>1</v>
      </c>
      <c r="T514" s="165" t="n">
        <v>0</v>
      </c>
      <c r="U514" s="166" t="n">
        <v>0</v>
      </c>
      <c r="V514" s="166" t="n">
        <v>0</v>
      </c>
      <c r="W514" t="inlineStr">
        <is>
          <t>X</t>
        </is>
      </c>
      <c r="X514" t="inlineStr">
        <is>
          <t>0.00</t>
        </is>
      </c>
      <c r="Y514" t="inlineStr"/>
      <c r="Z514" t="inlineStr">
        <is>
          <t>AMIDATA, S.A.</t>
        </is>
      </c>
      <c r="AA514" t="inlineStr"/>
      <c r="AB514" t="inlineStr">
        <is>
          <t>1366862</t>
        </is>
      </c>
      <c r="AC514" t="inlineStr"/>
      <c r="AD514" s="164" t="n">
        <v>0</v>
      </c>
      <c r="AE514" s="185" t="n">
        <v>0</v>
      </c>
      <c r="AG514" s="167" t="inlineStr">
        <is>
          <t>7218|JA2582_1001</t>
        </is>
      </c>
      <c r="AH514" s="46">
        <f>IF(M514=0,"-",M514-J514)</f>
        <v/>
      </c>
      <c r="AI514" s="46">
        <f>IF(AND(S514=0,M514&gt;0,L514=0),IF(AH514&gt;=120,"VERY HIGH",IF(AH514&gt;=90,"HIGH",IF(AH514&gt;=60,"MEDIUM",IF(AH514&lt;60,"LOW")))),"-")</f>
        <v/>
      </c>
      <c r="AJ514" s="12" t="n"/>
      <c r="AK514" s="41">
        <f>IF(AND(W514="X",M514&lt;=$AJ$2),"YES","")</f>
        <v/>
      </c>
      <c r="AL514" s="38">
        <f>IF(AND(W514="X",M514&lt;=$AJ$2),S514,"")</f>
        <v/>
      </c>
      <c r="AM514" s="26">
        <f>IF(AND(W514="X",M514&gt;$AJ$2),"YES","")</f>
        <v/>
      </c>
      <c r="AN514" s="89">
        <f>IF(AND(W514="X",M514&gt;$AJ$2),S514,"")</f>
        <v/>
      </c>
      <c r="AO514" s="35">
        <f>IF(AND(W514="",M514&gt;0,$AJ$2&gt;M514,L514=""),1,0)</f>
        <v/>
      </c>
      <c r="AP514" s="26">
        <f>IF(AND(AK514="YES",W514="X"),"X","")</f>
        <v/>
      </c>
      <c r="AQ514" s="28">
        <f>IF(AP514="X",100%,0%)</f>
        <v/>
      </c>
      <c r="AR514" s="25">
        <f>IF(AND(T514&gt;0,L514=""),H514,"")</f>
        <v/>
      </c>
      <c r="AS514" s="25">
        <f>IF(AND(D514&gt;0,H514=0,G514=""),1,"")</f>
        <v/>
      </c>
      <c r="AT514" s="25">
        <f>IF(G514="BLOQ",1,"")</f>
        <v/>
      </c>
      <c r="AU514" s="25">
        <f>IF(L514="BLOQ",1,"")</f>
        <v/>
      </c>
      <c r="AV514" s="25">
        <f>MONTH(F514)</f>
        <v/>
      </c>
      <c r="AW514" s="65">
        <f>IF(AP514="",100%,0%)</f>
        <v/>
      </c>
      <c r="AX514" s="23" t="n"/>
      <c r="AY514" s="24">
        <f>IF(M514=0,"",M514-$AX$2)</f>
        <v/>
      </c>
      <c r="AZ514" s="66">
        <f>IF(AND(W514="",AY514&gt;0,AY514&lt;15),1,0)</f>
        <v/>
      </c>
      <c r="BA514" s="24">
        <f>IF(AND(W514="",AY514&gt;0,AY514&lt;15),T514,"")</f>
        <v/>
      </c>
      <c r="BB514" s="87">
        <f>IF(R514&lt;Q514,"X","")</f>
        <v/>
      </c>
      <c r="BC514" s="190" t="inlineStr">
        <is>
          <t>NO</t>
        </is>
      </c>
      <c r="BD514" s="190" t="inlineStr">
        <is>
          <t>NO</t>
        </is>
      </c>
    </row>
    <row r="515" ht="15" customHeight="1" s="162">
      <c r="A515" s="7" t="n">
        <v>514</v>
      </c>
      <c r="B515" t="inlineStr">
        <is>
          <t>47121607</t>
        </is>
      </c>
      <c r="C515" t="inlineStr">
        <is>
          <t>Accesorio para Aspiradora Sidamo 2049802</t>
        </is>
      </c>
      <c r="D515" t="inlineStr">
        <is>
          <t>1101879032</t>
        </is>
      </c>
      <c r="E515" t="inlineStr">
        <is>
          <t>1</t>
        </is>
      </c>
      <c r="F515" s="163" t="n">
        <v>45818</v>
      </c>
      <c r="G515" t="inlineStr"/>
      <c r="H515" t="inlineStr">
        <is>
          <t>4800003116</t>
        </is>
      </c>
      <c r="I515" t="inlineStr">
        <is>
          <t>340</t>
        </is>
      </c>
      <c r="J515" s="163" t="n">
        <v>45817</v>
      </c>
      <c r="K515" s="163" t="inlineStr"/>
      <c r="L515" t="inlineStr"/>
      <c r="M515" s="163" t="n">
        <v>45819</v>
      </c>
      <c r="N515" s="164" t="n">
        <v>0</v>
      </c>
      <c r="O515" s="164" t="n">
        <v>0</v>
      </c>
      <c r="P515" t="inlineStr"/>
      <c r="Q515" s="165" t="n">
        <v>1</v>
      </c>
      <c r="R515" s="165" t="n">
        <v>1</v>
      </c>
      <c r="S515" s="165" t="n">
        <v>1</v>
      </c>
      <c r="T515" s="165" t="n">
        <v>0</v>
      </c>
      <c r="U515" s="166" t="n">
        <v>0</v>
      </c>
      <c r="V515" s="166" t="n">
        <v>0</v>
      </c>
      <c r="W515" t="inlineStr">
        <is>
          <t>X</t>
        </is>
      </c>
      <c r="X515" t="inlineStr">
        <is>
          <t>0.00</t>
        </is>
      </c>
      <c r="Y515" t="inlineStr"/>
      <c r="Z515" t="inlineStr">
        <is>
          <t>AMIDATA, S.A.</t>
        </is>
      </c>
      <c r="AA515" t="inlineStr"/>
      <c r="AB515" t="inlineStr">
        <is>
          <t>8952094</t>
        </is>
      </c>
      <c r="AC515" t="inlineStr"/>
      <c r="AD515" s="164" t="n">
        <v>0</v>
      </c>
      <c r="AE515" s="185" t="n">
        <v>0</v>
      </c>
      <c r="AG515" s="167" t="inlineStr">
        <is>
          <t>7218|S24B05_S1075</t>
        </is>
      </c>
      <c r="AH515" s="46">
        <f>IF(M515=0,"-",M515-J515)</f>
        <v/>
      </c>
      <c r="AI515" s="46">
        <f>IF(AND(S515=0,M515&gt;0,L515=0),IF(AH515&gt;=120,"VERY HIGH",IF(AH515&gt;=90,"HIGH",IF(AH515&gt;=60,"MEDIUM",IF(AH515&lt;60,"LOW")))),"-")</f>
        <v/>
      </c>
      <c r="AJ515" s="12" t="n"/>
      <c r="AK515" s="41">
        <f>IF(AND(W515="X",M515&lt;=$AJ$2),"YES","")</f>
        <v/>
      </c>
      <c r="AL515" s="38">
        <f>IF(AND(W515="X",M515&lt;=$AJ$2),S515,"")</f>
        <v/>
      </c>
      <c r="AM515" s="26">
        <f>IF(AND(W515="X",M515&gt;$AJ$2),"YES","")</f>
        <v/>
      </c>
      <c r="AN515" s="89">
        <f>IF(AND(W515="X",M515&gt;$AJ$2),S515,"")</f>
        <v/>
      </c>
      <c r="AO515" s="35">
        <f>IF(AND(W515="",M515&gt;0,$AJ$2&gt;M515,L515=""),1,0)</f>
        <v/>
      </c>
      <c r="AP515" s="26">
        <f>IF(AND(AK515="YES",W515="X"),"X","")</f>
        <v/>
      </c>
      <c r="AQ515" s="28">
        <f>IF(AP515="X",100%,0%)</f>
        <v/>
      </c>
      <c r="AR515" s="25">
        <f>IF(AND(T515&gt;0,L515=""),H515,"")</f>
        <v/>
      </c>
      <c r="AS515" s="25">
        <f>IF(AND(D515&gt;0,H515=0,G515=""),1,"")</f>
        <v/>
      </c>
      <c r="AT515" s="25">
        <f>IF(G515="BLOQ",1,"")</f>
        <v/>
      </c>
      <c r="AU515" s="25">
        <f>IF(L515="BLOQ",1,"")</f>
        <v/>
      </c>
      <c r="AV515" s="25">
        <f>MONTH(F515)</f>
        <v/>
      </c>
      <c r="AW515" s="65">
        <f>IF(AP515="",100%,0%)</f>
        <v/>
      </c>
      <c r="AX515" s="23" t="n"/>
      <c r="AY515" s="24">
        <f>IF(M515=0,"",M515-$AX$2)</f>
        <v/>
      </c>
      <c r="AZ515" s="66">
        <f>IF(AND(W515="",AY515&gt;0,AY515&lt;15),1,0)</f>
        <v/>
      </c>
      <c r="BA515" s="24">
        <f>IF(AND(W515="",AY515&gt;0,AY515&lt;15),T515,"")</f>
        <v/>
      </c>
      <c r="BB515" s="87">
        <f>IF(R515&lt;Q515,"X","")</f>
        <v/>
      </c>
      <c r="BC515" s="190" t="inlineStr">
        <is>
          <t>NO</t>
        </is>
      </c>
      <c r="BD515" s="190" t="inlineStr">
        <is>
          <t>NO</t>
        </is>
      </c>
    </row>
    <row r="516" ht="15" customHeight="1" s="162">
      <c r="A516" s="7" t="n">
        <v>515</v>
      </c>
      <c r="B516" t="inlineStr">
        <is>
          <t>46000000</t>
        </is>
      </c>
      <c r="C516" t="inlineStr">
        <is>
          <t>Cinta perimetral RS PRO de color Rojo/bl</t>
        </is>
      </c>
      <c r="D516" t="inlineStr">
        <is>
          <t>1101879032</t>
        </is>
      </c>
      <c r="E516" t="inlineStr">
        <is>
          <t>2</t>
        </is>
      </c>
      <c r="F516" s="163" t="n">
        <v>45818</v>
      </c>
      <c r="G516" t="inlineStr"/>
      <c r="H516" t="inlineStr">
        <is>
          <t>4800003116</t>
        </is>
      </c>
      <c r="I516" t="inlineStr">
        <is>
          <t>350</t>
        </is>
      </c>
      <c r="J516" s="163" t="n">
        <v>45817</v>
      </c>
      <c r="K516" s="163" t="inlineStr"/>
      <c r="L516" t="inlineStr"/>
      <c r="M516" s="163" t="n">
        <v>45819</v>
      </c>
      <c r="N516" s="164" t="n">
        <v>0</v>
      </c>
      <c r="O516" s="164" t="n">
        <v>0</v>
      </c>
      <c r="P516" t="inlineStr"/>
      <c r="Q516" s="165" t="n">
        <v>2</v>
      </c>
      <c r="R516" s="165" t="n">
        <v>2</v>
      </c>
      <c r="S516" s="165" t="n">
        <v>2</v>
      </c>
      <c r="T516" s="165" t="n">
        <v>0</v>
      </c>
      <c r="U516" s="166" t="n">
        <v>0</v>
      </c>
      <c r="V516" s="166" t="n">
        <v>0</v>
      </c>
      <c r="W516" t="inlineStr">
        <is>
          <t>X</t>
        </is>
      </c>
      <c r="X516" t="inlineStr">
        <is>
          <t>0.00</t>
        </is>
      </c>
      <c r="Y516" t="inlineStr"/>
      <c r="Z516" t="inlineStr">
        <is>
          <t>AMIDATA, S.A.</t>
        </is>
      </c>
      <c r="AA516" t="inlineStr"/>
      <c r="AB516" t="inlineStr">
        <is>
          <t>7632049</t>
        </is>
      </c>
      <c r="AC516" t="inlineStr"/>
      <c r="AD516" s="164" t="n">
        <v>0</v>
      </c>
      <c r="AE516" s="185" t="n">
        <v>0</v>
      </c>
      <c r="AG516" s="167" t="inlineStr">
        <is>
          <t>7218|S24B05_S1075</t>
        </is>
      </c>
      <c r="AH516" s="46">
        <f>IF(M516=0,"-",M516-J516)</f>
        <v/>
      </c>
      <c r="AI516" s="46">
        <f>IF(AND(S516=0,M516&gt;0,L516=0),IF(AH516&gt;=120,"VERY HIGH",IF(AH516&gt;=90,"HIGH",IF(AH516&gt;=60,"MEDIUM",IF(AH516&lt;60,"LOW")))),"-")</f>
        <v/>
      </c>
      <c r="AJ516" s="12" t="n"/>
      <c r="AK516" s="41">
        <f>IF(AND(W516="X",M516&lt;=$AJ$2),"YES","")</f>
        <v/>
      </c>
      <c r="AL516" s="38">
        <f>IF(AND(W516="X",M516&lt;=$AJ$2),S516,"")</f>
        <v/>
      </c>
      <c r="AM516" s="26">
        <f>IF(AND(W516="X",M516&gt;$AJ$2),"YES","")</f>
        <v/>
      </c>
      <c r="AN516" s="89">
        <f>IF(AND(W516="X",M516&gt;$AJ$2),S516,"")</f>
        <v/>
      </c>
      <c r="AO516" s="35">
        <f>IF(AND(W516="",M516&gt;0,$AJ$2&gt;M516,L516=""),1,0)</f>
        <v/>
      </c>
      <c r="AP516" s="26">
        <f>IF(AND(AK516="YES",W516="X"),"X","")</f>
        <v/>
      </c>
      <c r="AQ516" s="28">
        <f>IF(AP516="X",100%,0%)</f>
        <v/>
      </c>
      <c r="AR516" s="25">
        <f>IF(AND(T516&gt;0,L516=""),H516,"")</f>
        <v/>
      </c>
      <c r="AS516" s="25">
        <f>IF(AND(D516&gt;0,H516=0,G516=""),1,"")</f>
        <v/>
      </c>
      <c r="AT516" s="25">
        <f>IF(G516="BLOQ",1,"")</f>
        <v/>
      </c>
      <c r="AU516" s="25">
        <f>IF(L516="BLOQ",1,"")</f>
        <v/>
      </c>
      <c r="AV516" s="25">
        <f>MONTH(F516)</f>
        <v/>
      </c>
      <c r="AW516" s="65">
        <f>IF(AP516="",100%,0%)</f>
        <v/>
      </c>
      <c r="AX516" s="23" t="n"/>
      <c r="AY516" s="24">
        <f>IF(M516=0,"",M516-$AX$2)</f>
        <v/>
      </c>
      <c r="AZ516" s="66">
        <f>IF(AND(W516="",AY516&gt;0,AY516&lt;15),1,0)</f>
        <v/>
      </c>
      <c r="BA516" s="24">
        <f>IF(AND(W516="",AY516&gt;0,AY516&lt;15),T516,"")</f>
        <v/>
      </c>
      <c r="BB516" s="87">
        <f>IF(R516&lt;Q516,"X","")</f>
        <v/>
      </c>
      <c r="BC516" s="190" t="inlineStr">
        <is>
          <t>NO</t>
        </is>
      </c>
      <c r="BD516" s="190" t="inlineStr">
        <is>
          <t>NO</t>
        </is>
      </c>
    </row>
    <row r="517" ht="15" customHeight="1" s="162">
      <c r="A517" s="7" t="n">
        <v>516</v>
      </c>
      <c r="B517" t="inlineStr">
        <is>
          <t>1359900000500</t>
        </is>
      </c>
      <c r="C517" t="inlineStr">
        <is>
          <t>COMPRA DIRECTA ELECTRICOS/ELECTRONICOS</t>
        </is>
      </c>
      <c r="D517" t="inlineStr">
        <is>
          <t>1101879317</t>
        </is>
      </c>
      <c r="E517" t="inlineStr">
        <is>
          <t>1</t>
        </is>
      </c>
      <c r="F517" s="163" t="n">
        <v>45818</v>
      </c>
      <c r="G517" t="inlineStr"/>
      <c r="H517" t="inlineStr">
        <is>
          <t>4200615774</t>
        </is>
      </c>
      <c r="I517" t="inlineStr">
        <is>
          <t>10</t>
        </is>
      </c>
      <c r="J517" s="163" t="n">
        <v>45824</v>
      </c>
      <c r="K517" s="163" t="n">
        <v>45825</v>
      </c>
      <c r="L517" t="inlineStr"/>
      <c r="M517" s="163" t="n">
        <v>45838</v>
      </c>
      <c r="N517" s="164" t="n">
        <v>30</v>
      </c>
      <c r="O517" s="164" t="n">
        <v>8</v>
      </c>
      <c r="P517" t="inlineStr">
        <is>
          <t>Liberado</t>
        </is>
      </c>
      <c r="Q517" s="165" t="n">
        <v>1</v>
      </c>
      <c r="R517" s="165" t="n">
        <v>1</v>
      </c>
      <c r="S517" s="165" t="n">
        <v>1</v>
      </c>
      <c r="T517" s="165" t="n">
        <v>0</v>
      </c>
      <c r="U517" s="166" t="n">
        <v>0</v>
      </c>
      <c r="V517" s="166" t="n">
        <v>0</v>
      </c>
      <c r="W517" t="inlineStr">
        <is>
          <t>X</t>
        </is>
      </c>
      <c r="X517" t="inlineStr">
        <is>
          <t>0.00</t>
        </is>
      </c>
      <c r="Y517" t="inlineStr"/>
      <c r="Z517" t="inlineStr">
        <is>
          <t>(AEMSA)ALMACENES ELECTRICOS MADRILE</t>
        </is>
      </c>
      <c r="AA517" t="inlineStr">
        <is>
          <t>OTROS FABRICANTES</t>
        </is>
      </c>
      <c r="AB517" t="inlineStr">
        <is>
          <t>1359900000500</t>
        </is>
      </c>
      <c r="AC517" t="inlineStr"/>
      <c r="AD517" s="164" t="n">
        <v>0</v>
      </c>
      <c r="AE517" s="185" t="n">
        <v>0</v>
      </c>
      <c r="AG517" s="167" t="inlineStr">
        <is>
          <t>7218|JA2593_1001</t>
        </is>
      </c>
      <c r="AH517" s="46">
        <f>IF(M517=0,"-",M517-J517)</f>
        <v/>
      </c>
      <c r="AI517" s="46">
        <f>IF(AND(S517=0,M517&gt;0,L517=0),IF(AH517&gt;=120,"VERY HIGH",IF(AH517&gt;=90,"HIGH",IF(AH517&gt;=60,"MEDIUM",IF(AH517&lt;60,"LOW")))),"-")</f>
        <v/>
      </c>
      <c r="AJ517" s="12" t="n"/>
      <c r="AK517" s="41">
        <f>IF(AND(W517="X",M517&lt;=$AJ$2),"YES","")</f>
        <v/>
      </c>
      <c r="AL517" s="38">
        <f>IF(AND(W517="X",M517&lt;=$AJ$2),S517,"")</f>
        <v/>
      </c>
      <c r="AM517" s="26">
        <f>IF(AND(W517="X",M517&gt;$AJ$2),"YES","")</f>
        <v/>
      </c>
      <c r="AN517" s="89">
        <f>IF(AND(W517="X",M517&gt;$AJ$2),S517,"")</f>
        <v/>
      </c>
      <c r="AO517" s="35">
        <f>IF(AND(W517="",M517&gt;0,$AJ$2&gt;M517,L517=""),1,0)</f>
        <v/>
      </c>
      <c r="AP517" s="26">
        <f>IF(AND(AK517="YES",W517="X"),"X","")</f>
        <v/>
      </c>
      <c r="AQ517" s="28">
        <f>IF(AP517="X",100%,0%)</f>
        <v/>
      </c>
      <c r="AR517" s="25">
        <f>IF(AND(T517&gt;0,L517=""),H517,"")</f>
        <v/>
      </c>
      <c r="AS517" s="25">
        <f>IF(AND(D517&gt;0,H517=0,G517=""),1,"")</f>
        <v/>
      </c>
      <c r="AT517" s="25">
        <f>IF(G517="BLOQ",1,"")</f>
        <v/>
      </c>
      <c r="AU517" s="25">
        <f>IF(L517="BLOQ",1,"")</f>
        <v/>
      </c>
      <c r="AV517" s="25">
        <f>MONTH(F517)</f>
        <v/>
      </c>
      <c r="AW517" s="65">
        <f>IF(AP517="",100%,0%)</f>
        <v/>
      </c>
      <c r="AX517" s="23" t="n"/>
      <c r="AY517" s="24">
        <f>IF(M517=0,"",M517-$AX$2)</f>
        <v/>
      </c>
      <c r="AZ517" s="66">
        <f>IF(AND(W517="",AY517&gt;0,AY517&lt;15),1,0)</f>
        <v/>
      </c>
      <c r="BA517" s="24">
        <f>IF(AND(W517="",AY517&gt;0,AY517&lt;15),T517,"")</f>
        <v/>
      </c>
      <c r="BB517" s="87">
        <f>IF(R517&lt;Q517,"X","")</f>
        <v/>
      </c>
      <c r="BC517" s="190" t="inlineStr">
        <is>
          <t>NO</t>
        </is>
      </c>
      <c r="BD517" s="190" t="inlineStr">
        <is>
          <t>NO</t>
        </is>
      </c>
    </row>
    <row r="518" ht="15" customHeight="1" s="162">
      <c r="A518" s="7" t="n">
        <v>517</v>
      </c>
      <c r="B518" t="inlineStr">
        <is>
          <t>1359900000500</t>
        </is>
      </c>
      <c r="C518" t="inlineStr">
        <is>
          <t>COMPRA DIRECTA ELECTRICOS/ELECTRONICOS</t>
        </is>
      </c>
      <c r="D518" t="inlineStr">
        <is>
          <t>1101879317</t>
        </is>
      </c>
      <c r="E518" t="inlineStr">
        <is>
          <t>2</t>
        </is>
      </c>
      <c r="F518" s="163" t="n">
        <v>45818</v>
      </c>
      <c r="G518" t="inlineStr"/>
      <c r="H518" t="inlineStr">
        <is>
          <t>4200615774</t>
        </is>
      </c>
      <c r="I518" t="inlineStr">
        <is>
          <t>20</t>
        </is>
      </c>
      <c r="J518" s="163" t="n">
        <v>45824</v>
      </c>
      <c r="K518" s="163" t="n">
        <v>45825</v>
      </c>
      <c r="L518" t="inlineStr"/>
      <c r="M518" s="163" t="n">
        <v>45838</v>
      </c>
      <c r="N518" s="164" t="n">
        <v>30</v>
      </c>
      <c r="O518" s="164" t="n">
        <v>8</v>
      </c>
      <c r="P518" t="inlineStr">
        <is>
          <t>Liberado</t>
        </is>
      </c>
      <c r="Q518" s="165" t="n">
        <v>1</v>
      </c>
      <c r="R518" s="165" t="n">
        <v>1</v>
      </c>
      <c r="S518" s="165" t="n">
        <v>1</v>
      </c>
      <c r="T518" s="165" t="n">
        <v>0</v>
      </c>
      <c r="U518" s="166" t="n">
        <v>0</v>
      </c>
      <c r="V518" s="166" t="n">
        <v>0</v>
      </c>
      <c r="W518" t="inlineStr">
        <is>
          <t>X</t>
        </is>
      </c>
      <c r="X518" t="inlineStr">
        <is>
          <t>0.00</t>
        </is>
      </c>
      <c r="Y518" t="inlineStr"/>
      <c r="Z518" t="inlineStr">
        <is>
          <t>(AEMSA)ALMACENES ELECTRICOS MADRILE</t>
        </is>
      </c>
      <c r="AA518" t="inlineStr">
        <is>
          <t>OTROS FABRICANTES</t>
        </is>
      </c>
      <c r="AB518" t="inlineStr">
        <is>
          <t>1359900000500</t>
        </is>
      </c>
      <c r="AC518" t="inlineStr"/>
      <c r="AD518" s="164" t="n">
        <v>0</v>
      </c>
      <c r="AE518" s="185" t="n">
        <v>0</v>
      </c>
      <c r="AG518" s="167" t="inlineStr">
        <is>
          <t>7218|JA2593_1001</t>
        </is>
      </c>
      <c r="AH518" s="46">
        <f>IF(M518=0,"-",M518-J518)</f>
        <v/>
      </c>
      <c r="AI518" s="46">
        <f>IF(AND(S518=0,M518&gt;0,L518=0),IF(AH518&gt;=120,"VERY HIGH",IF(AH518&gt;=90,"HIGH",IF(AH518&gt;=60,"MEDIUM",IF(AH518&lt;60,"LOW")))),"-")</f>
        <v/>
      </c>
      <c r="AJ518" s="12" t="n"/>
      <c r="AK518" s="41">
        <f>IF(AND(W518="X",M518&lt;=$AJ$2),"YES","")</f>
        <v/>
      </c>
      <c r="AL518" s="38">
        <f>IF(AND(W518="X",M518&lt;=$AJ$2),S518,"")</f>
        <v/>
      </c>
      <c r="AM518" s="26">
        <f>IF(AND(W518="X",M518&gt;$AJ$2),"YES","")</f>
        <v/>
      </c>
      <c r="AN518" s="89">
        <f>IF(AND(W518="X",M518&gt;$AJ$2),S518,"")</f>
        <v/>
      </c>
      <c r="AO518" s="35">
        <f>IF(AND(W518="",M518&gt;0,$AJ$2&gt;M518,L518=""),1,0)</f>
        <v/>
      </c>
      <c r="AP518" s="26">
        <f>IF(AND(AK518="YES",W518="X"),"X","")</f>
        <v/>
      </c>
      <c r="AQ518" s="28">
        <f>IF(AP518="X",100%,0%)</f>
        <v/>
      </c>
      <c r="AR518" s="25">
        <f>IF(AND(T518&gt;0,L518=""),H518,"")</f>
        <v/>
      </c>
      <c r="AS518" s="25">
        <f>IF(AND(D518&gt;0,H518=0,G518=""),1,"")</f>
        <v/>
      </c>
      <c r="AT518" s="25">
        <f>IF(G518="BLOQ",1,"")</f>
        <v/>
      </c>
      <c r="AU518" s="25">
        <f>IF(L518="BLOQ",1,"")</f>
        <v/>
      </c>
      <c r="AV518" s="25">
        <f>MONTH(F518)</f>
        <v/>
      </c>
      <c r="AW518" s="65">
        <f>IF(AP518="",100%,0%)</f>
        <v/>
      </c>
      <c r="AX518" s="23" t="n"/>
      <c r="AY518" s="24">
        <f>IF(M518=0,"",M518-$AX$2)</f>
        <v/>
      </c>
      <c r="AZ518" s="66">
        <f>IF(AND(W518="",AY518&gt;0,AY518&lt;15),1,0)</f>
        <v/>
      </c>
      <c r="BA518" s="24">
        <f>IF(AND(W518="",AY518&gt;0,AY518&lt;15),T518,"")</f>
        <v/>
      </c>
      <c r="BB518" s="87">
        <f>IF(R518&lt;Q518,"X","")</f>
        <v/>
      </c>
      <c r="BC518" s="190" t="inlineStr">
        <is>
          <t>NO</t>
        </is>
      </c>
      <c r="BD518" s="190" t="inlineStr">
        <is>
          <t>NO</t>
        </is>
      </c>
    </row>
    <row r="519" ht="15" customHeight="1" s="162">
      <c r="A519" s="7" t="n">
        <v>518</v>
      </c>
      <c r="B519" t="inlineStr">
        <is>
          <t>1359900000500</t>
        </is>
      </c>
      <c r="C519" t="inlineStr">
        <is>
          <t>COMPRA DIRECTA ELECTRICOS/ELECTRONICOS</t>
        </is>
      </c>
      <c r="D519" t="inlineStr">
        <is>
          <t>1101879317</t>
        </is>
      </c>
      <c r="E519" t="inlineStr">
        <is>
          <t>3</t>
        </is>
      </c>
      <c r="F519" s="163" t="n">
        <v>45818</v>
      </c>
      <c r="G519" t="inlineStr"/>
      <c r="H519" t="inlineStr">
        <is>
          <t>4200615774</t>
        </is>
      </c>
      <c r="I519" t="inlineStr">
        <is>
          <t>30</t>
        </is>
      </c>
      <c r="J519" s="163" t="n">
        <v>45824</v>
      </c>
      <c r="K519" s="163" t="n">
        <v>45825</v>
      </c>
      <c r="L519" t="inlineStr"/>
      <c r="M519" s="163" t="n">
        <v>45838</v>
      </c>
      <c r="N519" s="164" t="n">
        <v>30</v>
      </c>
      <c r="O519" s="164" t="n">
        <v>8</v>
      </c>
      <c r="P519" t="inlineStr">
        <is>
          <t>Liberado</t>
        </is>
      </c>
      <c r="Q519" s="165" t="n">
        <v>1</v>
      </c>
      <c r="R519" s="165" t="n">
        <v>1</v>
      </c>
      <c r="S519" s="165" t="n">
        <v>1</v>
      </c>
      <c r="T519" s="165" t="n">
        <v>0</v>
      </c>
      <c r="U519" s="166" t="n">
        <v>0</v>
      </c>
      <c r="V519" s="166" t="n">
        <v>0</v>
      </c>
      <c r="W519" t="inlineStr">
        <is>
          <t>X</t>
        </is>
      </c>
      <c r="X519" t="inlineStr">
        <is>
          <t>0.00</t>
        </is>
      </c>
      <c r="Y519" t="inlineStr"/>
      <c r="Z519" t="inlineStr">
        <is>
          <t>(AEMSA)ALMACENES ELECTRICOS MADRILE</t>
        </is>
      </c>
      <c r="AA519" t="inlineStr">
        <is>
          <t>OTROS FABRICANTES</t>
        </is>
      </c>
      <c r="AB519" t="inlineStr">
        <is>
          <t>1359900000500</t>
        </is>
      </c>
      <c r="AC519" t="inlineStr"/>
      <c r="AD519" s="164" t="n">
        <v>0</v>
      </c>
      <c r="AE519" s="185" t="n">
        <v>0</v>
      </c>
      <c r="AG519" s="167" t="inlineStr">
        <is>
          <t>7218|JA2593_1001</t>
        </is>
      </c>
      <c r="AH519" s="46">
        <f>IF(M519=0,"-",M519-J519)</f>
        <v/>
      </c>
      <c r="AI519" s="46">
        <f>IF(AND(S519=0,M519&gt;0,L519=0),IF(AH519&gt;=120,"VERY HIGH",IF(AH519&gt;=90,"HIGH",IF(AH519&gt;=60,"MEDIUM",IF(AH519&lt;60,"LOW")))),"-")</f>
        <v/>
      </c>
      <c r="AJ519" s="12" t="n"/>
      <c r="AK519" s="41">
        <f>IF(AND(W519="X",M519&lt;=$AJ$2),"YES","")</f>
        <v/>
      </c>
      <c r="AL519" s="38">
        <f>IF(AND(W519="X",M519&lt;=$AJ$2),S519,"")</f>
        <v/>
      </c>
      <c r="AM519" s="26">
        <f>IF(AND(W519="X",M519&gt;$AJ$2),"YES","")</f>
        <v/>
      </c>
      <c r="AN519" s="89">
        <f>IF(AND(W519="X",M519&gt;$AJ$2),S519,"")</f>
        <v/>
      </c>
      <c r="AO519" s="35">
        <f>IF(AND(W519="",M519&gt;0,$AJ$2&gt;M519,L519=""),1,0)</f>
        <v/>
      </c>
      <c r="AP519" s="26">
        <f>IF(AND(AK519="YES",W519="X"),"X","")</f>
        <v/>
      </c>
      <c r="AQ519" s="28">
        <f>IF(AP519="X",100%,0%)</f>
        <v/>
      </c>
      <c r="AR519" s="25">
        <f>IF(AND(T519&gt;0,L519=""),H519,"")</f>
        <v/>
      </c>
      <c r="AS519" s="25">
        <f>IF(AND(D519&gt;0,H519=0,G519=""),1,"")</f>
        <v/>
      </c>
      <c r="AT519" s="25">
        <f>IF(G519="BLOQ",1,"")</f>
        <v/>
      </c>
      <c r="AU519" s="25">
        <f>IF(L519="BLOQ",1,"")</f>
        <v/>
      </c>
      <c r="AV519" s="25">
        <f>MONTH(F519)</f>
        <v/>
      </c>
      <c r="AW519" s="65">
        <f>IF(AP519="",100%,0%)</f>
        <v/>
      </c>
      <c r="AX519" s="23" t="n"/>
      <c r="AY519" s="24">
        <f>IF(M519=0,"",M519-$AX$2)</f>
        <v/>
      </c>
      <c r="AZ519" s="66">
        <f>IF(AND(W519="",AY519&gt;0,AY519&lt;15),1,0)</f>
        <v/>
      </c>
      <c r="BA519" s="24">
        <f>IF(AND(W519="",AY519&gt;0,AY519&lt;15),T519,"")</f>
        <v/>
      </c>
      <c r="BB519" s="87">
        <f>IF(R519&lt;Q519,"X","")</f>
        <v/>
      </c>
      <c r="BC519" s="190" t="inlineStr">
        <is>
          <t>NO</t>
        </is>
      </c>
      <c r="BD519" s="190" t="inlineStr">
        <is>
          <t>NO</t>
        </is>
      </c>
    </row>
    <row r="520" ht="15" customHeight="1" s="162">
      <c r="A520" s="7" t="n">
        <v>519</v>
      </c>
      <c r="B520" t="inlineStr">
        <is>
          <t>1359900000500</t>
        </is>
      </c>
      <c r="C520" t="inlineStr">
        <is>
          <t>COMPRA DIRECTA ELECTRICOS/ELECTRONICOS</t>
        </is>
      </c>
      <c r="D520" t="inlineStr">
        <is>
          <t>1101879317</t>
        </is>
      </c>
      <c r="E520" t="inlineStr">
        <is>
          <t>4</t>
        </is>
      </c>
      <c r="F520" s="163" t="n">
        <v>45818</v>
      </c>
      <c r="G520" t="inlineStr"/>
      <c r="H520" t="inlineStr">
        <is>
          <t>4200615774</t>
        </is>
      </c>
      <c r="I520" t="inlineStr">
        <is>
          <t>40</t>
        </is>
      </c>
      <c r="J520" s="163" t="n">
        <v>45824</v>
      </c>
      <c r="K520" s="163" t="n">
        <v>45825</v>
      </c>
      <c r="L520" t="inlineStr"/>
      <c r="M520" s="163" t="n">
        <v>45838</v>
      </c>
      <c r="N520" s="164" t="n">
        <v>30</v>
      </c>
      <c r="O520" s="164" t="n">
        <v>8</v>
      </c>
      <c r="P520" t="inlineStr">
        <is>
          <t>Liberado</t>
        </is>
      </c>
      <c r="Q520" s="165" t="n">
        <v>1</v>
      </c>
      <c r="R520" s="165" t="n">
        <v>1</v>
      </c>
      <c r="S520" s="165" t="n">
        <v>1</v>
      </c>
      <c r="T520" s="165" t="n">
        <v>0</v>
      </c>
      <c r="U520" s="166" t="n">
        <v>0</v>
      </c>
      <c r="V520" s="166" t="n">
        <v>0</v>
      </c>
      <c r="W520" t="inlineStr">
        <is>
          <t>X</t>
        </is>
      </c>
      <c r="X520" t="inlineStr">
        <is>
          <t>0.00</t>
        </is>
      </c>
      <c r="Y520" t="inlineStr"/>
      <c r="Z520" t="inlineStr">
        <is>
          <t>(AEMSA)ALMACENES ELECTRICOS MADRILE</t>
        </is>
      </c>
      <c r="AA520" t="inlineStr">
        <is>
          <t>OTROS FABRICANTES</t>
        </is>
      </c>
      <c r="AB520" t="inlineStr">
        <is>
          <t>1359900000500</t>
        </is>
      </c>
      <c r="AC520" t="inlineStr"/>
      <c r="AD520" s="164" t="n">
        <v>0</v>
      </c>
      <c r="AE520" s="185" t="n">
        <v>0</v>
      </c>
      <c r="AG520" s="167" t="inlineStr">
        <is>
          <t>7218|JA2593_1001</t>
        </is>
      </c>
      <c r="AH520" s="46">
        <f>IF(M520=0,"-",M520-J520)</f>
        <v/>
      </c>
      <c r="AI520" s="46">
        <f>IF(AND(S520=0,M520&gt;0,L520=0),IF(AH520&gt;=120,"VERY HIGH",IF(AH520&gt;=90,"HIGH",IF(AH520&gt;=60,"MEDIUM",IF(AH520&lt;60,"LOW")))),"-")</f>
        <v/>
      </c>
      <c r="AJ520" s="12" t="n"/>
      <c r="AK520" s="41">
        <f>IF(AND(W520="X",M520&lt;=$AJ$2),"YES","")</f>
        <v/>
      </c>
      <c r="AL520" s="38">
        <f>IF(AND(W520="X",M520&lt;=$AJ$2),S520,"")</f>
        <v/>
      </c>
      <c r="AM520" s="26">
        <f>IF(AND(W520="X",M520&gt;$AJ$2),"YES","")</f>
        <v/>
      </c>
      <c r="AN520" s="89">
        <f>IF(AND(W520="X",M520&gt;$AJ$2),S520,"")</f>
        <v/>
      </c>
      <c r="AO520" s="35">
        <f>IF(AND(W520="",M520&gt;0,$AJ$2&gt;M520,L520=""),1,0)</f>
        <v/>
      </c>
      <c r="AP520" s="26">
        <f>IF(AND(AK520="YES",W520="X"),"X","")</f>
        <v/>
      </c>
      <c r="AQ520" s="28">
        <f>IF(AP520="X",100%,0%)</f>
        <v/>
      </c>
      <c r="AR520" s="25">
        <f>IF(AND(T520&gt;0,L520=""),H520,"")</f>
        <v/>
      </c>
      <c r="AS520" s="25">
        <f>IF(AND(D520&gt;0,H520=0,G520=""),1,"")</f>
        <v/>
      </c>
      <c r="AT520" s="25">
        <f>IF(G520="BLOQ",1,"")</f>
        <v/>
      </c>
      <c r="AU520" s="25">
        <f>IF(L520="BLOQ",1,"")</f>
        <v/>
      </c>
      <c r="AV520" s="25">
        <f>MONTH(F520)</f>
        <v/>
      </c>
      <c r="AW520" s="65">
        <f>IF(AP520="",100%,0%)</f>
        <v/>
      </c>
      <c r="AX520" s="23" t="n"/>
      <c r="AY520" s="24">
        <f>IF(M520=0,"",M520-$AX$2)</f>
        <v/>
      </c>
      <c r="AZ520" s="66">
        <f>IF(AND(W520="",AY520&gt;0,AY520&lt;15),1,0)</f>
        <v/>
      </c>
      <c r="BA520" s="24">
        <f>IF(AND(W520="",AY520&gt;0,AY520&lt;15),T520,"")</f>
        <v/>
      </c>
      <c r="BB520" s="87">
        <f>IF(R520&lt;Q520,"X","")</f>
        <v/>
      </c>
      <c r="BC520" s="190" t="inlineStr">
        <is>
          <t>NO</t>
        </is>
      </c>
      <c r="BD520" s="190" t="inlineStr">
        <is>
          <t>NO</t>
        </is>
      </c>
    </row>
    <row r="521" ht="15" customHeight="1" s="162">
      <c r="A521" s="7" t="n">
        <v>520</v>
      </c>
      <c r="B521" t="inlineStr">
        <is>
          <t>39121324</t>
        </is>
      </c>
      <c r="C521" t="inlineStr">
        <is>
          <t>Caja Spelsberg de Poliestireno Transpare</t>
        </is>
      </c>
      <c r="D521" t="inlineStr">
        <is>
          <t>1101879439</t>
        </is>
      </c>
      <c r="E521" t="inlineStr">
        <is>
          <t>1</t>
        </is>
      </c>
      <c r="F521" s="163" t="n">
        <v>45818</v>
      </c>
      <c r="G521" t="inlineStr"/>
      <c r="H521" t="inlineStr">
        <is>
          <t>4800003116</t>
        </is>
      </c>
      <c r="I521" t="inlineStr">
        <is>
          <t>780</t>
        </is>
      </c>
      <c r="J521" s="163" t="n">
        <v>45817</v>
      </c>
      <c r="K521" s="163" t="inlineStr"/>
      <c r="L521" t="inlineStr"/>
      <c r="M521" s="163" t="n">
        <v>45819</v>
      </c>
      <c r="N521" s="164" t="n">
        <v>0</v>
      </c>
      <c r="O521" s="164" t="n">
        <v>0</v>
      </c>
      <c r="P521" t="inlineStr"/>
      <c r="Q521" s="165" t="n">
        <v>1</v>
      </c>
      <c r="R521" s="165" t="n">
        <v>1</v>
      </c>
      <c r="S521" s="165" t="n">
        <v>1</v>
      </c>
      <c r="T521" s="165" t="n">
        <v>0</v>
      </c>
      <c r="U521" s="166" t="n">
        <v>0</v>
      </c>
      <c r="V521" s="166" t="n">
        <v>0</v>
      </c>
      <c r="W521" t="inlineStr">
        <is>
          <t>X</t>
        </is>
      </c>
      <c r="X521" t="inlineStr">
        <is>
          <t>0.00</t>
        </is>
      </c>
      <c r="Y521" t="inlineStr"/>
      <c r="Z521" t="inlineStr">
        <is>
          <t>AMIDATA, S.A.</t>
        </is>
      </c>
      <c r="AA521" t="inlineStr"/>
      <c r="AB521" t="inlineStr">
        <is>
          <t>5337284</t>
        </is>
      </c>
      <c r="AC521" t="inlineStr"/>
      <c r="AD521" s="164" t="n">
        <v>0</v>
      </c>
      <c r="AE521" s="185" t="n">
        <v>0</v>
      </c>
      <c r="AG521" s="167" t="inlineStr">
        <is>
          <t>7218|JA2582_1001</t>
        </is>
      </c>
      <c r="AH521" s="46">
        <f>IF(M521=0,"-",M521-J521)</f>
        <v/>
      </c>
      <c r="AI521" s="46">
        <f>IF(AND(S521=0,M521&gt;0,L521=0),IF(AH521&gt;=120,"VERY HIGH",IF(AH521&gt;=90,"HIGH",IF(AH521&gt;=60,"MEDIUM",IF(AH521&lt;60,"LOW")))),"-")</f>
        <v/>
      </c>
      <c r="AJ521" s="12" t="n"/>
      <c r="AK521" s="41">
        <f>IF(AND(W521="X",M521&lt;=$AJ$2),"YES","")</f>
        <v/>
      </c>
      <c r="AL521" s="38">
        <f>IF(AND(W521="X",M521&lt;=$AJ$2),S521,"")</f>
        <v/>
      </c>
      <c r="AM521" s="26">
        <f>IF(AND(W521="X",M521&gt;$AJ$2),"YES","")</f>
        <v/>
      </c>
      <c r="AN521" s="89">
        <f>IF(AND(W521="X",M521&gt;$AJ$2),S521,"")</f>
        <v/>
      </c>
      <c r="AO521" s="35">
        <f>IF(AND(W521="",M521&gt;0,$AJ$2&gt;M521,L521=""),1,0)</f>
        <v/>
      </c>
      <c r="AP521" s="26">
        <f>IF(AND(AK521="YES",W521="X"),"X","")</f>
        <v/>
      </c>
      <c r="AQ521" s="28">
        <f>IF(AP521="X",100%,0%)</f>
        <v/>
      </c>
      <c r="AR521" s="25">
        <f>IF(AND(T521&gt;0,L521=""),H521,"")</f>
        <v/>
      </c>
      <c r="AS521" s="25">
        <f>IF(AND(D521&gt;0,H521=0,G521=""),1,"")</f>
        <v/>
      </c>
      <c r="AT521" s="25">
        <f>IF(G521="BLOQ",1,"")</f>
        <v/>
      </c>
      <c r="AU521" s="25">
        <f>IF(L521="BLOQ",1,"")</f>
        <v/>
      </c>
      <c r="AV521" s="25">
        <f>MONTH(F521)</f>
        <v/>
      </c>
      <c r="AW521" s="65">
        <f>IF(AP521="",100%,0%)</f>
        <v/>
      </c>
      <c r="AX521" s="23" t="n"/>
      <c r="AY521" s="24">
        <f>IF(M521=0,"",M521-$AX$2)</f>
        <v/>
      </c>
      <c r="AZ521" s="66">
        <f>IF(AND(W521="",AY521&gt;0,AY521&lt;15),1,0)</f>
        <v/>
      </c>
      <c r="BA521" s="24">
        <f>IF(AND(W521="",AY521&gt;0,AY521&lt;15),T521,"")</f>
        <v/>
      </c>
      <c r="BB521" s="87">
        <f>IF(R521&lt;Q521,"X","")</f>
        <v/>
      </c>
      <c r="BC521" s="190" t="inlineStr">
        <is>
          <t>NO</t>
        </is>
      </c>
      <c r="BD521" s="190" t="inlineStr">
        <is>
          <t>NO</t>
        </is>
      </c>
    </row>
    <row r="522" ht="15" customHeight="1" s="162">
      <c r="A522" s="7" t="n">
        <v>521</v>
      </c>
      <c r="B522" t="inlineStr">
        <is>
          <t>1709800000500</t>
        </is>
      </c>
      <c r="C522" t="inlineStr">
        <is>
          <t>COMPRA DIRECTA FERRETERIA Y HERRAMIENTAS</t>
        </is>
      </c>
      <c r="D522" t="inlineStr">
        <is>
          <t>1101880388</t>
        </is>
      </c>
      <c r="E522" t="inlineStr">
        <is>
          <t>1</t>
        </is>
      </c>
      <c r="F522" s="163" t="n">
        <v>45820</v>
      </c>
      <c r="G522" t="inlineStr"/>
      <c r="H522" t="inlineStr">
        <is>
          <t>4200616063</t>
        </is>
      </c>
      <c r="I522" t="inlineStr">
        <is>
          <t>10</t>
        </is>
      </c>
      <c r="J522" s="163" t="n">
        <v>45825</v>
      </c>
      <c r="K522" s="163" t="n">
        <v>45826</v>
      </c>
      <c r="L522" t="inlineStr"/>
      <c r="M522" s="163" t="n">
        <v>45839</v>
      </c>
      <c r="N522" s="164" t="n">
        <v>30</v>
      </c>
      <c r="O522" s="164" t="n">
        <v>8</v>
      </c>
      <c r="P522" t="inlineStr">
        <is>
          <t>Liberado</t>
        </is>
      </c>
      <c r="Q522" s="165" t="n">
        <v>50</v>
      </c>
      <c r="R522" s="165" t="n">
        <v>50</v>
      </c>
      <c r="S522" s="165" t="n">
        <v>50</v>
      </c>
      <c r="T522" s="165" t="n">
        <v>0</v>
      </c>
      <c r="U522" s="166" t="n">
        <v>0</v>
      </c>
      <c r="V522" s="166" t="n">
        <v>0</v>
      </c>
      <c r="W522" t="inlineStr">
        <is>
          <t>X</t>
        </is>
      </c>
      <c r="X522" t="inlineStr">
        <is>
          <t>0.00</t>
        </is>
      </c>
      <c r="Y522" t="inlineStr"/>
      <c r="Z522" t="inlineStr">
        <is>
          <t>ABACO SUYTEC, S.A.U.</t>
        </is>
      </c>
      <c r="AA522" t="inlineStr">
        <is>
          <t>OTROS FABRICANTES</t>
        </is>
      </c>
      <c r="AB522" t="inlineStr">
        <is>
          <t>1709800000500</t>
        </is>
      </c>
      <c r="AC522" t="inlineStr"/>
      <c r="AD522" s="164" t="n">
        <v>0</v>
      </c>
      <c r="AE522" s="185" t="n">
        <v>0</v>
      </c>
      <c r="AG522" s="167" t="inlineStr">
        <is>
          <t>7218|JA2594_1001</t>
        </is>
      </c>
      <c r="AH522" s="46">
        <f>IF(M522=0,"-",M522-J522)</f>
        <v/>
      </c>
      <c r="AI522" s="46">
        <f>IF(AND(S522=0,M522&gt;0,L522=0),IF(AH522&gt;=120,"VERY HIGH",IF(AH522&gt;=90,"HIGH",IF(AH522&gt;=60,"MEDIUM",IF(AH522&lt;60,"LOW")))),"-")</f>
        <v/>
      </c>
      <c r="AJ522" s="12" t="n"/>
      <c r="AK522" s="41">
        <f>IF(AND(W522="X",M522&lt;=$AJ$2),"YES","")</f>
        <v/>
      </c>
      <c r="AL522" s="38">
        <f>IF(AND(W522="X",M522&lt;=$AJ$2),S522,"")</f>
        <v/>
      </c>
      <c r="AM522" s="26">
        <f>IF(AND(W522="X",M522&gt;$AJ$2),"YES","")</f>
        <v/>
      </c>
      <c r="AN522" s="89">
        <f>IF(AND(W522="X",M522&gt;$AJ$2),S522,"")</f>
        <v/>
      </c>
      <c r="AO522" s="35">
        <f>IF(AND(W522="",M522&gt;0,$AJ$2&gt;M522,L522=""),1,0)</f>
        <v/>
      </c>
      <c r="AP522" s="26">
        <f>IF(AND(AK522="YES",W522="X"),"X","")</f>
        <v/>
      </c>
      <c r="AQ522" s="28">
        <f>IF(AP522="X",100%,0%)</f>
        <v/>
      </c>
      <c r="AR522" s="25">
        <f>IF(AND(T522&gt;0,L522=""),H522,"")</f>
        <v/>
      </c>
      <c r="AS522" s="25">
        <f>IF(AND(D522&gt;0,H522=0,G522=""),1,"")</f>
        <v/>
      </c>
      <c r="AT522" s="25">
        <f>IF(G522="BLOQ",1,"")</f>
        <v/>
      </c>
      <c r="AU522" s="25">
        <f>IF(L522="BLOQ",1,"")</f>
        <v/>
      </c>
      <c r="AV522" s="25">
        <f>MONTH(F522)</f>
        <v/>
      </c>
      <c r="AW522" s="65">
        <f>IF(AP522="",100%,0%)</f>
        <v/>
      </c>
      <c r="AX522" s="23" t="n"/>
      <c r="AY522" s="24">
        <f>IF(M522=0,"",M522-$AX$2)</f>
        <v/>
      </c>
      <c r="AZ522" s="66">
        <f>IF(AND(W522="",AY522&gt;0,AY522&lt;15),1,0)</f>
        <v/>
      </c>
      <c r="BA522" s="24">
        <f>IF(AND(W522="",AY522&gt;0,AY522&lt;15),T522,"")</f>
        <v/>
      </c>
      <c r="BB522" s="87">
        <f>IF(R522&lt;Q522,"X","")</f>
        <v/>
      </c>
      <c r="BC522" s="190" t="inlineStr">
        <is>
          <t>NO</t>
        </is>
      </c>
      <c r="BD522" s="190" t="inlineStr">
        <is>
          <t>NO</t>
        </is>
      </c>
    </row>
    <row r="523" ht="15" customHeight="1" s="162">
      <c r="A523" s="7" t="n">
        <v>522</v>
      </c>
      <c r="B523" t="inlineStr">
        <is>
          <t>1709800000500</t>
        </is>
      </c>
      <c r="C523" t="inlineStr">
        <is>
          <t>COMPRA DIRECTA FERRETERIA Y HERRAMIENTAS</t>
        </is>
      </c>
      <c r="D523" t="inlineStr">
        <is>
          <t>1101880388</t>
        </is>
      </c>
      <c r="E523" t="inlineStr">
        <is>
          <t>2</t>
        </is>
      </c>
      <c r="F523" s="163" t="n">
        <v>45820</v>
      </c>
      <c r="G523" t="inlineStr"/>
      <c r="H523" t="inlineStr">
        <is>
          <t>4200616063</t>
        </is>
      </c>
      <c r="I523" t="inlineStr">
        <is>
          <t>20</t>
        </is>
      </c>
      <c r="J523" s="163" t="n">
        <v>45825</v>
      </c>
      <c r="K523" s="163" t="n">
        <v>45826</v>
      </c>
      <c r="L523" t="inlineStr"/>
      <c r="M523" s="163" t="n">
        <v>45839</v>
      </c>
      <c r="N523" s="164" t="n">
        <v>30</v>
      </c>
      <c r="O523" s="164" t="n">
        <v>8</v>
      </c>
      <c r="P523" t="inlineStr">
        <is>
          <t>Liberado</t>
        </is>
      </c>
      <c r="Q523" s="165" t="n">
        <v>50</v>
      </c>
      <c r="R523" s="165" t="n">
        <v>50</v>
      </c>
      <c r="S523" s="165" t="n">
        <v>50</v>
      </c>
      <c r="T523" s="165" t="n">
        <v>0</v>
      </c>
      <c r="U523" s="166" t="n">
        <v>0</v>
      </c>
      <c r="V523" s="166" t="n">
        <v>0</v>
      </c>
      <c r="W523" t="inlineStr">
        <is>
          <t>X</t>
        </is>
      </c>
      <c r="X523" t="inlineStr">
        <is>
          <t>0.00</t>
        </is>
      </c>
      <c r="Y523" t="inlineStr"/>
      <c r="Z523" t="inlineStr">
        <is>
          <t>ABACO SUYTEC, S.A.U.</t>
        </is>
      </c>
      <c r="AA523" t="inlineStr">
        <is>
          <t>OTROS FABRICANTES</t>
        </is>
      </c>
      <c r="AB523" t="inlineStr">
        <is>
          <t>1709800000500</t>
        </is>
      </c>
      <c r="AC523" t="inlineStr"/>
      <c r="AD523" s="164" t="n">
        <v>0</v>
      </c>
      <c r="AE523" s="185" t="n">
        <v>0</v>
      </c>
      <c r="AG523" s="167" t="inlineStr">
        <is>
          <t>7218|JA2594_1001</t>
        </is>
      </c>
      <c r="AH523" s="46">
        <f>IF(M523=0,"-",M523-J523)</f>
        <v/>
      </c>
      <c r="AI523" s="46">
        <f>IF(AND(S523=0,M523&gt;0,L523=0),IF(AH523&gt;=120,"VERY HIGH",IF(AH523&gt;=90,"HIGH",IF(AH523&gt;=60,"MEDIUM",IF(AH523&lt;60,"LOW")))),"-")</f>
        <v/>
      </c>
      <c r="AJ523" s="12" t="n"/>
      <c r="AK523" s="41">
        <f>IF(AND(W523="X",M523&lt;=$AJ$2),"YES","")</f>
        <v/>
      </c>
      <c r="AL523" s="38">
        <f>IF(AND(W523="X",M523&lt;=$AJ$2),S523,"")</f>
        <v/>
      </c>
      <c r="AM523" s="26">
        <f>IF(AND(W523="X",M523&gt;$AJ$2),"YES","")</f>
        <v/>
      </c>
      <c r="AN523" s="89">
        <f>IF(AND(W523="X",M523&gt;$AJ$2),S523,"")</f>
        <v/>
      </c>
      <c r="AO523" s="35">
        <f>IF(AND(W523="",M523&gt;0,$AJ$2&gt;M523,L523=""),1,0)</f>
        <v/>
      </c>
      <c r="AP523" s="26">
        <f>IF(AND(AK523="YES",W523="X"),"X","")</f>
        <v/>
      </c>
      <c r="AQ523" s="28">
        <f>IF(AP523="X",100%,0%)</f>
        <v/>
      </c>
      <c r="AR523" s="25">
        <f>IF(AND(T523&gt;0,L523=""),H523,"")</f>
        <v/>
      </c>
      <c r="AS523" s="25">
        <f>IF(AND(D523&gt;0,H523=0,G523=""),1,"")</f>
        <v/>
      </c>
      <c r="AT523" s="25">
        <f>IF(G523="BLOQ",1,"")</f>
        <v/>
      </c>
      <c r="AU523" s="25">
        <f>IF(L523="BLOQ",1,"")</f>
        <v/>
      </c>
      <c r="AV523" s="25">
        <f>MONTH(F523)</f>
        <v/>
      </c>
      <c r="AW523" s="65">
        <f>IF(AP523="",100%,0%)</f>
        <v/>
      </c>
      <c r="AX523" s="23" t="n"/>
      <c r="AY523" s="24">
        <f>IF(M523=0,"",M523-$AX$2)</f>
        <v/>
      </c>
      <c r="AZ523" s="66">
        <f>IF(AND(W523="",AY523&gt;0,AY523&lt;15),1,0)</f>
        <v/>
      </c>
      <c r="BA523" s="24">
        <f>IF(AND(W523="",AY523&gt;0,AY523&lt;15),T523,"")</f>
        <v/>
      </c>
      <c r="BB523" s="87">
        <f>IF(R523&lt;Q523,"X","")</f>
        <v/>
      </c>
      <c r="BC523" s="190" t="inlineStr">
        <is>
          <t>NO</t>
        </is>
      </c>
      <c r="BD523" s="190" t="inlineStr">
        <is>
          <t>NO</t>
        </is>
      </c>
    </row>
    <row r="524" ht="15" customHeight="1" s="162">
      <c r="A524" s="7" t="n">
        <v>523</v>
      </c>
      <c r="B524" t="inlineStr"/>
      <c r="C524" t="inlineStr">
        <is>
          <t>INSTALACION SIMULADOR A320</t>
        </is>
      </c>
      <c r="D524" t="inlineStr">
        <is>
          <t>1101880855</t>
        </is>
      </c>
      <c r="E524" t="inlineStr">
        <is>
          <t>1</t>
        </is>
      </c>
      <c r="F524" s="163" t="n">
        <v>45821</v>
      </c>
      <c r="G524" t="inlineStr"/>
      <c r="H524" t="inlineStr">
        <is>
          <t>4300347981</t>
        </is>
      </c>
      <c r="I524" t="inlineStr">
        <is>
          <t>40</t>
        </is>
      </c>
      <c r="J524" s="163" t="n">
        <v>45824</v>
      </c>
      <c r="K524" s="163" t="n">
        <v>45827</v>
      </c>
      <c r="L524" t="inlineStr"/>
      <c r="M524" s="163" t="n">
        <v>45844</v>
      </c>
      <c r="N524" s="164" t="n">
        <v>0</v>
      </c>
      <c r="O524" s="164" t="n">
        <v>0</v>
      </c>
      <c r="P524" t="inlineStr">
        <is>
          <t>Liberado</t>
        </is>
      </c>
      <c r="Q524" s="166" t="n">
        <v>1</v>
      </c>
      <c r="R524" s="164" t="n">
        <v>1</v>
      </c>
      <c r="S524" s="164" t="n">
        <v>0</v>
      </c>
      <c r="T524" s="164" t="n">
        <v>0</v>
      </c>
      <c r="U524" s="166" t="n">
        <v>0</v>
      </c>
      <c r="V524" s="166" t="n">
        <v>0</v>
      </c>
      <c r="W524" t="inlineStr">
        <is>
          <t>X</t>
        </is>
      </c>
      <c r="X524" t="inlineStr">
        <is>
          <t>0.00</t>
        </is>
      </c>
      <c r="Y524" t="inlineStr"/>
      <c r="Z524" t="inlineStr">
        <is>
          <t>ISC Instalaciones y Servicios de</t>
        </is>
      </c>
      <c r="AA524" t="inlineStr"/>
      <c r="AB524" t="inlineStr"/>
      <c r="AC524" t="inlineStr"/>
      <c r="AD524" s="164" t="n">
        <v>0</v>
      </c>
      <c r="AE524" s="185" t="n">
        <v>0</v>
      </c>
      <c r="AG524" s="167" t="inlineStr">
        <is>
          <t>7218|JA2594_1001</t>
        </is>
      </c>
      <c r="AH524" s="46">
        <f>IF(M524=0,"-",M524-J524)</f>
        <v/>
      </c>
      <c r="AI524" s="46">
        <f>IF(AND(S524=0,M524&gt;0,L524=0),IF(AH524&gt;=120,"VERY HIGH",IF(AH524&gt;=90,"HIGH",IF(AH524&gt;=60,"MEDIUM",IF(AH524&lt;60,"LOW")))),"-")</f>
        <v/>
      </c>
      <c r="AJ524" s="12" t="n"/>
      <c r="AK524" s="41">
        <f>IF(AND(W524="X",M524&lt;=$AJ$2),"YES","")</f>
        <v/>
      </c>
      <c r="AL524" s="38">
        <f>IF(AND(W524="X",M524&lt;=$AJ$2),S524,"")</f>
        <v/>
      </c>
      <c r="AM524" s="26">
        <f>IF(AND(W524="X",M524&gt;$AJ$2),"YES","")</f>
        <v/>
      </c>
      <c r="AN524" s="89">
        <f>IF(AND(W524="X",M524&gt;$AJ$2),S524,"")</f>
        <v/>
      </c>
      <c r="AO524" s="35">
        <f>IF(AND(W524="",M524&gt;0,$AJ$2&gt;M524,L524=""),1,0)</f>
        <v/>
      </c>
      <c r="AP524" s="26">
        <f>IF(AND(AK524="YES",W524="X"),"X","")</f>
        <v/>
      </c>
      <c r="AQ524" s="28">
        <f>IF(AP524="X",100%,0%)</f>
        <v/>
      </c>
      <c r="AR524" s="25">
        <f>IF(AND(T524&gt;0,L524=""),H524,"")</f>
        <v/>
      </c>
      <c r="AS524" s="25">
        <f>IF(AND(D524&gt;0,H524=0,G524=""),1,"")</f>
        <v/>
      </c>
      <c r="AT524" s="25">
        <f>IF(G524="BLOQ",1,"")</f>
        <v/>
      </c>
      <c r="AU524" s="25">
        <f>IF(L524="BLOQ",1,"")</f>
        <v/>
      </c>
      <c r="AV524" s="25">
        <f>MONTH(F524)</f>
        <v/>
      </c>
      <c r="AW524" s="65">
        <f>IF(AP524="",100%,0%)</f>
        <v/>
      </c>
      <c r="AX524" s="23" t="n"/>
      <c r="AY524" s="24">
        <f>IF(M524=0,"",M524-$AX$2)</f>
        <v/>
      </c>
      <c r="AZ524" s="66">
        <f>IF(AND(W524="",AY524&gt;0,AY524&lt;15),1,0)</f>
        <v/>
      </c>
      <c r="BA524" s="24">
        <f>IF(AND(W524="",AY524&gt;0,AY524&lt;15),T524,"")</f>
        <v/>
      </c>
      <c r="BB524" s="87">
        <f>IF(R524&lt;Q524,"X","")</f>
        <v/>
      </c>
      <c r="BC524" s="190" t="inlineStr">
        <is>
          <t>NO</t>
        </is>
      </c>
      <c r="BD524" s="190" t="inlineStr">
        <is>
          <t>NO</t>
        </is>
      </c>
    </row>
    <row r="525" ht="15" customHeight="1" s="162">
      <c r="A525" s="7" t="n">
        <v>524</v>
      </c>
      <c r="B525" t="inlineStr">
        <is>
          <t>1359900000500</t>
        </is>
      </c>
      <c r="C525" t="inlineStr">
        <is>
          <t>COMPRA DIRECTA ELECTRICOS/ELECTRONICOS</t>
        </is>
      </c>
      <c r="D525" t="inlineStr">
        <is>
          <t>1101881047</t>
        </is>
      </c>
      <c r="E525" t="inlineStr">
        <is>
          <t>1</t>
        </is>
      </c>
      <c r="F525" s="163" t="n">
        <v>45824</v>
      </c>
      <c r="G525" t="inlineStr"/>
      <c r="H525" t="inlineStr">
        <is>
          <t>4200616463</t>
        </is>
      </c>
      <c r="I525" t="inlineStr">
        <is>
          <t>20</t>
        </is>
      </c>
      <c r="J525" s="163" t="n">
        <v>45827</v>
      </c>
      <c r="K525" s="163" t="n">
        <v>45827</v>
      </c>
      <c r="L525" t="inlineStr"/>
      <c r="M525" s="163" t="n">
        <v>45841</v>
      </c>
      <c r="N525" s="164" t="n">
        <v>30</v>
      </c>
      <c r="O525" s="164" t="n">
        <v>8</v>
      </c>
      <c r="P525" t="inlineStr">
        <is>
          <t>Liberado</t>
        </is>
      </c>
      <c r="Q525" s="165" t="n">
        <v>10</v>
      </c>
      <c r="R525" s="165" t="n">
        <v>10</v>
      </c>
      <c r="S525" s="165" t="n">
        <v>10</v>
      </c>
      <c r="T525" s="165" t="n">
        <v>0</v>
      </c>
      <c r="U525" s="166" t="n">
        <v>0</v>
      </c>
      <c r="V525" s="166" t="n">
        <v>0</v>
      </c>
      <c r="W525" t="inlineStr">
        <is>
          <t>X</t>
        </is>
      </c>
      <c r="X525" t="inlineStr">
        <is>
          <t>0.00</t>
        </is>
      </c>
      <c r="Y525" t="inlineStr"/>
      <c r="Z525" t="inlineStr">
        <is>
          <t>(AEMSA)ALMACENES ELECTRICOS MADRILE</t>
        </is>
      </c>
      <c r="AA525" t="inlineStr">
        <is>
          <t>OTROS FABRICANTES</t>
        </is>
      </c>
      <c r="AB525" t="inlineStr">
        <is>
          <t>1359900000500</t>
        </is>
      </c>
      <c r="AC525" t="inlineStr"/>
      <c r="AD525" s="164" t="n">
        <v>0</v>
      </c>
      <c r="AE525" s="185" t="n">
        <v>0</v>
      </c>
      <c r="AG525" s="167" t="inlineStr">
        <is>
          <t>7218|JA2593_1001</t>
        </is>
      </c>
      <c r="AH525" s="46">
        <f>IF(M525=0,"-",M525-J525)</f>
        <v/>
      </c>
      <c r="AI525" s="46">
        <f>IF(AND(S525=0,M525&gt;0,L525=0),IF(AH525&gt;=120,"VERY HIGH",IF(AH525&gt;=90,"HIGH",IF(AH525&gt;=60,"MEDIUM",IF(AH525&lt;60,"LOW")))),"-")</f>
        <v/>
      </c>
      <c r="AJ525" s="12" t="n"/>
      <c r="AK525" s="41">
        <f>IF(AND(W525="X",M525&lt;=$AJ$2),"YES","")</f>
        <v/>
      </c>
      <c r="AL525" s="38">
        <f>IF(AND(W525="X",M525&lt;=$AJ$2),S525,"")</f>
        <v/>
      </c>
      <c r="AM525" s="26">
        <f>IF(AND(W525="X",M525&gt;$AJ$2),"YES","")</f>
        <v/>
      </c>
      <c r="AN525" s="89">
        <f>IF(AND(W525="X",M525&gt;$AJ$2),S525,"")</f>
        <v/>
      </c>
      <c r="AO525" s="35">
        <f>IF(AND(W525="",M525&gt;0,$AJ$2&gt;M525,L525=""),1,0)</f>
        <v/>
      </c>
      <c r="AP525" s="26">
        <f>IF(AND(AK525="YES",W525="X"),"X","")</f>
        <v/>
      </c>
      <c r="AQ525" s="28">
        <f>IF(AP525="X",100%,0%)</f>
        <v/>
      </c>
      <c r="AR525" s="25">
        <f>IF(AND(T525&gt;0,L525=""),H525,"")</f>
        <v/>
      </c>
      <c r="AS525" s="25">
        <f>IF(AND(D525&gt;0,H525=0,G525=""),1,"")</f>
        <v/>
      </c>
      <c r="AT525" s="25">
        <f>IF(G525="BLOQ",1,"")</f>
        <v/>
      </c>
      <c r="AU525" s="25">
        <f>IF(L525="BLOQ",1,"")</f>
        <v/>
      </c>
      <c r="AV525" s="25">
        <f>MONTH(F525)</f>
        <v/>
      </c>
      <c r="AW525" s="65">
        <f>IF(AP525="",100%,0%)</f>
        <v/>
      </c>
      <c r="AX525" s="23" t="n"/>
      <c r="AY525" s="24">
        <f>IF(M525=0,"",M525-$AX$2)</f>
        <v/>
      </c>
      <c r="AZ525" s="66">
        <f>IF(AND(W525="",AY525&gt;0,AY525&lt;15),1,0)</f>
        <v/>
      </c>
      <c r="BA525" s="24">
        <f>IF(AND(W525="",AY525&gt;0,AY525&lt;15),T525,"")</f>
        <v/>
      </c>
      <c r="BB525" s="87">
        <f>IF(R525&lt;Q525,"X","")</f>
        <v/>
      </c>
      <c r="BC525" s="190" t="inlineStr">
        <is>
          <t>NO</t>
        </is>
      </c>
      <c r="BD525" s="190" t="inlineStr">
        <is>
          <t>NO</t>
        </is>
      </c>
    </row>
    <row r="526" ht="15" customHeight="1" s="162">
      <c r="A526" s="7" t="n">
        <v>525</v>
      </c>
      <c r="B526" t="inlineStr">
        <is>
          <t>55121612</t>
        </is>
      </c>
      <c r="C526" t="inlineStr">
        <is>
          <t>PK100 ETIQ APLI POLIEST A4 BCO 12121</t>
        </is>
      </c>
      <c r="D526" t="inlineStr">
        <is>
          <t>1101881292</t>
        </is>
      </c>
      <c r="E526" t="inlineStr">
        <is>
          <t>1</t>
        </is>
      </c>
      <c r="F526" s="163" t="n">
        <v>45824</v>
      </c>
      <c r="G526" t="inlineStr"/>
      <c r="H526" t="inlineStr">
        <is>
          <t>4800003098</t>
        </is>
      </c>
      <c r="I526" t="inlineStr">
        <is>
          <t>2080</t>
        </is>
      </c>
      <c r="J526" s="163" t="n">
        <v>45810</v>
      </c>
      <c r="K526" s="163" t="inlineStr"/>
      <c r="L526" t="inlineStr"/>
      <c r="M526" s="163" t="n">
        <v>45825</v>
      </c>
      <c r="N526" s="164" t="n">
        <v>0</v>
      </c>
      <c r="O526" s="164" t="n">
        <v>0</v>
      </c>
      <c r="P526" t="inlineStr"/>
      <c r="Q526" s="165" t="n">
        <v>1</v>
      </c>
      <c r="R526" s="165" t="n">
        <v>1</v>
      </c>
      <c r="S526" s="165" t="n">
        <v>1</v>
      </c>
      <c r="T526" s="165" t="n">
        <v>0</v>
      </c>
      <c r="U526" s="166" t="n">
        <v>0</v>
      </c>
      <c r="V526" s="166" t="n">
        <v>0</v>
      </c>
      <c r="W526" t="inlineStr">
        <is>
          <t>X</t>
        </is>
      </c>
      <c r="X526" t="inlineStr">
        <is>
          <t>0.00</t>
        </is>
      </c>
      <c r="Y526" t="inlineStr"/>
      <c r="Z526" t="inlineStr">
        <is>
          <t>FUNDACION JUAN XXIII-RONCALLI DISC.</t>
        </is>
      </c>
      <c r="AA526" t="inlineStr"/>
      <c r="AB526" t="inlineStr">
        <is>
          <t>10208643</t>
        </is>
      </c>
      <c r="AC526" t="inlineStr"/>
      <c r="AD526" s="164" t="n">
        <v>0</v>
      </c>
      <c r="AE526" s="185" t="n">
        <v>0</v>
      </c>
      <c r="AG526" s="167" t="inlineStr">
        <is>
          <t>7218|S24B05_S1075</t>
        </is>
      </c>
      <c r="AH526" s="46">
        <f>IF(M526=0,"-",M526-J526)</f>
        <v/>
      </c>
      <c r="AI526" s="46">
        <f>IF(AND(S526=0,M526&gt;0,L526=0),IF(AH526&gt;=120,"VERY HIGH",IF(AH526&gt;=90,"HIGH",IF(AH526&gt;=60,"MEDIUM",IF(AH526&lt;60,"LOW")))),"-")</f>
        <v/>
      </c>
      <c r="AJ526" s="12" t="n"/>
      <c r="AK526" s="41">
        <f>IF(AND(W526="X",M526&lt;=$AJ$2),"YES","")</f>
        <v/>
      </c>
      <c r="AL526" s="38">
        <f>IF(AND(W526="X",M526&lt;=$AJ$2),S526,"")</f>
        <v/>
      </c>
      <c r="AM526" s="26">
        <f>IF(AND(W526="X",M526&gt;$AJ$2),"YES","")</f>
        <v/>
      </c>
      <c r="AN526" s="89">
        <f>IF(AND(W526="X",M526&gt;$AJ$2),S526,"")</f>
        <v/>
      </c>
      <c r="AO526" s="35">
        <f>IF(AND(W526="",M526&gt;0,$AJ$2&gt;M526,L526=""),1,0)</f>
        <v/>
      </c>
      <c r="AP526" s="26">
        <f>IF(AND(AK526="YES",W526="X"),"X","")</f>
        <v/>
      </c>
      <c r="AQ526" s="28">
        <f>IF(AP526="X",100%,0%)</f>
        <v/>
      </c>
      <c r="AR526" s="25">
        <f>IF(AND(T526&gt;0,L526=""),H526,"")</f>
        <v/>
      </c>
      <c r="AS526" s="25">
        <f>IF(AND(D526&gt;0,H526=0,G526=""),1,"")</f>
        <v/>
      </c>
      <c r="AT526" s="25">
        <f>IF(G526="BLOQ",1,"")</f>
        <v/>
      </c>
      <c r="AU526" s="25">
        <f>IF(L526="BLOQ",1,"")</f>
        <v/>
      </c>
      <c r="AV526" s="25">
        <f>MONTH(F526)</f>
        <v/>
      </c>
      <c r="AW526" s="65">
        <f>IF(AP526="",100%,0%)</f>
        <v/>
      </c>
      <c r="AX526" s="23" t="n"/>
      <c r="AY526" s="24">
        <f>IF(M526=0,"",M526-$AX$2)</f>
        <v/>
      </c>
      <c r="AZ526" s="66">
        <f>IF(AND(W526="",AY526&gt;0,AY526&lt;15),1,0)</f>
        <v/>
      </c>
      <c r="BA526" s="24">
        <f>IF(AND(W526="",AY526&gt;0,AY526&lt;15),T526,"")</f>
        <v/>
      </c>
      <c r="BB526" s="87">
        <f>IF(R526&lt;Q526,"X","")</f>
        <v/>
      </c>
      <c r="BC526" s="190" t="inlineStr">
        <is>
          <t>NO</t>
        </is>
      </c>
      <c r="BD526" s="190" t="inlineStr">
        <is>
          <t>NO</t>
        </is>
      </c>
    </row>
    <row r="527" ht="15" customHeight="1" s="162">
      <c r="A527" s="7" t="n">
        <v>526</v>
      </c>
      <c r="B527" t="inlineStr"/>
      <c r="C527" t="inlineStr">
        <is>
          <t>INSTALACION SIMULADOR A320</t>
        </is>
      </c>
      <c r="D527" t="inlineStr">
        <is>
          <t>1101881742</t>
        </is>
      </c>
      <c r="E527" t="inlineStr">
        <is>
          <t>1</t>
        </is>
      </c>
      <c r="F527" s="163" t="n">
        <v>45825</v>
      </c>
      <c r="G527" t="inlineStr"/>
      <c r="H527" t="inlineStr">
        <is>
          <t>4300348535</t>
        </is>
      </c>
      <c r="I527" t="inlineStr">
        <is>
          <t>30</t>
        </is>
      </c>
      <c r="J527" s="163" t="n">
        <v>45833</v>
      </c>
      <c r="K527" s="163" t="n">
        <v>45839</v>
      </c>
      <c r="L527" t="inlineStr"/>
      <c r="M527" s="163" t="n">
        <v>45869</v>
      </c>
      <c r="N527" s="164" t="n">
        <v>0</v>
      </c>
      <c r="O527" s="164" t="n">
        <v>0</v>
      </c>
      <c r="P527" t="inlineStr">
        <is>
          <t>Liberado</t>
        </is>
      </c>
      <c r="Q527" s="166" t="n">
        <v>1</v>
      </c>
      <c r="R527" s="164" t="n">
        <v>1</v>
      </c>
      <c r="S527" s="164" t="n">
        <v>0</v>
      </c>
      <c r="T527" s="164" t="n">
        <v>0</v>
      </c>
      <c r="U527" s="166" t="n">
        <v>0</v>
      </c>
      <c r="V527" s="166" t="n">
        <v>0</v>
      </c>
      <c r="W527" t="inlineStr"/>
      <c r="X527" t="inlineStr">
        <is>
          <t>0.00</t>
        </is>
      </c>
      <c r="Y527" t="inlineStr"/>
      <c r="Z527" t="inlineStr">
        <is>
          <t>TALLERES SANTIAGO DATO, S.L.U.</t>
        </is>
      </c>
      <c r="AA527" t="inlineStr"/>
      <c r="AB527" t="inlineStr"/>
      <c r="AC527" t="inlineStr"/>
      <c r="AD527" s="164" t="n">
        <v>1</v>
      </c>
      <c r="AE527" s="185" t="n">
        <v>1</v>
      </c>
      <c r="AG527" s="167" t="inlineStr">
        <is>
          <t>7218|JA2594_1001</t>
        </is>
      </c>
      <c r="AH527" s="46">
        <f>IF(M527=0,"-",M527-J527)</f>
        <v/>
      </c>
      <c r="AI527" s="46">
        <f>IF(AND(S527=0,M527&gt;0,L527=0),IF(AH527&gt;=120,"VERY HIGH",IF(AH527&gt;=90,"HIGH",IF(AH527&gt;=60,"MEDIUM",IF(AH527&lt;60,"LOW")))),"-")</f>
        <v/>
      </c>
      <c r="AJ527" s="12" t="n"/>
      <c r="AK527" s="41">
        <f>IF(AND(W527="X",M527&lt;=$AJ$2),"YES","")</f>
        <v/>
      </c>
      <c r="AL527" s="38">
        <f>IF(AND(W527="X",M527&lt;=$AJ$2),S527,"")</f>
        <v/>
      </c>
      <c r="AM527" s="26">
        <f>IF(AND(W527="X",M527&gt;$AJ$2),"YES","")</f>
        <v/>
      </c>
      <c r="AN527" s="89">
        <f>IF(AND(W527="X",M527&gt;$AJ$2),S527,"")</f>
        <v/>
      </c>
      <c r="AO527" s="35">
        <f>IF(AND(W527="",M527&gt;0,$AJ$2&gt;M527,L527=""),1,0)</f>
        <v/>
      </c>
      <c r="AP527" s="26">
        <f>IF(AND(AK527="YES",W527="X"),"X","")</f>
        <v/>
      </c>
      <c r="AQ527" s="28">
        <f>IF(AP527="X",100%,0%)</f>
        <v/>
      </c>
      <c r="AR527" s="25">
        <f>IF(AND(T527&gt;0,L527=""),H527,"")</f>
        <v/>
      </c>
      <c r="AS527" s="25">
        <f>IF(AND(D527&gt;0,H527=0,G527=""),1,"")</f>
        <v/>
      </c>
      <c r="AT527" s="25">
        <f>IF(G527="BLOQ",1,"")</f>
        <v/>
      </c>
      <c r="AU527" s="25">
        <f>IF(L527="BLOQ",1,"")</f>
        <v/>
      </c>
      <c r="AV527" s="25">
        <f>MONTH(F527)</f>
        <v/>
      </c>
      <c r="AW527" s="65">
        <f>IF(AP527="",100%,0%)</f>
        <v/>
      </c>
      <c r="AX527" s="23" t="n"/>
      <c r="AY527" s="24">
        <f>IF(M527=0,"",M527-$AX$2)</f>
        <v/>
      </c>
      <c r="AZ527" s="66">
        <f>IF(AND(W527="",AY527&gt;0,AY527&lt;15),1,0)</f>
        <v/>
      </c>
      <c r="BA527" s="24">
        <f>IF(AND(W527="",AY527&gt;0,AY527&lt;15),T527,"")</f>
        <v/>
      </c>
      <c r="BB527" s="87">
        <f>IF(R527&lt;Q527,"X","")</f>
        <v/>
      </c>
      <c r="BC527" s="190" t="inlineStr">
        <is>
          <t>NO</t>
        </is>
      </c>
      <c r="BD527" s="190" t="inlineStr">
        <is>
          <t>NO</t>
        </is>
      </c>
    </row>
    <row r="528" ht="15" customHeight="1" s="162">
      <c r="A528" s="7" t="n">
        <v>527</v>
      </c>
      <c r="B528" t="inlineStr">
        <is>
          <t>31163100</t>
        </is>
      </c>
      <c r="C528" t="inlineStr">
        <is>
          <t>Conector IEC C14 macho Bulgin, Recto, Mo</t>
        </is>
      </c>
      <c r="D528" t="inlineStr">
        <is>
          <t>1101881962</t>
        </is>
      </c>
      <c r="E528" t="inlineStr">
        <is>
          <t>1</t>
        </is>
      </c>
      <c r="F528" s="163" t="n">
        <v>45825</v>
      </c>
      <c r="G528" t="inlineStr"/>
      <c r="H528" t="inlineStr">
        <is>
          <t>4800003131</t>
        </is>
      </c>
      <c r="I528" t="inlineStr">
        <is>
          <t>60</t>
        </is>
      </c>
      <c r="J528" s="163" t="n">
        <v>45825</v>
      </c>
      <c r="K528" s="163" t="inlineStr"/>
      <c r="L528" t="inlineStr"/>
      <c r="M528" s="163" t="n">
        <v>45826</v>
      </c>
      <c r="N528" s="164" t="n">
        <v>0</v>
      </c>
      <c r="O528" s="164" t="n">
        <v>0</v>
      </c>
      <c r="P528" t="inlineStr"/>
      <c r="Q528" s="165" t="n">
        <v>1</v>
      </c>
      <c r="R528" s="165" t="n">
        <v>1</v>
      </c>
      <c r="S528" s="165" t="n">
        <v>1</v>
      </c>
      <c r="T528" s="165" t="n">
        <v>0</v>
      </c>
      <c r="U528" s="166" t="n">
        <v>0</v>
      </c>
      <c r="V528" s="166" t="n">
        <v>0</v>
      </c>
      <c r="W528" t="inlineStr">
        <is>
          <t>X</t>
        </is>
      </c>
      <c r="X528" t="inlineStr">
        <is>
          <t>0.00</t>
        </is>
      </c>
      <c r="Y528" t="inlineStr"/>
      <c r="Z528" t="inlineStr">
        <is>
          <t>AMIDATA, S.A.</t>
        </is>
      </c>
      <c r="AA528" t="inlineStr"/>
      <c r="AB528" t="inlineStr">
        <is>
          <t>0195912</t>
        </is>
      </c>
      <c r="AC528" t="inlineStr"/>
      <c r="AD528" s="164" t="n">
        <v>0</v>
      </c>
      <c r="AE528" s="185" t="n">
        <v>0</v>
      </c>
      <c r="AG528" s="167" t="inlineStr">
        <is>
          <t>7218|JA2582_1001</t>
        </is>
      </c>
      <c r="AH528" s="46">
        <f>IF(M528=0,"-",M528-J528)</f>
        <v/>
      </c>
      <c r="AI528" s="46">
        <f>IF(AND(S528=0,M528&gt;0,L528=0),IF(AH528&gt;=120,"VERY HIGH",IF(AH528&gt;=90,"HIGH",IF(AH528&gt;=60,"MEDIUM",IF(AH528&lt;60,"LOW")))),"-")</f>
        <v/>
      </c>
      <c r="AJ528" s="12" t="n"/>
      <c r="AK528" s="41">
        <f>IF(AND(W528="X",M528&lt;=$AJ$2),"YES","")</f>
        <v/>
      </c>
      <c r="AL528" s="38">
        <f>IF(AND(W528="X",M528&lt;=$AJ$2),S528,"")</f>
        <v/>
      </c>
      <c r="AM528" s="26">
        <f>IF(AND(W528="X",M528&gt;$AJ$2),"YES","")</f>
        <v/>
      </c>
      <c r="AN528" s="89">
        <f>IF(AND(W528="X",M528&gt;$AJ$2),S528,"")</f>
        <v/>
      </c>
      <c r="AO528" s="35">
        <f>IF(AND(W528="",M528&gt;0,$AJ$2&gt;M528,L528=""),1,0)</f>
        <v/>
      </c>
      <c r="AP528" s="26">
        <f>IF(AND(AK528="YES",W528="X"),"X","")</f>
        <v/>
      </c>
      <c r="AQ528" s="28">
        <f>IF(AP528="X",100%,0%)</f>
        <v/>
      </c>
      <c r="AR528" s="25">
        <f>IF(AND(T528&gt;0,L528=""),H528,"")</f>
        <v/>
      </c>
      <c r="AS528" s="25">
        <f>IF(AND(D528&gt;0,H528=0,G528=""),1,"")</f>
        <v/>
      </c>
      <c r="AT528" s="25">
        <f>IF(G528="BLOQ",1,"")</f>
        <v/>
      </c>
      <c r="AU528" s="25">
        <f>IF(L528="BLOQ",1,"")</f>
        <v/>
      </c>
      <c r="AV528" s="25">
        <f>MONTH(F528)</f>
        <v/>
      </c>
      <c r="AW528" s="65">
        <f>IF(AP528="",100%,0%)</f>
        <v/>
      </c>
      <c r="AX528" s="23" t="n"/>
      <c r="AY528" s="24">
        <f>IF(M528=0,"",M528-$AX$2)</f>
        <v/>
      </c>
      <c r="AZ528" s="66">
        <f>IF(AND(W528="",AY528&gt;0,AY528&lt;15),1,0)</f>
        <v/>
      </c>
      <c r="BA528" s="24">
        <f>IF(AND(W528="",AY528&gt;0,AY528&lt;15),T528,"")</f>
        <v/>
      </c>
      <c r="BB528" s="87">
        <f>IF(R528&lt;Q528,"X","")</f>
        <v/>
      </c>
      <c r="BC528" s="190" t="inlineStr">
        <is>
          <t>NO</t>
        </is>
      </c>
      <c r="BD528" s="190" t="inlineStr">
        <is>
          <t>NO</t>
        </is>
      </c>
    </row>
    <row r="529" ht="15" customHeight="1" s="162">
      <c r="A529" s="7" t="n">
        <v>528</v>
      </c>
      <c r="B529" t="inlineStr">
        <is>
          <t>39121332</t>
        </is>
      </c>
      <c r="C529" t="inlineStr">
        <is>
          <t>Caja de conexi&amp;#243;n HENSEL KF 0606 B,</t>
        </is>
      </c>
      <c r="D529" t="inlineStr">
        <is>
          <t>1101881962</t>
        </is>
      </c>
      <c r="E529" t="inlineStr">
        <is>
          <t>2</t>
        </is>
      </c>
      <c r="F529" s="163" t="n">
        <v>45825</v>
      </c>
      <c r="G529" t="inlineStr"/>
      <c r="H529" t="inlineStr">
        <is>
          <t>4800003131</t>
        </is>
      </c>
      <c r="I529" t="inlineStr">
        <is>
          <t>70</t>
        </is>
      </c>
      <c r="J529" s="163" t="n">
        <v>45825</v>
      </c>
      <c r="K529" s="163" t="inlineStr"/>
      <c r="L529" t="inlineStr"/>
      <c r="M529" s="163" t="n">
        <v>45826</v>
      </c>
      <c r="N529" s="164" t="n">
        <v>0</v>
      </c>
      <c r="O529" s="164" t="n">
        <v>0</v>
      </c>
      <c r="P529" t="inlineStr"/>
      <c r="Q529" s="165" t="n">
        <v>1</v>
      </c>
      <c r="R529" s="165" t="n">
        <v>1</v>
      </c>
      <c r="S529" s="165" t="n">
        <v>1</v>
      </c>
      <c r="T529" s="165" t="n">
        <v>0</v>
      </c>
      <c r="U529" s="166" t="n">
        <v>0</v>
      </c>
      <c r="V529" s="166" t="n">
        <v>0</v>
      </c>
      <c r="W529" t="inlineStr">
        <is>
          <t>X</t>
        </is>
      </c>
      <c r="X529" t="inlineStr">
        <is>
          <t>0.00</t>
        </is>
      </c>
      <c r="Y529" t="inlineStr"/>
      <c r="Z529" t="inlineStr">
        <is>
          <t>AMIDATA, S.A.</t>
        </is>
      </c>
      <c r="AA529" t="inlineStr"/>
      <c r="AB529" t="inlineStr">
        <is>
          <t>2765466</t>
        </is>
      </c>
      <c r="AC529" t="inlineStr"/>
      <c r="AD529" s="164" t="n">
        <v>0</v>
      </c>
      <c r="AE529" s="185" t="n">
        <v>0</v>
      </c>
      <c r="AG529" s="167" t="inlineStr">
        <is>
          <t>7218|JA2582_1001</t>
        </is>
      </c>
      <c r="AH529" s="46">
        <f>IF(M529=0,"-",M529-J529)</f>
        <v/>
      </c>
      <c r="AI529" s="46">
        <f>IF(AND(S529=0,M529&gt;0,L529=0),IF(AH529&gt;=120,"VERY HIGH",IF(AH529&gt;=90,"HIGH",IF(AH529&gt;=60,"MEDIUM",IF(AH529&lt;60,"LOW")))),"-")</f>
        <v/>
      </c>
      <c r="AJ529" s="12" t="n"/>
      <c r="AK529" s="41">
        <f>IF(AND(W529="X",M529&lt;=$AJ$2),"YES","")</f>
        <v/>
      </c>
      <c r="AL529" s="38">
        <f>IF(AND(W529="X",M529&lt;=$AJ$2),S529,"")</f>
        <v/>
      </c>
      <c r="AM529" s="26">
        <f>IF(AND(W529="X",M529&gt;$AJ$2),"YES","")</f>
        <v/>
      </c>
      <c r="AN529" s="89">
        <f>IF(AND(W529="X",M529&gt;$AJ$2),S529,"")</f>
        <v/>
      </c>
      <c r="AO529" s="35">
        <f>IF(AND(W529="",M529&gt;0,$AJ$2&gt;M529,L529=""),1,0)</f>
        <v/>
      </c>
      <c r="AP529" s="26">
        <f>IF(AND(AK529="YES",W529="X"),"X","")</f>
        <v/>
      </c>
      <c r="AQ529" s="28">
        <f>IF(AP529="X",100%,0%)</f>
        <v/>
      </c>
      <c r="AR529" s="25">
        <f>IF(AND(T529&gt;0,L529=""),H529,"")</f>
        <v/>
      </c>
      <c r="AS529" s="25">
        <f>IF(AND(D529&gt;0,H529=0,G529=""),1,"")</f>
        <v/>
      </c>
      <c r="AT529" s="25">
        <f>IF(G529="BLOQ",1,"")</f>
        <v/>
      </c>
      <c r="AU529" s="25">
        <f>IF(L529="BLOQ",1,"")</f>
        <v/>
      </c>
      <c r="AV529" s="25">
        <f>MONTH(F529)</f>
        <v/>
      </c>
      <c r="AW529" s="65">
        <f>IF(AP529="",100%,0%)</f>
        <v/>
      </c>
      <c r="AX529" s="23" t="n"/>
      <c r="AY529" s="24">
        <f>IF(M529=0,"",M529-$AX$2)</f>
        <v/>
      </c>
      <c r="AZ529" s="66">
        <f>IF(AND(W529="",AY529&gt;0,AY529&lt;15),1,0)</f>
        <v/>
      </c>
      <c r="BA529" s="24">
        <f>IF(AND(W529="",AY529&gt;0,AY529&lt;15),T529,"")</f>
        <v/>
      </c>
      <c r="BB529" s="87">
        <f>IF(R529&lt;Q529,"X","")</f>
        <v/>
      </c>
      <c r="BC529" s="190" t="inlineStr">
        <is>
          <t>NO</t>
        </is>
      </c>
      <c r="BD529" s="190" t="inlineStr">
        <is>
          <t>NO</t>
        </is>
      </c>
    </row>
    <row r="530" ht="15" customHeight="1" s="162">
      <c r="A530" s="7" t="n">
        <v>529</v>
      </c>
      <c r="B530" t="inlineStr">
        <is>
          <t>32000000</t>
        </is>
      </c>
      <c r="C530" t="inlineStr">
        <is>
          <t>Prensaestopas HENSEL ASS de Poliamida Ne</t>
        </is>
      </c>
      <c r="D530" t="inlineStr">
        <is>
          <t>1101881962</t>
        </is>
      </c>
      <c r="E530" t="inlineStr">
        <is>
          <t>3</t>
        </is>
      </c>
      <c r="F530" s="163" t="n">
        <v>45825</v>
      </c>
      <c r="G530" t="inlineStr"/>
      <c r="H530" t="inlineStr">
        <is>
          <t>4800003131</t>
        </is>
      </c>
      <c r="I530" t="inlineStr">
        <is>
          <t>80</t>
        </is>
      </c>
      <c r="J530" s="163" t="n">
        <v>45825</v>
      </c>
      <c r="K530" s="163" t="inlineStr"/>
      <c r="L530" t="inlineStr"/>
      <c r="M530" s="163" t="n">
        <v>45826</v>
      </c>
      <c r="N530" s="164" t="n">
        <v>0</v>
      </c>
      <c r="O530" s="164" t="n">
        <v>0</v>
      </c>
      <c r="P530" t="inlineStr"/>
      <c r="Q530" s="165" t="n">
        <v>2</v>
      </c>
      <c r="R530" s="165" t="n">
        <v>2</v>
      </c>
      <c r="S530" s="165" t="n">
        <v>2</v>
      </c>
      <c r="T530" s="165" t="n">
        <v>0</v>
      </c>
      <c r="U530" s="166" t="n">
        <v>0</v>
      </c>
      <c r="V530" s="166" t="n">
        <v>0</v>
      </c>
      <c r="W530" t="inlineStr">
        <is>
          <t>X</t>
        </is>
      </c>
      <c r="X530" t="inlineStr">
        <is>
          <t>0.00</t>
        </is>
      </c>
      <c r="Y530" t="inlineStr"/>
      <c r="Z530" t="inlineStr">
        <is>
          <t>AMIDATA, S.A.</t>
        </is>
      </c>
      <c r="AA530" t="inlineStr"/>
      <c r="AB530" t="inlineStr">
        <is>
          <t>0117545</t>
        </is>
      </c>
      <c r="AC530" t="inlineStr"/>
      <c r="AD530" s="164" t="n">
        <v>0</v>
      </c>
      <c r="AE530" s="185" t="n">
        <v>0</v>
      </c>
      <c r="AG530" s="167" t="inlineStr">
        <is>
          <t>7218|JA2582_1001</t>
        </is>
      </c>
      <c r="AH530" s="46">
        <f>IF(M530=0,"-",M530-J530)</f>
        <v/>
      </c>
      <c r="AI530" s="46">
        <f>IF(AND(S530=0,M530&gt;0,L530=0),IF(AH530&gt;=120,"VERY HIGH",IF(AH530&gt;=90,"HIGH",IF(AH530&gt;=60,"MEDIUM",IF(AH530&lt;60,"LOW")))),"-")</f>
        <v/>
      </c>
      <c r="AJ530" s="12" t="n"/>
      <c r="AK530" s="41">
        <f>IF(AND(W530="X",M530&lt;=$AJ$2),"YES","")</f>
        <v/>
      </c>
      <c r="AL530" s="38">
        <f>IF(AND(W530="X",M530&lt;=$AJ$2),S530,"")</f>
        <v/>
      </c>
      <c r="AM530" s="26">
        <f>IF(AND(W530="X",M530&gt;$AJ$2),"YES","")</f>
        <v/>
      </c>
      <c r="AN530" s="89">
        <f>IF(AND(W530="X",M530&gt;$AJ$2),S530,"")</f>
        <v/>
      </c>
      <c r="AO530" s="35">
        <f>IF(AND(W530="",M530&gt;0,$AJ$2&gt;M530,L530=""),1,0)</f>
        <v/>
      </c>
      <c r="AP530" s="26">
        <f>IF(AND(AK530="YES",W530="X"),"X","")</f>
        <v/>
      </c>
      <c r="AQ530" s="28">
        <f>IF(AP530="X",100%,0%)</f>
        <v/>
      </c>
      <c r="AR530" s="25">
        <f>IF(AND(T530&gt;0,L530=""),H530,"")</f>
        <v/>
      </c>
      <c r="AS530" s="25">
        <f>IF(AND(D530&gt;0,H530=0,G530=""),1,"")</f>
        <v/>
      </c>
      <c r="AT530" s="25">
        <f>IF(G530="BLOQ",1,"")</f>
        <v/>
      </c>
      <c r="AU530" s="25">
        <f>IF(L530="BLOQ",1,"")</f>
        <v/>
      </c>
      <c r="AV530" s="25">
        <f>MONTH(F530)</f>
        <v/>
      </c>
      <c r="AW530" s="65">
        <f>IF(AP530="",100%,0%)</f>
        <v/>
      </c>
      <c r="AX530" s="23" t="n"/>
      <c r="AY530" s="24">
        <f>IF(M530=0,"",M530-$AX$2)</f>
        <v/>
      </c>
      <c r="AZ530" s="66">
        <f>IF(AND(W530="",AY530&gt;0,AY530&lt;15),1,0)</f>
        <v/>
      </c>
      <c r="BA530" s="24">
        <f>IF(AND(W530="",AY530&gt;0,AY530&lt;15),T530,"")</f>
        <v/>
      </c>
      <c r="BB530" s="87">
        <f>IF(R530&lt;Q530,"X","")</f>
        <v/>
      </c>
      <c r="BC530" s="190" t="inlineStr">
        <is>
          <t>NO</t>
        </is>
      </c>
      <c r="BD530" s="190" t="inlineStr">
        <is>
          <t>NO</t>
        </is>
      </c>
    </row>
    <row r="531" ht="15" customHeight="1" s="162">
      <c r="A531" s="7" t="n">
        <v>530</v>
      </c>
      <c r="B531" t="inlineStr">
        <is>
          <t>39131705</t>
        </is>
      </c>
      <c r="C531" t="inlineStr">
        <is>
          <t>Canalizaci&amp;#243;n de cables miniatura Le</t>
        </is>
      </c>
      <c r="D531" t="inlineStr">
        <is>
          <t>1101882393</t>
        </is>
      </c>
      <c r="E531" t="inlineStr">
        <is>
          <t>1</t>
        </is>
      </c>
      <c r="F531" s="163" t="n">
        <v>45826</v>
      </c>
      <c r="G531" t="inlineStr"/>
      <c r="H531" t="inlineStr">
        <is>
          <t>4800003136</t>
        </is>
      </c>
      <c r="I531" t="inlineStr">
        <is>
          <t>210</t>
        </is>
      </c>
      <c r="J531" s="163" t="n">
        <v>45826</v>
      </c>
      <c r="K531" s="163" t="inlineStr"/>
      <c r="L531" t="inlineStr"/>
      <c r="M531" s="163" t="n">
        <v>45827</v>
      </c>
      <c r="N531" s="164" t="n">
        <v>0</v>
      </c>
      <c r="O531" s="164" t="n">
        <v>0</v>
      </c>
      <c r="P531" t="inlineStr"/>
      <c r="Q531" s="165" t="n">
        <v>5</v>
      </c>
      <c r="R531" s="165" t="n">
        <v>5</v>
      </c>
      <c r="S531" s="165" t="n">
        <v>5</v>
      </c>
      <c r="T531" s="165" t="n">
        <v>0</v>
      </c>
      <c r="U531" s="166" t="n">
        <v>0</v>
      </c>
      <c r="V531" s="166" t="n">
        <v>0</v>
      </c>
      <c r="W531" t="inlineStr">
        <is>
          <t>X</t>
        </is>
      </c>
      <c r="X531" t="inlineStr">
        <is>
          <t>0.00</t>
        </is>
      </c>
      <c r="Y531" t="inlineStr"/>
      <c r="Z531" t="inlineStr">
        <is>
          <t>AMIDATA, S.A.</t>
        </is>
      </c>
      <c r="AA531" t="inlineStr"/>
      <c r="AB531" t="inlineStr">
        <is>
          <t>1613039</t>
        </is>
      </c>
      <c r="AC531" t="inlineStr"/>
      <c r="AD531" s="164" t="n">
        <v>0</v>
      </c>
      <c r="AE531" s="185" t="n">
        <v>0</v>
      </c>
      <c r="AG531" s="167" t="inlineStr">
        <is>
          <t>7218|JA2582_1001</t>
        </is>
      </c>
      <c r="AH531" s="46">
        <f>IF(M531=0,"-",M531-J531)</f>
        <v/>
      </c>
      <c r="AI531" s="46">
        <f>IF(AND(S531=0,M531&gt;0,L531=0),IF(AH531&gt;=120,"VERY HIGH",IF(AH531&gt;=90,"HIGH",IF(AH531&gt;=60,"MEDIUM",IF(AH531&lt;60,"LOW")))),"-")</f>
        <v/>
      </c>
      <c r="AJ531" s="12" t="n"/>
      <c r="AK531" s="41">
        <f>IF(AND(W531="X",M531&lt;=$AJ$2),"YES","")</f>
        <v/>
      </c>
      <c r="AL531" s="38">
        <f>IF(AND(W531="X",M531&lt;=$AJ$2),S531,"")</f>
        <v/>
      </c>
      <c r="AM531" s="26">
        <f>IF(AND(W531="X",M531&gt;$AJ$2),"YES","")</f>
        <v/>
      </c>
      <c r="AN531" s="89">
        <f>IF(AND(W531="X",M531&gt;$AJ$2),S531,"")</f>
        <v/>
      </c>
      <c r="AO531" s="35">
        <f>IF(AND(W531="",M531&gt;0,$AJ$2&gt;M531,L531=""),1,0)</f>
        <v/>
      </c>
      <c r="AP531" s="26">
        <f>IF(AND(AK531="YES",W531="X"),"X","")</f>
        <v/>
      </c>
      <c r="AQ531" s="28">
        <f>IF(AP531="X",100%,0%)</f>
        <v/>
      </c>
      <c r="AR531" s="25">
        <f>IF(AND(T531&gt;0,L531=""),H531,"")</f>
        <v/>
      </c>
      <c r="AS531" s="25">
        <f>IF(AND(D531&gt;0,H531=0,G531=""),1,"")</f>
        <v/>
      </c>
      <c r="AT531" s="25">
        <f>IF(G531="BLOQ",1,"")</f>
        <v/>
      </c>
      <c r="AU531" s="25">
        <f>IF(L531="BLOQ",1,"")</f>
        <v/>
      </c>
      <c r="AV531" s="25">
        <f>MONTH(F531)</f>
        <v/>
      </c>
      <c r="AW531" s="65">
        <f>IF(AP531="",100%,0%)</f>
        <v/>
      </c>
      <c r="AX531" s="23" t="n"/>
      <c r="AY531" s="24">
        <f>IF(M531=0,"",M531-$AX$2)</f>
        <v/>
      </c>
      <c r="AZ531" s="66">
        <f>IF(AND(W531="",AY531&gt;0,AY531&lt;15),1,0)</f>
        <v/>
      </c>
      <c r="BA531" s="24">
        <f>IF(AND(W531="",AY531&gt;0,AY531&lt;15),T531,"")</f>
        <v/>
      </c>
      <c r="BB531" s="87">
        <f>IF(R531&lt;Q531,"X","")</f>
        <v/>
      </c>
      <c r="BC531" s="190" t="inlineStr">
        <is>
          <t>NO</t>
        </is>
      </c>
      <c r="BD531" s="190" t="inlineStr">
        <is>
          <t>NO</t>
        </is>
      </c>
    </row>
    <row r="532" ht="15" customHeight="1" s="162">
      <c r="A532" s="7" t="n">
        <v>531</v>
      </c>
      <c r="B532" t="inlineStr">
        <is>
          <t>1709800000500</t>
        </is>
      </c>
      <c r="C532" t="inlineStr">
        <is>
          <t>COMPRA DIRECTA FERRETERIA Y HERRAMIENTAS</t>
        </is>
      </c>
      <c r="D532" t="inlineStr">
        <is>
          <t>1101882729</t>
        </is>
      </c>
      <c r="E532" t="inlineStr">
        <is>
          <t>1</t>
        </is>
      </c>
      <c r="F532" s="163" t="n">
        <v>45827</v>
      </c>
      <c r="G532" t="inlineStr"/>
      <c r="H532" t="inlineStr">
        <is>
          <t>4200617180</t>
        </is>
      </c>
      <c r="I532" t="inlineStr">
        <is>
          <t>20</t>
        </is>
      </c>
      <c r="J532" s="163" t="n">
        <v>45833</v>
      </c>
      <c r="K532" s="163" t="n">
        <v>45834</v>
      </c>
      <c r="L532" t="inlineStr"/>
      <c r="M532" s="163" t="n">
        <v>45847</v>
      </c>
      <c r="N532" s="164" t="n">
        <v>30</v>
      </c>
      <c r="O532" s="164" t="n">
        <v>8</v>
      </c>
      <c r="P532" t="inlineStr">
        <is>
          <t>Liberado</t>
        </is>
      </c>
      <c r="Q532" s="165" t="n">
        <v>2</v>
      </c>
      <c r="R532" s="165" t="n">
        <v>2</v>
      </c>
      <c r="S532" s="165" t="n">
        <v>2</v>
      </c>
      <c r="T532" s="165" t="n">
        <v>0</v>
      </c>
      <c r="U532" s="166" t="n">
        <v>0</v>
      </c>
      <c r="V532" s="166" t="n">
        <v>0</v>
      </c>
      <c r="W532" t="inlineStr">
        <is>
          <t>X</t>
        </is>
      </c>
      <c r="X532" t="inlineStr">
        <is>
          <t>0.00</t>
        </is>
      </c>
      <c r="Y532" t="inlineStr"/>
      <c r="Z532" t="inlineStr">
        <is>
          <t>ABACO SUYTEC, S.A.U.</t>
        </is>
      </c>
      <c r="AA532" t="inlineStr">
        <is>
          <t>OTROS FABRICANTES</t>
        </is>
      </c>
      <c r="AB532" t="inlineStr">
        <is>
          <t>1709800000500</t>
        </is>
      </c>
      <c r="AC532" t="inlineStr"/>
      <c r="AD532" s="164" t="n">
        <v>0</v>
      </c>
      <c r="AE532" s="185" t="n">
        <v>0</v>
      </c>
      <c r="AG532" s="167" t="inlineStr">
        <is>
          <t>7218|JA2594_1001</t>
        </is>
      </c>
      <c r="AH532" s="46">
        <f>IF(M532=0,"-",M532-J532)</f>
        <v/>
      </c>
      <c r="AI532" s="46">
        <f>IF(AND(S532=0,M532&gt;0,L532=0),IF(AH532&gt;=120,"VERY HIGH",IF(AH532&gt;=90,"HIGH",IF(AH532&gt;=60,"MEDIUM",IF(AH532&lt;60,"LOW")))),"-")</f>
        <v/>
      </c>
      <c r="AJ532" s="12" t="n"/>
      <c r="AK532" s="41">
        <f>IF(AND(W532="X",M532&lt;=$AJ$2),"YES","")</f>
        <v/>
      </c>
      <c r="AL532" s="38">
        <f>IF(AND(W532="X",M532&lt;=$AJ$2),S532,"")</f>
        <v/>
      </c>
      <c r="AM532" s="26">
        <f>IF(AND(W532="X",M532&gt;$AJ$2),"YES","")</f>
        <v/>
      </c>
      <c r="AN532" s="89">
        <f>IF(AND(W532="X",M532&gt;$AJ$2),S532,"")</f>
        <v/>
      </c>
      <c r="AO532" s="35">
        <f>IF(AND(W532="",M532&gt;0,$AJ$2&gt;M532,L532=""),1,0)</f>
        <v/>
      </c>
      <c r="AP532" s="26">
        <f>IF(AND(AK532="YES",W532="X"),"X","")</f>
        <v/>
      </c>
      <c r="AQ532" s="28">
        <f>IF(AP532="X",100%,0%)</f>
        <v/>
      </c>
      <c r="AR532" s="25">
        <f>IF(AND(T532&gt;0,L532=""),H532,"")</f>
        <v/>
      </c>
      <c r="AS532" s="25">
        <f>IF(AND(D532&gt;0,H532=0,G532=""),1,"")</f>
        <v/>
      </c>
      <c r="AT532" s="25">
        <f>IF(G532="BLOQ",1,"")</f>
        <v/>
      </c>
      <c r="AU532" s="25">
        <f>IF(L532="BLOQ",1,"")</f>
        <v/>
      </c>
      <c r="AV532" s="25">
        <f>MONTH(F532)</f>
        <v/>
      </c>
      <c r="AW532" s="65">
        <f>IF(AP532="",100%,0%)</f>
        <v/>
      </c>
      <c r="AX532" s="23" t="n"/>
      <c r="AY532" s="24">
        <f>IF(M532=0,"",M532-$AX$2)</f>
        <v/>
      </c>
      <c r="AZ532" s="66">
        <f>IF(AND(W532="",AY532&gt;0,AY532&lt;15),1,0)</f>
        <v/>
      </c>
      <c r="BA532" s="24">
        <f>IF(AND(W532="",AY532&gt;0,AY532&lt;15),T532,"")</f>
        <v/>
      </c>
      <c r="BB532" s="87">
        <f>IF(R532&lt;Q532,"X","")</f>
        <v/>
      </c>
      <c r="BC532" s="190" t="inlineStr">
        <is>
          <t>NO</t>
        </is>
      </c>
      <c r="BD532" s="190" t="inlineStr">
        <is>
          <t>NO</t>
        </is>
      </c>
    </row>
    <row r="533" ht="15" customHeight="1" s="162">
      <c r="A533" s="7" t="n">
        <v>532</v>
      </c>
      <c r="B533" t="inlineStr">
        <is>
          <t>32000000</t>
        </is>
      </c>
      <c r="C533" t="inlineStr">
        <is>
          <t>Kits de pasamuros NEMIQ de Caucho Negro,</t>
        </is>
      </c>
      <c r="D533" t="inlineStr">
        <is>
          <t>1101883901</t>
        </is>
      </c>
      <c r="E533" t="inlineStr">
        <is>
          <t>1</t>
        </is>
      </c>
      <c r="F533" s="163" t="n">
        <v>45831</v>
      </c>
      <c r="G533" t="inlineStr"/>
      <c r="H533" t="inlineStr">
        <is>
          <t>4800003138</t>
        </is>
      </c>
      <c r="I533" t="inlineStr">
        <is>
          <t>810</t>
        </is>
      </c>
      <c r="J533" s="163" t="n">
        <v>45827</v>
      </c>
      <c r="K533" s="163" t="inlineStr"/>
      <c r="L533" t="inlineStr"/>
      <c r="M533" s="163" t="n">
        <v>45832</v>
      </c>
      <c r="N533" s="164" t="n">
        <v>0</v>
      </c>
      <c r="O533" s="164" t="n">
        <v>0</v>
      </c>
      <c r="P533" t="inlineStr"/>
      <c r="Q533" s="165" t="n">
        <v>1</v>
      </c>
      <c r="R533" s="165" t="n">
        <v>1</v>
      </c>
      <c r="S533" s="165" t="n">
        <v>1</v>
      </c>
      <c r="T533" s="165" t="n">
        <v>0</v>
      </c>
      <c r="U533" s="166" t="n">
        <v>0</v>
      </c>
      <c r="V533" s="166" t="n">
        <v>0</v>
      </c>
      <c r="W533" t="inlineStr">
        <is>
          <t>X</t>
        </is>
      </c>
      <c r="X533" t="inlineStr">
        <is>
          <t>0.00</t>
        </is>
      </c>
      <c r="Y533" t="inlineStr"/>
      <c r="Z533" t="inlineStr">
        <is>
          <t>AMIDATA, S.A.</t>
        </is>
      </c>
      <c r="AA533" t="inlineStr"/>
      <c r="AB533" t="inlineStr">
        <is>
          <t>2884369</t>
        </is>
      </c>
      <c r="AC533" t="inlineStr"/>
      <c r="AD533" s="164" t="n">
        <v>0</v>
      </c>
      <c r="AE533" s="185" t="n">
        <v>0</v>
      </c>
      <c r="AG533" s="167" t="inlineStr">
        <is>
          <t>7218|JA2582_1001</t>
        </is>
      </c>
      <c r="AH533" s="46">
        <f>IF(M533=0,"-",M533-J533)</f>
        <v/>
      </c>
      <c r="AI533" s="46">
        <f>IF(AND(S533=0,M533&gt;0,L533=0),IF(AH533&gt;=120,"VERY HIGH",IF(AH533&gt;=90,"HIGH",IF(AH533&gt;=60,"MEDIUM",IF(AH533&lt;60,"LOW")))),"-")</f>
        <v/>
      </c>
      <c r="AJ533" s="12" t="n"/>
      <c r="AK533" s="41">
        <f>IF(AND(W533="X",M533&lt;=$AJ$2),"YES","")</f>
        <v/>
      </c>
      <c r="AL533" s="38">
        <f>IF(AND(W533="X",M533&lt;=$AJ$2),S533,"")</f>
        <v/>
      </c>
      <c r="AM533" s="26">
        <f>IF(AND(W533="X",M533&gt;$AJ$2),"YES","")</f>
        <v/>
      </c>
      <c r="AN533" s="89">
        <f>IF(AND(W533="X",M533&gt;$AJ$2),S533,"")</f>
        <v/>
      </c>
      <c r="AO533" s="35">
        <f>IF(AND(W533="",M533&gt;0,$AJ$2&gt;M533,L533=""),1,0)</f>
        <v/>
      </c>
      <c r="AP533" s="26">
        <f>IF(AND(AK533="YES",W533="X"),"X","")</f>
        <v/>
      </c>
      <c r="AQ533" s="28">
        <f>IF(AP533="X",100%,0%)</f>
        <v/>
      </c>
      <c r="AR533" s="25">
        <f>IF(AND(T533&gt;0,L533=""),H533,"")</f>
        <v/>
      </c>
      <c r="AS533" s="25">
        <f>IF(AND(D533&gt;0,H533=0,G533=""),1,"")</f>
        <v/>
      </c>
      <c r="AT533" s="25">
        <f>IF(G533="BLOQ",1,"")</f>
        <v/>
      </c>
      <c r="AU533" s="25">
        <f>IF(L533="BLOQ",1,"")</f>
        <v/>
      </c>
      <c r="AV533" s="25">
        <f>MONTH(F533)</f>
        <v/>
      </c>
      <c r="AW533" s="65">
        <f>IF(AP533="",100%,0%)</f>
        <v/>
      </c>
      <c r="AX533" s="23" t="n"/>
      <c r="AY533" s="24">
        <f>IF(M533=0,"",M533-$AX$2)</f>
        <v/>
      </c>
      <c r="AZ533" s="66">
        <f>IF(AND(W533="",AY533&gt;0,AY533&lt;15),1,0)</f>
        <v/>
      </c>
      <c r="BA533" s="24">
        <f>IF(AND(W533="",AY533&gt;0,AY533&lt;15),T533,"")</f>
        <v/>
      </c>
      <c r="BB533" s="87">
        <f>IF(R533&lt;Q533,"X","")</f>
        <v/>
      </c>
      <c r="BC533" s="190" t="inlineStr">
        <is>
          <t>NO</t>
        </is>
      </c>
      <c r="BD533" s="190" t="inlineStr">
        <is>
          <t>NO</t>
        </is>
      </c>
    </row>
    <row r="534" ht="15" customHeight="1" s="162">
      <c r="A534" s="7" t="n">
        <v>533</v>
      </c>
      <c r="B534" t="inlineStr">
        <is>
          <t>31162401</t>
        </is>
      </c>
      <c r="C534" t="inlineStr">
        <is>
          <t>Pasamuro SES Sterling DH de Policloropre</t>
        </is>
      </c>
      <c r="D534" t="inlineStr">
        <is>
          <t>1101883901</t>
        </is>
      </c>
      <c r="E534" t="inlineStr">
        <is>
          <t>2</t>
        </is>
      </c>
      <c r="F534" s="163" t="n">
        <v>45831</v>
      </c>
      <c r="G534" t="inlineStr"/>
      <c r="H534" t="inlineStr">
        <is>
          <t>4800003138</t>
        </is>
      </c>
      <c r="I534" t="inlineStr">
        <is>
          <t>820</t>
        </is>
      </c>
      <c r="J534" s="163" t="n">
        <v>45827</v>
      </c>
      <c r="K534" s="163" t="inlineStr"/>
      <c r="L534" t="inlineStr"/>
      <c r="M534" s="163" t="n">
        <v>45832</v>
      </c>
      <c r="N534" s="164" t="n">
        <v>0</v>
      </c>
      <c r="O534" s="164" t="n">
        <v>0</v>
      </c>
      <c r="P534" t="inlineStr"/>
      <c r="Q534" s="165" t="n">
        <v>1</v>
      </c>
      <c r="R534" s="165" t="n">
        <v>1</v>
      </c>
      <c r="S534" s="165" t="n">
        <v>1</v>
      </c>
      <c r="T534" s="165" t="n">
        <v>0</v>
      </c>
      <c r="U534" s="166" t="n">
        <v>0</v>
      </c>
      <c r="V534" s="166" t="n">
        <v>0</v>
      </c>
      <c r="W534" t="inlineStr">
        <is>
          <t>X</t>
        </is>
      </c>
      <c r="X534" t="inlineStr">
        <is>
          <t>0.00</t>
        </is>
      </c>
      <c r="Y534" t="inlineStr"/>
      <c r="Z534" t="inlineStr">
        <is>
          <t>AMIDATA, S.A.</t>
        </is>
      </c>
      <c r="AA534" t="inlineStr"/>
      <c r="AB534" t="inlineStr">
        <is>
          <t>1366294</t>
        </is>
      </c>
      <c r="AC534" t="inlineStr"/>
      <c r="AD534" s="164" t="n">
        <v>0</v>
      </c>
      <c r="AE534" s="185" t="n">
        <v>0</v>
      </c>
      <c r="AG534" s="167" t="inlineStr">
        <is>
          <t>7218|JA2582_1001</t>
        </is>
      </c>
      <c r="AH534" s="46">
        <f>IF(M534=0,"-",M534-J534)</f>
        <v/>
      </c>
      <c r="AI534" s="46">
        <f>IF(AND(S534=0,M534&gt;0,L534=0),IF(AH534&gt;=120,"VERY HIGH",IF(AH534&gt;=90,"HIGH",IF(AH534&gt;=60,"MEDIUM",IF(AH534&lt;60,"LOW")))),"-")</f>
        <v/>
      </c>
      <c r="AJ534" s="12" t="n"/>
      <c r="AK534" s="41">
        <f>IF(AND(W534="X",M534&lt;=$AJ$2),"YES","")</f>
        <v/>
      </c>
      <c r="AL534" s="38">
        <f>IF(AND(W534="X",M534&lt;=$AJ$2),S534,"")</f>
        <v/>
      </c>
      <c r="AM534" s="26">
        <f>IF(AND(W534="X",M534&gt;$AJ$2),"YES","")</f>
        <v/>
      </c>
      <c r="AN534" s="89">
        <f>IF(AND(W534="X",M534&gt;$AJ$2),S534,"")</f>
        <v/>
      </c>
      <c r="AO534" s="35">
        <f>IF(AND(W534="",M534&gt;0,$AJ$2&gt;M534,L534=""),1,0)</f>
        <v/>
      </c>
      <c r="AP534" s="26">
        <f>IF(AND(AK534="YES",W534="X"),"X","")</f>
        <v/>
      </c>
      <c r="AQ534" s="28">
        <f>IF(AP534="X",100%,0%)</f>
        <v/>
      </c>
      <c r="AR534" s="25">
        <f>IF(AND(T534&gt;0,L534=""),H534,"")</f>
        <v/>
      </c>
      <c r="AS534" s="25">
        <f>IF(AND(D534&gt;0,H534=0,G534=""),1,"")</f>
        <v/>
      </c>
      <c r="AT534" s="25">
        <f>IF(G534="BLOQ",1,"")</f>
        <v/>
      </c>
      <c r="AU534" s="25">
        <f>IF(L534="BLOQ",1,"")</f>
        <v/>
      </c>
      <c r="AV534" s="25">
        <f>MONTH(F534)</f>
        <v/>
      </c>
      <c r="AW534" s="65">
        <f>IF(AP534="",100%,0%)</f>
        <v/>
      </c>
      <c r="AX534" s="23" t="n"/>
      <c r="AY534" s="24">
        <f>IF(M534=0,"",M534-$AX$2)</f>
        <v/>
      </c>
      <c r="AZ534" s="66">
        <f>IF(AND(W534="",AY534&gt;0,AY534&lt;15),1,0)</f>
        <v/>
      </c>
      <c r="BA534" s="24">
        <f>IF(AND(W534="",AY534&gt;0,AY534&lt;15),T534,"")</f>
        <v/>
      </c>
      <c r="BB534" s="87">
        <f>IF(R534&lt;Q534,"X","")</f>
        <v/>
      </c>
      <c r="BC534" s="190" t="inlineStr">
        <is>
          <t>NO</t>
        </is>
      </c>
      <c r="BD534" s="190" t="inlineStr">
        <is>
          <t>NO</t>
        </is>
      </c>
    </row>
    <row r="535" ht="15" customHeight="1" s="162">
      <c r="A535" s="7" t="n">
        <v>534</v>
      </c>
      <c r="B535" t="inlineStr">
        <is>
          <t>39122325</t>
        </is>
      </c>
      <c r="C535" t="inlineStr">
        <is>
          <t>Rel&amp;#233; de potencia sin enclavamiento</t>
        </is>
      </c>
      <c r="D535" t="inlineStr">
        <is>
          <t>1101884220</t>
        </is>
      </c>
      <c r="E535" t="inlineStr">
        <is>
          <t>1</t>
        </is>
      </c>
      <c r="F535" s="163" t="n">
        <v>45832</v>
      </c>
      <c r="G535" t="inlineStr"/>
      <c r="H535" t="inlineStr">
        <is>
          <t>4800003141</t>
        </is>
      </c>
      <c r="I535" t="inlineStr">
        <is>
          <t>320</t>
        </is>
      </c>
      <c r="J535" s="163" t="n">
        <v>45832</v>
      </c>
      <c r="K535" s="163" t="inlineStr"/>
      <c r="L535" t="inlineStr"/>
      <c r="M535" s="163" t="n">
        <v>45833</v>
      </c>
      <c r="N535" s="164" t="n">
        <v>0</v>
      </c>
      <c r="O535" s="164" t="n">
        <v>0</v>
      </c>
      <c r="P535" t="inlineStr"/>
      <c r="Q535" s="165" t="n">
        <v>19</v>
      </c>
      <c r="R535" s="165" t="n">
        <v>19</v>
      </c>
      <c r="S535" s="165" t="n">
        <v>19</v>
      </c>
      <c r="T535" s="165" t="n">
        <v>0</v>
      </c>
      <c r="U535" s="166" t="n">
        <v>0</v>
      </c>
      <c r="V535" s="166" t="n">
        <v>0</v>
      </c>
      <c r="W535" t="inlineStr">
        <is>
          <t>X</t>
        </is>
      </c>
      <c r="X535" t="inlineStr">
        <is>
          <t>0.00</t>
        </is>
      </c>
      <c r="Y535" t="inlineStr"/>
      <c r="Z535" t="inlineStr">
        <is>
          <t>AMIDATA, S.A.</t>
        </is>
      </c>
      <c r="AA535" t="inlineStr"/>
      <c r="AB535" t="inlineStr">
        <is>
          <t>0154526</t>
        </is>
      </c>
      <c r="AC535" t="inlineStr"/>
      <c r="AD535" s="164" t="n">
        <v>0</v>
      </c>
      <c r="AE535" s="185" t="n">
        <v>0</v>
      </c>
      <c r="AG535" s="167" t="inlineStr">
        <is>
          <t>7218|JA2582_1001</t>
        </is>
      </c>
      <c r="AH535" s="46">
        <f>IF(M535=0,"-",M535-J535)</f>
        <v/>
      </c>
      <c r="AI535" s="46">
        <f>IF(AND(S535=0,M535&gt;0,L535=0),IF(AH535&gt;=120,"VERY HIGH",IF(AH535&gt;=90,"HIGH",IF(AH535&gt;=60,"MEDIUM",IF(AH535&lt;60,"LOW")))),"-")</f>
        <v/>
      </c>
      <c r="AJ535" s="12" t="n"/>
      <c r="AK535" s="41">
        <f>IF(AND(W535="X",M535&lt;=$AJ$2),"YES","")</f>
        <v/>
      </c>
      <c r="AL535" s="38">
        <f>IF(AND(W535="X",M535&lt;=$AJ$2),S535,"")</f>
        <v/>
      </c>
      <c r="AM535" s="26">
        <f>IF(AND(W535="X",M535&gt;$AJ$2),"YES","")</f>
        <v/>
      </c>
      <c r="AN535" s="89">
        <f>IF(AND(W535="X",M535&gt;$AJ$2),S535,"")</f>
        <v/>
      </c>
      <c r="AO535" s="35">
        <f>IF(AND(W535="",M535&gt;0,$AJ$2&gt;M535,L535=""),1,0)</f>
        <v/>
      </c>
      <c r="AP535" s="26">
        <f>IF(AND(AK535="YES",W535="X"),"X","")</f>
        <v/>
      </c>
      <c r="AQ535" s="28">
        <f>IF(AP535="X",100%,0%)</f>
        <v/>
      </c>
      <c r="AR535" s="25">
        <f>IF(AND(T535&gt;0,L535=""),H535,"")</f>
        <v/>
      </c>
      <c r="AS535" s="25">
        <f>IF(AND(D535&gt;0,H535=0,G535=""),1,"")</f>
        <v/>
      </c>
      <c r="AT535" s="25">
        <f>IF(G535="BLOQ",1,"")</f>
        <v/>
      </c>
      <c r="AU535" s="25">
        <f>IF(L535="BLOQ",1,"")</f>
        <v/>
      </c>
      <c r="AV535" s="25">
        <f>MONTH(F535)</f>
        <v/>
      </c>
      <c r="AW535" s="65">
        <f>IF(AP535="",100%,0%)</f>
        <v/>
      </c>
      <c r="AX535" s="23" t="n"/>
      <c r="AY535" s="24">
        <f>IF(M535=0,"",M535-$AX$2)</f>
        <v/>
      </c>
      <c r="AZ535" s="66">
        <f>IF(AND(W535="",AY535&gt;0,AY535&lt;15),1,0)</f>
        <v/>
      </c>
      <c r="BA535" s="24">
        <f>IF(AND(W535="",AY535&gt;0,AY535&lt;15),T535,"")</f>
        <v/>
      </c>
      <c r="BB535" s="87">
        <f>IF(R535&lt;Q535,"X","")</f>
        <v/>
      </c>
      <c r="BC535" s="190" t="inlineStr">
        <is>
          <t>NO</t>
        </is>
      </c>
      <c r="BD535" s="190" t="inlineStr">
        <is>
          <t>NO</t>
        </is>
      </c>
    </row>
    <row r="536" ht="15" customHeight="1" s="162">
      <c r="A536" s="7" t="n">
        <v>535</v>
      </c>
      <c r="B536" t="inlineStr">
        <is>
          <t>41111905</t>
        </is>
      </c>
      <c r="C536" t="inlineStr">
        <is>
          <t>Juego de cables de prueba RS PRO, CAT II</t>
        </is>
      </c>
      <c r="D536" t="inlineStr">
        <is>
          <t>1101884352</t>
        </is>
      </c>
      <c r="E536" t="inlineStr">
        <is>
          <t>1</t>
        </is>
      </c>
      <c r="F536" s="163" t="n">
        <v>45833</v>
      </c>
      <c r="G536" t="inlineStr"/>
      <c r="H536" t="inlineStr">
        <is>
          <t>4800003141</t>
        </is>
      </c>
      <c r="I536" t="inlineStr">
        <is>
          <t>390</t>
        </is>
      </c>
      <c r="J536" s="163" t="n">
        <v>45832</v>
      </c>
      <c r="K536" s="163" t="inlineStr"/>
      <c r="L536" t="inlineStr"/>
      <c r="M536" s="163" t="n">
        <v>45834</v>
      </c>
      <c r="N536" s="164" t="n">
        <v>0</v>
      </c>
      <c r="O536" s="164" t="n">
        <v>0</v>
      </c>
      <c r="P536" t="inlineStr"/>
      <c r="Q536" s="165" t="n">
        <v>2</v>
      </c>
      <c r="R536" s="165" t="n">
        <v>2</v>
      </c>
      <c r="S536" s="165" t="n">
        <v>2</v>
      </c>
      <c r="T536" s="165" t="n">
        <v>0</v>
      </c>
      <c r="U536" s="166" t="n">
        <v>0</v>
      </c>
      <c r="V536" s="166" t="n">
        <v>0</v>
      </c>
      <c r="W536" t="inlineStr">
        <is>
          <t>X</t>
        </is>
      </c>
      <c r="X536" t="inlineStr">
        <is>
          <t>0.00</t>
        </is>
      </c>
      <c r="Y536" t="inlineStr"/>
      <c r="Z536" t="inlineStr">
        <is>
          <t>AMIDATA, S.A.</t>
        </is>
      </c>
      <c r="AA536" t="inlineStr"/>
      <c r="AB536" t="inlineStr">
        <is>
          <t>2432998</t>
        </is>
      </c>
      <c r="AC536" t="inlineStr"/>
      <c r="AD536" s="164" t="n">
        <v>0</v>
      </c>
      <c r="AE536" s="185" t="n">
        <v>0</v>
      </c>
      <c r="AG536" s="167" t="inlineStr">
        <is>
          <t>7218|S24B05_S1074</t>
        </is>
      </c>
      <c r="AH536" s="46">
        <f>IF(M536=0,"-",M536-J536)</f>
        <v/>
      </c>
      <c r="AI536" s="46">
        <f>IF(AND(S536=0,M536&gt;0,L536=0),IF(AH536&gt;=120,"VERY HIGH",IF(AH536&gt;=90,"HIGH",IF(AH536&gt;=60,"MEDIUM",IF(AH536&lt;60,"LOW")))),"-")</f>
        <v/>
      </c>
      <c r="AJ536" s="12" t="n"/>
      <c r="AK536" s="41">
        <f>IF(AND(W536="X",M536&lt;=$AJ$2),"YES","")</f>
        <v/>
      </c>
      <c r="AL536" s="38">
        <f>IF(AND(W536="X",M536&lt;=$AJ$2),S536,"")</f>
        <v/>
      </c>
      <c r="AM536" s="26">
        <f>IF(AND(W536="X",M536&gt;$AJ$2),"YES","")</f>
        <v/>
      </c>
      <c r="AN536" s="89">
        <f>IF(AND(W536="X",M536&gt;$AJ$2),S536,"")</f>
        <v/>
      </c>
      <c r="AO536" s="35">
        <f>IF(AND(W536="",M536&gt;0,$AJ$2&gt;M536,L536=""),1,0)</f>
        <v/>
      </c>
      <c r="AP536" s="26">
        <f>IF(AND(AK536="YES",W536="X"),"X","")</f>
        <v/>
      </c>
      <c r="AQ536" s="28">
        <f>IF(AP536="X",100%,0%)</f>
        <v/>
      </c>
      <c r="AR536" s="25">
        <f>IF(AND(T536&gt;0,L536=""),H536,"")</f>
        <v/>
      </c>
      <c r="AS536" s="25">
        <f>IF(AND(D536&gt;0,H536=0,G536=""),1,"")</f>
        <v/>
      </c>
      <c r="AT536" s="25">
        <f>IF(G536="BLOQ",1,"")</f>
        <v/>
      </c>
      <c r="AU536" s="25">
        <f>IF(L536="BLOQ",1,"")</f>
        <v/>
      </c>
      <c r="AV536" s="25">
        <f>MONTH(F536)</f>
        <v/>
      </c>
      <c r="AW536" s="65">
        <f>IF(AP536="",100%,0%)</f>
        <v/>
      </c>
      <c r="AX536" s="23" t="n"/>
      <c r="AY536" s="24">
        <f>IF(M536=0,"",M536-$AX$2)</f>
        <v/>
      </c>
      <c r="AZ536" s="66">
        <f>IF(AND(W536="",AY536&gt;0,AY536&lt;15),1,0)</f>
        <v/>
      </c>
      <c r="BA536" s="24">
        <f>IF(AND(W536="",AY536&gt;0,AY536&lt;15),T536,"")</f>
        <v/>
      </c>
      <c r="BB536" s="87">
        <f>IF(R536&lt;Q536,"X","")</f>
        <v/>
      </c>
      <c r="BC536" s="190" t="inlineStr">
        <is>
          <t>NO</t>
        </is>
      </c>
      <c r="BD536" s="190" t="inlineStr">
        <is>
          <t>NO</t>
        </is>
      </c>
    </row>
    <row r="537" ht="15" customHeight="1" s="162">
      <c r="A537" s="7" t="n">
        <v>536</v>
      </c>
      <c r="B537" t="inlineStr">
        <is>
          <t>39121413</t>
        </is>
      </c>
      <c r="C537" t="inlineStr">
        <is>
          <t>Conector circular Amphenol Limited Conec</t>
        </is>
      </c>
      <c r="D537" t="inlineStr">
        <is>
          <t>1101884977</t>
        </is>
      </c>
      <c r="E537" t="inlineStr">
        <is>
          <t>1</t>
        </is>
      </c>
      <c r="F537" s="163" t="n">
        <v>45834</v>
      </c>
      <c r="G537" t="inlineStr"/>
      <c r="H537" t="inlineStr">
        <is>
          <t>4800003141</t>
        </is>
      </c>
      <c r="I537" t="inlineStr">
        <is>
          <t>850</t>
        </is>
      </c>
      <c r="J537" s="163" t="n">
        <v>45832</v>
      </c>
      <c r="K537" s="163" t="inlineStr"/>
      <c r="L537" t="inlineStr"/>
      <c r="M537" s="163" t="n">
        <v>45835</v>
      </c>
      <c r="N537" s="164" t="n">
        <v>0</v>
      </c>
      <c r="O537" s="164" t="n">
        <v>0</v>
      </c>
      <c r="P537" t="inlineStr"/>
      <c r="Q537" s="165" t="n">
        <v>1</v>
      </c>
      <c r="R537" s="165" t="n">
        <v>1</v>
      </c>
      <c r="S537" s="165" t="n">
        <v>1</v>
      </c>
      <c r="T537" s="165" t="n">
        <v>0</v>
      </c>
      <c r="U537" s="166" t="n">
        <v>0</v>
      </c>
      <c r="V537" s="166" t="n">
        <v>0</v>
      </c>
      <c r="W537" t="inlineStr">
        <is>
          <t>X</t>
        </is>
      </c>
      <c r="X537" t="inlineStr">
        <is>
          <t>0.00</t>
        </is>
      </c>
      <c r="Y537" t="inlineStr"/>
      <c r="Z537" t="inlineStr">
        <is>
          <t>AMIDATA, S.A.</t>
        </is>
      </c>
      <c r="AA537" t="inlineStr"/>
      <c r="AB537" t="inlineStr">
        <is>
          <t>2368155</t>
        </is>
      </c>
      <c r="AC537" t="inlineStr"/>
      <c r="AD537" s="164" t="n">
        <v>0</v>
      </c>
      <c r="AE537" s="185" t="n">
        <v>0</v>
      </c>
      <c r="AG537" s="167" t="inlineStr">
        <is>
          <t>7218|S24B05_S1074</t>
        </is>
      </c>
      <c r="AH537" s="46">
        <f>IF(M537=0,"-",M537-J537)</f>
        <v/>
      </c>
      <c r="AI537" s="46">
        <f>IF(AND(S537=0,M537&gt;0,L537=0),IF(AH537&gt;=120,"VERY HIGH",IF(AH537&gt;=90,"HIGH",IF(AH537&gt;=60,"MEDIUM",IF(AH537&lt;60,"LOW")))),"-")</f>
        <v/>
      </c>
      <c r="AJ537" s="12" t="n"/>
      <c r="AK537" s="41">
        <f>IF(AND(W537="X",M537&lt;=$AJ$2),"YES","")</f>
        <v/>
      </c>
      <c r="AL537" s="38">
        <f>IF(AND(W537="X",M537&lt;=$AJ$2),S537,"")</f>
        <v/>
      </c>
      <c r="AM537" s="26">
        <f>IF(AND(W537="X",M537&gt;$AJ$2),"YES","")</f>
        <v/>
      </c>
      <c r="AN537" s="89">
        <f>IF(AND(W537="X",M537&gt;$AJ$2),S537,"")</f>
        <v/>
      </c>
      <c r="AO537" s="35">
        <f>IF(AND(W537="",M537&gt;0,$AJ$2&gt;M537,L537=""),1,0)</f>
        <v/>
      </c>
      <c r="AP537" s="26">
        <f>IF(AND(AK537="YES",W537="X"),"X","")</f>
        <v/>
      </c>
      <c r="AQ537" s="28">
        <f>IF(AP537="X",100%,0%)</f>
        <v/>
      </c>
      <c r="AR537" s="25">
        <f>IF(AND(T537&gt;0,L537=""),H537,"")</f>
        <v/>
      </c>
      <c r="AS537" s="25">
        <f>IF(AND(D537&gt;0,H537=0,G537=""),1,"")</f>
        <v/>
      </c>
      <c r="AT537" s="25">
        <f>IF(G537="BLOQ",1,"")</f>
        <v/>
      </c>
      <c r="AU537" s="25">
        <f>IF(L537="BLOQ",1,"")</f>
        <v/>
      </c>
      <c r="AV537" s="25">
        <f>MONTH(F537)</f>
        <v/>
      </c>
      <c r="AW537" s="65">
        <f>IF(AP537="",100%,0%)</f>
        <v/>
      </c>
      <c r="AX537" s="23" t="n"/>
      <c r="AY537" s="24">
        <f>IF(M537=0,"",M537-$AX$2)</f>
        <v/>
      </c>
      <c r="AZ537" s="66">
        <f>IF(AND(W537="",AY537&gt;0,AY537&lt;15),1,0)</f>
        <v/>
      </c>
      <c r="BA537" s="24">
        <f>IF(AND(W537="",AY537&gt;0,AY537&lt;15),T537,"")</f>
        <v/>
      </c>
      <c r="BB537" s="87">
        <f>IF(R537&lt;Q537,"X","")</f>
        <v/>
      </c>
      <c r="BC537" s="190" t="inlineStr">
        <is>
          <t>NO</t>
        </is>
      </c>
      <c r="BD537" s="190" t="inlineStr">
        <is>
          <t>NO</t>
        </is>
      </c>
    </row>
    <row r="538" ht="15" customHeight="1" s="162">
      <c r="A538" s="7" t="n">
        <v>537</v>
      </c>
      <c r="B538" t="inlineStr"/>
      <c r="C538" t="inlineStr">
        <is>
          <t>INSTAL. CONDUCTOS PINGÜINO SF.03</t>
        </is>
      </c>
      <c r="D538" t="inlineStr">
        <is>
          <t>1101885147</t>
        </is>
      </c>
      <c r="E538" t="inlineStr">
        <is>
          <t>1</t>
        </is>
      </c>
      <c r="F538" s="163" t="n">
        <v>45834</v>
      </c>
      <c r="G538" t="inlineStr"/>
      <c r="H538" t="inlineStr">
        <is>
          <t>4300349565</t>
        </is>
      </c>
      <c r="I538" t="inlineStr">
        <is>
          <t>10</t>
        </is>
      </c>
      <c r="J538" s="163" t="n">
        <v>45849</v>
      </c>
      <c r="K538" s="163" t="n">
        <v>45852</v>
      </c>
      <c r="L538" t="inlineStr"/>
      <c r="M538" s="163" t="n">
        <v>45961</v>
      </c>
      <c r="N538" s="164" t="n">
        <v>0</v>
      </c>
      <c r="O538" s="164" t="n">
        <v>0</v>
      </c>
      <c r="P538" t="inlineStr">
        <is>
          <t>Liberado</t>
        </is>
      </c>
      <c r="Q538" s="166" t="n">
        <v>1</v>
      </c>
      <c r="R538" s="164" t="n">
        <v>1</v>
      </c>
      <c r="S538" s="164" t="n">
        <v>0</v>
      </c>
      <c r="T538" s="164" t="n">
        <v>0</v>
      </c>
      <c r="U538" s="166" t="n">
        <v>0</v>
      </c>
      <c r="V538" s="166" t="n">
        <v>0</v>
      </c>
      <c r="W538" t="inlineStr"/>
      <c r="X538" t="inlineStr">
        <is>
          <t>0.00</t>
        </is>
      </c>
      <c r="Y538" t="inlineStr"/>
      <c r="Z538" t="inlineStr">
        <is>
          <t>VEOLIA SERVICIOS LECAM, S.A.U.</t>
        </is>
      </c>
      <c r="AA538" t="inlineStr"/>
      <c r="AB538" t="inlineStr"/>
      <c r="AC538" t="inlineStr"/>
      <c r="AD538" s="164" t="n">
        <v>0</v>
      </c>
      <c r="AE538" s="185" t="n">
        <v>0</v>
      </c>
      <c r="AG538" s="167" t="inlineStr">
        <is>
          <t>7218|S24B05_S1075</t>
        </is>
      </c>
      <c r="AH538" s="46">
        <f>IF(M538=0,"-",M538-J538)</f>
        <v/>
      </c>
      <c r="AI538" s="46">
        <f>IF(AND(S538=0,M538&gt;0,L538=0),IF(AH538&gt;=120,"VERY HIGH",IF(AH538&gt;=90,"HIGH",IF(AH538&gt;=60,"MEDIUM",IF(AH538&lt;60,"LOW")))),"-")</f>
        <v/>
      </c>
      <c r="AJ538" s="12" t="n"/>
      <c r="AK538" s="41">
        <f>IF(AND(W538="X",M538&lt;=$AJ$2),"YES","")</f>
        <v/>
      </c>
      <c r="AL538" s="38">
        <f>IF(AND(W538="X",M538&lt;=$AJ$2),S538,"")</f>
        <v/>
      </c>
      <c r="AM538" s="26">
        <f>IF(AND(W538="X",M538&gt;$AJ$2),"YES","")</f>
        <v/>
      </c>
      <c r="AN538" s="89">
        <f>IF(AND(W538="X",M538&gt;$AJ$2),S538,"")</f>
        <v/>
      </c>
      <c r="AO538" s="35">
        <f>IF(AND(W538="",M538&gt;0,$AJ$2&gt;M538,L538=""),1,0)</f>
        <v/>
      </c>
      <c r="AP538" s="26">
        <f>IF(AND(AK538="YES",W538="X"),"X","")</f>
        <v/>
      </c>
      <c r="AQ538" s="28">
        <f>IF(AP538="X",100%,0%)</f>
        <v/>
      </c>
      <c r="AR538" s="25">
        <f>IF(AND(T538&gt;0,L538=""),H538,"")</f>
        <v/>
      </c>
      <c r="AS538" s="25">
        <f>IF(AND(D538&gt;0,H538=0,G538=""),1,"")</f>
        <v/>
      </c>
      <c r="AT538" s="25">
        <f>IF(G538="BLOQ",1,"")</f>
        <v/>
      </c>
      <c r="AU538" s="25">
        <f>IF(L538="BLOQ",1,"")</f>
        <v/>
      </c>
      <c r="AV538" s="25">
        <f>MONTH(F538)</f>
        <v/>
      </c>
      <c r="AW538" s="65">
        <f>IF(AP538="",100%,0%)</f>
        <v/>
      </c>
      <c r="AX538" s="23" t="n"/>
      <c r="AY538" s="24">
        <f>IF(M538=0,"",M538-$AX$2)</f>
        <v/>
      </c>
      <c r="AZ538" s="66">
        <f>IF(AND(W538="",AY538&gt;0,AY538&lt;15),1,0)</f>
        <v/>
      </c>
      <c r="BA538" s="24">
        <f>IF(AND(W538="",AY538&gt;0,AY538&lt;15),T538,"")</f>
        <v/>
      </c>
      <c r="BB538" s="87">
        <f>IF(R538&lt;Q538,"X","")</f>
        <v/>
      </c>
      <c r="BC538" s="190" t="inlineStr">
        <is>
          <t>NO</t>
        </is>
      </c>
      <c r="BD538" s="190" t="inlineStr">
        <is>
          <t>NO</t>
        </is>
      </c>
    </row>
    <row r="539" ht="15" customHeight="1" s="162">
      <c r="A539" s="7" t="n">
        <v>538</v>
      </c>
      <c r="B539" t="inlineStr">
        <is>
          <t>3230100640000</t>
        </is>
      </c>
      <c r="C539" t="inlineStr">
        <is>
          <t>SOFTWARE MICROSOFT</t>
        </is>
      </c>
      <c r="D539" t="inlineStr">
        <is>
          <t>1101885873</t>
        </is>
      </c>
      <c r="E539" t="inlineStr">
        <is>
          <t>1</t>
        </is>
      </c>
      <c r="F539" s="163" t="n">
        <v>45838</v>
      </c>
      <c r="G539" t="inlineStr"/>
      <c r="H539" t="inlineStr">
        <is>
          <t>4200618716</t>
        </is>
      </c>
      <c r="I539" t="inlineStr">
        <is>
          <t>10</t>
        </is>
      </c>
      <c r="J539" s="163" t="n">
        <v>45846</v>
      </c>
      <c r="K539" s="163" t="n">
        <v>45846</v>
      </c>
      <c r="L539" t="inlineStr"/>
      <c r="M539" s="163" t="n">
        <v>45953</v>
      </c>
      <c r="N539" s="164" t="n">
        <v>140</v>
      </c>
      <c r="O539" s="164" t="n">
        <v>8</v>
      </c>
      <c r="P539" t="inlineStr">
        <is>
          <t>Liberado</t>
        </is>
      </c>
      <c r="Q539" s="165" t="n">
        <v>1</v>
      </c>
      <c r="R539" s="165" t="n">
        <v>1</v>
      </c>
      <c r="S539" s="165" t="n">
        <v>1</v>
      </c>
      <c r="T539" s="165" t="n">
        <v>0</v>
      </c>
      <c r="U539" s="166" t="n">
        <v>0</v>
      </c>
      <c r="V539" s="166" t="n">
        <v>0</v>
      </c>
      <c r="W539" t="inlineStr">
        <is>
          <t>X</t>
        </is>
      </c>
      <c r="X539" t="inlineStr">
        <is>
          <t>0.00</t>
        </is>
      </c>
      <c r="Y539" t="inlineStr"/>
      <c r="Z539" t="inlineStr">
        <is>
          <t>INGRAM MICRO, S.L.U.</t>
        </is>
      </c>
      <c r="AA539" t="inlineStr">
        <is>
          <t>MICROSOFT</t>
        </is>
      </c>
      <c r="AB539" t="inlineStr">
        <is>
          <t>LICENCIA OEM</t>
        </is>
      </c>
      <c r="AC539" t="inlineStr"/>
      <c r="AD539" s="164" t="n">
        <v>1</v>
      </c>
      <c r="AE539" s="185" t="n">
        <v>1</v>
      </c>
      <c r="AG539" s="167" t="inlineStr">
        <is>
          <t>7218|JA2583_1001</t>
        </is>
      </c>
      <c r="AH539" s="46">
        <f>IF(M539=0,"-",M539-J539)</f>
        <v/>
      </c>
      <c r="AI539" s="46">
        <f>IF(AND(S539=0,M539&gt;0,L539=0),IF(AH539&gt;=120,"VERY HIGH",IF(AH539&gt;=90,"HIGH",IF(AH539&gt;=60,"MEDIUM",IF(AH539&lt;60,"LOW")))),"-")</f>
        <v/>
      </c>
      <c r="AJ539" s="12" t="n"/>
      <c r="AK539" s="41">
        <f>IF(AND(W539="X",M539&lt;=$AJ$2),"YES","")</f>
        <v/>
      </c>
      <c r="AL539" s="38">
        <f>IF(AND(W539="X",M539&lt;=$AJ$2),S539,"")</f>
        <v/>
      </c>
      <c r="AM539" s="26">
        <f>IF(AND(W539="X",M539&gt;$AJ$2),"YES","")</f>
        <v/>
      </c>
      <c r="AN539" s="89">
        <f>IF(AND(W539="X",M539&gt;$AJ$2),S539,"")</f>
        <v/>
      </c>
      <c r="AO539" s="35">
        <f>IF(AND(W539="",M539&gt;0,$AJ$2&gt;M539,L539=""),1,0)</f>
        <v/>
      </c>
      <c r="AP539" s="26">
        <f>IF(AND(AK539="YES",W539="X"),"X","")</f>
        <v/>
      </c>
      <c r="AQ539" s="28">
        <f>IF(AP539="X",100%,0%)</f>
        <v/>
      </c>
      <c r="AR539" s="25">
        <f>IF(AND(T539&gt;0,L539=""),H539,"")</f>
        <v/>
      </c>
      <c r="AS539" s="25">
        <f>IF(AND(D539&gt;0,H539=0,G539=""),1,"")</f>
        <v/>
      </c>
      <c r="AT539" s="25">
        <f>IF(G539="BLOQ",1,"")</f>
        <v/>
      </c>
      <c r="AU539" s="25">
        <f>IF(L539="BLOQ",1,"")</f>
        <v/>
      </c>
      <c r="AV539" s="25">
        <f>MONTH(F539)</f>
        <v/>
      </c>
      <c r="AW539" s="65">
        <f>IF(AP539="",100%,0%)</f>
        <v/>
      </c>
      <c r="AX539" s="23" t="n"/>
      <c r="AY539" s="24">
        <f>IF(M539=0,"",M539-$AX$2)</f>
        <v/>
      </c>
      <c r="AZ539" s="66">
        <f>IF(AND(W539="",AY539&gt;0,AY539&lt;15),1,0)</f>
        <v/>
      </c>
      <c r="BA539" s="24">
        <f>IF(AND(W539="",AY539&gt;0,AY539&lt;15),T539,"")</f>
        <v/>
      </c>
      <c r="BB539" s="87">
        <f>IF(R539&lt;Q539,"X","")</f>
        <v/>
      </c>
      <c r="BC539" s="190" t="inlineStr">
        <is>
          <t>NO</t>
        </is>
      </c>
      <c r="BD539" s="191" t="inlineStr">
        <is>
          <t>SI</t>
        </is>
      </c>
    </row>
    <row r="540" ht="15" customHeight="1" s="162">
      <c r="A540" s="7" t="n">
        <v>539</v>
      </c>
      <c r="B540" t="inlineStr">
        <is>
          <t>9999000981312</t>
        </is>
      </c>
      <c r="C540" t="inlineStr">
        <is>
          <t>N.R.PLATAFORMAS (SIMULADORES)</t>
        </is>
      </c>
      <c r="D540" t="inlineStr">
        <is>
          <t>1101886396</t>
        </is>
      </c>
      <c r="E540" t="inlineStr">
        <is>
          <t>1</t>
        </is>
      </c>
      <c r="F540" s="163" t="n">
        <v>45839</v>
      </c>
      <c r="G540" t="inlineStr"/>
      <c r="H540" t="inlineStr">
        <is>
          <t>4200620010</t>
        </is>
      </c>
      <c r="I540" t="inlineStr">
        <is>
          <t>10</t>
        </is>
      </c>
      <c r="J540" s="163" t="n">
        <v>45854</v>
      </c>
      <c r="K540" s="163" t="n">
        <v>45861</v>
      </c>
      <c r="L540" t="inlineStr"/>
      <c r="M540" s="163" t="n">
        <v>45901</v>
      </c>
      <c r="N540" s="164" t="n">
        <v>180</v>
      </c>
      <c r="O540" s="164" t="n">
        <v>8</v>
      </c>
      <c r="P540" t="inlineStr">
        <is>
          <t>Liberado</t>
        </is>
      </c>
      <c r="Q540" s="165" t="n">
        <v>1</v>
      </c>
      <c r="R540" s="165" t="n">
        <v>1</v>
      </c>
      <c r="S540" s="165" t="n">
        <v>1</v>
      </c>
      <c r="T540" s="165" t="n">
        <v>0</v>
      </c>
      <c r="U540" s="166" t="n">
        <v>0</v>
      </c>
      <c r="V540" s="166" t="n">
        <v>0</v>
      </c>
      <c r="W540" t="inlineStr">
        <is>
          <t>X</t>
        </is>
      </c>
      <c r="X540" t="inlineStr">
        <is>
          <t>0.00</t>
        </is>
      </c>
      <c r="Y540" t="inlineStr"/>
      <c r="Z540" t="inlineStr">
        <is>
          <t>TALLERES XUQUER, SL</t>
        </is>
      </c>
      <c r="AA540" t="inlineStr"/>
      <c r="AB540" t="inlineStr"/>
      <c r="AC540" t="inlineStr"/>
      <c r="AD540" s="164" t="n">
        <v>0</v>
      </c>
      <c r="AE540" s="185" t="n">
        <v>0</v>
      </c>
      <c r="AG540" s="167" t="inlineStr">
        <is>
          <t>7218|JA2580_1001</t>
        </is>
      </c>
      <c r="AH540" s="46">
        <f>IF(M540=0,"-",M540-J540)</f>
        <v/>
      </c>
      <c r="AI540" s="46">
        <f>IF(AND(S540=0,M540&gt;0,L540=0),IF(AH540&gt;=120,"VERY HIGH",IF(AH540&gt;=90,"HIGH",IF(AH540&gt;=60,"MEDIUM",IF(AH540&lt;60,"LOW")))),"-")</f>
        <v/>
      </c>
      <c r="AJ540" s="12" t="n"/>
      <c r="AK540" s="41">
        <f>IF(AND(W540="X",M540&lt;=$AJ$2),"YES","")</f>
        <v/>
      </c>
      <c r="AL540" s="38">
        <f>IF(AND(W540="X",M540&lt;=$AJ$2),S540,"")</f>
        <v/>
      </c>
      <c r="AM540" s="26">
        <f>IF(AND(W540="X",M540&gt;$AJ$2),"YES","")</f>
        <v/>
      </c>
      <c r="AN540" s="89">
        <f>IF(AND(W540="X",M540&gt;$AJ$2),S540,"")</f>
        <v/>
      </c>
      <c r="AO540" s="35">
        <f>IF(AND(W540="",M540&gt;0,$AJ$2&gt;M540,L540=""),1,0)</f>
        <v/>
      </c>
      <c r="AP540" s="26">
        <f>IF(AND(AK540="YES",W540="X"),"X","")</f>
        <v/>
      </c>
      <c r="AQ540" s="28">
        <f>IF(AP540="X",100%,0%)</f>
        <v/>
      </c>
      <c r="AR540" s="25">
        <f>IF(AND(T540&gt;0,L540=""),H540,"")</f>
        <v/>
      </c>
      <c r="AS540" s="25">
        <f>IF(AND(D540&gt;0,H540=0,G540=""),1,"")</f>
        <v/>
      </c>
      <c r="AT540" s="25">
        <f>IF(G540="BLOQ",1,"")</f>
        <v/>
      </c>
      <c r="AU540" s="25">
        <f>IF(L540="BLOQ",1,"")</f>
        <v/>
      </c>
      <c r="AV540" s="25">
        <f>MONTH(F540)</f>
        <v/>
      </c>
      <c r="AW540" s="65">
        <f>IF(AP540="",100%,0%)</f>
        <v/>
      </c>
      <c r="AX540" s="23" t="n"/>
      <c r="AY540" s="24">
        <f>IF(M540=0,"",M540-$AX$2)</f>
        <v/>
      </c>
      <c r="AZ540" s="66">
        <f>IF(AND(W540="",AY540&gt;0,AY540&lt;15),1,0)</f>
        <v/>
      </c>
      <c r="BA540" s="24">
        <f>IF(AND(W540="",AY540&gt;0,AY540&lt;15),T540,"")</f>
        <v/>
      </c>
      <c r="BB540" s="87">
        <f>IF(R540&lt;Q540,"X","")</f>
        <v/>
      </c>
      <c r="BC540" s="190" t="inlineStr">
        <is>
          <t>NO</t>
        </is>
      </c>
      <c r="BD540" s="191" t="inlineStr">
        <is>
          <t>SI</t>
        </is>
      </c>
    </row>
    <row r="541" ht="15" customHeight="1" s="162">
      <c r="A541" s="7" t="n">
        <v>540</v>
      </c>
      <c r="B541" t="inlineStr">
        <is>
          <t>1709800000500</t>
        </is>
      </c>
      <c r="C541" t="inlineStr">
        <is>
          <t>COMPRA DIRECTA FERRETERIA Y HERRAMIENTAS</t>
        </is>
      </c>
      <c r="D541" t="inlineStr">
        <is>
          <t>1101886453</t>
        </is>
      </c>
      <c r="E541" t="inlineStr">
        <is>
          <t>1</t>
        </is>
      </c>
      <c r="F541" s="163" t="n">
        <v>45839</v>
      </c>
      <c r="G541" t="inlineStr"/>
      <c r="H541" t="inlineStr">
        <is>
          <t>4200619728</t>
        </is>
      </c>
      <c r="I541" t="inlineStr">
        <is>
          <t>10</t>
        </is>
      </c>
      <c r="J541" s="163" t="n">
        <v>45853</v>
      </c>
      <c r="K541" s="163" t="n">
        <v>45854</v>
      </c>
      <c r="L541" t="inlineStr"/>
      <c r="M541" s="163" t="n">
        <v>45930</v>
      </c>
      <c r="N541" s="164" t="n">
        <v>30</v>
      </c>
      <c r="O541" s="164" t="n">
        <v>8</v>
      </c>
      <c r="P541" t="inlineStr">
        <is>
          <t>Liberado</t>
        </is>
      </c>
      <c r="Q541" s="165" t="n">
        <v>5</v>
      </c>
      <c r="R541" s="165" t="n">
        <v>5</v>
      </c>
      <c r="S541" s="165" t="n">
        <v>5</v>
      </c>
      <c r="T541" s="165" t="n">
        <v>0</v>
      </c>
      <c r="U541" s="166" t="n">
        <v>0</v>
      </c>
      <c r="V541" s="166" t="n">
        <v>0</v>
      </c>
      <c r="W541" t="inlineStr">
        <is>
          <t>X</t>
        </is>
      </c>
      <c r="X541" t="inlineStr">
        <is>
          <t>0.00</t>
        </is>
      </c>
      <c r="Y541" t="inlineStr"/>
      <c r="Z541" t="inlineStr">
        <is>
          <t>ABACO SUYTEC, S.A.U.</t>
        </is>
      </c>
      <c r="AA541" t="inlineStr">
        <is>
          <t>OTROS FABRICANTES</t>
        </is>
      </c>
      <c r="AB541" t="inlineStr">
        <is>
          <t>1709800000500</t>
        </is>
      </c>
      <c r="AC541" t="inlineStr"/>
      <c r="AD541" s="164" t="n">
        <v>0</v>
      </c>
      <c r="AE541" s="185" t="n">
        <v>0</v>
      </c>
      <c r="AG541" s="167" t="inlineStr">
        <is>
          <t>7218|S24B05_S1075</t>
        </is>
      </c>
      <c r="AH541" s="46">
        <f>IF(M541=0,"-",M541-J541)</f>
        <v/>
      </c>
      <c r="AI541" s="46">
        <f>IF(AND(S541=0,M541&gt;0,L541=0),IF(AH541&gt;=120,"VERY HIGH",IF(AH541&gt;=90,"HIGH",IF(AH541&gt;=60,"MEDIUM",IF(AH541&lt;60,"LOW")))),"-")</f>
        <v/>
      </c>
      <c r="AJ541" s="12" t="n"/>
      <c r="AK541" s="41">
        <f>IF(AND(W541="X",M541&lt;=$AJ$2),"YES","")</f>
        <v/>
      </c>
      <c r="AL541" s="38">
        <f>IF(AND(W541="X",M541&lt;=$AJ$2),S541,"")</f>
        <v/>
      </c>
      <c r="AM541" s="26">
        <f>IF(AND(W541="X",M541&gt;$AJ$2),"YES","")</f>
        <v/>
      </c>
      <c r="AN541" s="89">
        <f>IF(AND(W541="X",M541&gt;$AJ$2),S541,"")</f>
        <v/>
      </c>
      <c r="AO541" s="35">
        <f>IF(AND(W541="",M541&gt;0,$AJ$2&gt;M541,L541=""),1,0)</f>
        <v/>
      </c>
      <c r="AP541" s="26">
        <f>IF(AND(AK541="YES",W541="X"),"X","")</f>
        <v/>
      </c>
      <c r="AQ541" s="28">
        <f>IF(AP541="X",100%,0%)</f>
        <v/>
      </c>
      <c r="AR541" s="25">
        <f>IF(AND(T541&gt;0,L541=""),H541,"")</f>
        <v/>
      </c>
      <c r="AS541" s="25">
        <f>IF(AND(D541&gt;0,H541=0,G541=""),1,"")</f>
        <v/>
      </c>
      <c r="AT541" s="25">
        <f>IF(G541="BLOQ",1,"")</f>
        <v/>
      </c>
      <c r="AU541" s="25">
        <f>IF(L541="BLOQ",1,"")</f>
        <v/>
      </c>
      <c r="AV541" s="25">
        <f>MONTH(F541)</f>
        <v/>
      </c>
      <c r="AW541" s="65">
        <f>IF(AP541="",100%,0%)</f>
        <v/>
      </c>
      <c r="AX541" s="23" t="n"/>
      <c r="AY541" s="24">
        <f>IF(M541=0,"",M541-$AX$2)</f>
        <v/>
      </c>
      <c r="AZ541" s="66">
        <f>IF(AND(W541="",AY541&gt;0,AY541&lt;15),1,0)</f>
        <v/>
      </c>
      <c r="BA541" s="24">
        <f>IF(AND(W541="",AY541&gt;0,AY541&lt;15),T541,"")</f>
        <v/>
      </c>
      <c r="BB541" s="87">
        <f>IF(R541&lt;Q541,"X","")</f>
        <v/>
      </c>
      <c r="BC541" s="190" t="inlineStr">
        <is>
          <t>NO</t>
        </is>
      </c>
      <c r="BD541" s="190" t="inlineStr">
        <is>
          <t>NO</t>
        </is>
      </c>
    </row>
    <row r="542" ht="15" customHeight="1" s="162">
      <c r="A542" s="7" t="n">
        <v>541</v>
      </c>
      <c r="B542" t="inlineStr">
        <is>
          <t>1709800000500</t>
        </is>
      </c>
      <c r="C542" t="inlineStr">
        <is>
          <t>COMPRA DIRECTA FERRETERIA Y HERRAMIENTAS</t>
        </is>
      </c>
      <c r="D542" t="inlineStr">
        <is>
          <t>1101886462</t>
        </is>
      </c>
      <c r="E542" t="inlineStr">
        <is>
          <t>1</t>
        </is>
      </c>
      <c r="F542" s="163" t="n">
        <v>45839</v>
      </c>
      <c r="G542" t="inlineStr"/>
      <c r="H542" t="inlineStr">
        <is>
          <t>4200619731</t>
        </is>
      </c>
      <c r="I542" t="inlineStr">
        <is>
          <t>10</t>
        </is>
      </c>
      <c r="J542" s="163" t="n">
        <v>45853</v>
      </c>
      <c r="K542" s="163" t="n">
        <v>45854</v>
      </c>
      <c r="L542" t="inlineStr"/>
      <c r="M542" s="163" t="n">
        <v>45930</v>
      </c>
      <c r="N542" s="164" t="n">
        <v>30</v>
      </c>
      <c r="O542" s="164" t="n">
        <v>8</v>
      </c>
      <c r="P542" t="inlineStr">
        <is>
          <t>Liberado</t>
        </is>
      </c>
      <c r="Q542" s="165" t="n">
        <v>100</v>
      </c>
      <c r="R542" s="165" t="n">
        <v>100</v>
      </c>
      <c r="S542" s="165" t="n">
        <v>100</v>
      </c>
      <c r="T542" s="165" t="n">
        <v>0</v>
      </c>
      <c r="U542" s="166" t="n">
        <v>0</v>
      </c>
      <c r="V542" s="166" t="n">
        <v>0</v>
      </c>
      <c r="W542" t="inlineStr">
        <is>
          <t>X</t>
        </is>
      </c>
      <c r="X542" t="inlineStr">
        <is>
          <t>0.00</t>
        </is>
      </c>
      <c r="Y542" t="inlineStr"/>
      <c r="Z542" t="inlineStr">
        <is>
          <t>ABACO SUYTEC, S.A.U.</t>
        </is>
      </c>
      <c r="AA542" t="inlineStr">
        <is>
          <t>OTROS FABRICANTES</t>
        </is>
      </c>
      <c r="AB542" t="inlineStr">
        <is>
          <t>1709800000500</t>
        </is>
      </c>
      <c r="AC542" t="inlineStr"/>
      <c r="AD542" s="164" t="n">
        <v>0</v>
      </c>
      <c r="AE542" s="185" t="n">
        <v>0</v>
      </c>
      <c r="AG542" s="167" t="inlineStr">
        <is>
          <t>7218|JA2594_1001</t>
        </is>
      </c>
      <c r="AH542" s="46">
        <f>IF(M542=0,"-",M542-J542)</f>
        <v/>
      </c>
      <c r="AI542" s="46">
        <f>IF(AND(S542=0,M542&gt;0,L542=0),IF(AH542&gt;=120,"VERY HIGH",IF(AH542&gt;=90,"HIGH",IF(AH542&gt;=60,"MEDIUM",IF(AH542&lt;60,"LOW")))),"-")</f>
        <v/>
      </c>
      <c r="AJ542" s="12" t="n"/>
      <c r="AK542" s="41">
        <f>IF(AND(W542="X",M542&lt;=$AJ$2),"YES","")</f>
        <v/>
      </c>
      <c r="AL542" s="38">
        <f>IF(AND(W542="X",M542&lt;=$AJ$2),S542,"")</f>
        <v/>
      </c>
      <c r="AM542" s="26">
        <f>IF(AND(W542="X",M542&gt;$AJ$2),"YES","")</f>
        <v/>
      </c>
      <c r="AN542" s="89">
        <f>IF(AND(W542="X",M542&gt;$AJ$2),S542,"")</f>
        <v/>
      </c>
      <c r="AO542" s="35">
        <f>IF(AND(W542="",M542&gt;0,$AJ$2&gt;M542,L542=""),1,0)</f>
        <v/>
      </c>
      <c r="AP542" s="26">
        <f>IF(AND(AK542="YES",W542="X"),"X","")</f>
        <v/>
      </c>
      <c r="AQ542" s="28">
        <f>IF(AP542="X",100%,0%)</f>
        <v/>
      </c>
      <c r="AR542" s="25">
        <f>IF(AND(T542&gt;0,L542=""),H542,"")</f>
        <v/>
      </c>
      <c r="AS542" s="25">
        <f>IF(AND(D542&gt;0,H542=0,G542=""),1,"")</f>
        <v/>
      </c>
      <c r="AT542" s="25">
        <f>IF(G542="BLOQ",1,"")</f>
        <v/>
      </c>
      <c r="AU542" s="25">
        <f>IF(L542="BLOQ",1,"")</f>
        <v/>
      </c>
      <c r="AV542" s="25">
        <f>MONTH(F542)</f>
        <v/>
      </c>
      <c r="AW542" s="65">
        <f>IF(AP542="",100%,0%)</f>
        <v/>
      </c>
      <c r="AX542" s="23" t="n"/>
      <c r="AY542" s="24">
        <f>IF(M542=0,"",M542-$AX$2)</f>
        <v/>
      </c>
      <c r="AZ542" s="66">
        <f>IF(AND(W542="",AY542&gt;0,AY542&lt;15),1,0)</f>
        <v/>
      </c>
      <c r="BA542" s="24">
        <f>IF(AND(W542="",AY542&gt;0,AY542&lt;15),T542,"")</f>
        <v/>
      </c>
      <c r="BB542" s="87">
        <f>IF(R542&lt;Q542,"X","")</f>
        <v/>
      </c>
      <c r="BC542" s="190" t="inlineStr">
        <is>
          <t>NO</t>
        </is>
      </c>
      <c r="BD542" s="190" t="inlineStr">
        <is>
          <t>NO</t>
        </is>
      </c>
    </row>
    <row r="543" ht="15" customHeight="1" s="162">
      <c r="A543" s="7" t="n">
        <v>542</v>
      </c>
      <c r="B543" t="inlineStr">
        <is>
          <t>1709800000500</t>
        </is>
      </c>
      <c r="C543" t="inlineStr">
        <is>
          <t>COMPRA DIRECTA FERRETERIA Y HERRAMIENTAS</t>
        </is>
      </c>
      <c r="D543" t="inlineStr">
        <is>
          <t>1101886462</t>
        </is>
      </c>
      <c r="E543" t="inlineStr">
        <is>
          <t>2</t>
        </is>
      </c>
      <c r="F543" s="163" t="n">
        <v>45839</v>
      </c>
      <c r="G543" t="inlineStr"/>
      <c r="H543" t="inlineStr">
        <is>
          <t>4200619731</t>
        </is>
      </c>
      <c r="I543" t="inlineStr">
        <is>
          <t>20</t>
        </is>
      </c>
      <c r="J543" s="163" t="n">
        <v>45853</v>
      </c>
      <c r="K543" s="163" t="n">
        <v>45854</v>
      </c>
      <c r="L543" t="inlineStr"/>
      <c r="M543" s="163" t="n">
        <v>45930</v>
      </c>
      <c r="N543" s="164" t="n">
        <v>30</v>
      </c>
      <c r="O543" s="164" t="n">
        <v>8</v>
      </c>
      <c r="P543" t="inlineStr">
        <is>
          <t>Liberado</t>
        </is>
      </c>
      <c r="Q543" s="165" t="n">
        <v>1</v>
      </c>
      <c r="R543" s="165" t="n">
        <v>1</v>
      </c>
      <c r="S543" s="165" t="n">
        <v>1</v>
      </c>
      <c r="T543" s="165" t="n">
        <v>0</v>
      </c>
      <c r="U543" s="166" t="n">
        <v>0</v>
      </c>
      <c r="V543" s="166" t="n">
        <v>0</v>
      </c>
      <c r="W543" t="inlineStr">
        <is>
          <t>X</t>
        </is>
      </c>
      <c r="X543" t="inlineStr">
        <is>
          <t>0.00</t>
        </is>
      </c>
      <c r="Y543" t="inlineStr"/>
      <c r="Z543" t="inlineStr">
        <is>
          <t>ABACO SUYTEC, S.A.U.</t>
        </is>
      </c>
      <c r="AA543" t="inlineStr">
        <is>
          <t>OTROS FABRICANTES</t>
        </is>
      </c>
      <c r="AB543" t="inlineStr">
        <is>
          <t>1709800000500</t>
        </is>
      </c>
      <c r="AC543" t="inlineStr"/>
      <c r="AD543" s="164" t="n">
        <v>0</v>
      </c>
      <c r="AE543" s="185" t="n">
        <v>0</v>
      </c>
      <c r="AG543" s="167" t="inlineStr">
        <is>
          <t>7218|JA2594_1001</t>
        </is>
      </c>
      <c r="AH543" s="46">
        <f>IF(M543=0,"-",M543-J543)</f>
        <v/>
      </c>
      <c r="AI543" s="46">
        <f>IF(AND(S543=0,M543&gt;0,L543=0),IF(AH543&gt;=120,"VERY HIGH",IF(AH543&gt;=90,"HIGH",IF(AH543&gt;=60,"MEDIUM",IF(AH543&lt;60,"LOW")))),"-")</f>
        <v/>
      </c>
      <c r="AJ543" s="12" t="n"/>
      <c r="AK543" s="41">
        <f>IF(AND(W543="X",M543&lt;=$AJ$2),"YES","")</f>
        <v/>
      </c>
      <c r="AL543" s="38">
        <f>IF(AND(W543="X",M543&lt;=$AJ$2),S543,"")</f>
        <v/>
      </c>
      <c r="AM543" s="26">
        <f>IF(AND(W543="X",M543&gt;$AJ$2),"YES","")</f>
        <v/>
      </c>
      <c r="AN543" s="89">
        <f>IF(AND(W543="X",M543&gt;$AJ$2),S543,"")</f>
        <v/>
      </c>
      <c r="AO543" s="35">
        <f>IF(AND(W543="",M543&gt;0,$AJ$2&gt;M543,L543=""),1,0)</f>
        <v/>
      </c>
      <c r="AP543" s="26">
        <f>IF(AND(AK543="YES",W543="X"),"X","")</f>
        <v/>
      </c>
      <c r="AQ543" s="28">
        <f>IF(AP543="X",100%,0%)</f>
        <v/>
      </c>
      <c r="AR543" s="25">
        <f>IF(AND(T543&gt;0,L543=""),H543,"")</f>
        <v/>
      </c>
      <c r="AS543" s="25">
        <f>IF(AND(D543&gt;0,H543=0,G543=""),1,"")</f>
        <v/>
      </c>
      <c r="AT543" s="25">
        <f>IF(G543="BLOQ",1,"")</f>
        <v/>
      </c>
      <c r="AU543" s="25">
        <f>IF(L543="BLOQ",1,"")</f>
        <v/>
      </c>
      <c r="AV543" s="25">
        <f>MONTH(F543)</f>
        <v/>
      </c>
      <c r="AW543" s="65">
        <f>IF(AP543="",100%,0%)</f>
        <v/>
      </c>
      <c r="AX543" s="23" t="n"/>
      <c r="AY543" s="24">
        <f>IF(M543=0,"",M543-$AX$2)</f>
        <v/>
      </c>
      <c r="AZ543" s="66">
        <f>IF(AND(W543="",AY543&gt;0,AY543&lt;15),1,0)</f>
        <v/>
      </c>
      <c r="BA543" s="24">
        <f>IF(AND(W543="",AY543&gt;0,AY543&lt;15),T543,"")</f>
        <v/>
      </c>
      <c r="BB543" s="87">
        <f>IF(R543&lt;Q543,"X","")</f>
        <v/>
      </c>
      <c r="BC543" s="190" t="inlineStr">
        <is>
          <t>NO</t>
        </is>
      </c>
      <c r="BD543" s="190" t="inlineStr">
        <is>
          <t>NO</t>
        </is>
      </c>
    </row>
    <row r="544" ht="15" customHeight="1" s="162">
      <c r="A544" s="7" t="n">
        <v>543</v>
      </c>
      <c r="B544" t="inlineStr">
        <is>
          <t>1709800000500</t>
        </is>
      </c>
      <c r="C544" t="inlineStr">
        <is>
          <t>COMPRA DIRECTA FERRETERIA Y HERRAMIENTAS</t>
        </is>
      </c>
      <c r="D544" t="inlineStr">
        <is>
          <t>1101886462</t>
        </is>
      </c>
      <c r="E544" t="inlineStr">
        <is>
          <t>3</t>
        </is>
      </c>
      <c r="F544" s="163" t="n">
        <v>45839</v>
      </c>
      <c r="G544" t="inlineStr"/>
      <c r="H544" t="inlineStr">
        <is>
          <t>4200619731</t>
        </is>
      </c>
      <c r="I544" t="inlineStr">
        <is>
          <t>30</t>
        </is>
      </c>
      <c r="J544" s="163" t="n">
        <v>45853</v>
      </c>
      <c r="K544" s="163" t="n">
        <v>45854</v>
      </c>
      <c r="L544" t="inlineStr"/>
      <c r="M544" s="163" t="n">
        <v>45930</v>
      </c>
      <c r="N544" s="164" t="n">
        <v>30</v>
      </c>
      <c r="O544" s="164" t="n">
        <v>8</v>
      </c>
      <c r="P544" t="inlineStr">
        <is>
          <t>Liberado</t>
        </is>
      </c>
      <c r="Q544" s="165" t="n">
        <v>100</v>
      </c>
      <c r="R544" s="165" t="n">
        <v>100</v>
      </c>
      <c r="S544" s="165" t="n">
        <v>100</v>
      </c>
      <c r="T544" s="165" t="n">
        <v>0</v>
      </c>
      <c r="U544" s="166" t="n">
        <v>0</v>
      </c>
      <c r="V544" s="166" t="n">
        <v>0</v>
      </c>
      <c r="W544" t="inlineStr">
        <is>
          <t>X</t>
        </is>
      </c>
      <c r="X544" t="inlineStr">
        <is>
          <t>0.00</t>
        </is>
      </c>
      <c r="Y544" t="inlineStr"/>
      <c r="Z544" t="inlineStr">
        <is>
          <t>ABACO SUYTEC, S.A.U.</t>
        </is>
      </c>
      <c r="AA544" t="inlineStr">
        <is>
          <t>OTROS FABRICANTES</t>
        </is>
      </c>
      <c r="AB544" t="inlineStr">
        <is>
          <t>1709800000500</t>
        </is>
      </c>
      <c r="AC544" t="inlineStr"/>
      <c r="AD544" s="164" t="n">
        <v>0</v>
      </c>
      <c r="AE544" s="185" t="n">
        <v>0</v>
      </c>
      <c r="AG544" s="167" t="inlineStr">
        <is>
          <t>7218|JA2594_1001</t>
        </is>
      </c>
      <c r="AH544" s="46">
        <f>IF(M544=0,"-",M544-J544)</f>
        <v/>
      </c>
      <c r="AI544" s="46">
        <f>IF(AND(S544=0,M544&gt;0,L544=0),IF(AH544&gt;=120,"VERY HIGH",IF(AH544&gt;=90,"HIGH",IF(AH544&gt;=60,"MEDIUM",IF(AH544&lt;60,"LOW")))),"-")</f>
        <v/>
      </c>
      <c r="AJ544" s="12" t="n"/>
      <c r="AK544" s="41">
        <f>IF(AND(W544="X",M544&lt;=$AJ$2),"YES","")</f>
        <v/>
      </c>
      <c r="AL544" s="38">
        <f>IF(AND(W544="X",M544&lt;=$AJ$2),S544,"")</f>
        <v/>
      </c>
      <c r="AM544" s="26">
        <f>IF(AND(W544="X",M544&gt;$AJ$2),"YES","")</f>
        <v/>
      </c>
      <c r="AN544" s="89">
        <f>IF(AND(W544="X",M544&gt;$AJ$2),S544,"")</f>
        <v/>
      </c>
      <c r="AO544" s="35">
        <f>IF(AND(W544="",M544&gt;0,$AJ$2&gt;M544,L544=""),1,0)</f>
        <v/>
      </c>
      <c r="AP544" s="26">
        <f>IF(AND(AK544="YES",W544="X"),"X","")</f>
        <v/>
      </c>
      <c r="AQ544" s="28">
        <f>IF(AP544="X",100%,0%)</f>
        <v/>
      </c>
      <c r="AR544" s="25">
        <f>IF(AND(T544&gt;0,L544=""),H544,"")</f>
        <v/>
      </c>
      <c r="AS544" s="25">
        <f>IF(AND(D544&gt;0,H544=0,G544=""),1,"")</f>
        <v/>
      </c>
      <c r="AT544" s="25">
        <f>IF(G544="BLOQ",1,"")</f>
        <v/>
      </c>
      <c r="AU544" s="25">
        <f>IF(L544="BLOQ",1,"")</f>
        <v/>
      </c>
      <c r="AV544" s="25">
        <f>MONTH(F544)</f>
        <v/>
      </c>
      <c r="AW544" s="65">
        <f>IF(AP544="",100%,0%)</f>
        <v/>
      </c>
      <c r="AX544" s="23" t="n"/>
      <c r="AY544" s="24">
        <f>IF(M544=0,"",M544-$AX$2)</f>
        <v/>
      </c>
      <c r="AZ544" s="66">
        <f>IF(AND(W544="",AY544&gt;0,AY544&lt;15),1,0)</f>
        <v/>
      </c>
      <c r="BA544" s="24">
        <f>IF(AND(W544="",AY544&gt;0,AY544&lt;15),T544,"")</f>
        <v/>
      </c>
      <c r="BB544" s="87">
        <f>IF(R544&lt;Q544,"X","")</f>
        <v/>
      </c>
      <c r="BC544" s="190" t="inlineStr">
        <is>
          <t>NO</t>
        </is>
      </c>
      <c r="BD544" s="190" t="inlineStr">
        <is>
          <t>NO</t>
        </is>
      </c>
    </row>
    <row r="545" ht="15" customHeight="1" s="162">
      <c r="A545" s="7" t="n">
        <v>544</v>
      </c>
      <c r="B545" t="inlineStr">
        <is>
          <t>1709800000500</t>
        </is>
      </c>
      <c r="C545" t="inlineStr">
        <is>
          <t>COMPRA DIRECTA FERRETERIA Y HERRAMIENTAS</t>
        </is>
      </c>
      <c r="D545" t="inlineStr">
        <is>
          <t>1101886462</t>
        </is>
      </c>
      <c r="E545" t="inlineStr">
        <is>
          <t>4</t>
        </is>
      </c>
      <c r="F545" s="163" t="n">
        <v>45839</v>
      </c>
      <c r="G545" t="inlineStr"/>
      <c r="H545" t="inlineStr">
        <is>
          <t>4200619731</t>
        </is>
      </c>
      <c r="I545" t="inlineStr">
        <is>
          <t>40</t>
        </is>
      </c>
      <c r="J545" s="163" t="n">
        <v>45853</v>
      </c>
      <c r="K545" s="163" t="n">
        <v>45854</v>
      </c>
      <c r="L545" t="inlineStr"/>
      <c r="M545" s="163" t="n">
        <v>45930</v>
      </c>
      <c r="N545" s="164" t="n">
        <v>30</v>
      </c>
      <c r="O545" s="164" t="n">
        <v>8</v>
      </c>
      <c r="P545" t="inlineStr">
        <is>
          <t>Liberado</t>
        </is>
      </c>
      <c r="Q545" s="165" t="n">
        <v>20</v>
      </c>
      <c r="R545" s="165" t="n">
        <v>20</v>
      </c>
      <c r="S545" s="165" t="n">
        <v>20</v>
      </c>
      <c r="T545" s="165" t="n">
        <v>0</v>
      </c>
      <c r="U545" s="166" t="n">
        <v>0</v>
      </c>
      <c r="V545" s="166" t="n">
        <v>0</v>
      </c>
      <c r="W545" t="inlineStr">
        <is>
          <t>X</t>
        </is>
      </c>
      <c r="X545" t="inlineStr">
        <is>
          <t>0.00</t>
        </is>
      </c>
      <c r="Y545" t="inlineStr"/>
      <c r="Z545" t="inlineStr">
        <is>
          <t>ABACO SUYTEC, S.A.U.</t>
        </is>
      </c>
      <c r="AA545" t="inlineStr">
        <is>
          <t>OTROS FABRICANTES</t>
        </is>
      </c>
      <c r="AB545" t="inlineStr">
        <is>
          <t>1709800000500</t>
        </is>
      </c>
      <c r="AC545" t="inlineStr"/>
      <c r="AD545" s="164" t="n">
        <v>0</v>
      </c>
      <c r="AE545" s="185" t="n">
        <v>0</v>
      </c>
      <c r="AG545" s="167" t="inlineStr">
        <is>
          <t>7218|JA2594_1001</t>
        </is>
      </c>
      <c r="AH545" s="46">
        <f>IF(M545=0,"-",M545-J545)</f>
        <v/>
      </c>
      <c r="AI545" s="46">
        <f>IF(AND(S545=0,M545&gt;0,L545=0),IF(AH545&gt;=120,"VERY HIGH",IF(AH545&gt;=90,"HIGH",IF(AH545&gt;=60,"MEDIUM",IF(AH545&lt;60,"LOW")))),"-")</f>
        <v/>
      </c>
      <c r="AJ545" s="12" t="n"/>
      <c r="AK545" s="41">
        <f>IF(AND(W545="X",M545&lt;=$AJ$2),"YES","")</f>
        <v/>
      </c>
      <c r="AL545" s="38">
        <f>IF(AND(W545="X",M545&lt;=$AJ$2),S545,"")</f>
        <v/>
      </c>
      <c r="AM545" s="26">
        <f>IF(AND(W545="X",M545&gt;$AJ$2),"YES","")</f>
        <v/>
      </c>
      <c r="AN545" s="89">
        <f>IF(AND(W545="X",M545&gt;$AJ$2),S545,"")</f>
        <v/>
      </c>
      <c r="AO545" s="35">
        <f>IF(AND(W545="",M545&gt;0,$AJ$2&gt;M545,L545=""),1,0)</f>
        <v/>
      </c>
      <c r="AP545" s="26">
        <f>IF(AND(AK545="YES",W545="X"),"X","")</f>
        <v/>
      </c>
      <c r="AQ545" s="28">
        <f>IF(AP545="X",100%,0%)</f>
        <v/>
      </c>
      <c r="AR545" s="25">
        <f>IF(AND(T545&gt;0,L545=""),H545,"")</f>
        <v/>
      </c>
      <c r="AS545" s="25">
        <f>IF(AND(D545&gt;0,H545=0,G545=""),1,"")</f>
        <v/>
      </c>
      <c r="AT545" s="25">
        <f>IF(G545="BLOQ",1,"")</f>
        <v/>
      </c>
      <c r="AU545" s="25">
        <f>IF(L545="BLOQ",1,"")</f>
        <v/>
      </c>
      <c r="AV545" s="25">
        <f>MONTH(F545)</f>
        <v/>
      </c>
      <c r="AW545" s="65">
        <f>IF(AP545="",100%,0%)</f>
        <v/>
      </c>
      <c r="AX545" s="23" t="n"/>
      <c r="AY545" s="24">
        <f>IF(M545=0,"",M545-$AX$2)</f>
        <v/>
      </c>
      <c r="AZ545" s="66">
        <f>IF(AND(W545="",AY545&gt;0,AY545&lt;15),1,0)</f>
        <v/>
      </c>
      <c r="BA545" s="24">
        <f>IF(AND(W545="",AY545&gt;0,AY545&lt;15),T545,"")</f>
        <v/>
      </c>
      <c r="BB545" s="87">
        <f>IF(R545&lt;Q545,"X","")</f>
        <v/>
      </c>
      <c r="BC545" s="190" t="inlineStr">
        <is>
          <t>NO</t>
        </is>
      </c>
      <c r="BD545" s="190" t="inlineStr">
        <is>
          <t>NO</t>
        </is>
      </c>
    </row>
    <row r="546" ht="15" customHeight="1" s="162">
      <c r="A546" s="7" t="n">
        <v>545</v>
      </c>
      <c r="B546" t="inlineStr">
        <is>
          <t>45111823</t>
        </is>
      </c>
      <c r="C546" t="inlineStr">
        <is>
          <t>HDMI to VGA Adapter - With Audio - 1080p</t>
        </is>
      </c>
      <c r="D546" t="inlineStr">
        <is>
          <t>1101887079</t>
        </is>
      </c>
      <c r="E546" t="inlineStr">
        <is>
          <t>1</t>
        </is>
      </c>
      <c r="F546" s="163" t="n">
        <v>45840</v>
      </c>
      <c r="G546" t="inlineStr"/>
      <c r="H546" t="inlineStr">
        <is>
          <t>4800003156</t>
        </is>
      </c>
      <c r="I546" t="inlineStr">
        <is>
          <t>1140</t>
        </is>
      </c>
      <c r="J546" s="163" t="n">
        <v>45839</v>
      </c>
      <c r="K546" s="163" t="inlineStr"/>
      <c r="L546" t="inlineStr"/>
      <c r="M546" s="163" t="n">
        <v>45841</v>
      </c>
      <c r="N546" s="164" t="n">
        <v>0</v>
      </c>
      <c r="O546" s="164" t="n">
        <v>0</v>
      </c>
      <c r="P546" t="inlineStr"/>
      <c r="Q546" s="165" t="n">
        <v>1</v>
      </c>
      <c r="R546" s="165" t="n">
        <v>1</v>
      </c>
      <c r="S546" s="165" t="n">
        <v>1</v>
      </c>
      <c r="T546" s="165" t="n">
        <v>0</v>
      </c>
      <c r="U546" s="166" t="n">
        <v>0</v>
      </c>
      <c r="V546" s="166" t="n">
        <v>0</v>
      </c>
      <c r="W546" t="inlineStr">
        <is>
          <t>X</t>
        </is>
      </c>
      <c r="X546" t="inlineStr">
        <is>
          <t>0.00</t>
        </is>
      </c>
      <c r="Y546" t="inlineStr"/>
      <c r="Z546" t="inlineStr">
        <is>
          <t>AMIDATA, S.A.</t>
        </is>
      </c>
      <c r="AA546" t="inlineStr"/>
      <c r="AB546" t="inlineStr">
        <is>
          <t>1778828</t>
        </is>
      </c>
      <c r="AC546" t="inlineStr"/>
      <c r="AD546" s="164" t="n">
        <v>0</v>
      </c>
      <c r="AE546" s="185" t="n">
        <v>0</v>
      </c>
      <c r="AG546" s="167" t="inlineStr">
        <is>
          <t>7218|JA2594_1001</t>
        </is>
      </c>
      <c r="AH546" s="46">
        <f>IF(M546=0,"-",M546-J546)</f>
        <v/>
      </c>
      <c r="AI546" s="46">
        <f>IF(AND(S546=0,M546&gt;0,L546=0),IF(AH546&gt;=120,"VERY HIGH",IF(AH546&gt;=90,"HIGH",IF(AH546&gt;=60,"MEDIUM",IF(AH546&lt;60,"LOW")))),"-")</f>
        <v/>
      </c>
      <c r="AJ546" s="12" t="n"/>
      <c r="AK546" s="41">
        <f>IF(AND(W546="X",M546&lt;=$AJ$2),"YES","")</f>
        <v/>
      </c>
      <c r="AL546" s="38">
        <f>IF(AND(W546="X",M546&lt;=$AJ$2),S546,"")</f>
        <v/>
      </c>
      <c r="AM546" s="26">
        <f>IF(AND(W546="X",M546&gt;$AJ$2),"YES","")</f>
        <v/>
      </c>
      <c r="AN546" s="89">
        <f>IF(AND(W546="X",M546&gt;$AJ$2),S546,"")</f>
        <v/>
      </c>
      <c r="AO546" s="35">
        <f>IF(AND(W546="",M546&gt;0,$AJ$2&gt;M546,L546=""),1,0)</f>
        <v/>
      </c>
      <c r="AP546" s="26">
        <f>IF(AND(AK546="YES",W546="X"),"X","")</f>
        <v/>
      </c>
      <c r="AQ546" s="28">
        <f>IF(AP546="X",100%,0%)</f>
        <v/>
      </c>
      <c r="AR546" s="25">
        <f>IF(AND(T546&gt;0,L546=""),H546,"")</f>
        <v/>
      </c>
      <c r="AS546" s="25">
        <f>IF(AND(D546&gt;0,H546=0,G546=""),1,"")</f>
        <v/>
      </c>
      <c r="AT546" s="25">
        <f>IF(G546="BLOQ",1,"")</f>
        <v/>
      </c>
      <c r="AU546" s="25">
        <f>IF(L546="BLOQ",1,"")</f>
        <v/>
      </c>
      <c r="AV546" s="25">
        <f>MONTH(F546)</f>
        <v/>
      </c>
      <c r="AW546" s="65">
        <f>IF(AP546="",100%,0%)</f>
        <v/>
      </c>
      <c r="AX546" s="23" t="n"/>
      <c r="AY546" s="24">
        <f>IF(M546=0,"",M546-$AX$2)</f>
        <v/>
      </c>
      <c r="AZ546" s="66">
        <f>IF(AND(W546="",AY546&gt;0,AY546&lt;15),1,0)</f>
        <v/>
      </c>
      <c r="BA546" s="24">
        <f>IF(AND(W546="",AY546&gt;0,AY546&lt;15),T546,"")</f>
        <v/>
      </c>
      <c r="BB546" s="87">
        <f>IF(R546&lt;Q546,"X","")</f>
        <v/>
      </c>
      <c r="BC546" s="190" t="inlineStr">
        <is>
          <t>NO</t>
        </is>
      </c>
      <c r="BD546" s="190" t="inlineStr">
        <is>
          <t>NO</t>
        </is>
      </c>
    </row>
    <row r="547" ht="15" customHeight="1" s="162">
      <c r="A547" s="7" t="n">
        <v>546</v>
      </c>
      <c r="B547" t="inlineStr">
        <is>
          <t>7889090900000</t>
        </is>
      </c>
      <c r="C547" t="inlineStr">
        <is>
          <t>ROPA LABORAL CATALOGO INDRA</t>
        </is>
      </c>
      <c r="D547" t="inlineStr">
        <is>
          <t>1101887437</t>
        </is>
      </c>
      <c r="E547" t="inlineStr">
        <is>
          <t>1</t>
        </is>
      </c>
      <c r="F547" s="163" t="n">
        <v>45841</v>
      </c>
      <c r="G547" t="inlineStr"/>
      <c r="H547" t="inlineStr">
        <is>
          <t>4900011056</t>
        </is>
      </c>
      <c r="I547" t="inlineStr">
        <is>
          <t>10</t>
        </is>
      </c>
      <c r="J547" s="163" t="n">
        <v>45841</v>
      </c>
      <c r="K547" s="163" t="inlineStr"/>
      <c r="L547" t="inlineStr"/>
      <c r="M547" s="163" t="n">
        <v>45961</v>
      </c>
      <c r="N547" s="164" t="n">
        <v>40</v>
      </c>
      <c r="O547" s="164" t="n">
        <v>8</v>
      </c>
      <c r="P547" t="inlineStr"/>
      <c r="Q547" s="165" t="n">
        <v>1</v>
      </c>
      <c r="R547" s="165" t="n">
        <v>1</v>
      </c>
      <c r="S547" s="165" t="n">
        <v>1</v>
      </c>
      <c r="T547" s="165" t="n">
        <v>0</v>
      </c>
      <c r="U547" s="166" t="n">
        <v>0</v>
      </c>
      <c r="V547" s="166" t="n">
        <v>0</v>
      </c>
      <c r="W547" t="inlineStr">
        <is>
          <t>X</t>
        </is>
      </c>
      <c r="X547" t="inlineStr">
        <is>
          <t>0.00</t>
        </is>
      </c>
      <c r="Y547" t="inlineStr"/>
      <c r="Z547" t="inlineStr">
        <is>
          <t>VESTUARIO Y PROTECCION LABORAL JOYS</t>
        </is>
      </c>
      <c r="AA547" t="inlineStr">
        <is>
          <t>INDRA SISTEMAS S.A.</t>
        </is>
      </c>
      <c r="AB547" t="inlineStr">
        <is>
          <t>7889090900000</t>
        </is>
      </c>
      <c r="AC547" t="inlineStr"/>
      <c r="AD547" s="164" t="n">
        <v>0</v>
      </c>
      <c r="AE547" s="185" t="n">
        <v>0</v>
      </c>
      <c r="AG547" s="167" t="inlineStr">
        <is>
          <t>7218|JA2594_1001</t>
        </is>
      </c>
      <c r="AH547" s="46">
        <f>IF(M547=0,"-",M547-J547)</f>
        <v/>
      </c>
      <c r="AI547" s="46">
        <f>IF(AND(S547=0,M547&gt;0,L547=0),IF(AH547&gt;=120,"VERY HIGH",IF(AH547&gt;=90,"HIGH",IF(AH547&gt;=60,"MEDIUM",IF(AH547&lt;60,"LOW")))),"-")</f>
        <v/>
      </c>
      <c r="AJ547" s="12" t="n"/>
      <c r="AK547" s="41">
        <f>IF(AND(W547="X",M547&lt;=$AJ$2),"YES","")</f>
        <v/>
      </c>
      <c r="AL547" s="38">
        <f>IF(AND(W547="X",M547&lt;=$AJ$2),S547,"")</f>
        <v/>
      </c>
      <c r="AM547" s="26">
        <f>IF(AND(W547="X",M547&gt;$AJ$2),"YES","")</f>
        <v/>
      </c>
      <c r="AN547" s="89">
        <f>IF(AND(W547="X",M547&gt;$AJ$2),S547,"")</f>
        <v/>
      </c>
      <c r="AO547" s="35">
        <f>IF(AND(W547="",M547&gt;0,$AJ$2&gt;M547,L547=""),1,0)</f>
        <v/>
      </c>
      <c r="AP547" s="26">
        <f>IF(AND(AK547="YES",W547="X"),"X","")</f>
        <v/>
      </c>
      <c r="AQ547" s="28">
        <f>IF(AP547="X",100%,0%)</f>
        <v/>
      </c>
      <c r="AR547" s="25">
        <f>IF(AND(T547&gt;0,L547=""),H547,"")</f>
        <v/>
      </c>
      <c r="AS547" s="25">
        <f>IF(AND(D547&gt;0,H547=0,G547=""),1,"")</f>
        <v/>
      </c>
      <c r="AT547" s="25">
        <f>IF(G547="BLOQ",1,"")</f>
        <v/>
      </c>
      <c r="AU547" s="25">
        <f>IF(L547="BLOQ",1,"")</f>
        <v/>
      </c>
      <c r="AV547" s="25">
        <f>MONTH(F547)</f>
        <v/>
      </c>
      <c r="AW547" s="65">
        <f>IF(AP547="",100%,0%)</f>
        <v/>
      </c>
      <c r="AX547" s="23" t="n"/>
      <c r="AY547" s="24">
        <f>IF(M547=0,"",M547-$AX$2)</f>
        <v/>
      </c>
      <c r="AZ547" s="66">
        <f>IF(AND(W547="",AY547&gt;0,AY547&lt;15),1,0)</f>
        <v/>
      </c>
      <c r="BA547" s="24">
        <f>IF(AND(W547="",AY547&gt;0,AY547&lt;15),T547,"")</f>
        <v/>
      </c>
      <c r="BB547" s="87">
        <f>IF(R547&lt;Q547,"X","")</f>
        <v/>
      </c>
      <c r="BC547" s="190" t="inlineStr">
        <is>
          <t>NO</t>
        </is>
      </c>
      <c r="BD547" s="190" t="inlineStr">
        <is>
          <t>NO</t>
        </is>
      </c>
    </row>
    <row r="548" ht="15" customHeight="1" s="162">
      <c r="A548" s="7" t="n">
        <v>547</v>
      </c>
      <c r="B548" t="inlineStr">
        <is>
          <t>7889090900000</t>
        </is>
      </c>
      <c r="C548" t="inlineStr">
        <is>
          <t>ROPA LABORAL CATALOGO INDRA</t>
        </is>
      </c>
      <c r="D548" t="inlineStr">
        <is>
          <t>1101887443</t>
        </is>
      </c>
      <c r="E548" t="inlineStr">
        <is>
          <t>1</t>
        </is>
      </c>
      <c r="F548" s="163" t="n">
        <v>45841</v>
      </c>
      <c r="G548" t="inlineStr"/>
      <c r="H548" t="inlineStr">
        <is>
          <t>4900011059</t>
        </is>
      </c>
      <c r="I548" t="inlineStr">
        <is>
          <t>10</t>
        </is>
      </c>
      <c r="J548" s="163" t="n">
        <v>45841</v>
      </c>
      <c r="K548" s="163" t="inlineStr"/>
      <c r="L548" t="inlineStr"/>
      <c r="M548" s="163" t="n">
        <v>45930</v>
      </c>
      <c r="N548" s="164" t="n">
        <v>40</v>
      </c>
      <c r="O548" s="164" t="n">
        <v>8</v>
      </c>
      <c r="P548" t="inlineStr"/>
      <c r="Q548" s="165" t="n">
        <v>1</v>
      </c>
      <c r="R548" s="165" t="n">
        <v>1</v>
      </c>
      <c r="S548" s="165" t="n">
        <v>1</v>
      </c>
      <c r="T548" s="165" t="n">
        <v>0</v>
      </c>
      <c r="U548" s="166" t="n">
        <v>0</v>
      </c>
      <c r="V548" s="166" t="n">
        <v>0</v>
      </c>
      <c r="W548" t="inlineStr">
        <is>
          <t>X</t>
        </is>
      </c>
      <c r="X548" t="inlineStr">
        <is>
          <t>0.00</t>
        </is>
      </c>
      <c r="Y548" t="inlineStr"/>
      <c r="Z548" t="inlineStr">
        <is>
          <t>VESTUARIO Y PROTECCION LABORAL JOYS</t>
        </is>
      </c>
      <c r="AA548" t="inlineStr">
        <is>
          <t>INDRA SISTEMAS S.A.</t>
        </is>
      </c>
      <c r="AB548" t="inlineStr">
        <is>
          <t>7889090900000</t>
        </is>
      </c>
      <c r="AC548" t="inlineStr"/>
      <c r="AD548" s="164" t="n">
        <v>0</v>
      </c>
      <c r="AE548" s="185" t="n">
        <v>0</v>
      </c>
      <c r="AG548" s="167" t="inlineStr">
        <is>
          <t>7218|JA2594_1001</t>
        </is>
      </c>
      <c r="AH548" s="46">
        <f>IF(M548=0,"-",M548-J548)</f>
        <v/>
      </c>
      <c r="AI548" s="46">
        <f>IF(AND(S548=0,M548&gt;0,L548=0),IF(AH548&gt;=120,"VERY HIGH",IF(AH548&gt;=90,"HIGH",IF(AH548&gt;=60,"MEDIUM",IF(AH548&lt;60,"LOW")))),"-")</f>
        <v/>
      </c>
      <c r="AJ548" s="12" t="n"/>
      <c r="AK548" s="41">
        <f>IF(AND(W548="X",M548&lt;=$AJ$2),"YES","")</f>
        <v/>
      </c>
      <c r="AL548" s="38">
        <f>IF(AND(W548="X",M548&lt;=$AJ$2),S548,"")</f>
        <v/>
      </c>
      <c r="AM548" s="26">
        <f>IF(AND(W548="X",M548&gt;$AJ$2),"YES","")</f>
        <v/>
      </c>
      <c r="AN548" s="89">
        <f>IF(AND(W548="X",M548&gt;$AJ$2),S548,"")</f>
        <v/>
      </c>
      <c r="AO548" s="35">
        <f>IF(AND(W548="",M548&gt;0,$AJ$2&gt;M548,L548=""),1,0)</f>
        <v/>
      </c>
      <c r="AP548" s="26">
        <f>IF(AND(AK548="YES",W548="X"),"X","")</f>
        <v/>
      </c>
      <c r="AQ548" s="28">
        <f>IF(AP548="X",100%,0%)</f>
        <v/>
      </c>
      <c r="AR548" s="25">
        <f>IF(AND(T548&gt;0,L548=""),H548,"")</f>
        <v/>
      </c>
      <c r="AS548" s="25">
        <f>IF(AND(D548&gt;0,H548=0,G548=""),1,"")</f>
        <v/>
      </c>
      <c r="AT548" s="25">
        <f>IF(G548="BLOQ",1,"")</f>
        <v/>
      </c>
      <c r="AU548" s="25">
        <f>IF(L548="BLOQ",1,"")</f>
        <v/>
      </c>
      <c r="AV548" s="25">
        <f>MONTH(F548)</f>
        <v/>
      </c>
      <c r="AW548" s="65">
        <f>IF(AP548="",100%,0%)</f>
        <v/>
      </c>
      <c r="AX548" s="23" t="n"/>
      <c r="AY548" s="24">
        <f>IF(M548=0,"",M548-$AX$2)</f>
        <v/>
      </c>
      <c r="AZ548" s="66">
        <f>IF(AND(W548="",AY548&gt;0,AY548&lt;15),1,0)</f>
        <v/>
      </c>
      <c r="BA548" s="24">
        <f>IF(AND(W548="",AY548&gt;0,AY548&lt;15),T548,"")</f>
        <v/>
      </c>
      <c r="BB548" s="87">
        <f>IF(R548&lt;Q548,"X","")</f>
        <v/>
      </c>
      <c r="BC548" s="190" t="inlineStr">
        <is>
          <t>NO</t>
        </is>
      </c>
      <c r="BD548" s="190" t="inlineStr">
        <is>
          <t>NO</t>
        </is>
      </c>
    </row>
    <row r="549" ht="15" customHeight="1" s="162">
      <c r="A549" s="7" t="n">
        <v>548</v>
      </c>
      <c r="B549" t="inlineStr">
        <is>
          <t>1359900000500</t>
        </is>
      </c>
      <c r="C549" t="inlineStr">
        <is>
          <t>COMPRA DIRECTA ELECTRICOS/ELECTRONICOS</t>
        </is>
      </c>
      <c r="D549" t="inlineStr">
        <is>
          <t>1101887662</t>
        </is>
      </c>
      <c r="E549" t="inlineStr">
        <is>
          <t>1</t>
        </is>
      </c>
      <c r="F549" s="163" t="n">
        <v>45841</v>
      </c>
      <c r="G549" t="inlineStr"/>
      <c r="H549" t="inlineStr">
        <is>
          <t>4200620036</t>
        </is>
      </c>
      <c r="I549" t="inlineStr">
        <is>
          <t>10</t>
        </is>
      </c>
      <c r="J549" s="163" t="n">
        <v>45854</v>
      </c>
      <c r="K549" s="163" t="n">
        <v>45855</v>
      </c>
      <c r="L549" t="inlineStr"/>
      <c r="M549" s="163" t="n">
        <v>45930</v>
      </c>
      <c r="N549" s="164" t="n">
        <v>30</v>
      </c>
      <c r="O549" s="164" t="n">
        <v>8</v>
      </c>
      <c r="P549" t="inlineStr">
        <is>
          <t>Liberado</t>
        </is>
      </c>
      <c r="Q549" s="165" t="n">
        <v>2</v>
      </c>
      <c r="R549" s="165" t="n">
        <v>2</v>
      </c>
      <c r="S549" s="165" t="n">
        <v>2</v>
      </c>
      <c r="T549" s="165" t="n">
        <v>0</v>
      </c>
      <c r="U549" s="166" t="n">
        <v>0</v>
      </c>
      <c r="V549" s="166" t="n">
        <v>0</v>
      </c>
      <c r="W549" t="inlineStr">
        <is>
          <t>X</t>
        </is>
      </c>
      <c r="X549" t="inlineStr">
        <is>
          <t>0.00</t>
        </is>
      </c>
      <c r="Y549" t="inlineStr"/>
      <c r="Z549" t="inlineStr">
        <is>
          <t>SARVER S.L.</t>
        </is>
      </c>
      <c r="AA549" t="inlineStr">
        <is>
          <t>OTROS FABRICANTES</t>
        </is>
      </c>
      <c r="AB549" t="inlineStr">
        <is>
          <t>1359900000500</t>
        </is>
      </c>
      <c r="AC549" t="inlineStr"/>
      <c r="AD549" s="164" t="n">
        <v>0</v>
      </c>
      <c r="AE549" s="185" t="n">
        <v>0</v>
      </c>
      <c r="AG549" s="167" t="inlineStr">
        <is>
          <t>7218|JA2594_1001</t>
        </is>
      </c>
      <c r="AH549" s="46">
        <f>IF(M549=0,"-",M549-J549)</f>
        <v/>
      </c>
      <c r="AI549" s="46">
        <f>IF(AND(S549=0,M549&gt;0,L549=0),IF(AH549&gt;=120,"VERY HIGH",IF(AH549&gt;=90,"HIGH",IF(AH549&gt;=60,"MEDIUM",IF(AH549&lt;60,"LOW")))),"-")</f>
        <v/>
      </c>
      <c r="AJ549" s="12" t="n"/>
      <c r="AK549" s="41">
        <f>IF(AND(W549="X",M549&lt;=$AJ$2),"YES","")</f>
        <v/>
      </c>
      <c r="AL549" s="38">
        <f>IF(AND(W549="X",M549&lt;=$AJ$2),S549,"")</f>
        <v/>
      </c>
      <c r="AM549" s="26">
        <f>IF(AND(W549="X",M549&gt;$AJ$2),"YES","")</f>
        <v/>
      </c>
      <c r="AN549" s="89">
        <f>IF(AND(W549="X",M549&gt;$AJ$2),S549,"")</f>
        <v/>
      </c>
      <c r="AO549" s="35">
        <f>IF(AND(W549="",M549&gt;0,$AJ$2&gt;M549,L549=""),1,0)</f>
        <v/>
      </c>
      <c r="AP549" s="26">
        <f>IF(AND(AK549="YES",W549="X"),"X","")</f>
        <v/>
      </c>
      <c r="AQ549" s="28">
        <f>IF(AP549="X",100%,0%)</f>
        <v/>
      </c>
      <c r="AR549" s="25">
        <f>IF(AND(T549&gt;0,L549=""),H549,"")</f>
        <v/>
      </c>
      <c r="AS549" s="25">
        <f>IF(AND(D549&gt;0,H549=0,G549=""),1,"")</f>
        <v/>
      </c>
      <c r="AT549" s="25">
        <f>IF(G549="BLOQ",1,"")</f>
        <v/>
      </c>
      <c r="AU549" s="25">
        <f>IF(L549="BLOQ",1,"")</f>
        <v/>
      </c>
      <c r="AV549" s="25">
        <f>MONTH(F549)</f>
        <v/>
      </c>
      <c r="AW549" s="65">
        <f>IF(AP549="",100%,0%)</f>
        <v/>
      </c>
      <c r="AX549" s="23" t="n"/>
      <c r="AY549" s="24">
        <f>IF(M549=0,"",M549-$AX$2)</f>
        <v/>
      </c>
      <c r="AZ549" s="66">
        <f>IF(AND(W549="",AY549&gt;0,AY549&lt;15),1,0)</f>
        <v/>
      </c>
      <c r="BA549" s="24">
        <f>IF(AND(W549="",AY549&gt;0,AY549&lt;15),T549,"")</f>
        <v/>
      </c>
      <c r="BB549" s="87">
        <f>IF(R549&lt;Q549,"X","")</f>
        <v/>
      </c>
      <c r="BC549" s="190" t="inlineStr">
        <is>
          <t>NO</t>
        </is>
      </c>
      <c r="BD549" s="190" t="inlineStr">
        <is>
          <t>NO</t>
        </is>
      </c>
    </row>
    <row r="550" ht="15" customHeight="1" s="162">
      <c r="A550" s="7" t="n">
        <v>549</v>
      </c>
      <c r="B550" t="inlineStr">
        <is>
          <t>1359900000500</t>
        </is>
      </c>
      <c r="C550" t="inlineStr">
        <is>
          <t>COMPRA DIRECTA ELECTRICOS/ELECTRONICOS</t>
        </is>
      </c>
      <c r="D550" t="inlineStr">
        <is>
          <t>1101887664</t>
        </is>
      </c>
      <c r="E550" t="inlineStr">
        <is>
          <t>1</t>
        </is>
      </c>
      <c r="F550" s="163" t="n">
        <v>45841</v>
      </c>
      <c r="G550" t="inlineStr"/>
      <c r="H550" t="inlineStr">
        <is>
          <t>4200620036</t>
        </is>
      </c>
      <c r="I550" t="inlineStr">
        <is>
          <t>20</t>
        </is>
      </c>
      <c r="J550" s="163" t="n">
        <v>45854</v>
      </c>
      <c r="K550" s="163" t="n">
        <v>45855</v>
      </c>
      <c r="L550" t="inlineStr"/>
      <c r="M550" s="163" t="n">
        <v>45930</v>
      </c>
      <c r="N550" s="164" t="n">
        <v>30</v>
      </c>
      <c r="O550" s="164" t="n">
        <v>8</v>
      </c>
      <c r="P550" t="inlineStr">
        <is>
          <t>Liberado</t>
        </is>
      </c>
      <c r="Q550" s="165" t="n">
        <v>1</v>
      </c>
      <c r="R550" s="165" t="n">
        <v>1</v>
      </c>
      <c r="S550" s="165" t="n">
        <v>1</v>
      </c>
      <c r="T550" s="165" t="n">
        <v>0</v>
      </c>
      <c r="U550" s="166" t="n">
        <v>0</v>
      </c>
      <c r="V550" s="166" t="n">
        <v>0</v>
      </c>
      <c r="W550" t="inlineStr">
        <is>
          <t>X</t>
        </is>
      </c>
      <c r="X550" t="inlineStr">
        <is>
          <t>0.00</t>
        </is>
      </c>
      <c r="Y550" t="inlineStr"/>
      <c r="Z550" t="inlineStr">
        <is>
          <t>SARVER S.L.</t>
        </is>
      </c>
      <c r="AA550" t="inlineStr">
        <is>
          <t>OTROS FABRICANTES</t>
        </is>
      </c>
      <c r="AB550" t="inlineStr">
        <is>
          <t>1359900000500</t>
        </is>
      </c>
      <c r="AC550" t="inlineStr"/>
      <c r="AD550" s="164" t="n">
        <v>0</v>
      </c>
      <c r="AE550" s="185" t="n">
        <v>0</v>
      </c>
      <c r="AG550" s="167" t="inlineStr">
        <is>
          <t>7218|JA2594_1001</t>
        </is>
      </c>
      <c r="AH550" s="46">
        <f>IF(M550=0,"-",M550-J550)</f>
        <v/>
      </c>
      <c r="AI550" s="46">
        <f>IF(AND(S550=0,M550&gt;0,L550=0),IF(AH550&gt;=120,"VERY HIGH",IF(AH550&gt;=90,"HIGH",IF(AH550&gt;=60,"MEDIUM",IF(AH550&lt;60,"LOW")))),"-")</f>
        <v/>
      </c>
      <c r="AJ550" s="12" t="n"/>
      <c r="AK550" s="41">
        <f>IF(AND(W550="X",M550&lt;=$AJ$2),"YES","")</f>
        <v/>
      </c>
      <c r="AL550" s="38">
        <f>IF(AND(W550="X",M550&lt;=$AJ$2),S550,"")</f>
        <v/>
      </c>
      <c r="AM550" s="26">
        <f>IF(AND(W550="X",M550&gt;$AJ$2),"YES","")</f>
        <v/>
      </c>
      <c r="AN550" s="89">
        <f>IF(AND(W550="X",M550&gt;$AJ$2),S550,"")</f>
        <v/>
      </c>
      <c r="AO550" s="35">
        <f>IF(AND(W550="",M550&gt;0,$AJ$2&gt;M550,L550=""),1,0)</f>
        <v/>
      </c>
      <c r="AP550" s="26">
        <f>IF(AND(AK550="YES",W550="X"),"X","")</f>
        <v/>
      </c>
      <c r="AQ550" s="28">
        <f>IF(AP550="X",100%,0%)</f>
        <v/>
      </c>
      <c r="AR550" s="25">
        <f>IF(AND(T550&gt;0,L550=""),H550,"")</f>
        <v/>
      </c>
      <c r="AS550" s="25">
        <f>IF(AND(D550&gt;0,H550=0,G550=""),1,"")</f>
        <v/>
      </c>
      <c r="AT550" s="25">
        <f>IF(G550="BLOQ",1,"")</f>
        <v/>
      </c>
      <c r="AU550" s="25">
        <f>IF(L550="BLOQ",1,"")</f>
        <v/>
      </c>
      <c r="AV550" s="25">
        <f>MONTH(F550)</f>
        <v/>
      </c>
      <c r="AW550" s="65">
        <f>IF(AP550="",100%,0%)</f>
        <v/>
      </c>
      <c r="AX550" s="23" t="n"/>
      <c r="AY550" s="24">
        <f>IF(M550=0,"",M550-$AX$2)</f>
        <v/>
      </c>
      <c r="AZ550" s="66">
        <f>IF(AND(W550="",AY550&gt;0,AY550&lt;15),1,0)</f>
        <v/>
      </c>
      <c r="BA550" s="24">
        <f>IF(AND(W550="",AY550&gt;0,AY550&lt;15),T550,"")</f>
        <v/>
      </c>
      <c r="BB550" s="87">
        <f>IF(R550&lt;Q550,"X","")</f>
        <v/>
      </c>
      <c r="BC550" s="190" t="inlineStr">
        <is>
          <t>NO</t>
        </is>
      </c>
      <c r="BD550" s="190" t="inlineStr">
        <is>
          <t>NO</t>
        </is>
      </c>
    </row>
    <row r="551" ht="15" customHeight="1" s="162">
      <c r="A551" s="7" t="n">
        <v>550</v>
      </c>
      <c r="B551" t="inlineStr">
        <is>
          <t>32000000</t>
        </is>
      </c>
      <c r="C551" t="inlineStr">
        <is>
          <t>Panel del Rack 1U nVent SCHROFF de Alumi</t>
        </is>
      </c>
      <c r="D551" t="inlineStr">
        <is>
          <t>1101888882</t>
        </is>
      </c>
      <c r="E551" t="inlineStr">
        <is>
          <t>1</t>
        </is>
      </c>
      <c r="F551" s="163" t="n">
        <v>45846</v>
      </c>
      <c r="G551" t="inlineStr"/>
      <c r="H551" t="inlineStr">
        <is>
          <t>4800003167</t>
        </is>
      </c>
      <c r="I551" t="inlineStr">
        <is>
          <t>270</t>
        </is>
      </c>
      <c r="J551" s="163" t="n">
        <v>45845</v>
      </c>
      <c r="K551" s="163" t="inlineStr"/>
      <c r="L551" t="inlineStr"/>
      <c r="M551" s="163" t="n">
        <v>45847</v>
      </c>
      <c r="N551" s="164" t="n">
        <v>0</v>
      </c>
      <c r="O551" s="164" t="n">
        <v>0</v>
      </c>
      <c r="P551" t="inlineStr"/>
      <c r="Q551" s="165" t="n">
        <v>1</v>
      </c>
      <c r="R551" s="165" t="n">
        <v>1</v>
      </c>
      <c r="S551" s="165" t="n">
        <v>1</v>
      </c>
      <c r="T551" s="165" t="n">
        <v>0</v>
      </c>
      <c r="U551" s="166" t="n">
        <v>0</v>
      </c>
      <c r="V551" s="166" t="n">
        <v>0</v>
      </c>
      <c r="W551" t="inlineStr">
        <is>
          <t>X</t>
        </is>
      </c>
      <c r="X551" t="inlineStr">
        <is>
          <t>0.00</t>
        </is>
      </c>
      <c r="Y551" t="inlineStr"/>
      <c r="Z551" t="inlineStr">
        <is>
          <t>AMIDATA, S.A.</t>
        </is>
      </c>
      <c r="AA551" t="inlineStr"/>
      <c r="AB551" t="inlineStr">
        <is>
          <t>2839198</t>
        </is>
      </c>
      <c r="AC551" t="inlineStr"/>
      <c r="AD551" s="164" t="n">
        <v>0</v>
      </c>
      <c r="AE551" s="185" t="n">
        <v>0</v>
      </c>
      <c r="AG551" s="167" t="inlineStr">
        <is>
          <t>7218|JA2594_1001</t>
        </is>
      </c>
      <c r="AH551" s="46">
        <f>IF(M551=0,"-",M551-J551)</f>
        <v/>
      </c>
      <c r="AI551" s="46">
        <f>IF(AND(S551=0,M551&gt;0,L551=0),IF(AH551&gt;=120,"VERY HIGH",IF(AH551&gt;=90,"HIGH",IF(AH551&gt;=60,"MEDIUM",IF(AH551&lt;60,"LOW")))),"-")</f>
        <v/>
      </c>
      <c r="AJ551" s="12" t="n"/>
      <c r="AK551" s="41">
        <f>IF(AND(W551="X",M551&lt;=$AJ$2),"YES","")</f>
        <v/>
      </c>
      <c r="AL551" s="38">
        <f>IF(AND(W551="X",M551&lt;=$AJ$2),S551,"")</f>
        <v/>
      </c>
      <c r="AM551" s="26">
        <f>IF(AND(W551="X",M551&gt;$AJ$2),"YES","")</f>
        <v/>
      </c>
      <c r="AN551" s="89">
        <f>IF(AND(W551="X",M551&gt;$AJ$2),S551,"")</f>
        <v/>
      </c>
      <c r="AO551" s="35">
        <f>IF(AND(W551="",M551&gt;0,$AJ$2&gt;M551,L551=""),1,0)</f>
        <v/>
      </c>
      <c r="AP551" s="26">
        <f>IF(AND(AK551="YES",W551="X"),"X","")</f>
        <v/>
      </c>
      <c r="AQ551" s="28">
        <f>IF(AP551="X",100%,0%)</f>
        <v/>
      </c>
      <c r="AR551" s="25">
        <f>IF(AND(T551&gt;0,L551=""),H551,"")</f>
        <v/>
      </c>
      <c r="AS551" s="25">
        <f>IF(AND(D551&gt;0,H551=0,G551=""),1,"")</f>
        <v/>
      </c>
      <c r="AT551" s="25">
        <f>IF(G551="BLOQ",1,"")</f>
        <v/>
      </c>
      <c r="AU551" s="25">
        <f>IF(L551="BLOQ",1,"")</f>
        <v/>
      </c>
      <c r="AV551" s="25">
        <f>MONTH(F551)</f>
        <v/>
      </c>
      <c r="AW551" s="65">
        <f>IF(AP551="",100%,0%)</f>
        <v/>
      </c>
      <c r="AX551" s="23" t="n"/>
      <c r="AY551" s="24">
        <f>IF(M551=0,"",M551-$AX$2)</f>
        <v/>
      </c>
      <c r="AZ551" s="66">
        <f>IF(AND(W551="",AY551&gt;0,AY551&lt;15),1,0)</f>
        <v/>
      </c>
      <c r="BA551" s="24">
        <f>IF(AND(W551="",AY551&gt;0,AY551&lt;15),T551,"")</f>
        <v/>
      </c>
      <c r="BB551" s="87">
        <f>IF(R551&lt;Q551,"X","")</f>
        <v/>
      </c>
      <c r="BC551" s="190" t="inlineStr">
        <is>
          <t>NO</t>
        </is>
      </c>
      <c r="BD551" s="190" t="inlineStr">
        <is>
          <t>NO</t>
        </is>
      </c>
    </row>
    <row r="552" ht="15" customHeight="1" s="162">
      <c r="A552" s="7" t="n">
        <v>551</v>
      </c>
      <c r="B552" t="inlineStr">
        <is>
          <t>27111710</t>
        </is>
      </c>
      <c r="C552" t="inlineStr">
        <is>
          <t>Juego de llaves hexagonales en L Facom d</t>
        </is>
      </c>
      <c r="D552" t="inlineStr">
        <is>
          <t>1101889452</t>
        </is>
      </c>
      <c r="E552" t="inlineStr">
        <is>
          <t>1</t>
        </is>
      </c>
      <c r="F552" s="163" t="n">
        <v>45847</v>
      </c>
      <c r="G552" t="inlineStr"/>
      <c r="H552" t="inlineStr">
        <is>
          <t>4800003170</t>
        </is>
      </c>
      <c r="I552" t="inlineStr">
        <is>
          <t>170</t>
        </is>
      </c>
      <c r="J552" s="163" t="n">
        <v>45847</v>
      </c>
      <c r="K552" s="163" t="inlineStr"/>
      <c r="L552" t="inlineStr"/>
      <c r="M552" s="163" t="n">
        <v>45848</v>
      </c>
      <c r="N552" s="164" t="n">
        <v>0</v>
      </c>
      <c r="O552" s="164" t="n">
        <v>0</v>
      </c>
      <c r="P552" t="inlineStr"/>
      <c r="Q552" s="165" t="n">
        <v>1</v>
      </c>
      <c r="R552" s="165" t="n">
        <v>1</v>
      </c>
      <c r="S552" s="165" t="n">
        <v>1</v>
      </c>
      <c r="T552" s="165" t="n">
        <v>0</v>
      </c>
      <c r="U552" s="166" t="n">
        <v>0</v>
      </c>
      <c r="V552" s="166" t="n">
        <v>0</v>
      </c>
      <c r="W552" t="inlineStr">
        <is>
          <t>X</t>
        </is>
      </c>
      <c r="X552" t="inlineStr">
        <is>
          <t>0.00</t>
        </is>
      </c>
      <c r="Y552" t="inlineStr"/>
      <c r="Z552" t="inlineStr">
        <is>
          <t>AMIDATA, S.A.</t>
        </is>
      </c>
      <c r="AA552" t="inlineStr"/>
      <c r="AB552" t="inlineStr">
        <is>
          <t>7554122</t>
        </is>
      </c>
      <c r="AC552" t="inlineStr"/>
      <c r="AD552" s="164" t="n">
        <v>0</v>
      </c>
      <c r="AE552" s="185" t="n">
        <v>0</v>
      </c>
      <c r="AG552" s="167" t="inlineStr">
        <is>
          <t>7218|S24B05_S1071</t>
        </is>
      </c>
      <c r="AH552" s="46">
        <f>IF(M552=0,"-",M552-J552)</f>
        <v/>
      </c>
      <c r="AI552" s="46">
        <f>IF(AND(S552=0,M552&gt;0,L552=0),IF(AH552&gt;=120,"VERY HIGH",IF(AH552&gt;=90,"HIGH",IF(AH552&gt;=60,"MEDIUM",IF(AH552&lt;60,"LOW")))),"-")</f>
        <v/>
      </c>
      <c r="AJ552" s="12" t="n"/>
      <c r="AK552" s="41">
        <f>IF(AND(W552="X",M552&lt;=$AJ$2),"YES","")</f>
        <v/>
      </c>
      <c r="AL552" s="38">
        <f>IF(AND(W552="X",M552&lt;=$AJ$2),S552,"")</f>
        <v/>
      </c>
      <c r="AM552" s="26">
        <f>IF(AND(W552="X",M552&gt;$AJ$2),"YES","")</f>
        <v/>
      </c>
      <c r="AN552" s="89">
        <f>IF(AND(W552="X",M552&gt;$AJ$2),S552,"")</f>
        <v/>
      </c>
      <c r="AO552" s="35">
        <f>IF(AND(W552="",M552&gt;0,$AJ$2&gt;M552,L552=""),1,0)</f>
        <v/>
      </c>
      <c r="AP552" s="26">
        <f>IF(AND(AK552="YES",W552="X"),"X","")</f>
        <v/>
      </c>
      <c r="AQ552" s="28">
        <f>IF(AP552="X",100%,0%)</f>
        <v/>
      </c>
      <c r="AR552" s="25">
        <f>IF(AND(T552&gt;0,L552=""),H552,"")</f>
        <v/>
      </c>
      <c r="AS552" s="25">
        <f>IF(AND(D552&gt;0,H552=0,G552=""),1,"")</f>
        <v/>
      </c>
      <c r="AT552" s="25">
        <f>IF(G552="BLOQ",1,"")</f>
        <v/>
      </c>
      <c r="AU552" s="25">
        <f>IF(L552="BLOQ",1,"")</f>
        <v/>
      </c>
      <c r="AV552" s="25">
        <f>MONTH(F552)</f>
        <v/>
      </c>
      <c r="AW552" s="65">
        <f>IF(AP552="",100%,0%)</f>
        <v/>
      </c>
      <c r="AX552" s="23" t="n"/>
      <c r="AY552" s="24">
        <f>IF(M552=0,"",M552-$AX$2)</f>
        <v/>
      </c>
      <c r="AZ552" s="66">
        <f>IF(AND(W552="",AY552&gt;0,AY552&lt;15),1,0)</f>
        <v/>
      </c>
      <c r="BA552" s="24">
        <f>IF(AND(W552="",AY552&gt;0,AY552&lt;15),T552,"")</f>
        <v/>
      </c>
      <c r="BB552" s="87">
        <f>IF(R552&lt;Q552,"X","")</f>
        <v/>
      </c>
      <c r="BC552" s="190" t="inlineStr">
        <is>
          <t>NO</t>
        </is>
      </c>
      <c r="BD552" s="190" t="inlineStr">
        <is>
          <t>NO</t>
        </is>
      </c>
    </row>
    <row r="553" ht="15" customHeight="1" s="162">
      <c r="A553" s="7" t="n">
        <v>552</v>
      </c>
      <c r="B553" t="inlineStr"/>
      <c r="C553" t="inlineStr">
        <is>
          <t>MOQUETA A320 FFS</t>
        </is>
      </c>
      <c r="D553" t="inlineStr">
        <is>
          <t>1101890088</t>
        </is>
      </c>
      <c r="E553" t="inlineStr">
        <is>
          <t>1</t>
        </is>
      </c>
      <c r="F553" s="163" t="n">
        <v>45848</v>
      </c>
      <c r="G553" t="inlineStr"/>
      <c r="H553" t="inlineStr">
        <is>
          <t>4300349810</t>
        </is>
      </c>
      <c r="I553" t="inlineStr">
        <is>
          <t>10</t>
        </is>
      </c>
      <c r="J553" s="163" t="n">
        <v>45855</v>
      </c>
      <c r="K553" s="163" t="n">
        <v>45856</v>
      </c>
      <c r="L553" t="inlineStr"/>
      <c r="M553" s="163" t="n">
        <v>45991</v>
      </c>
      <c r="N553" s="164" t="n">
        <v>0</v>
      </c>
      <c r="O553" s="164" t="n">
        <v>0</v>
      </c>
      <c r="P553" t="inlineStr">
        <is>
          <t>Liberado</t>
        </is>
      </c>
      <c r="Q553" s="166" t="n">
        <v>1</v>
      </c>
      <c r="R553" s="164" t="n">
        <v>1</v>
      </c>
      <c r="S553" s="164" t="n">
        <v>0</v>
      </c>
      <c r="T553" s="164" t="n">
        <v>0</v>
      </c>
      <c r="U553" s="166" t="n">
        <v>0</v>
      </c>
      <c r="V553" s="166" t="n">
        <v>0</v>
      </c>
      <c r="W553" t="inlineStr"/>
      <c r="X553" t="inlineStr">
        <is>
          <t>0.00</t>
        </is>
      </c>
      <c r="Y553" t="inlineStr"/>
      <c r="Z553" t="inlineStr">
        <is>
          <t>ANTONIO RAMIREZ DECORACION SL</t>
        </is>
      </c>
      <c r="AA553" t="inlineStr"/>
      <c r="AB553" t="inlineStr"/>
      <c r="AC553" t="inlineStr"/>
      <c r="AD553" s="164" t="n">
        <v>0</v>
      </c>
      <c r="AE553" s="185" t="n">
        <v>0</v>
      </c>
      <c r="AG553" s="167" t="inlineStr">
        <is>
          <t>7218|S24B05_S1076</t>
        </is>
      </c>
      <c r="AH553" s="46">
        <f>IF(M553=0,"-",M553-J553)</f>
        <v/>
      </c>
      <c r="AI553" s="46">
        <f>IF(AND(S553=0,M553&gt;0,L553=0),IF(AH553&gt;=120,"VERY HIGH",IF(AH553&gt;=90,"HIGH",IF(AH553&gt;=60,"MEDIUM",IF(AH553&lt;60,"LOW")))),"-")</f>
        <v/>
      </c>
      <c r="AJ553" s="12" t="n"/>
      <c r="AK553" s="41">
        <f>IF(AND(W553="X",M553&lt;=$AJ$2),"YES","")</f>
        <v/>
      </c>
      <c r="AL553" s="38">
        <f>IF(AND(W553="X",M553&lt;=$AJ$2),S553,"")</f>
        <v/>
      </c>
      <c r="AM553" s="26">
        <f>IF(AND(W553="X",M553&gt;$AJ$2),"YES","")</f>
        <v/>
      </c>
      <c r="AN553" s="89">
        <f>IF(AND(W553="X",M553&gt;$AJ$2),S553,"")</f>
        <v/>
      </c>
      <c r="AO553" s="35">
        <f>IF(AND(W553="",M553&gt;0,$AJ$2&gt;M553,L553=""),1,0)</f>
        <v/>
      </c>
      <c r="AP553" s="26">
        <f>IF(AND(AK553="YES",W553="X"),"X","")</f>
        <v/>
      </c>
      <c r="AQ553" s="28">
        <f>IF(AP553="X",100%,0%)</f>
        <v/>
      </c>
      <c r="AR553" s="25">
        <f>IF(AND(T553&gt;0,L553=""),H553,"")</f>
        <v/>
      </c>
      <c r="AS553" s="25">
        <f>IF(AND(D553&gt;0,H553=0,G553=""),1,"")</f>
        <v/>
      </c>
      <c r="AT553" s="25">
        <f>IF(G553="BLOQ",1,"")</f>
        <v/>
      </c>
      <c r="AU553" s="25">
        <f>IF(L553="BLOQ",1,"")</f>
        <v/>
      </c>
      <c r="AV553" s="25">
        <f>MONTH(F553)</f>
        <v/>
      </c>
      <c r="AW553" s="65">
        <f>IF(AP553="",100%,0%)</f>
        <v/>
      </c>
      <c r="AX553" s="23" t="n"/>
      <c r="AY553" s="24">
        <f>IF(M553=0,"",M553-$AX$2)</f>
        <v/>
      </c>
      <c r="AZ553" s="66">
        <f>IF(AND(W553="",AY553&gt;0,AY553&lt;15),1,0)</f>
        <v/>
      </c>
      <c r="BA553" s="24">
        <f>IF(AND(W553="",AY553&gt;0,AY553&lt;15),T553,"")</f>
        <v/>
      </c>
      <c r="BB553" s="87">
        <f>IF(R553&lt;Q553,"X","")</f>
        <v/>
      </c>
      <c r="BC553" s="190" t="inlineStr">
        <is>
          <t>NO</t>
        </is>
      </c>
      <c r="BD553" s="190" t="inlineStr">
        <is>
          <t>NO</t>
        </is>
      </c>
    </row>
    <row r="554" ht="15" customHeight="1" s="162">
      <c r="A554" s="7" t="n">
        <v>553</v>
      </c>
      <c r="B554" t="inlineStr">
        <is>
          <t>1359900000500</t>
        </is>
      </c>
      <c r="C554" t="inlineStr">
        <is>
          <t>COMPRA DIRECTA ELECTRICOS/ELECTRONICOS</t>
        </is>
      </c>
      <c r="D554" t="inlineStr">
        <is>
          <t>1101890242</t>
        </is>
      </c>
      <c r="E554" t="inlineStr">
        <is>
          <t>1</t>
        </is>
      </c>
      <c r="F554" s="163" t="n">
        <v>45848</v>
      </c>
      <c r="G554" t="inlineStr"/>
      <c r="H554" t="inlineStr">
        <is>
          <t>4200620293</t>
        </is>
      </c>
      <c r="I554" t="inlineStr">
        <is>
          <t>50</t>
        </is>
      </c>
      <c r="J554" s="163" t="n">
        <v>45855</v>
      </c>
      <c r="K554" s="163" t="n">
        <v>45859</v>
      </c>
      <c r="L554" t="inlineStr"/>
      <c r="M554" s="163" t="n">
        <v>45930</v>
      </c>
      <c r="N554" s="164" t="n">
        <v>30</v>
      </c>
      <c r="O554" s="164" t="n">
        <v>8</v>
      </c>
      <c r="P554" t="inlineStr">
        <is>
          <t>Liberado</t>
        </is>
      </c>
      <c r="Q554" s="165" t="n">
        <v>1</v>
      </c>
      <c r="R554" s="165" t="n">
        <v>1</v>
      </c>
      <c r="S554" s="165" t="n">
        <v>1</v>
      </c>
      <c r="T554" s="165" t="n">
        <v>0</v>
      </c>
      <c r="U554" s="166" t="n">
        <v>0</v>
      </c>
      <c r="V554" s="166" t="n">
        <v>0</v>
      </c>
      <c r="W554" t="inlineStr">
        <is>
          <t>X</t>
        </is>
      </c>
      <c r="X554" t="inlineStr">
        <is>
          <t>0.00</t>
        </is>
      </c>
      <c r="Y554" t="inlineStr"/>
      <c r="Z554" t="inlineStr">
        <is>
          <t>SARVER S.L.</t>
        </is>
      </c>
      <c r="AA554" t="inlineStr">
        <is>
          <t>OTROS FABRICANTES</t>
        </is>
      </c>
      <c r="AB554" t="inlineStr">
        <is>
          <t>1359900000500</t>
        </is>
      </c>
      <c r="AC554" t="inlineStr"/>
      <c r="AD554" s="164" t="n">
        <v>0</v>
      </c>
      <c r="AE554" s="185" t="n">
        <v>0</v>
      </c>
      <c r="AG554" s="167" t="inlineStr">
        <is>
          <t>7218|JA2582_1001</t>
        </is>
      </c>
      <c r="AH554" s="46">
        <f>IF(M554=0,"-",M554-J554)</f>
        <v/>
      </c>
      <c r="AI554" s="46">
        <f>IF(AND(S554=0,M554&gt;0,L554=0),IF(AH554&gt;=120,"VERY HIGH",IF(AH554&gt;=90,"HIGH",IF(AH554&gt;=60,"MEDIUM",IF(AH554&lt;60,"LOW")))),"-")</f>
        <v/>
      </c>
      <c r="AJ554" s="12" t="n"/>
      <c r="AK554" s="41">
        <f>IF(AND(W554="X",M554&lt;=$AJ$2),"YES","")</f>
        <v/>
      </c>
      <c r="AL554" s="38">
        <f>IF(AND(W554="X",M554&lt;=$AJ$2),S554,"")</f>
        <v/>
      </c>
      <c r="AM554" s="26">
        <f>IF(AND(W554="X",M554&gt;$AJ$2),"YES","")</f>
        <v/>
      </c>
      <c r="AN554" s="89">
        <f>IF(AND(W554="X",M554&gt;$AJ$2),S554,"")</f>
        <v/>
      </c>
      <c r="AO554" s="35">
        <f>IF(AND(W554="",M554&gt;0,$AJ$2&gt;M554,L554=""),1,0)</f>
        <v/>
      </c>
      <c r="AP554" s="26">
        <f>IF(AND(AK554="YES",W554="X"),"X","")</f>
        <v/>
      </c>
      <c r="AQ554" s="28">
        <f>IF(AP554="X",100%,0%)</f>
        <v/>
      </c>
      <c r="AR554" s="25">
        <f>IF(AND(T554&gt;0,L554=""),H554,"")</f>
        <v/>
      </c>
      <c r="AS554" s="25">
        <f>IF(AND(D554&gt;0,H554=0,G554=""),1,"")</f>
        <v/>
      </c>
      <c r="AT554" s="25">
        <f>IF(G554="BLOQ",1,"")</f>
        <v/>
      </c>
      <c r="AU554" s="25">
        <f>IF(L554="BLOQ",1,"")</f>
        <v/>
      </c>
      <c r="AV554" s="25">
        <f>MONTH(F554)</f>
        <v/>
      </c>
      <c r="AW554" s="65">
        <f>IF(AP554="",100%,0%)</f>
        <v/>
      </c>
      <c r="AX554" s="23" t="n"/>
      <c r="AY554" s="24">
        <f>IF(M554=0,"",M554-$AX$2)</f>
        <v/>
      </c>
      <c r="AZ554" s="66">
        <f>IF(AND(W554="",AY554&gt;0,AY554&lt;15),1,0)</f>
        <v/>
      </c>
      <c r="BA554" s="24">
        <f>IF(AND(W554="",AY554&gt;0,AY554&lt;15),T554,"")</f>
        <v/>
      </c>
      <c r="BB554" s="87">
        <f>IF(R554&lt;Q554,"X","")</f>
        <v/>
      </c>
      <c r="BC554" s="190" t="inlineStr">
        <is>
          <t>NO</t>
        </is>
      </c>
      <c r="BD554" s="190" t="inlineStr">
        <is>
          <t>NO</t>
        </is>
      </c>
    </row>
    <row r="555" ht="15" customHeight="1" s="162">
      <c r="A555" s="7" t="n">
        <v>554</v>
      </c>
      <c r="B555" t="inlineStr">
        <is>
          <t>55121620</t>
        </is>
      </c>
      <c r="C555" t="inlineStr">
        <is>
          <t>Hoja de etiquetas Avery L7651-25, 25 Dir</t>
        </is>
      </c>
      <c r="D555" t="inlineStr">
        <is>
          <t>1101890718</t>
        </is>
      </c>
      <c r="E555" t="inlineStr">
        <is>
          <t>1</t>
        </is>
      </c>
      <c r="F555" s="163" t="n">
        <v>45849</v>
      </c>
      <c r="G555" t="inlineStr"/>
      <c r="H555" t="inlineStr">
        <is>
          <t>4800003179</t>
        </is>
      </c>
      <c r="I555" t="inlineStr">
        <is>
          <t>410</t>
        </is>
      </c>
      <c r="J555" s="163" t="n">
        <v>45849</v>
      </c>
      <c r="K555" s="163" t="inlineStr"/>
      <c r="L555" t="inlineStr"/>
      <c r="M555" s="163" t="n">
        <v>45850</v>
      </c>
      <c r="N555" s="164" t="n">
        <v>0</v>
      </c>
      <c r="O555" s="164" t="n">
        <v>0</v>
      </c>
      <c r="P555" t="inlineStr"/>
      <c r="Q555" s="165" t="n">
        <v>1</v>
      </c>
      <c r="R555" s="165" t="n">
        <v>1</v>
      </c>
      <c r="S555" s="165" t="n">
        <v>1</v>
      </c>
      <c r="T555" s="165" t="n">
        <v>0</v>
      </c>
      <c r="U555" s="166" t="n">
        <v>0</v>
      </c>
      <c r="V555" s="166" t="n">
        <v>0</v>
      </c>
      <c r="W555" t="inlineStr">
        <is>
          <t>X</t>
        </is>
      </c>
      <c r="X555" t="inlineStr">
        <is>
          <t>0.00</t>
        </is>
      </c>
      <c r="Y555" t="inlineStr"/>
      <c r="Z555" t="inlineStr">
        <is>
          <t>AMIDATA, S.A.</t>
        </is>
      </c>
      <c r="AA555" t="inlineStr"/>
      <c r="AB555" t="inlineStr">
        <is>
          <t>2893595</t>
        </is>
      </c>
      <c r="AC555" t="inlineStr"/>
      <c r="AD555" s="164" t="n">
        <v>0</v>
      </c>
      <c r="AE555" s="185" t="n">
        <v>0</v>
      </c>
      <c r="AG555" s="167" t="inlineStr">
        <is>
          <t>7218|JA2582_1001</t>
        </is>
      </c>
      <c r="AH555" s="46">
        <f>IF(M555=0,"-",M555-J555)</f>
        <v/>
      </c>
      <c r="AI555" s="46">
        <f>IF(AND(S555=0,M555&gt;0,L555=0),IF(AH555&gt;=120,"VERY HIGH",IF(AH555&gt;=90,"HIGH",IF(AH555&gt;=60,"MEDIUM",IF(AH555&lt;60,"LOW")))),"-")</f>
        <v/>
      </c>
      <c r="AJ555" s="12" t="n"/>
      <c r="AK555" s="41">
        <f>IF(AND(W555="X",M555&lt;=$AJ$2),"YES","")</f>
        <v/>
      </c>
      <c r="AL555" s="38">
        <f>IF(AND(W555="X",M555&lt;=$AJ$2),S555,"")</f>
        <v/>
      </c>
      <c r="AM555" s="26">
        <f>IF(AND(W555="X",M555&gt;$AJ$2),"YES","")</f>
        <v/>
      </c>
      <c r="AN555" s="89">
        <f>IF(AND(W555="X",M555&gt;$AJ$2),S555,"")</f>
        <v/>
      </c>
      <c r="AO555" s="35">
        <f>IF(AND(W555="",M555&gt;0,$AJ$2&gt;M555,L555=""),1,0)</f>
        <v/>
      </c>
      <c r="AP555" s="26">
        <f>IF(AND(AK555="YES",W555="X"),"X","")</f>
        <v/>
      </c>
      <c r="AQ555" s="28">
        <f>IF(AP555="X",100%,0%)</f>
        <v/>
      </c>
      <c r="AR555" s="25">
        <f>IF(AND(T555&gt;0,L555=""),H555,"")</f>
        <v/>
      </c>
      <c r="AS555" s="25">
        <f>IF(AND(D555&gt;0,H555=0,G555=""),1,"")</f>
        <v/>
      </c>
      <c r="AT555" s="25">
        <f>IF(G555="BLOQ",1,"")</f>
        <v/>
      </c>
      <c r="AU555" s="25">
        <f>IF(L555="BLOQ",1,"")</f>
        <v/>
      </c>
      <c r="AV555" s="25">
        <f>MONTH(F555)</f>
        <v/>
      </c>
      <c r="AW555" s="65">
        <f>IF(AP555="",100%,0%)</f>
        <v/>
      </c>
      <c r="AX555" s="23" t="n"/>
      <c r="AY555" s="24">
        <f>IF(M555=0,"",M555-$AX$2)</f>
        <v/>
      </c>
      <c r="AZ555" s="66">
        <f>IF(AND(W555="",AY555&gt;0,AY555&lt;15),1,0)</f>
        <v/>
      </c>
      <c r="BA555" s="24">
        <f>IF(AND(W555="",AY555&gt;0,AY555&lt;15),T555,"")</f>
        <v/>
      </c>
      <c r="BB555" s="87">
        <f>IF(R555&lt;Q555,"X","")</f>
        <v/>
      </c>
      <c r="BC555" s="190" t="inlineStr">
        <is>
          <t>NO</t>
        </is>
      </c>
      <c r="BD555" s="190" t="inlineStr">
        <is>
          <t>NO</t>
        </is>
      </c>
    </row>
    <row r="556" ht="15" customHeight="1" s="162">
      <c r="A556" s="7" t="n">
        <v>555</v>
      </c>
      <c r="B556" t="inlineStr">
        <is>
          <t>1709800000500</t>
        </is>
      </c>
      <c r="C556" t="inlineStr">
        <is>
          <t>COMPRA DIRECTA FERRETERIA Y HERRAMIENTAS</t>
        </is>
      </c>
      <c r="D556" t="inlineStr">
        <is>
          <t>1101890983</t>
        </is>
      </c>
      <c r="E556" t="inlineStr">
        <is>
          <t>1</t>
        </is>
      </c>
      <c r="F556" s="163" t="n">
        <v>45852</v>
      </c>
      <c r="G556" t="inlineStr"/>
      <c r="H556" t="inlineStr">
        <is>
          <t>4200620401</t>
        </is>
      </c>
      <c r="I556" t="inlineStr">
        <is>
          <t>10</t>
        </is>
      </c>
      <c r="J556" s="163" t="n">
        <v>45856</v>
      </c>
      <c r="K556" s="163" t="n">
        <v>45859</v>
      </c>
      <c r="L556" t="inlineStr"/>
      <c r="M556" s="163" t="n">
        <v>45930</v>
      </c>
      <c r="N556" s="164" t="n">
        <v>30</v>
      </c>
      <c r="O556" s="164" t="n">
        <v>8</v>
      </c>
      <c r="P556" t="inlineStr">
        <is>
          <t>Liberado</t>
        </is>
      </c>
      <c r="Q556" s="165" t="n">
        <v>3</v>
      </c>
      <c r="R556" s="165" t="n">
        <v>3</v>
      </c>
      <c r="S556" s="165" t="n">
        <v>3</v>
      </c>
      <c r="T556" s="165" t="n">
        <v>0</v>
      </c>
      <c r="U556" s="166" t="n">
        <v>0</v>
      </c>
      <c r="V556" s="166" t="n">
        <v>0</v>
      </c>
      <c r="W556" t="inlineStr">
        <is>
          <t>X</t>
        </is>
      </c>
      <c r="X556" t="inlineStr">
        <is>
          <t>0.00</t>
        </is>
      </c>
      <c r="Y556" t="inlineStr"/>
      <c r="Z556" t="inlineStr">
        <is>
          <t>ABACO SUYTEC, S.A.U.</t>
        </is>
      </c>
      <c r="AA556" t="inlineStr">
        <is>
          <t>OTROS FABRICANTES</t>
        </is>
      </c>
      <c r="AB556" t="inlineStr">
        <is>
          <t>1709800000500</t>
        </is>
      </c>
      <c r="AC556" t="inlineStr"/>
      <c r="AD556" s="164" t="n">
        <v>0</v>
      </c>
      <c r="AE556" s="185" t="n">
        <v>0</v>
      </c>
      <c r="AG556" s="167" t="inlineStr">
        <is>
          <t>7218|S24B05_S1071</t>
        </is>
      </c>
      <c r="AH556" s="46">
        <f>IF(M556=0,"-",M556-J556)</f>
        <v/>
      </c>
      <c r="AI556" s="46">
        <f>IF(AND(S556=0,M556&gt;0,L556=0),IF(AH556&gt;=120,"VERY HIGH",IF(AH556&gt;=90,"HIGH",IF(AH556&gt;=60,"MEDIUM",IF(AH556&lt;60,"LOW")))),"-")</f>
        <v/>
      </c>
      <c r="AJ556" s="12" t="n"/>
      <c r="AK556" s="41">
        <f>IF(AND(W556="X",M556&lt;=$AJ$2),"YES","")</f>
        <v/>
      </c>
      <c r="AL556" s="38">
        <f>IF(AND(W556="X",M556&lt;=$AJ$2),S556,"")</f>
        <v/>
      </c>
      <c r="AM556" s="26">
        <f>IF(AND(W556="X",M556&gt;$AJ$2),"YES","")</f>
        <v/>
      </c>
      <c r="AN556" s="89">
        <f>IF(AND(W556="X",M556&gt;$AJ$2),S556,"")</f>
        <v/>
      </c>
      <c r="AO556" s="35">
        <f>IF(AND(W556="",M556&gt;0,$AJ$2&gt;M556,L556=""),1,0)</f>
        <v/>
      </c>
      <c r="AP556" s="26">
        <f>IF(AND(AK556="YES",W556="X"),"X","")</f>
        <v/>
      </c>
      <c r="AQ556" s="28">
        <f>IF(AP556="X",100%,0%)</f>
        <v/>
      </c>
      <c r="AR556" s="25">
        <f>IF(AND(T556&gt;0,L556=""),H556,"")</f>
        <v/>
      </c>
      <c r="AS556" s="25">
        <f>IF(AND(D556&gt;0,H556=0,G556=""),1,"")</f>
        <v/>
      </c>
      <c r="AT556" s="25">
        <f>IF(G556="BLOQ",1,"")</f>
        <v/>
      </c>
      <c r="AU556" s="25">
        <f>IF(L556="BLOQ",1,"")</f>
        <v/>
      </c>
      <c r="AV556" s="25">
        <f>MONTH(F556)</f>
        <v/>
      </c>
      <c r="AW556" s="65">
        <f>IF(AP556="",100%,0%)</f>
        <v/>
      </c>
      <c r="AX556" s="23" t="n"/>
      <c r="AY556" s="24">
        <f>IF(M556=0,"",M556-$AX$2)</f>
        <v/>
      </c>
      <c r="AZ556" s="66">
        <f>IF(AND(W556="",AY556&gt;0,AY556&lt;15),1,0)</f>
        <v/>
      </c>
      <c r="BA556" s="24">
        <f>IF(AND(W556="",AY556&gt;0,AY556&lt;15),T556,"")</f>
        <v/>
      </c>
      <c r="BB556" s="87">
        <f>IF(R556&lt;Q556,"X","")</f>
        <v/>
      </c>
      <c r="BC556" s="190" t="inlineStr">
        <is>
          <t>NO</t>
        </is>
      </c>
      <c r="BD556" s="190" t="inlineStr">
        <is>
          <t>NO</t>
        </is>
      </c>
    </row>
    <row r="557" ht="15" customHeight="1" s="162">
      <c r="A557" s="7" t="n">
        <v>556</v>
      </c>
      <c r="B557" t="inlineStr">
        <is>
          <t>1709800000500</t>
        </is>
      </c>
      <c r="C557" t="inlineStr">
        <is>
          <t>COMPRA DIRECTA FERRETERIA Y HERRAMIENTAS</t>
        </is>
      </c>
      <c r="D557" t="inlineStr">
        <is>
          <t>1101891012</t>
        </is>
      </c>
      <c r="E557" t="inlineStr">
        <is>
          <t>1</t>
        </is>
      </c>
      <c r="F557" s="163" t="n">
        <v>45852</v>
      </c>
      <c r="G557" t="inlineStr"/>
      <c r="H557" t="inlineStr">
        <is>
          <t>4200620441</t>
        </is>
      </c>
      <c r="I557" t="inlineStr">
        <is>
          <t>10</t>
        </is>
      </c>
      <c r="J557" s="163" t="n">
        <v>45856</v>
      </c>
      <c r="K557" s="163" t="n">
        <v>45859</v>
      </c>
      <c r="L557" t="inlineStr"/>
      <c r="M557" s="163" t="n">
        <v>45930</v>
      </c>
      <c r="N557" s="164" t="n">
        <v>30</v>
      </c>
      <c r="O557" s="164" t="n">
        <v>8</v>
      </c>
      <c r="P557" t="inlineStr">
        <is>
          <t>Liberado</t>
        </is>
      </c>
      <c r="Q557" s="165" t="n">
        <v>70</v>
      </c>
      <c r="R557" s="165" t="n">
        <v>70</v>
      </c>
      <c r="S557" s="165" t="n">
        <v>70</v>
      </c>
      <c r="T557" s="165" t="n">
        <v>0</v>
      </c>
      <c r="U557" s="166" t="n">
        <v>0</v>
      </c>
      <c r="V557" s="166" t="n">
        <v>0</v>
      </c>
      <c r="W557" t="inlineStr">
        <is>
          <t>X</t>
        </is>
      </c>
      <c r="X557" t="inlineStr">
        <is>
          <t>0.00</t>
        </is>
      </c>
      <c r="Y557" t="inlineStr"/>
      <c r="Z557" t="inlineStr">
        <is>
          <t>ABACO SUYTEC, S.A.U.</t>
        </is>
      </c>
      <c r="AA557" t="inlineStr">
        <is>
          <t>OTROS FABRICANTES</t>
        </is>
      </c>
      <c r="AB557" t="inlineStr">
        <is>
          <t>1709800000500</t>
        </is>
      </c>
      <c r="AC557" t="inlineStr"/>
      <c r="AD557" s="164" t="n">
        <v>0</v>
      </c>
      <c r="AE557" s="185" t="n">
        <v>0</v>
      </c>
      <c r="AG557" s="167" t="inlineStr">
        <is>
          <t>7218|JA2585_1001</t>
        </is>
      </c>
      <c r="AH557" s="46">
        <f>IF(M557=0,"-",M557-J557)</f>
        <v/>
      </c>
      <c r="AI557" s="46">
        <f>IF(AND(S557=0,M557&gt;0,L557=0),IF(AH557&gt;=120,"VERY HIGH",IF(AH557&gt;=90,"HIGH",IF(AH557&gt;=60,"MEDIUM",IF(AH557&lt;60,"LOW")))),"-")</f>
        <v/>
      </c>
      <c r="AJ557" s="12" t="n"/>
      <c r="AK557" s="41">
        <f>IF(AND(W557="X",M557&lt;=$AJ$2),"YES","")</f>
        <v/>
      </c>
      <c r="AL557" s="38">
        <f>IF(AND(W557="X",M557&lt;=$AJ$2),S557,"")</f>
        <v/>
      </c>
      <c r="AM557" s="26">
        <f>IF(AND(W557="X",M557&gt;$AJ$2),"YES","")</f>
        <v/>
      </c>
      <c r="AN557" s="89">
        <f>IF(AND(W557="X",M557&gt;$AJ$2),S557,"")</f>
        <v/>
      </c>
      <c r="AO557" s="35">
        <f>IF(AND(W557="",M557&gt;0,$AJ$2&gt;M557,L557=""),1,0)</f>
        <v/>
      </c>
      <c r="AP557" s="26">
        <f>IF(AND(AK557="YES",W557="X"),"X","")</f>
        <v/>
      </c>
      <c r="AQ557" s="28">
        <f>IF(AP557="X",100%,0%)</f>
        <v/>
      </c>
      <c r="AR557" s="25">
        <f>IF(AND(T557&gt;0,L557=""),H557,"")</f>
        <v/>
      </c>
      <c r="AS557" s="25">
        <f>IF(AND(D557&gt;0,H557=0,G557=""),1,"")</f>
        <v/>
      </c>
      <c r="AT557" s="25">
        <f>IF(G557="BLOQ",1,"")</f>
        <v/>
      </c>
      <c r="AU557" s="25">
        <f>IF(L557="BLOQ",1,"")</f>
        <v/>
      </c>
      <c r="AV557" s="25">
        <f>MONTH(F557)</f>
        <v/>
      </c>
      <c r="AW557" s="65">
        <f>IF(AP557="",100%,0%)</f>
        <v/>
      </c>
      <c r="AX557" s="23" t="n"/>
      <c r="AY557" s="24">
        <f>IF(M557=0,"",M557-$AX$2)</f>
        <v/>
      </c>
      <c r="AZ557" s="66">
        <f>IF(AND(W557="",AY557&gt;0,AY557&lt;15),1,0)</f>
        <v/>
      </c>
      <c r="BA557" s="24">
        <f>IF(AND(W557="",AY557&gt;0,AY557&lt;15),T557,"")</f>
        <v/>
      </c>
      <c r="BB557" s="87">
        <f>IF(R557&lt;Q557,"X","")</f>
        <v/>
      </c>
      <c r="BC557" s="190" t="inlineStr">
        <is>
          <t>NO</t>
        </is>
      </c>
      <c r="BD557" s="190" t="inlineStr">
        <is>
          <t>NO</t>
        </is>
      </c>
    </row>
    <row r="558" ht="15" customHeight="1" s="162">
      <c r="A558" s="7" t="n">
        <v>557</v>
      </c>
      <c r="B558" t="inlineStr">
        <is>
          <t>1709800000500</t>
        </is>
      </c>
      <c r="C558" t="inlineStr">
        <is>
          <t>COMPRA DIRECTA FERRETERIA Y HERRAMIENTAS</t>
        </is>
      </c>
      <c r="D558" t="inlineStr">
        <is>
          <t>1101891012</t>
        </is>
      </c>
      <c r="E558" t="inlineStr">
        <is>
          <t>2</t>
        </is>
      </c>
      <c r="F558" s="163" t="n">
        <v>45852</v>
      </c>
      <c r="G558" t="inlineStr"/>
      <c r="H558" t="inlineStr">
        <is>
          <t>4200620441</t>
        </is>
      </c>
      <c r="I558" t="inlineStr">
        <is>
          <t>20</t>
        </is>
      </c>
      <c r="J558" s="163" t="n">
        <v>45856</v>
      </c>
      <c r="K558" s="163" t="n">
        <v>45859</v>
      </c>
      <c r="L558" t="inlineStr"/>
      <c r="M558" s="163" t="n">
        <v>45930</v>
      </c>
      <c r="N558" s="164" t="n">
        <v>30</v>
      </c>
      <c r="O558" s="164" t="n">
        <v>8</v>
      </c>
      <c r="P558" t="inlineStr">
        <is>
          <t>Liberado</t>
        </is>
      </c>
      <c r="Q558" s="165" t="n">
        <v>70</v>
      </c>
      <c r="R558" s="165" t="n">
        <v>70</v>
      </c>
      <c r="S558" s="165" t="n">
        <v>70</v>
      </c>
      <c r="T558" s="165" t="n">
        <v>0</v>
      </c>
      <c r="U558" s="166" t="n">
        <v>0</v>
      </c>
      <c r="V558" s="166" t="n">
        <v>0</v>
      </c>
      <c r="W558" t="inlineStr">
        <is>
          <t>X</t>
        </is>
      </c>
      <c r="X558" t="inlineStr">
        <is>
          <t>0.00</t>
        </is>
      </c>
      <c r="Y558" t="inlineStr"/>
      <c r="Z558" t="inlineStr">
        <is>
          <t>ABACO SUYTEC, S.A.U.</t>
        </is>
      </c>
      <c r="AA558" t="inlineStr">
        <is>
          <t>OTROS FABRICANTES</t>
        </is>
      </c>
      <c r="AB558" t="inlineStr">
        <is>
          <t>1709800000500</t>
        </is>
      </c>
      <c r="AC558" t="inlineStr"/>
      <c r="AD558" s="164" t="n">
        <v>0</v>
      </c>
      <c r="AE558" s="185" t="n">
        <v>0</v>
      </c>
      <c r="AG558" s="167" t="inlineStr">
        <is>
          <t>7218|JA2585_1001</t>
        </is>
      </c>
      <c r="AH558" s="46">
        <f>IF(M558=0,"-",M558-J558)</f>
        <v/>
      </c>
      <c r="AI558" s="46">
        <f>IF(AND(S558=0,M558&gt;0,L558=0),IF(AH558&gt;=120,"VERY HIGH",IF(AH558&gt;=90,"HIGH",IF(AH558&gt;=60,"MEDIUM",IF(AH558&lt;60,"LOW")))),"-")</f>
        <v/>
      </c>
      <c r="AJ558" s="12" t="n"/>
      <c r="AK558" s="41">
        <f>IF(AND(W558="X",M558&lt;=$AJ$2),"YES","")</f>
        <v/>
      </c>
      <c r="AL558" s="38">
        <f>IF(AND(W558="X",M558&lt;=$AJ$2),S558,"")</f>
        <v/>
      </c>
      <c r="AM558" s="26">
        <f>IF(AND(W558="X",M558&gt;$AJ$2),"YES","")</f>
        <v/>
      </c>
      <c r="AN558" s="89">
        <f>IF(AND(W558="X",M558&gt;$AJ$2),S558,"")</f>
        <v/>
      </c>
      <c r="AO558" s="35">
        <f>IF(AND(W558="",M558&gt;0,$AJ$2&gt;M558,L558=""),1,0)</f>
        <v/>
      </c>
      <c r="AP558" s="26">
        <f>IF(AND(AK558="YES",W558="X"),"X","")</f>
        <v/>
      </c>
      <c r="AQ558" s="28">
        <f>IF(AP558="X",100%,0%)</f>
        <v/>
      </c>
      <c r="AR558" s="25">
        <f>IF(AND(T558&gt;0,L558=""),H558,"")</f>
        <v/>
      </c>
      <c r="AS558" s="25">
        <f>IF(AND(D558&gt;0,H558=0,G558=""),1,"")</f>
        <v/>
      </c>
      <c r="AT558" s="25">
        <f>IF(G558="BLOQ",1,"")</f>
        <v/>
      </c>
      <c r="AU558" s="25">
        <f>IF(L558="BLOQ",1,"")</f>
        <v/>
      </c>
      <c r="AV558" s="25">
        <f>MONTH(F558)</f>
        <v/>
      </c>
      <c r="AW558" s="65">
        <f>IF(AP558="",100%,0%)</f>
        <v/>
      </c>
      <c r="AX558" s="23" t="n"/>
      <c r="AY558" s="24">
        <f>IF(M558=0,"",M558-$AX$2)</f>
        <v/>
      </c>
      <c r="AZ558" s="66">
        <f>IF(AND(W558="",AY558&gt;0,AY558&lt;15),1,0)</f>
        <v/>
      </c>
      <c r="BA558" s="24">
        <f>IF(AND(W558="",AY558&gt;0,AY558&lt;15),T558,"")</f>
        <v/>
      </c>
      <c r="BB558" s="87">
        <f>IF(R558&lt;Q558,"X","")</f>
        <v/>
      </c>
      <c r="BC558" s="190" t="inlineStr">
        <is>
          <t>NO</t>
        </is>
      </c>
      <c r="BD558" s="190" t="inlineStr">
        <is>
          <t>NO</t>
        </is>
      </c>
    </row>
    <row r="559" ht="15" customHeight="1" s="162">
      <c r="A559" s="7" t="n">
        <v>558</v>
      </c>
      <c r="B559" t="inlineStr">
        <is>
          <t>39122335</t>
        </is>
      </c>
      <c r="C559" t="inlineStr">
        <is>
          <t>Z&amp;#243;calo de rel&amp;#233; Finder 96 para</t>
        </is>
      </c>
      <c r="D559" t="inlineStr">
        <is>
          <t>1101892281</t>
        </is>
      </c>
      <c r="E559" t="inlineStr">
        <is>
          <t>1</t>
        </is>
      </c>
      <c r="F559" s="163" t="n">
        <v>45854</v>
      </c>
      <c r="G559" t="inlineStr"/>
      <c r="H559" t="inlineStr">
        <is>
          <t>4800003183</t>
        </is>
      </c>
      <c r="I559" t="inlineStr">
        <is>
          <t>450</t>
        </is>
      </c>
      <c r="J559" s="163" t="n">
        <v>45854</v>
      </c>
      <c r="K559" s="163" t="inlineStr"/>
      <c r="L559" t="inlineStr"/>
      <c r="M559" s="163" t="n">
        <v>45855</v>
      </c>
      <c r="N559" s="164" t="n">
        <v>0</v>
      </c>
      <c r="O559" s="164" t="n">
        <v>0</v>
      </c>
      <c r="P559" t="inlineStr"/>
      <c r="Q559" s="165" t="n">
        <v>5</v>
      </c>
      <c r="R559" s="165" t="n">
        <v>5</v>
      </c>
      <c r="S559" s="165" t="n">
        <v>5</v>
      </c>
      <c r="T559" s="165" t="n">
        <v>0</v>
      </c>
      <c r="U559" s="166" t="n">
        <v>0</v>
      </c>
      <c r="V559" s="166" t="n">
        <v>0</v>
      </c>
      <c r="W559" t="inlineStr">
        <is>
          <t>X</t>
        </is>
      </c>
      <c r="X559" t="inlineStr">
        <is>
          <t>0.00</t>
        </is>
      </c>
      <c r="Y559" t="inlineStr"/>
      <c r="Z559" t="inlineStr">
        <is>
          <t>AMIDATA, S.A.</t>
        </is>
      </c>
      <c r="AA559" t="inlineStr"/>
      <c r="AB559" t="inlineStr">
        <is>
          <t>2455711</t>
        </is>
      </c>
      <c r="AC559" t="inlineStr"/>
      <c r="AD559" s="164" t="n">
        <v>0</v>
      </c>
      <c r="AE559" s="185" t="n">
        <v>0</v>
      </c>
      <c r="AG559" s="167" t="inlineStr">
        <is>
          <t>7218|JA2585_1001</t>
        </is>
      </c>
      <c r="AH559" s="46">
        <f>IF(M559=0,"-",M559-J559)</f>
        <v/>
      </c>
      <c r="AI559" s="46">
        <f>IF(AND(S559=0,M559&gt;0,L559=0),IF(AH559&gt;=120,"VERY HIGH",IF(AH559&gt;=90,"HIGH",IF(AH559&gt;=60,"MEDIUM",IF(AH559&lt;60,"LOW")))),"-")</f>
        <v/>
      </c>
      <c r="AJ559" s="12" t="n"/>
      <c r="AK559" s="41">
        <f>IF(AND(W559="X",M559&lt;=$AJ$2),"YES","")</f>
        <v/>
      </c>
      <c r="AL559" s="38">
        <f>IF(AND(W559="X",M559&lt;=$AJ$2),S559,"")</f>
        <v/>
      </c>
      <c r="AM559" s="26">
        <f>IF(AND(W559="X",M559&gt;$AJ$2),"YES","")</f>
        <v/>
      </c>
      <c r="AN559" s="89">
        <f>IF(AND(W559="X",M559&gt;$AJ$2),S559,"")</f>
        <v/>
      </c>
      <c r="AO559" s="35">
        <f>IF(AND(W559="",M559&gt;0,$AJ$2&gt;M559,L559=""),1,0)</f>
        <v/>
      </c>
      <c r="AP559" s="26">
        <f>IF(AND(AK559="YES",W559="X"),"X","")</f>
        <v/>
      </c>
      <c r="AQ559" s="28">
        <f>IF(AP559="X",100%,0%)</f>
        <v/>
      </c>
      <c r="AR559" s="25">
        <f>IF(AND(T559&gt;0,L559=""),H559,"")</f>
        <v/>
      </c>
      <c r="AS559" s="25">
        <f>IF(AND(D559&gt;0,H559=0,G559=""),1,"")</f>
        <v/>
      </c>
      <c r="AT559" s="25">
        <f>IF(G559="BLOQ",1,"")</f>
        <v/>
      </c>
      <c r="AU559" s="25">
        <f>IF(L559="BLOQ",1,"")</f>
        <v/>
      </c>
      <c r="AV559" s="25">
        <f>MONTH(F559)</f>
        <v/>
      </c>
      <c r="AW559" s="65">
        <f>IF(AP559="",100%,0%)</f>
        <v/>
      </c>
      <c r="AX559" s="23" t="n"/>
      <c r="AY559" s="24">
        <f>IF(M559=0,"",M559-$AX$2)</f>
        <v/>
      </c>
      <c r="AZ559" s="66">
        <f>IF(AND(W559="",AY559&gt;0,AY559&lt;15),1,0)</f>
        <v/>
      </c>
      <c r="BA559" s="24">
        <f>IF(AND(W559="",AY559&gt;0,AY559&lt;15),T559,"")</f>
        <v/>
      </c>
      <c r="BB559" s="87">
        <f>IF(R559&lt;Q559,"X","")</f>
        <v/>
      </c>
      <c r="BC559" s="190" t="inlineStr">
        <is>
          <t>NO</t>
        </is>
      </c>
      <c r="BD559" s="190" t="inlineStr">
        <is>
          <t>NO</t>
        </is>
      </c>
    </row>
    <row r="560" ht="15" customHeight="1" s="162">
      <c r="A560" s="7" t="n">
        <v>559</v>
      </c>
      <c r="B560" t="inlineStr">
        <is>
          <t>31161816</t>
        </is>
      </c>
      <c r="C560" t="inlineStr">
        <is>
          <t>Separador roscado hexagonal Macho/Hembra</t>
        </is>
      </c>
      <c r="D560" t="inlineStr">
        <is>
          <t>1101892362</t>
        </is>
      </c>
      <c r="E560" t="inlineStr">
        <is>
          <t>1</t>
        </is>
      </c>
      <c r="F560" s="163" t="n">
        <v>45854</v>
      </c>
      <c r="G560" t="inlineStr"/>
      <c r="H560" t="inlineStr">
        <is>
          <t>4800003183</t>
        </is>
      </c>
      <c r="I560" t="inlineStr">
        <is>
          <t>540</t>
        </is>
      </c>
      <c r="J560" s="163" t="n">
        <v>45854</v>
      </c>
      <c r="K560" s="163" t="inlineStr"/>
      <c r="L560" t="inlineStr"/>
      <c r="M560" s="163" t="n">
        <v>45855</v>
      </c>
      <c r="N560" s="164" t="n">
        <v>0</v>
      </c>
      <c r="O560" s="164" t="n">
        <v>0</v>
      </c>
      <c r="P560" t="inlineStr"/>
      <c r="Q560" s="165" t="n">
        <v>50</v>
      </c>
      <c r="R560" s="165" t="n">
        <v>50</v>
      </c>
      <c r="S560" s="165" t="n">
        <v>50</v>
      </c>
      <c r="T560" s="165" t="n">
        <v>0</v>
      </c>
      <c r="U560" s="166" t="n">
        <v>0</v>
      </c>
      <c r="V560" s="166" t="n">
        <v>0</v>
      </c>
      <c r="W560" t="inlineStr">
        <is>
          <t>X</t>
        </is>
      </c>
      <c r="X560" t="inlineStr">
        <is>
          <t>0.00</t>
        </is>
      </c>
      <c r="Y560" t="inlineStr"/>
      <c r="Z560" t="inlineStr">
        <is>
          <t>AMIDATA, S.A.</t>
        </is>
      </c>
      <c r="AA560" t="inlineStr"/>
      <c r="AB560" t="inlineStr">
        <is>
          <t>0606686</t>
        </is>
      </c>
      <c r="AC560" t="inlineStr"/>
      <c r="AD560" s="164" t="n">
        <v>0</v>
      </c>
      <c r="AE560" s="185" t="n">
        <v>0</v>
      </c>
      <c r="AG560" s="167" t="inlineStr">
        <is>
          <t>7218|JA2585_1001</t>
        </is>
      </c>
      <c r="AH560" s="46">
        <f>IF(M560=0,"-",M560-J560)</f>
        <v/>
      </c>
      <c r="AI560" s="46">
        <f>IF(AND(S560=0,M560&gt;0,L560=0),IF(AH560&gt;=120,"VERY HIGH",IF(AH560&gt;=90,"HIGH",IF(AH560&gt;=60,"MEDIUM",IF(AH560&lt;60,"LOW")))),"-")</f>
        <v/>
      </c>
      <c r="AJ560" s="12" t="n"/>
      <c r="AK560" s="41">
        <f>IF(AND(W560="X",M560&lt;=$AJ$2),"YES","")</f>
        <v/>
      </c>
      <c r="AL560" s="38">
        <f>IF(AND(W560="X",M560&lt;=$AJ$2),S560,"")</f>
        <v/>
      </c>
      <c r="AM560" s="26">
        <f>IF(AND(W560="X",M560&gt;$AJ$2),"YES","")</f>
        <v/>
      </c>
      <c r="AN560" s="89">
        <f>IF(AND(W560="X",M560&gt;$AJ$2),S560,"")</f>
        <v/>
      </c>
      <c r="AO560" s="35">
        <f>IF(AND(W560="",M560&gt;0,$AJ$2&gt;M560,L560=""),1,0)</f>
        <v/>
      </c>
      <c r="AP560" s="26">
        <f>IF(AND(AK560="YES",W560="X"),"X","")</f>
        <v/>
      </c>
      <c r="AQ560" s="28">
        <f>IF(AP560="X",100%,0%)</f>
        <v/>
      </c>
      <c r="AR560" s="25">
        <f>IF(AND(T560&gt;0,L560=""),H560,"")</f>
        <v/>
      </c>
      <c r="AS560" s="25">
        <f>IF(AND(D560&gt;0,H560=0,G560=""),1,"")</f>
        <v/>
      </c>
      <c r="AT560" s="25">
        <f>IF(G560="BLOQ",1,"")</f>
        <v/>
      </c>
      <c r="AU560" s="25">
        <f>IF(L560="BLOQ",1,"")</f>
        <v/>
      </c>
      <c r="AV560" s="25">
        <f>MONTH(F560)</f>
        <v/>
      </c>
      <c r="AW560" s="65">
        <f>IF(AP560="",100%,0%)</f>
        <v/>
      </c>
      <c r="AX560" s="23" t="n"/>
      <c r="AY560" s="24">
        <f>IF(M560=0,"",M560-$AX$2)</f>
        <v/>
      </c>
      <c r="AZ560" s="66">
        <f>IF(AND(W560="",AY560&gt;0,AY560&lt;15),1,0)</f>
        <v/>
      </c>
      <c r="BA560" s="24">
        <f>IF(AND(W560="",AY560&gt;0,AY560&lt;15),T560,"")</f>
        <v/>
      </c>
      <c r="BB560" s="87">
        <f>IF(R560&lt;Q560,"X","")</f>
        <v/>
      </c>
      <c r="BC560" s="190" t="inlineStr">
        <is>
          <t>NO</t>
        </is>
      </c>
      <c r="BD560" s="190" t="inlineStr">
        <is>
          <t>NO</t>
        </is>
      </c>
    </row>
    <row r="561" ht="15" customHeight="1" s="162">
      <c r="A561" s="7" t="n">
        <v>560</v>
      </c>
      <c r="B561" t="inlineStr">
        <is>
          <t>43211503</t>
        </is>
      </c>
      <c r="C561" t="inlineStr">
        <is>
          <t>Kensington CH1000 - Hub - 2 x USB 3.1 +</t>
        </is>
      </c>
      <c r="D561" t="inlineStr">
        <is>
          <t>1101892552</t>
        </is>
      </c>
      <c r="E561" t="inlineStr">
        <is>
          <t>1</t>
        </is>
      </c>
      <c r="F561" s="163" t="n">
        <v>45855</v>
      </c>
      <c r="G561" t="inlineStr"/>
      <c r="H561" t="inlineStr">
        <is>
          <t>4800003172</t>
        </is>
      </c>
      <c r="I561" t="inlineStr">
        <is>
          <t>570</t>
        </is>
      </c>
      <c r="J561" s="163" t="n">
        <v>45848</v>
      </c>
      <c r="K561" s="163" t="inlineStr"/>
      <c r="L561" t="inlineStr"/>
      <c r="M561" s="163" t="n">
        <v>45856</v>
      </c>
      <c r="N561" s="164" t="n">
        <v>0</v>
      </c>
      <c r="O561" s="164" t="n">
        <v>0</v>
      </c>
      <c r="P561" t="inlineStr"/>
      <c r="Q561" s="165" t="n">
        <v>5</v>
      </c>
      <c r="R561" s="165" t="n">
        <v>5</v>
      </c>
      <c r="S561" s="165" t="n">
        <v>5</v>
      </c>
      <c r="T561" s="165" t="n">
        <v>0</v>
      </c>
      <c r="U561" s="166" t="n">
        <v>0</v>
      </c>
      <c r="V561" s="166" t="n">
        <v>0</v>
      </c>
      <c r="W561" t="inlineStr">
        <is>
          <t>X</t>
        </is>
      </c>
      <c r="X561" t="inlineStr">
        <is>
          <t>0.00</t>
        </is>
      </c>
      <c r="Y561" t="inlineStr"/>
      <c r="Z561" t="inlineStr">
        <is>
          <t>TD SYNNEX SPAIN, S.L.U.</t>
        </is>
      </c>
      <c r="AA561" t="inlineStr"/>
      <c r="AB561" t="inlineStr">
        <is>
          <t>4787170</t>
        </is>
      </c>
      <c r="AC561" t="inlineStr"/>
      <c r="AD561" s="164" t="n">
        <v>0</v>
      </c>
      <c r="AE561" s="185" t="n">
        <v>0</v>
      </c>
      <c r="AG561" s="167" t="inlineStr">
        <is>
          <t>7218|JA2582_1001</t>
        </is>
      </c>
      <c r="AH561" s="46">
        <f>IF(M561=0,"-",M561-J561)</f>
        <v/>
      </c>
      <c r="AI561" s="46">
        <f>IF(AND(S561=0,M561&gt;0,L561=0),IF(AH561&gt;=120,"VERY HIGH",IF(AH561&gt;=90,"HIGH",IF(AH561&gt;=60,"MEDIUM",IF(AH561&lt;60,"LOW")))),"-")</f>
        <v/>
      </c>
      <c r="AJ561" s="12" t="n"/>
      <c r="AK561" s="41">
        <f>IF(AND(W561="X",M561&lt;=$AJ$2),"YES","")</f>
        <v/>
      </c>
      <c r="AL561" s="38">
        <f>IF(AND(W561="X",M561&lt;=$AJ$2),S561,"")</f>
        <v/>
      </c>
      <c r="AM561" s="26">
        <f>IF(AND(W561="X",M561&gt;$AJ$2),"YES","")</f>
        <v/>
      </c>
      <c r="AN561" s="89">
        <f>IF(AND(W561="X",M561&gt;$AJ$2),S561,"")</f>
        <v/>
      </c>
      <c r="AO561" s="35">
        <f>IF(AND(W561="",M561&gt;0,$AJ$2&gt;M561,L561=""),1,0)</f>
        <v/>
      </c>
      <c r="AP561" s="26">
        <f>IF(AND(AK561="YES",W561="X"),"X","")</f>
        <v/>
      </c>
      <c r="AQ561" s="28">
        <f>IF(AP561="X",100%,0%)</f>
        <v/>
      </c>
      <c r="AR561" s="25">
        <f>IF(AND(T561&gt;0,L561=""),H561,"")</f>
        <v/>
      </c>
      <c r="AS561" s="25">
        <f>IF(AND(D561&gt;0,H561=0,G561=""),1,"")</f>
        <v/>
      </c>
      <c r="AT561" s="25">
        <f>IF(G561="BLOQ",1,"")</f>
        <v/>
      </c>
      <c r="AU561" s="25">
        <f>IF(L561="BLOQ",1,"")</f>
        <v/>
      </c>
      <c r="AV561" s="25">
        <f>MONTH(F561)</f>
        <v/>
      </c>
      <c r="AW561" s="65">
        <f>IF(AP561="",100%,0%)</f>
        <v/>
      </c>
      <c r="AX561" s="23" t="n"/>
      <c r="AY561" s="24">
        <f>IF(M561=0,"",M561-$AX$2)</f>
        <v/>
      </c>
      <c r="AZ561" s="66">
        <f>IF(AND(W561="",AY561&gt;0,AY561&lt;15),1,0)</f>
        <v/>
      </c>
      <c r="BA561" s="24">
        <f>IF(AND(W561="",AY561&gt;0,AY561&lt;15),T561,"")</f>
        <v/>
      </c>
      <c r="BB561" s="87">
        <f>IF(R561&lt;Q561,"X","")</f>
        <v/>
      </c>
      <c r="BC561" s="190" t="inlineStr">
        <is>
          <t>NO</t>
        </is>
      </c>
      <c r="BD561" s="190" t="inlineStr">
        <is>
          <t>NO</t>
        </is>
      </c>
    </row>
    <row r="562" ht="15" customHeight="1" s="162">
      <c r="A562" s="7" t="n">
        <v>561</v>
      </c>
      <c r="B562" t="inlineStr">
        <is>
          <t>39122213</t>
        </is>
      </c>
      <c r="C562" t="inlineStr">
        <is>
          <t>Final de carrera con Palanca de rodillo</t>
        </is>
      </c>
      <c r="D562" t="inlineStr">
        <is>
          <t>1101892592</t>
        </is>
      </c>
      <c r="E562" t="inlineStr">
        <is>
          <t>1</t>
        </is>
      </c>
      <c r="F562" s="163" t="n">
        <v>45855</v>
      </c>
      <c r="G562" t="inlineStr"/>
      <c r="H562" t="inlineStr">
        <is>
          <t>4800003184</t>
        </is>
      </c>
      <c r="I562" t="inlineStr">
        <is>
          <t>120</t>
        </is>
      </c>
      <c r="J562" s="163" t="n">
        <v>45855</v>
      </c>
      <c r="K562" s="163" t="inlineStr"/>
      <c r="L562" t="inlineStr"/>
      <c r="M562" s="163" t="n">
        <v>45856</v>
      </c>
      <c r="N562" s="164" t="n">
        <v>0</v>
      </c>
      <c r="O562" s="164" t="n">
        <v>0</v>
      </c>
      <c r="P562" t="inlineStr"/>
      <c r="Q562" s="165" t="n">
        <v>5</v>
      </c>
      <c r="R562" s="165" t="n">
        <v>5</v>
      </c>
      <c r="S562" s="165" t="n">
        <v>5</v>
      </c>
      <c r="T562" s="165" t="n">
        <v>0</v>
      </c>
      <c r="U562" s="166" t="n">
        <v>0</v>
      </c>
      <c r="V562" s="166" t="n">
        <v>0</v>
      </c>
      <c r="W562" t="inlineStr">
        <is>
          <t>X</t>
        </is>
      </c>
      <c r="X562" t="inlineStr">
        <is>
          <t>0.00</t>
        </is>
      </c>
      <c r="Y562" t="inlineStr"/>
      <c r="Z562" t="inlineStr">
        <is>
          <t>AMIDATA, S.A.</t>
        </is>
      </c>
      <c r="AA562" t="inlineStr"/>
      <c r="AB562" t="inlineStr">
        <is>
          <t>3081664</t>
        </is>
      </c>
      <c r="AC562" t="inlineStr"/>
      <c r="AD562" s="164" t="n">
        <v>0</v>
      </c>
      <c r="AE562" s="185" t="n">
        <v>0</v>
      </c>
      <c r="AG562" s="167" t="inlineStr">
        <is>
          <t>7218|JA2585_1001</t>
        </is>
      </c>
      <c r="AH562" s="46">
        <f>IF(M562=0,"-",M562-J562)</f>
        <v/>
      </c>
      <c r="AI562" s="46">
        <f>IF(AND(S562=0,M562&gt;0,L562=0),IF(AH562&gt;=120,"VERY HIGH",IF(AH562&gt;=90,"HIGH",IF(AH562&gt;=60,"MEDIUM",IF(AH562&lt;60,"LOW")))),"-")</f>
        <v/>
      </c>
      <c r="AJ562" s="12" t="n"/>
      <c r="AK562" s="41">
        <f>IF(AND(W562="X",M562&lt;=$AJ$2),"YES","")</f>
        <v/>
      </c>
      <c r="AL562" s="38">
        <f>IF(AND(W562="X",M562&lt;=$AJ$2),S562,"")</f>
        <v/>
      </c>
      <c r="AM562" s="26">
        <f>IF(AND(W562="X",M562&gt;$AJ$2),"YES","")</f>
        <v/>
      </c>
      <c r="AN562" s="89">
        <f>IF(AND(W562="X",M562&gt;$AJ$2),S562,"")</f>
        <v/>
      </c>
      <c r="AO562" s="35">
        <f>IF(AND(W562="",M562&gt;0,$AJ$2&gt;M562,L562=""),1,0)</f>
        <v/>
      </c>
      <c r="AP562" s="26">
        <f>IF(AND(AK562="YES",W562="X"),"X","")</f>
        <v/>
      </c>
      <c r="AQ562" s="28">
        <f>IF(AP562="X",100%,0%)</f>
        <v/>
      </c>
      <c r="AR562" s="25">
        <f>IF(AND(T562&gt;0,L562=""),H562,"")</f>
        <v/>
      </c>
      <c r="AS562" s="25">
        <f>IF(AND(D562&gt;0,H562=0,G562=""),1,"")</f>
        <v/>
      </c>
      <c r="AT562" s="25">
        <f>IF(G562="BLOQ",1,"")</f>
        <v/>
      </c>
      <c r="AU562" s="25">
        <f>IF(L562="BLOQ",1,"")</f>
        <v/>
      </c>
      <c r="AV562" s="25">
        <f>MONTH(F562)</f>
        <v/>
      </c>
      <c r="AW562" s="65">
        <f>IF(AP562="",100%,0%)</f>
        <v/>
      </c>
      <c r="AX562" s="23" t="n"/>
      <c r="AY562" s="24">
        <f>IF(M562=0,"",M562-$AX$2)</f>
        <v/>
      </c>
      <c r="AZ562" s="66">
        <f>IF(AND(W562="",AY562&gt;0,AY562&lt;15),1,0)</f>
        <v/>
      </c>
      <c r="BA562" s="24">
        <f>IF(AND(W562="",AY562&gt;0,AY562&lt;15),T562,"")</f>
        <v/>
      </c>
      <c r="BB562" s="87">
        <f>IF(R562&lt;Q562,"X","")</f>
        <v/>
      </c>
      <c r="BC562" s="190" t="inlineStr">
        <is>
          <t>NO</t>
        </is>
      </c>
      <c r="BD562" s="190" t="inlineStr">
        <is>
          <t>NO</t>
        </is>
      </c>
    </row>
    <row r="563" ht="15" customHeight="1" s="162">
      <c r="A563" s="7" t="n">
        <v>562</v>
      </c>
      <c r="B563" t="inlineStr">
        <is>
          <t>43211503</t>
        </is>
      </c>
      <c r="C563" t="inlineStr">
        <is>
          <t>C2G 4-Port USB-A Hub - Hub - 4 x USB 2.0</t>
        </is>
      </c>
      <c r="D563" t="inlineStr">
        <is>
          <t>1101893679</t>
        </is>
      </c>
      <c r="E563" t="inlineStr">
        <is>
          <t>1</t>
        </is>
      </c>
      <c r="F563" s="163" t="n">
        <v>45859</v>
      </c>
      <c r="G563" t="inlineStr"/>
      <c r="H563" t="inlineStr">
        <is>
          <t>4800003172</t>
        </is>
      </c>
      <c r="I563" t="inlineStr">
        <is>
          <t>710</t>
        </is>
      </c>
      <c r="J563" s="163" t="n">
        <v>45848</v>
      </c>
      <c r="K563" s="163" t="inlineStr"/>
      <c r="L563" t="inlineStr"/>
      <c r="M563" s="163" t="n">
        <v>45860</v>
      </c>
      <c r="N563" s="164" t="n">
        <v>0</v>
      </c>
      <c r="O563" s="164" t="n">
        <v>0</v>
      </c>
      <c r="P563" t="inlineStr"/>
      <c r="Q563" s="165" t="n">
        <v>2</v>
      </c>
      <c r="R563" s="165" t="n">
        <v>2</v>
      </c>
      <c r="S563" s="165" t="n">
        <v>2</v>
      </c>
      <c r="T563" s="165" t="n">
        <v>0</v>
      </c>
      <c r="U563" s="166" t="n">
        <v>0</v>
      </c>
      <c r="V563" s="166" t="n">
        <v>0</v>
      </c>
      <c r="W563" t="inlineStr">
        <is>
          <t>X</t>
        </is>
      </c>
      <c r="X563" t="inlineStr">
        <is>
          <t>0.00</t>
        </is>
      </c>
      <c r="Y563" t="inlineStr"/>
      <c r="Z563" t="inlineStr">
        <is>
          <t>TD SYNNEX SPAIN, S.L.U.</t>
        </is>
      </c>
      <c r="AA563" t="inlineStr"/>
      <c r="AB563" t="inlineStr">
        <is>
          <t>6999238</t>
        </is>
      </c>
      <c r="AC563" t="inlineStr"/>
      <c r="AD563" s="164" t="n">
        <v>0</v>
      </c>
      <c r="AE563" s="185" t="n">
        <v>0</v>
      </c>
      <c r="AG563" s="167" t="inlineStr">
        <is>
          <t>7218|JA2582_1001</t>
        </is>
      </c>
      <c r="AH563" s="46">
        <f>IF(M563=0,"-",M563-J563)</f>
        <v/>
      </c>
      <c r="AI563" s="46">
        <f>IF(AND(S563=0,M563&gt;0,L563=0),IF(AH563&gt;=120,"VERY HIGH",IF(AH563&gt;=90,"HIGH",IF(AH563&gt;=60,"MEDIUM",IF(AH563&lt;60,"LOW")))),"-")</f>
        <v/>
      </c>
      <c r="AJ563" s="12" t="n"/>
      <c r="AK563" s="41">
        <f>IF(AND(W563="X",M563&lt;=$AJ$2),"YES","")</f>
        <v/>
      </c>
      <c r="AL563" s="38">
        <f>IF(AND(W563="X",M563&lt;=$AJ$2),S563,"")</f>
        <v/>
      </c>
      <c r="AM563" s="26">
        <f>IF(AND(W563="X",M563&gt;$AJ$2),"YES","")</f>
        <v/>
      </c>
      <c r="AN563" s="89">
        <f>IF(AND(W563="X",M563&gt;$AJ$2),S563,"")</f>
        <v/>
      </c>
      <c r="AO563" s="35">
        <f>IF(AND(W563="",M563&gt;0,$AJ$2&gt;M563,L563=""),1,0)</f>
        <v/>
      </c>
      <c r="AP563" s="26">
        <f>IF(AND(AK563="YES",W563="X"),"X","")</f>
        <v/>
      </c>
      <c r="AQ563" s="28">
        <f>IF(AP563="X",100%,0%)</f>
        <v/>
      </c>
      <c r="AR563" s="25">
        <f>IF(AND(T563&gt;0,L563=""),H563,"")</f>
        <v/>
      </c>
      <c r="AS563" s="25">
        <f>IF(AND(D563&gt;0,H563=0,G563=""),1,"")</f>
        <v/>
      </c>
      <c r="AT563" s="25">
        <f>IF(G563="BLOQ",1,"")</f>
        <v/>
      </c>
      <c r="AU563" s="25">
        <f>IF(L563="BLOQ",1,"")</f>
        <v/>
      </c>
      <c r="AV563" s="25">
        <f>MONTH(F563)</f>
        <v/>
      </c>
      <c r="AW563" s="65">
        <f>IF(AP563="",100%,0%)</f>
        <v/>
      </c>
      <c r="AX563" s="23" t="n"/>
      <c r="AY563" s="24">
        <f>IF(M563=0,"",M563-$AX$2)</f>
        <v/>
      </c>
      <c r="AZ563" s="66">
        <f>IF(AND(W563="",AY563&gt;0,AY563&lt;15),1,0)</f>
        <v/>
      </c>
      <c r="BA563" s="24">
        <f>IF(AND(W563="",AY563&gt;0,AY563&lt;15),T563,"")</f>
        <v/>
      </c>
      <c r="BB563" s="87">
        <f>IF(R563&lt;Q563,"X","")</f>
        <v/>
      </c>
      <c r="BC563" s="190" t="inlineStr">
        <is>
          <t>NO</t>
        </is>
      </c>
      <c r="BD563" s="190" t="inlineStr">
        <is>
          <t>NO</t>
        </is>
      </c>
    </row>
    <row r="564" ht="15" customHeight="1" s="162">
      <c r="A564" s="7" t="n">
        <v>563</v>
      </c>
      <c r="B564" t="inlineStr"/>
      <c r="C564" t="inlineStr">
        <is>
          <t>TRABAJOS DE CORTE DE MAYLAR - COSLADA</t>
        </is>
      </c>
      <c r="D564" t="inlineStr">
        <is>
          <t>1101893680</t>
        </is>
      </c>
      <c r="E564" t="inlineStr">
        <is>
          <t>1</t>
        </is>
      </c>
      <c r="F564" s="163" t="n">
        <v>45859</v>
      </c>
      <c r="G564" t="inlineStr"/>
      <c r="H564" t="inlineStr">
        <is>
          <t>4300350504</t>
        </is>
      </c>
      <c r="I564" t="inlineStr">
        <is>
          <t>10</t>
        </is>
      </c>
      <c r="J564" s="163" t="n">
        <v>45868</v>
      </c>
      <c r="K564" s="163" t="n">
        <v>45868</v>
      </c>
      <c r="L564" t="inlineStr"/>
      <c r="M564" s="163" t="n">
        <v>45882</v>
      </c>
      <c r="N564" s="164" t="n">
        <v>0</v>
      </c>
      <c r="O564" s="164" t="n">
        <v>0</v>
      </c>
      <c r="P564" t="inlineStr">
        <is>
          <t>Liberado</t>
        </is>
      </c>
      <c r="Q564" s="166" t="n">
        <v>1</v>
      </c>
      <c r="R564" s="164" t="n">
        <v>1</v>
      </c>
      <c r="S564" s="164" t="n">
        <v>0</v>
      </c>
      <c r="T564" s="164" t="n">
        <v>0</v>
      </c>
      <c r="U564" s="166" t="n">
        <v>0</v>
      </c>
      <c r="V564" s="166" t="n">
        <v>0</v>
      </c>
      <c r="W564" t="inlineStr"/>
      <c r="X564" t="inlineStr">
        <is>
          <t>0.00</t>
        </is>
      </c>
      <c r="Y564" t="inlineStr"/>
      <c r="Z564" t="inlineStr">
        <is>
          <t>ISC Instalaciones y Servicios de</t>
        </is>
      </c>
      <c r="AA564" t="inlineStr"/>
      <c r="AB564" t="inlineStr"/>
      <c r="AC564" t="inlineStr"/>
      <c r="AD564" s="164" t="n">
        <v>0</v>
      </c>
      <c r="AE564" s="185" t="n">
        <v>0</v>
      </c>
      <c r="AG564" s="167" t="inlineStr">
        <is>
          <t>7218|S24B05_P10253</t>
        </is>
      </c>
      <c r="AH564" s="46">
        <f>IF(M564=0,"-",M564-J564)</f>
        <v/>
      </c>
      <c r="AI564" s="46">
        <f>IF(AND(S564=0,M564&gt;0,L564=0),IF(AH564&gt;=120,"VERY HIGH",IF(AH564&gt;=90,"HIGH",IF(AH564&gt;=60,"MEDIUM",IF(AH564&lt;60,"LOW")))),"-")</f>
        <v/>
      </c>
      <c r="AJ564" s="12" t="n"/>
      <c r="AK564" s="41">
        <f>IF(AND(W564="X",M564&lt;=$AJ$2),"YES","")</f>
        <v/>
      </c>
      <c r="AL564" s="38">
        <f>IF(AND(W564="X",M564&lt;=$AJ$2),S564,"")</f>
        <v/>
      </c>
      <c r="AM564" s="26">
        <f>IF(AND(W564="X",M564&gt;$AJ$2),"YES","")</f>
        <v/>
      </c>
      <c r="AN564" s="89">
        <f>IF(AND(W564="X",M564&gt;$AJ$2),S564,"")</f>
        <v/>
      </c>
      <c r="AO564" s="35">
        <f>IF(AND(W564="",M564&gt;0,$AJ$2&gt;M564,L564=""),1,0)</f>
        <v/>
      </c>
      <c r="AP564" s="26">
        <f>IF(AND(AK564="YES",W564="X"),"X","")</f>
        <v/>
      </c>
      <c r="AQ564" s="28">
        <f>IF(AP564="X",100%,0%)</f>
        <v/>
      </c>
      <c r="AR564" s="25">
        <f>IF(AND(T564&gt;0,L564=""),H564,"")</f>
        <v/>
      </c>
      <c r="AS564" s="25">
        <f>IF(AND(D564&gt;0,H564=0,G564=""),1,"")</f>
        <v/>
      </c>
      <c r="AT564" s="25">
        <f>IF(G564="BLOQ",1,"")</f>
        <v/>
      </c>
      <c r="AU564" s="25">
        <f>IF(L564="BLOQ",1,"")</f>
        <v/>
      </c>
      <c r="AV564" s="25">
        <f>MONTH(F564)</f>
        <v/>
      </c>
      <c r="AW564" s="65">
        <f>IF(AP564="",100%,0%)</f>
        <v/>
      </c>
      <c r="AX564" s="23" t="n"/>
      <c r="AY564" s="24">
        <f>IF(M564=0,"",M564-$AX$2)</f>
        <v/>
      </c>
      <c r="AZ564" s="66">
        <f>IF(AND(W564="",AY564&gt;0,AY564&lt;15),1,0)</f>
        <v/>
      </c>
      <c r="BA564" s="24">
        <f>IF(AND(W564="",AY564&gt;0,AY564&lt;15),T564,"")</f>
        <v/>
      </c>
      <c r="BB564" s="87">
        <f>IF(R564&lt;Q564,"X","")</f>
        <v/>
      </c>
      <c r="BC564" s="190" t="inlineStr">
        <is>
          <t>NO</t>
        </is>
      </c>
      <c r="BD564" s="190" t="inlineStr">
        <is>
          <t>NO</t>
        </is>
      </c>
    </row>
    <row r="565" ht="15" customHeight="1" s="162">
      <c r="A565" s="7" t="n">
        <v>564</v>
      </c>
      <c r="B565" t="inlineStr">
        <is>
          <t>43211617</t>
        </is>
      </c>
      <c r="C565" t="inlineStr">
        <is>
          <t>Cable USB 2.0 Hama, con A. USB A Macho,</t>
        </is>
      </c>
      <c r="D565" t="inlineStr">
        <is>
          <t>1101893846</t>
        </is>
      </c>
      <c r="E565" t="inlineStr">
        <is>
          <t>1</t>
        </is>
      </c>
      <c r="F565" s="163" t="n">
        <v>45860</v>
      </c>
      <c r="G565" t="inlineStr"/>
      <c r="H565" t="inlineStr">
        <is>
          <t>4800003188</t>
        </is>
      </c>
      <c r="I565" t="inlineStr">
        <is>
          <t>500</t>
        </is>
      </c>
      <c r="J565" s="163" t="n">
        <v>45859</v>
      </c>
      <c r="K565" s="163" t="inlineStr"/>
      <c r="L565" t="inlineStr"/>
      <c r="M565" s="163" t="n">
        <v>45861</v>
      </c>
      <c r="N565" s="164" t="n">
        <v>0</v>
      </c>
      <c r="O565" s="164" t="n">
        <v>0</v>
      </c>
      <c r="P565" t="inlineStr"/>
      <c r="Q565" s="165" t="n">
        <v>1</v>
      </c>
      <c r="R565" s="165" t="n">
        <v>1</v>
      </c>
      <c r="S565" s="165" t="n">
        <v>1</v>
      </c>
      <c r="T565" s="165" t="n">
        <v>0</v>
      </c>
      <c r="U565" s="166" t="n">
        <v>0</v>
      </c>
      <c r="V565" s="166" t="n">
        <v>0</v>
      </c>
      <c r="W565" t="inlineStr">
        <is>
          <t>X</t>
        </is>
      </c>
      <c r="X565" t="inlineStr">
        <is>
          <t>0.00</t>
        </is>
      </c>
      <c r="Y565" t="inlineStr"/>
      <c r="Z565" t="inlineStr">
        <is>
          <t>AMIDATA, S.A.</t>
        </is>
      </c>
      <c r="AA565" t="inlineStr"/>
      <c r="AB565" t="inlineStr">
        <is>
          <t>2386143</t>
        </is>
      </c>
      <c r="AC565" t="inlineStr"/>
      <c r="AD565" s="164" t="n">
        <v>0</v>
      </c>
      <c r="AE565" s="185" t="n">
        <v>0</v>
      </c>
      <c r="AG565" s="167" t="inlineStr">
        <is>
          <t>7218|JA2585_1001</t>
        </is>
      </c>
      <c r="AH565" s="46">
        <f>IF(M565=0,"-",M565-J565)</f>
        <v/>
      </c>
      <c r="AI565" s="46">
        <f>IF(AND(S565=0,M565&gt;0,L565=0),IF(AH565&gt;=120,"VERY HIGH",IF(AH565&gt;=90,"HIGH",IF(AH565&gt;=60,"MEDIUM",IF(AH565&lt;60,"LOW")))),"-")</f>
        <v/>
      </c>
      <c r="AJ565" s="12" t="n"/>
      <c r="AK565" s="41">
        <f>IF(AND(W565="X",M565&lt;=$AJ$2),"YES","")</f>
        <v/>
      </c>
      <c r="AL565" s="38">
        <f>IF(AND(W565="X",M565&lt;=$AJ$2),S565,"")</f>
        <v/>
      </c>
      <c r="AM565" s="26">
        <f>IF(AND(W565="X",M565&gt;$AJ$2),"YES","")</f>
        <v/>
      </c>
      <c r="AN565" s="89">
        <f>IF(AND(W565="X",M565&gt;$AJ$2),S565,"")</f>
        <v/>
      </c>
      <c r="AO565" s="35">
        <f>IF(AND(W565="",M565&gt;0,$AJ$2&gt;M565,L565=""),1,0)</f>
        <v/>
      </c>
      <c r="AP565" s="26">
        <f>IF(AND(AK565="YES",W565="X"),"X","")</f>
        <v/>
      </c>
      <c r="AQ565" s="28">
        <f>IF(AP565="X",100%,0%)</f>
        <v/>
      </c>
      <c r="AR565" s="25">
        <f>IF(AND(T565&gt;0,L565=""),H565,"")</f>
        <v/>
      </c>
      <c r="AS565" s="25">
        <f>IF(AND(D565&gt;0,H565=0,G565=""),1,"")</f>
        <v/>
      </c>
      <c r="AT565" s="25">
        <f>IF(G565="BLOQ",1,"")</f>
        <v/>
      </c>
      <c r="AU565" s="25">
        <f>IF(L565="BLOQ",1,"")</f>
        <v/>
      </c>
      <c r="AV565" s="25">
        <f>MONTH(F565)</f>
        <v/>
      </c>
      <c r="AW565" s="65">
        <f>IF(AP565="",100%,0%)</f>
        <v/>
      </c>
      <c r="AX565" s="23" t="n"/>
      <c r="AY565" s="24">
        <f>IF(M565=0,"",M565-$AX$2)</f>
        <v/>
      </c>
      <c r="AZ565" s="66">
        <f>IF(AND(W565="",AY565&gt;0,AY565&lt;15),1,0)</f>
        <v/>
      </c>
      <c r="BA565" s="24">
        <f>IF(AND(W565="",AY565&gt;0,AY565&lt;15),T565,"")</f>
        <v/>
      </c>
      <c r="BB565" s="87">
        <f>IF(R565&lt;Q565,"X","")</f>
        <v/>
      </c>
      <c r="BC565" s="190" t="inlineStr">
        <is>
          <t>NO</t>
        </is>
      </c>
      <c r="BD565" s="190" t="inlineStr">
        <is>
          <t>NO</t>
        </is>
      </c>
    </row>
    <row r="566" ht="15" customHeight="1" s="162">
      <c r="A566" s="7" t="n">
        <v>565</v>
      </c>
      <c r="B566" t="inlineStr"/>
      <c r="C566" t="inlineStr">
        <is>
          <t>FABRICACION PIEZAS</t>
        </is>
      </c>
      <c r="D566" t="inlineStr">
        <is>
          <t>1101893987</t>
        </is>
      </c>
      <c r="E566" t="inlineStr">
        <is>
          <t>1</t>
        </is>
      </c>
      <c r="F566" s="163" t="n">
        <v>45860</v>
      </c>
      <c r="G566" t="inlineStr"/>
      <c r="H566" t="inlineStr">
        <is>
          <t>4300350909</t>
        </is>
      </c>
      <c r="I566" t="inlineStr">
        <is>
          <t>10</t>
        </is>
      </c>
      <c r="J566" s="163" t="n">
        <v>45876</v>
      </c>
      <c r="K566" s="163" t="n">
        <v>45876</v>
      </c>
      <c r="L566" t="inlineStr"/>
      <c r="M566" s="163" t="n">
        <v>45914</v>
      </c>
      <c r="N566" s="164" t="n">
        <v>0</v>
      </c>
      <c r="O566" s="164" t="n">
        <v>0</v>
      </c>
      <c r="P566" t="inlineStr">
        <is>
          <t>Liberado</t>
        </is>
      </c>
      <c r="Q566" s="166" t="n">
        <v>1</v>
      </c>
      <c r="R566" s="164" t="n">
        <v>1</v>
      </c>
      <c r="S566" s="164" t="n">
        <v>0</v>
      </c>
      <c r="T566" s="164" t="n">
        <v>0</v>
      </c>
      <c r="U566" s="166" t="n">
        <v>0</v>
      </c>
      <c r="V566" s="166" t="n">
        <v>0</v>
      </c>
      <c r="W566" t="inlineStr"/>
      <c r="X566" t="inlineStr">
        <is>
          <t>0.00</t>
        </is>
      </c>
      <c r="Y566" t="inlineStr"/>
      <c r="Z566" t="inlineStr">
        <is>
          <t>ESTRUCTURAS COSAN,S.L.</t>
        </is>
      </c>
      <c r="AA566" t="inlineStr"/>
      <c r="AB566" t="inlineStr"/>
      <c r="AC566" t="inlineStr"/>
      <c r="AD566" s="164" t="n">
        <v>0</v>
      </c>
      <c r="AE566" s="185" t="n">
        <v>0</v>
      </c>
      <c r="AG566" s="167" t="inlineStr">
        <is>
          <t>7218|JA2594_1001</t>
        </is>
      </c>
      <c r="AH566" s="46">
        <f>IF(M566=0,"-",M566-J566)</f>
        <v/>
      </c>
      <c r="AI566" s="46">
        <f>IF(AND(S566=0,M566&gt;0,L566=0),IF(AH566&gt;=120,"VERY HIGH",IF(AH566&gt;=90,"HIGH",IF(AH566&gt;=60,"MEDIUM",IF(AH566&lt;60,"LOW")))),"-")</f>
        <v/>
      </c>
      <c r="AJ566" s="12" t="n"/>
      <c r="AK566" s="41">
        <f>IF(AND(W566="X",M566&lt;=$AJ$2),"YES","")</f>
        <v/>
      </c>
      <c r="AL566" s="38">
        <f>IF(AND(W566="X",M566&lt;=$AJ$2),S566,"")</f>
        <v/>
      </c>
      <c r="AM566" s="26">
        <f>IF(AND(W566="X",M566&gt;$AJ$2),"YES","")</f>
        <v/>
      </c>
      <c r="AN566" s="89">
        <f>IF(AND(W566="X",M566&gt;$AJ$2),S566,"")</f>
        <v/>
      </c>
      <c r="AO566" s="35">
        <f>IF(AND(W566="",M566&gt;0,$AJ$2&gt;M566,L566=""),1,0)</f>
        <v/>
      </c>
      <c r="AP566" s="26">
        <f>IF(AND(AK566="YES",W566="X"),"X","")</f>
        <v/>
      </c>
      <c r="AQ566" s="28">
        <f>IF(AP566="X",100%,0%)</f>
        <v/>
      </c>
      <c r="AR566" s="25">
        <f>IF(AND(T566&gt;0,L566=""),H566,"")</f>
        <v/>
      </c>
      <c r="AS566" s="25">
        <f>IF(AND(D566&gt;0,H566=0,G566=""),1,"")</f>
        <v/>
      </c>
      <c r="AT566" s="25">
        <f>IF(G566="BLOQ",1,"")</f>
        <v/>
      </c>
      <c r="AU566" s="25">
        <f>IF(L566="BLOQ",1,"")</f>
        <v/>
      </c>
      <c r="AV566" s="25">
        <f>MONTH(F566)</f>
        <v/>
      </c>
      <c r="AW566" s="65">
        <f>IF(AP566="",100%,0%)</f>
        <v/>
      </c>
      <c r="AX566" s="23" t="n"/>
      <c r="AY566" s="24">
        <f>IF(M566=0,"",M566-$AX$2)</f>
        <v/>
      </c>
      <c r="AZ566" s="66">
        <f>IF(AND(W566="",AY566&gt;0,AY566&lt;15),1,0)</f>
        <v/>
      </c>
      <c r="BA566" s="24">
        <f>IF(AND(W566="",AY566&gt;0,AY566&lt;15),T566,"")</f>
        <v/>
      </c>
      <c r="BB566" s="87">
        <f>IF(R566&lt;Q566,"X","")</f>
        <v/>
      </c>
      <c r="BC566" s="190" t="inlineStr">
        <is>
          <t>NO</t>
        </is>
      </c>
      <c r="BD566" s="190" t="inlineStr">
        <is>
          <t>NO</t>
        </is>
      </c>
    </row>
    <row r="567" ht="15" customHeight="1" s="162">
      <c r="A567" s="7" t="n">
        <v>566</v>
      </c>
      <c r="B567" t="inlineStr">
        <is>
          <t>43211617</t>
        </is>
      </c>
      <c r="C567" t="inlineStr">
        <is>
          <t>Cable USB 2.0 Hama, con A. USB A Macho,</t>
        </is>
      </c>
      <c r="D567" t="inlineStr">
        <is>
          <t>1101894884</t>
        </is>
      </c>
      <c r="E567" t="inlineStr">
        <is>
          <t>1</t>
        </is>
      </c>
      <c r="F567" s="163" t="n">
        <v>45862</v>
      </c>
      <c r="G567" t="inlineStr"/>
      <c r="H567" t="inlineStr">
        <is>
          <t>4800003193</t>
        </is>
      </c>
      <c r="I567" t="inlineStr">
        <is>
          <t>600</t>
        </is>
      </c>
      <c r="J567" s="163" t="n">
        <v>45861</v>
      </c>
      <c r="K567" s="163" t="inlineStr"/>
      <c r="L567" t="inlineStr"/>
      <c r="M567" s="163" t="n">
        <v>45863</v>
      </c>
      <c r="N567" s="164" t="n">
        <v>0</v>
      </c>
      <c r="O567" s="164" t="n">
        <v>0</v>
      </c>
      <c r="P567" t="inlineStr"/>
      <c r="Q567" s="165" t="n">
        <v>2</v>
      </c>
      <c r="R567" s="165" t="n">
        <v>2</v>
      </c>
      <c r="S567" s="165" t="n">
        <v>2</v>
      </c>
      <c r="T567" s="165" t="n">
        <v>0</v>
      </c>
      <c r="U567" s="166" t="n">
        <v>0</v>
      </c>
      <c r="V567" s="166" t="n">
        <v>0</v>
      </c>
      <c r="W567" t="inlineStr">
        <is>
          <t>X</t>
        </is>
      </c>
      <c r="X567" t="inlineStr">
        <is>
          <t>0.00</t>
        </is>
      </c>
      <c r="Y567" t="inlineStr"/>
      <c r="Z567" t="inlineStr">
        <is>
          <t>AMIDATA, S.A.</t>
        </is>
      </c>
      <c r="AA567" t="inlineStr"/>
      <c r="AB567" t="inlineStr">
        <is>
          <t>2386143</t>
        </is>
      </c>
      <c r="AC567" t="inlineStr"/>
      <c r="AD567" s="164" t="n">
        <v>0</v>
      </c>
      <c r="AE567" s="185" t="n">
        <v>0</v>
      </c>
      <c r="AG567" s="167" t="inlineStr">
        <is>
          <t>7218|JA2585_1001</t>
        </is>
      </c>
      <c r="AH567" s="46">
        <f>IF(M567=0,"-",M567-J567)</f>
        <v/>
      </c>
      <c r="AI567" s="46">
        <f>IF(AND(S567=0,M567&gt;0,L567=0),IF(AH567&gt;=120,"VERY HIGH",IF(AH567&gt;=90,"HIGH",IF(AH567&gt;=60,"MEDIUM",IF(AH567&lt;60,"LOW")))),"-")</f>
        <v/>
      </c>
      <c r="AJ567" s="12" t="n"/>
      <c r="AK567" s="41">
        <f>IF(AND(W567="X",M567&lt;=$AJ$2),"YES","")</f>
        <v/>
      </c>
      <c r="AL567" s="38">
        <f>IF(AND(W567="X",M567&lt;=$AJ$2),S567,"")</f>
        <v/>
      </c>
      <c r="AM567" s="26">
        <f>IF(AND(W567="X",M567&gt;$AJ$2),"YES","")</f>
        <v/>
      </c>
      <c r="AN567" s="89">
        <f>IF(AND(W567="X",M567&gt;$AJ$2),S567,"")</f>
        <v/>
      </c>
      <c r="AO567" s="35">
        <f>IF(AND(W567="",M567&gt;0,$AJ$2&gt;M567,L567=""),1,0)</f>
        <v/>
      </c>
      <c r="AP567" s="26">
        <f>IF(AND(AK567="YES",W567="X"),"X","")</f>
        <v/>
      </c>
      <c r="AQ567" s="28">
        <f>IF(AP567="X",100%,0%)</f>
        <v/>
      </c>
      <c r="AR567" s="25">
        <f>IF(AND(T567&gt;0,L567=""),H567,"")</f>
        <v/>
      </c>
      <c r="AS567" s="25">
        <f>IF(AND(D567&gt;0,H567=0,G567=""),1,"")</f>
        <v/>
      </c>
      <c r="AT567" s="25">
        <f>IF(G567="BLOQ",1,"")</f>
        <v/>
      </c>
      <c r="AU567" s="25">
        <f>IF(L567="BLOQ",1,"")</f>
        <v/>
      </c>
      <c r="AV567" s="25">
        <f>MONTH(F567)</f>
        <v/>
      </c>
      <c r="AW567" s="65">
        <f>IF(AP567="",100%,0%)</f>
        <v/>
      </c>
      <c r="AX567" s="23" t="n"/>
      <c r="AY567" s="24">
        <f>IF(M567=0,"",M567-$AX$2)</f>
        <v/>
      </c>
      <c r="AZ567" s="66">
        <f>IF(AND(W567="",AY567&gt;0,AY567&lt;15),1,0)</f>
        <v/>
      </c>
      <c r="BA567" s="24">
        <f>IF(AND(W567="",AY567&gt;0,AY567&lt;15),T567,"")</f>
        <v/>
      </c>
      <c r="BB567" s="87">
        <f>IF(R567&lt;Q567,"X","")</f>
        <v/>
      </c>
      <c r="BC567" s="190" t="inlineStr">
        <is>
          <t>NO</t>
        </is>
      </c>
      <c r="BD567" s="190" t="inlineStr">
        <is>
          <t>NO</t>
        </is>
      </c>
    </row>
    <row r="568" ht="15" customHeight="1" s="162">
      <c r="A568" s="7" t="n">
        <v>567</v>
      </c>
      <c r="B568" t="inlineStr">
        <is>
          <t>1359900000500</t>
        </is>
      </c>
      <c r="C568" t="inlineStr">
        <is>
          <t>COMPRA DIRECTA ELECTRICOS/ELECTRONICOS</t>
        </is>
      </c>
      <c r="D568" t="inlineStr">
        <is>
          <t>1101896436</t>
        </is>
      </c>
      <c r="E568" t="inlineStr">
        <is>
          <t>1</t>
        </is>
      </c>
      <c r="F568" s="163" t="n">
        <v>45868</v>
      </c>
      <c r="G568" t="inlineStr"/>
      <c r="H568" t="inlineStr">
        <is>
          <t>4200624192</t>
        </is>
      </c>
      <c r="I568" t="inlineStr">
        <is>
          <t>10</t>
        </is>
      </c>
      <c r="J568" s="163" t="n">
        <v>45891</v>
      </c>
      <c r="K568" s="163" t="n">
        <v>45894</v>
      </c>
      <c r="L568" t="inlineStr"/>
      <c r="M568" s="163" t="n">
        <v>45951</v>
      </c>
      <c r="N568" s="164" t="n">
        <v>30</v>
      </c>
      <c r="O568" s="164" t="n">
        <v>8</v>
      </c>
      <c r="P568" t="inlineStr">
        <is>
          <t>Liberado</t>
        </is>
      </c>
      <c r="Q568" s="165" t="n">
        <v>1</v>
      </c>
      <c r="R568" s="165" t="n">
        <v>1</v>
      </c>
      <c r="S568" s="165" t="n">
        <v>1</v>
      </c>
      <c r="T568" s="165" t="n">
        <v>0</v>
      </c>
      <c r="U568" s="166" t="n">
        <v>0</v>
      </c>
      <c r="V568" s="166" t="n">
        <v>0</v>
      </c>
      <c r="W568" t="inlineStr">
        <is>
          <t>X</t>
        </is>
      </c>
      <c r="X568" t="inlineStr">
        <is>
          <t>0.00</t>
        </is>
      </c>
      <c r="Y568" t="inlineStr"/>
      <c r="Z568" t="inlineStr">
        <is>
          <t>SARVER S.L.</t>
        </is>
      </c>
      <c r="AA568" t="inlineStr">
        <is>
          <t>OTROS FABRICANTES</t>
        </is>
      </c>
      <c r="AB568" t="inlineStr">
        <is>
          <t>1359900000500</t>
        </is>
      </c>
      <c r="AC568" t="inlineStr"/>
      <c r="AD568" s="164" t="n">
        <v>0</v>
      </c>
      <c r="AE568" s="185" t="n">
        <v>0</v>
      </c>
      <c r="AG568" s="167" t="inlineStr">
        <is>
          <t>7218|JA2594_1001</t>
        </is>
      </c>
      <c r="AH568" s="46">
        <f>IF(M568=0,"-",M568-J568)</f>
        <v/>
      </c>
      <c r="AI568" s="46">
        <f>IF(AND(S568=0,M568&gt;0,L568=0),IF(AH568&gt;=120,"VERY HIGH",IF(AH568&gt;=90,"HIGH",IF(AH568&gt;=60,"MEDIUM",IF(AH568&lt;60,"LOW")))),"-")</f>
        <v/>
      </c>
      <c r="AJ568" s="12" t="n"/>
      <c r="AK568" s="41">
        <f>IF(AND(W568="X",M568&lt;=$AJ$2),"YES","")</f>
        <v/>
      </c>
      <c r="AL568" s="38">
        <f>IF(AND(W568="X",M568&lt;=$AJ$2),S568,"")</f>
        <v/>
      </c>
      <c r="AM568" s="26">
        <f>IF(AND(W568="X",M568&gt;$AJ$2),"YES","")</f>
        <v/>
      </c>
      <c r="AN568" s="89">
        <f>IF(AND(W568="X",M568&gt;$AJ$2),S568,"")</f>
        <v/>
      </c>
      <c r="AO568" s="35">
        <f>IF(AND(W568="",M568&gt;0,$AJ$2&gt;M568,L568=""),1,0)</f>
        <v/>
      </c>
      <c r="AP568" s="26">
        <f>IF(AND(AK568="YES",W568="X"),"X","")</f>
        <v/>
      </c>
      <c r="AQ568" s="28">
        <f>IF(AP568="X",100%,0%)</f>
        <v/>
      </c>
      <c r="AR568" s="25">
        <f>IF(AND(T568&gt;0,L568=""),H568,"")</f>
        <v/>
      </c>
      <c r="AS568" s="25">
        <f>IF(AND(D568&gt;0,H568=0,G568=""),1,"")</f>
        <v/>
      </c>
      <c r="AT568" s="25">
        <f>IF(G568="BLOQ",1,"")</f>
        <v/>
      </c>
      <c r="AU568" s="25">
        <f>IF(L568="BLOQ",1,"")</f>
        <v/>
      </c>
      <c r="AV568" s="25">
        <f>MONTH(F568)</f>
        <v/>
      </c>
      <c r="AW568" s="65">
        <f>IF(AP568="",100%,0%)</f>
        <v/>
      </c>
      <c r="AX568" s="23" t="n"/>
      <c r="AY568" s="24">
        <f>IF(M568=0,"",M568-$AX$2)</f>
        <v/>
      </c>
      <c r="AZ568" s="66">
        <f>IF(AND(W568="",AY568&gt;0,AY568&lt;15),1,0)</f>
        <v/>
      </c>
      <c r="BA568" s="24">
        <f>IF(AND(W568="",AY568&gt;0,AY568&lt;15),T568,"")</f>
        <v/>
      </c>
      <c r="BB568" s="87">
        <f>IF(R568&lt;Q568,"X","")</f>
        <v/>
      </c>
      <c r="BC568" s="190" t="inlineStr">
        <is>
          <t>NO</t>
        </is>
      </c>
      <c r="BD568" s="190" t="inlineStr">
        <is>
          <t>NO</t>
        </is>
      </c>
    </row>
    <row r="569" ht="15" customHeight="1" s="162">
      <c r="A569" s="7" t="n">
        <v>568</v>
      </c>
      <c r="B569" t="inlineStr">
        <is>
          <t>39121723</t>
        </is>
      </c>
      <c r="C569" t="inlineStr">
        <is>
          <t>Funda termorrectr&amp;#225;ctil recta TE Con</t>
        </is>
      </c>
      <c r="D569" t="inlineStr">
        <is>
          <t>1101898212</t>
        </is>
      </c>
      <c r="E569" t="inlineStr">
        <is>
          <t>1</t>
        </is>
      </c>
      <c r="F569" s="163" t="n">
        <v>45874</v>
      </c>
      <c r="G569" t="inlineStr"/>
      <c r="H569" t="inlineStr">
        <is>
          <t>4800003218</t>
        </is>
      </c>
      <c r="I569" t="inlineStr">
        <is>
          <t>110</t>
        </is>
      </c>
      <c r="J569" s="163" t="n">
        <v>45874</v>
      </c>
      <c r="K569" s="163" t="inlineStr"/>
      <c r="L569" t="inlineStr"/>
      <c r="M569" s="163" t="n">
        <v>45875</v>
      </c>
      <c r="N569" s="164" t="n">
        <v>0</v>
      </c>
      <c r="O569" s="164" t="n">
        <v>0</v>
      </c>
      <c r="P569" t="inlineStr"/>
      <c r="Q569" s="165" t="n">
        <v>1</v>
      </c>
      <c r="R569" s="165" t="n">
        <v>1</v>
      </c>
      <c r="S569" s="165" t="n">
        <v>1</v>
      </c>
      <c r="T569" s="165" t="n">
        <v>0</v>
      </c>
      <c r="U569" s="166" t="n">
        <v>0</v>
      </c>
      <c r="V569" s="166" t="n">
        <v>0</v>
      </c>
      <c r="W569" t="inlineStr">
        <is>
          <t>X</t>
        </is>
      </c>
      <c r="X569" t="inlineStr">
        <is>
          <t>0.00</t>
        </is>
      </c>
      <c r="Y569" t="inlineStr"/>
      <c r="Z569" t="inlineStr">
        <is>
          <t>AMIDATA, S.A.</t>
        </is>
      </c>
      <c r="AA569" t="inlineStr"/>
      <c r="AB569" t="inlineStr">
        <is>
          <t>7183092</t>
        </is>
      </c>
      <c r="AC569" t="inlineStr"/>
      <c r="AD569" s="164" t="n">
        <v>0</v>
      </c>
      <c r="AE569" s="185" t="n">
        <v>0</v>
      </c>
      <c r="AG569" s="167" t="inlineStr">
        <is>
          <t>7218|JA2585_1001</t>
        </is>
      </c>
      <c r="AH569" s="46">
        <f>IF(M569=0,"-",M569-J569)</f>
        <v/>
      </c>
      <c r="AI569" s="46">
        <f>IF(AND(S569=0,M569&gt;0,L569=0),IF(AH569&gt;=120,"VERY HIGH",IF(AH569&gt;=90,"HIGH",IF(AH569&gt;=60,"MEDIUM",IF(AH569&lt;60,"LOW")))),"-")</f>
        <v/>
      </c>
      <c r="AJ569" s="12" t="n"/>
      <c r="AK569" s="41">
        <f>IF(AND(W569="X",M569&lt;=$AJ$2),"YES","")</f>
        <v/>
      </c>
      <c r="AL569" s="38">
        <f>IF(AND(W569="X",M569&lt;=$AJ$2),S569,"")</f>
        <v/>
      </c>
      <c r="AM569" s="26">
        <f>IF(AND(W569="X",M569&gt;$AJ$2),"YES","")</f>
        <v/>
      </c>
      <c r="AN569" s="89">
        <f>IF(AND(W569="X",M569&gt;$AJ$2),S569,"")</f>
        <v/>
      </c>
      <c r="AO569" s="35">
        <f>IF(AND(W569="",M569&gt;0,$AJ$2&gt;M569,L569=""),1,0)</f>
        <v/>
      </c>
      <c r="AP569" s="26">
        <f>IF(AND(AK569="YES",W569="X"),"X","")</f>
        <v/>
      </c>
      <c r="AQ569" s="28">
        <f>IF(AP569="X",100%,0%)</f>
        <v/>
      </c>
      <c r="AR569" s="25">
        <f>IF(AND(T569&gt;0,L569=""),H569,"")</f>
        <v/>
      </c>
      <c r="AS569" s="25">
        <f>IF(AND(D569&gt;0,H569=0,G569=""),1,"")</f>
        <v/>
      </c>
      <c r="AT569" s="25">
        <f>IF(G569="BLOQ",1,"")</f>
        <v/>
      </c>
      <c r="AU569" s="25">
        <f>IF(L569="BLOQ",1,"")</f>
        <v/>
      </c>
      <c r="AV569" s="25">
        <f>MONTH(F569)</f>
        <v/>
      </c>
      <c r="AW569" s="65">
        <f>IF(AP569="",100%,0%)</f>
        <v/>
      </c>
      <c r="AX569" s="23" t="n"/>
      <c r="AY569" s="24">
        <f>IF(M569=0,"",M569-$AX$2)</f>
        <v/>
      </c>
      <c r="AZ569" s="66">
        <f>IF(AND(W569="",AY569&gt;0,AY569&lt;15),1,0)</f>
        <v/>
      </c>
      <c r="BA569" s="24">
        <f>IF(AND(W569="",AY569&gt;0,AY569&lt;15),T569,"")</f>
        <v/>
      </c>
      <c r="BB569" s="87">
        <f>IF(R569&lt;Q569,"X","")</f>
        <v/>
      </c>
      <c r="BC569" s="190" t="inlineStr">
        <is>
          <t>NO</t>
        </is>
      </c>
      <c r="BD569" s="190" t="inlineStr">
        <is>
          <t>NO</t>
        </is>
      </c>
    </row>
    <row r="570" ht="15" customHeight="1" s="162">
      <c r="A570" s="7" t="n">
        <v>569</v>
      </c>
      <c r="B570" t="inlineStr"/>
      <c r="C570" t="inlineStr">
        <is>
          <t>MONTAJE REJIBAND SF.03</t>
        </is>
      </c>
      <c r="D570" t="inlineStr">
        <is>
          <t>1101898253</t>
        </is>
      </c>
      <c r="E570" t="inlineStr">
        <is>
          <t>1</t>
        </is>
      </c>
      <c r="F570" s="163" t="n">
        <v>45874</v>
      </c>
      <c r="G570" t="inlineStr"/>
      <c r="H570" t="inlineStr">
        <is>
          <t>4300351264</t>
        </is>
      </c>
      <c r="I570" t="inlineStr">
        <is>
          <t>10</t>
        </is>
      </c>
      <c r="J570" s="163" t="n">
        <v>45887</v>
      </c>
      <c r="K570" s="163" t="n">
        <v>45888</v>
      </c>
      <c r="L570" t="inlineStr"/>
      <c r="M570" s="163" t="n">
        <v>46022</v>
      </c>
      <c r="N570" s="164" t="n">
        <v>0</v>
      </c>
      <c r="O570" s="164" t="n">
        <v>0</v>
      </c>
      <c r="P570" t="inlineStr">
        <is>
          <t>Liberado</t>
        </is>
      </c>
      <c r="Q570" s="166" t="n">
        <v>1</v>
      </c>
      <c r="R570" s="164" t="n">
        <v>1</v>
      </c>
      <c r="S570" s="164" t="n">
        <v>0</v>
      </c>
      <c r="T570" s="164" t="n">
        <v>0</v>
      </c>
      <c r="U570" s="166" t="n">
        <v>0</v>
      </c>
      <c r="V570" s="166" t="n">
        <v>0</v>
      </c>
      <c r="W570" t="inlineStr"/>
      <c r="X570" t="inlineStr">
        <is>
          <t>0.00</t>
        </is>
      </c>
      <c r="Y570" t="inlineStr"/>
      <c r="Z570" t="inlineStr">
        <is>
          <t>VEOLIA SERVICIOS LECAM, S.A.U.</t>
        </is>
      </c>
      <c r="AA570" t="inlineStr"/>
      <c r="AB570" t="inlineStr"/>
      <c r="AC570" t="inlineStr"/>
      <c r="AD570" s="164" t="n">
        <v>0</v>
      </c>
      <c r="AE570" s="185" t="n">
        <v>0</v>
      </c>
      <c r="AG570" s="167" t="inlineStr">
        <is>
          <t>7218|S24B05_GAR03</t>
        </is>
      </c>
      <c r="AH570" s="46">
        <f>IF(M570=0,"-",M570-J570)</f>
        <v/>
      </c>
      <c r="AI570" s="46">
        <f>IF(AND(S570=0,M570&gt;0,L570=0),IF(AH570&gt;=120,"VERY HIGH",IF(AH570&gt;=90,"HIGH",IF(AH570&gt;=60,"MEDIUM",IF(AH570&lt;60,"LOW")))),"-")</f>
        <v/>
      </c>
      <c r="AJ570" s="12" t="n"/>
      <c r="AK570" s="41">
        <f>IF(AND(W570="X",M570&lt;=$AJ$2),"YES","")</f>
        <v/>
      </c>
      <c r="AL570" s="38">
        <f>IF(AND(W570="X",M570&lt;=$AJ$2),S570,"")</f>
        <v/>
      </c>
      <c r="AM570" s="26">
        <f>IF(AND(W570="X",M570&gt;$AJ$2),"YES","")</f>
        <v/>
      </c>
      <c r="AN570" s="89">
        <f>IF(AND(W570="X",M570&gt;$AJ$2),S570,"")</f>
        <v/>
      </c>
      <c r="AO570" s="35">
        <f>IF(AND(W570="",M570&gt;0,$AJ$2&gt;M570,L570=""),1,0)</f>
        <v/>
      </c>
      <c r="AP570" s="26">
        <f>IF(AND(AK570="YES",W570="X"),"X","")</f>
        <v/>
      </c>
      <c r="AQ570" s="28">
        <f>IF(AP570="X",100%,0%)</f>
        <v/>
      </c>
      <c r="AR570" s="25">
        <f>IF(AND(T570&gt;0,L570=""),H570,"")</f>
        <v/>
      </c>
      <c r="AS570" s="25">
        <f>IF(AND(D570&gt;0,H570=0,G570=""),1,"")</f>
        <v/>
      </c>
      <c r="AT570" s="25">
        <f>IF(G570="BLOQ",1,"")</f>
        <v/>
      </c>
      <c r="AU570" s="25">
        <f>IF(L570="BLOQ",1,"")</f>
        <v/>
      </c>
      <c r="AV570" s="25">
        <f>MONTH(F570)</f>
        <v/>
      </c>
      <c r="AW570" s="65">
        <f>IF(AP570="",100%,0%)</f>
        <v/>
      </c>
      <c r="AX570" s="23" t="n"/>
      <c r="AY570" s="24">
        <f>IF(M570=0,"",M570-$AX$2)</f>
        <v/>
      </c>
      <c r="AZ570" s="66">
        <f>IF(AND(W570="",AY570&gt;0,AY570&lt;15),1,0)</f>
        <v/>
      </c>
      <c r="BA570" s="24">
        <f>IF(AND(W570="",AY570&gt;0,AY570&lt;15),T570,"")</f>
        <v/>
      </c>
      <c r="BB570" s="87">
        <f>IF(R570&lt;Q570,"X","")</f>
        <v/>
      </c>
      <c r="BC570" s="190" t="inlineStr">
        <is>
          <t>NO</t>
        </is>
      </c>
      <c r="BD570" s="190" t="inlineStr">
        <is>
          <t>NO</t>
        </is>
      </c>
    </row>
    <row r="571" ht="15" customHeight="1" s="162">
      <c r="A571" s="7" t="n">
        <v>570</v>
      </c>
      <c r="B571" t="inlineStr">
        <is>
          <t>26121539</t>
        </is>
      </c>
      <c r="C571" t="inlineStr">
        <is>
          <t>Cable de conexi&amp;#243;n Lapp 4160203, &amp;#2</t>
        </is>
      </c>
      <c r="D571" t="inlineStr">
        <is>
          <t>1101898527</t>
        </is>
      </c>
      <c r="E571" t="inlineStr">
        <is>
          <t>1</t>
        </is>
      </c>
      <c r="F571" s="163" t="n">
        <v>45875</v>
      </c>
      <c r="G571" t="inlineStr"/>
      <c r="H571" t="inlineStr">
        <is>
          <t>4800003218</t>
        </is>
      </c>
      <c r="I571" t="inlineStr">
        <is>
          <t>550</t>
        </is>
      </c>
      <c r="J571" s="163" t="n">
        <v>45874</v>
      </c>
      <c r="K571" s="163" t="inlineStr"/>
      <c r="L571" t="inlineStr"/>
      <c r="M571" s="163" t="n">
        <v>45876</v>
      </c>
      <c r="N571" s="164" t="n">
        <v>0</v>
      </c>
      <c r="O571" s="164" t="n">
        <v>0</v>
      </c>
      <c r="P571" t="inlineStr"/>
      <c r="Q571" s="165" t="n">
        <v>15</v>
      </c>
      <c r="R571" s="165" t="n">
        <v>15</v>
      </c>
      <c r="S571" s="165" t="n">
        <v>15</v>
      </c>
      <c r="T571" s="165" t="n">
        <v>0</v>
      </c>
      <c r="U571" s="166" t="n">
        <v>0</v>
      </c>
      <c r="V571" s="166" t="n">
        <v>0</v>
      </c>
      <c r="W571" t="inlineStr">
        <is>
          <t>X</t>
        </is>
      </c>
      <c r="X571" t="inlineStr">
        <is>
          <t>0.00</t>
        </is>
      </c>
      <c r="Y571" t="inlineStr"/>
      <c r="Z571" t="inlineStr">
        <is>
          <t>AMIDATA, S.A.</t>
        </is>
      </c>
      <c r="AA571" t="inlineStr"/>
      <c r="AB571" t="inlineStr">
        <is>
          <t>7244238</t>
        </is>
      </c>
      <c r="AC571" t="inlineStr"/>
      <c r="AD571" s="164" t="n">
        <v>0</v>
      </c>
      <c r="AE571" s="185" t="n">
        <v>0</v>
      </c>
      <c r="AG571" s="167" t="inlineStr">
        <is>
          <t>7218|JA2593_1001</t>
        </is>
      </c>
      <c r="AH571" s="46">
        <f>IF(M571=0,"-",M571-J571)</f>
        <v/>
      </c>
      <c r="AI571" s="46">
        <f>IF(AND(S571=0,M571&gt;0,L571=0),IF(AH571&gt;=120,"VERY HIGH",IF(AH571&gt;=90,"HIGH",IF(AH571&gt;=60,"MEDIUM",IF(AH571&lt;60,"LOW")))),"-")</f>
        <v/>
      </c>
      <c r="AJ571" s="12" t="n"/>
      <c r="AK571" s="41">
        <f>IF(AND(W571="X",M571&lt;=$AJ$2),"YES","")</f>
        <v/>
      </c>
      <c r="AL571" s="38">
        <f>IF(AND(W571="X",M571&lt;=$AJ$2),S571,"")</f>
        <v/>
      </c>
      <c r="AM571" s="26">
        <f>IF(AND(W571="X",M571&gt;$AJ$2),"YES","")</f>
        <v/>
      </c>
      <c r="AN571" s="89">
        <f>IF(AND(W571="X",M571&gt;$AJ$2),S571,"")</f>
        <v/>
      </c>
      <c r="AO571" s="35">
        <f>IF(AND(W571="",M571&gt;0,$AJ$2&gt;M571,L571=""),1,0)</f>
        <v/>
      </c>
      <c r="AP571" s="26">
        <f>IF(AND(AK571="YES",W571="X"),"X","")</f>
        <v/>
      </c>
      <c r="AQ571" s="28">
        <f>IF(AP571="X",100%,0%)</f>
        <v/>
      </c>
      <c r="AR571" s="25">
        <f>IF(AND(T571&gt;0,L571=""),H571,"")</f>
        <v/>
      </c>
      <c r="AS571" s="25">
        <f>IF(AND(D571&gt;0,H571=0,G571=""),1,"")</f>
        <v/>
      </c>
      <c r="AT571" s="25">
        <f>IF(G571="BLOQ",1,"")</f>
        <v/>
      </c>
      <c r="AU571" s="25">
        <f>IF(L571="BLOQ",1,"")</f>
        <v/>
      </c>
      <c r="AV571" s="25">
        <f>MONTH(F571)</f>
        <v/>
      </c>
      <c r="AW571" s="65">
        <f>IF(AP571="",100%,0%)</f>
        <v/>
      </c>
      <c r="AX571" s="23" t="n"/>
      <c r="AY571" s="24">
        <f>IF(M571=0,"",M571-$AX$2)</f>
        <v/>
      </c>
      <c r="AZ571" s="66">
        <f>IF(AND(W571="",AY571&gt;0,AY571&lt;15),1,0)</f>
        <v/>
      </c>
      <c r="BA571" s="24">
        <f>IF(AND(W571="",AY571&gt;0,AY571&lt;15),T571,"")</f>
        <v/>
      </c>
      <c r="BB571" s="87">
        <f>IF(R571&lt;Q571,"X","")</f>
        <v/>
      </c>
      <c r="BC571" s="190" t="inlineStr">
        <is>
          <t>NO</t>
        </is>
      </c>
      <c r="BD571" s="190" t="inlineStr">
        <is>
          <t>NO</t>
        </is>
      </c>
    </row>
    <row r="572" ht="15" customHeight="1" s="162">
      <c r="A572" s="7" t="n">
        <v>571</v>
      </c>
      <c r="B572" t="inlineStr">
        <is>
          <t>39121324</t>
        </is>
      </c>
      <c r="C572" t="inlineStr">
        <is>
          <t>Caja Spelsberg de Poliestireno Gris, 254</t>
        </is>
      </c>
      <c r="D572" t="inlineStr">
        <is>
          <t>1101898813</t>
        </is>
      </c>
      <c r="E572" t="inlineStr">
        <is>
          <t>1</t>
        </is>
      </c>
      <c r="F572" s="163" t="n">
        <v>45876</v>
      </c>
      <c r="G572" t="inlineStr"/>
      <c r="H572" t="inlineStr">
        <is>
          <t>4800003218</t>
        </is>
      </c>
      <c r="I572" t="inlineStr">
        <is>
          <t>880</t>
        </is>
      </c>
      <c r="J572" s="163" t="n">
        <v>45874</v>
      </c>
      <c r="K572" s="163" t="inlineStr"/>
      <c r="L572" t="inlineStr"/>
      <c r="M572" s="163" t="n">
        <v>45877</v>
      </c>
      <c r="N572" s="164" t="n">
        <v>0</v>
      </c>
      <c r="O572" s="164" t="n">
        <v>0</v>
      </c>
      <c r="P572" t="inlineStr"/>
      <c r="Q572" s="165" t="n">
        <v>1</v>
      </c>
      <c r="R572" s="165" t="n">
        <v>1</v>
      </c>
      <c r="S572" s="165" t="n">
        <v>1</v>
      </c>
      <c r="T572" s="165" t="n">
        <v>0</v>
      </c>
      <c r="U572" s="166" t="n">
        <v>0</v>
      </c>
      <c r="V572" s="166" t="n">
        <v>0</v>
      </c>
      <c r="W572" t="inlineStr">
        <is>
          <t>X</t>
        </is>
      </c>
      <c r="X572" t="inlineStr">
        <is>
          <t>0.00</t>
        </is>
      </c>
      <c r="Y572" t="inlineStr"/>
      <c r="Z572" t="inlineStr">
        <is>
          <t>AMIDATA, S.A.</t>
        </is>
      </c>
      <c r="AA572" t="inlineStr"/>
      <c r="AB572" t="inlineStr">
        <is>
          <t>0832554</t>
        </is>
      </c>
      <c r="AC572" t="inlineStr"/>
      <c r="AD572" s="164" t="n">
        <v>0</v>
      </c>
      <c r="AE572" s="185" t="n">
        <v>0</v>
      </c>
      <c r="AG572" s="167" t="inlineStr">
        <is>
          <t>7218|S24B05_S1074</t>
        </is>
      </c>
      <c r="AH572" s="46">
        <f>IF(M572=0,"-",M572-J572)</f>
        <v/>
      </c>
      <c r="AI572" s="46">
        <f>IF(AND(S572=0,M572&gt;0,L572=0),IF(AH572&gt;=120,"VERY HIGH",IF(AH572&gt;=90,"HIGH",IF(AH572&gt;=60,"MEDIUM",IF(AH572&lt;60,"LOW")))),"-")</f>
        <v/>
      </c>
      <c r="AJ572" s="12" t="n"/>
      <c r="AK572" s="41">
        <f>IF(AND(W572="X",M572&lt;=$AJ$2),"YES","")</f>
        <v/>
      </c>
      <c r="AL572" s="38">
        <f>IF(AND(W572="X",M572&lt;=$AJ$2),S572,"")</f>
        <v/>
      </c>
      <c r="AM572" s="26">
        <f>IF(AND(W572="X",M572&gt;$AJ$2),"YES","")</f>
        <v/>
      </c>
      <c r="AN572" s="89">
        <f>IF(AND(W572="X",M572&gt;$AJ$2),S572,"")</f>
        <v/>
      </c>
      <c r="AO572" s="35">
        <f>IF(AND(W572="",M572&gt;0,$AJ$2&gt;M572,L572=""),1,0)</f>
        <v/>
      </c>
      <c r="AP572" s="26">
        <f>IF(AND(AK572="YES",W572="X"),"X","")</f>
        <v/>
      </c>
      <c r="AQ572" s="28">
        <f>IF(AP572="X",100%,0%)</f>
        <v/>
      </c>
      <c r="AR572" s="25">
        <f>IF(AND(T572&gt;0,L572=""),H572,"")</f>
        <v/>
      </c>
      <c r="AS572" s="25">
        <f>IF(AND(D572&gt;0,H572=0,G572=""),1,"")</f>
        <v/>
      </c>
      <c r="AT572" s="25">
        <f>IF(G572="BLOQ",1,"")</f>
        <v/>
      </c>
      <c r="AU572" s="25">
        <f>IF(L572="BLOQ",1,"")</f>
        <v/>
      </c>
      <c r="AV572" s="25">
        <f>MONTH(F572)</f>
        <v/>
      </c>
      <c r="AW572" s="65">
        <f>IF(AP572="",100%,0%)</f>
        <v/>
      </c>
      <c r="AX572" s="23" t="n"/>
      <c r="AY572" s="24">
        <f>IF(M572=0,"",M572-$AX$2)</f>
        <v/>
      </c>
      <c r="AZ572" s="66">
        <f>IF(AND(W572="",AY572&gt;0,AY572&lt;15),1,0)</f>
        <v/>
      </c>
      <c r="BA572" s="24">
        <f>IF(AND(W572="",AY572&gt;0,AY572&lt;15),T572,"")</f>
        <v/>
      </c>
      <c r="BB572" s="87">
        <f>IF(R572&lt;Q572,"X","")</f>
        <v/>
      </c>
      <c r="BC572" s="190" t="inlineStr">
        <is>
          <t>NO</t>
        </is>
      </c>
      <c r="BD572" s="190" t="inlineStr">
        <is>
          <t>NO</t>
        </is>
      </c>
    </row>
    <row r="573" ht="15" customHeight="1" s="162">
      <c r="A573" s="7" t="n">
        <v>572</v>
      </c>
      <c r="B573" t="inlineStr">
        <is>
          <t>1359900000500</t>
        </is>
      </c>
      <c r="C573" t="inlineStr">
        <is>
          <t>COMPRA DIRECTA ELECTRICOS/ELECTRONICOS</t>
        </is>
      </c>
      <c r="D573" t="inlineStr">
        <is>
          <t>1101898899</t>
        </is>
      </c>
      <c r="E573" t="inlineStr">
        <is>
          <t>1</t>
        </is>
      </c>
      <c r="F573" s="163" t="n">
        <v>45876</v>
      </c>
      <c r="G573" t="inlineStr"/>
      <c r="H573" t="inlineStr">
        <is>
          <t>4200624413</t>
        </is>
      </c>
      <c r="I573" t="inlineStr">
        <is>
          <t>10</t>
        </is>
      </c>
      <c r="J573" s="163" t="n">
        <v>45894</v>
      </c>
      <c r="K573" s="163" t="n">
        <v>45895</v>
      </c>
      <c r="L573" t="inlineStr"/>
      <c r="M573" s="163" t="n">
        <v>45961</v>
      </c>
      <c r="N573" s="164" t="n">
        <v>30</v>
      </c>
      <c r="O573" s="164" t="n">
        <v>8</v>
      </c>
      <c r="P573" t="inlineStr">
        <is>
          <t>Liberado</t>
        </is>
      </c>
      <c r="Q573" s="165" t="n">
        <v>1</v>
      </c>
      <c r="R573" s="165" t="n">
        <v>1</v>
      </c>
      <c r="S573" s="165" t="n">
        <v>1</v>
      </c>
      <c r="T573" s="165" t="n">
        <v>0</v>
      </c>
      <c r="U573" s="166" t="n">
        <v>0</v>
      </c>
      <c r="V573" s="166" t="n">
        <v>0</v>
      </c>
      <c r="W573" t="inlineStr">
        <is>
          <t>X</t>
        </is>
      </c>
      <c r="X573" t="inlineStr">
        <is>
          <t>0.00</t>
        </is>
      </c>
      <c r="Y573" t="inlineStr"/>
      <c r="Z573" t="inlineStr">
        <is>
          <t>SARVER S.L.</t>
        </is>
      </c>
      <c r="AA573" t="inlineStr">
        <is>
          <t>OTROS FABRICANTES</t>
        </is>
      </c>
      <c r="AB573" t="inlineStr">
        <is>
          <t>1359900000500</t>
        </is>
      </c>
      <c r="AC573" t="inlineStr"/>
      <c r="AD573" s="164" t="n">
        <v>0</v>
      </c>
      <c r="AE573" s="185" t="n">
        <v>0</v>
      </c>
      <c r="AG573" s="167" t="inlineStr">
        <is>
          <t>7218|JA2581_1001</t>
        </is>
      </c>
      <c r="AH573" s="46">
        <f>IF(M573=0,"-",M573-J573)</f>
        <v/>
      </c>
      <c r="AI573" s="46">
        <f>IF(AND(S573=0,M573&gt;0,L573=0),IF(AH573&gt;=120,"VERY HIGH",IF(AH573&gt;=90,"HIGH",IF(AH573&gt;=60,"MEDIUM",IF(AH573&lt;60,"LOW")))),"-")</f>
        <v/>
      </c>
      <c r="AJ573" s="12" t="n"/>
      <c r="AK573" s="41">
        <f>IF(AND(W573="X",M573&lt;=$AJ$2),"YES","")</f>
        <v/>
      </c>
      <c r="AL573" s="38">
        <f>IF(AND(W573="X",M573&lt;=$AJ$2),S573,"")</f>
        <v/>
      </c>
      <c r="AM573" s="26">
        <f>IF(AND(W573="X",M573&gt;$AJ$2),"YES","")</f>
        <v/>
      </c>
      <c r="AN573" s="89">
        <f>IF(AND(W573="X",M573&gt;$AJ$2),S573,"")</f>
        <v/>
      </c>
      <c r="AO573" s="35">
        <f>IF(AND(W573="",M573&gt;0,$AJ$2&gt;M573,L573=""),1,0)</f>
        <v/>
      </c>
      <c r="AP573" s="26">
        <f>IF(AND(AK573="YES",W573="X"),"X","")</f>
        <v/>
      </c>
      <c r="AQ573" s="28">
        <f>IF(AP573="X",100%,0%)</f>
        <v/>
      </c>
      <c r="AR573" s="25">
        <f>IF(AND(T573&gt;0,L573=""),H573,"")</f>
        <v/>
      </c>
      <c r="AS573" s="25">
        <f>IF(AND(D573&gt;0,H573=0,G573=""),1,"")</f>
        <v/>
      </c>
      <c r="AT573" s="25">
        <f>IF(G573="BLOQ",1,"")</f>
        <v/>
      </c>
      <c r="AU573" s="25">
        <f>IF(L573="BLOQ",1,"")</f>
        <v/>
      </c>
      <c r="AV573" s="25">
        <f>MONTH(F573)</f>
        <v/>
      </c>
      <c r="AW573" s="65">
        <f>IF(AP573="",100%,0%)</f>
        <v/>
      </c>
      <c r="AX573" s="23" t="n"/>
      <c r="AY573" s="24">
        <f>IF(M573=0,"",M573-$AX$2)</f>
        <v/>
      </c>
      <c r="AZ573" s="66">
        <f>IF(AND(W573="",AY573&gt;0,AY573&lt;15),1,0)</f>
        <v/>
      </c>
      <c r="BA573" s="24">
        <f>IF(AND(W573="",AY573&gt;0,AY573&lt;15),T573,"")</f>
        <v/>
      </c>
      <c r="BB573" s="87">
        <f>IF(R573&lt;Q573,"X","")</f>
        <v/>
      </c>
      <c r="BC573" s="190" t="inlineStr">
        <is>
          <t>NO</t>
        </is>
      </c>
      <c r="BD573" s="190" t="inlineStr">
        <is>
          <t>NO</t>
        </is>
      </c>
    </row>
    <row r="574" ht="15" customHeight="1" s="162">
      <c r="A574" s="7" t="n">
        <v>573</v>
      </c>
      <c r="B574" t="inlineStr">
        <is>
          <t>55121612</t>
        </is>
      </c>
      <c r="C574" t="inlineStr">
        <is>
          <t>PK100 ETIQ APLI POLIEST A4 BCO 12121</t>
        </is>
      </c>
      <c r="D574" t="inlineStr">
        <is>
          <t>1101899457</t>
        </is>
      </c>
      <c r="E574" t="inlineStr">
        <is>
          <t>1</t>
        </is>
      </c>
      <c r="F574" s="163" t="n">
        <v>45880</v>
      </c>
      <c r="G574" t="inlineStr"/>
      <c r="H574" t="inlineStr">
        <is>
          <t>4800003205</t>
        </is>
      </c>
      <c r="I574" t="inlineStr">
        <is>
          <t>510</t>
        </is>
      </c>
      <c r="J574" s="163" t="n">
        <v>45870</v>
      </c>
      <c r="K574" s="163" t="inlineStr"/>
      <c r="L574" t="inlineStr"/>
      <c r="M574" s="163" t="n">
        <v>45881</v>
      </c>
      <c r="N574" s="164" t="n">
        <v>0</v>
      </c>
      <c r="O574" s="164" t="n">
        <v>0</v>
      </c>
      <c r="P574" t="inlineStr"/>
      <c r="Q574" s="165" t="n">
        <v>1</v>
      </c>
      <c r="R574" s="165" t="n">
        <v>1</v>
      </c>
      <c r="S574" s="165" t="n">
        <v>1</v>
      </c>
      <c r="T574" s="165" t="n">
        <v>0</v>
      </c>
      <c r="U574" s="166" t="n">
        <v>0</v>
      </c>
      <c r="V574" s="166" t="n">
        <v>0</v>
      </c>
      <c r="W574" t="inlineStr">
        <is>
          <t>X</t>
        </is>
      </c>
      <c r="X574" t="inlineStr">
        <is>
          <t>0.00</t>
        </is>
      </c>
      <c r="Y574" t="inlineStr"/>
      <c r="Z574" t="inlineStr">
        <is>
          <t>FUNDACION JUAN XXIII-RONCALLI DISC.</t>
        </is>
      </c>
      <c r="AA574" t="inlineStr"/>
      <c r="AB574" t="inlineStr">
        <is>
          <t>10208643</t>
        </is>
      </c>
      <c r="AC574" t="inlineStr"/>
      <c r="AD574" s="164" t="n">
        <v>0</v>
      </c>
      <c r="AE574" s="185" t="n">
        <v>0</v>
      </c>
      <c r="AG574" s="167" t="inlineStr">
        <is>
          <t>7218|S24B05_S1074</t>
        </is>
      </c>
      <c r="AH574" s="46">
        <f>IF(M574=0,"-",M574-J574)</f>
        <v/>
      </c>
      <c r="AI574" s="46">
        <f>IF(AND(S574=0,M574&gt;0,L574=0),IF(AH574&gt;=120,"VERY HIGH",IF(AH574&gt;=90,"HIGH",IF(AH574&gt;=60,"MEDIUM",IF(AH574&lt;60,"LOW")))),"-")</f>
        <v/>
      </c>
      <c r="AJ574" s="12" t="n"/>
      <c r="AK574" s="41">
        <f>IF(AND(W574="X",M574&lt;=$AJ$2),"YES","")</f>
        <v/>
      </c>
      <c r="AL574" s="38">
        <f>IF(AND(W574="X",M574&lt;=$AJ$2),S574,"")</f>
        <v/>
      </c>
      <c r="AM574" s="26">
        <f>IF(AND(W574="X",M574&gt;$AJ$2),"YES","")</f>
        <v/>
      </c>
      <c r="AN574" s="89">
        <f>IF(AND(W574="X",M574&gt;$AJ$2),S574,"")</f>
        <v/>
      </c>
      <c r="AO574" s="35">
        <f>IF(AND(W574="",M574&gt;0,$AJ$2&gt;M574,L574=""),1,0)</f>
        <v/>
      </c>
      <c r="AP574" s="26">
        <f>IF(AND(AK574="YES",W574="X"),"X","")</f>
        <v/>
      </c>
      <c r="AQ574" s="28">
        <f>IF(AP574="X",100%,0%)</f>
        <v/>
      </c>
      <c r="AR574" s="25">
        <f>IF(AND(T574&gt;0,L574=""),H574,"")</f>
        <v/>
      </c>
      <c r="AS574" s="25">
        <f>IF(AND(D574&gt;0,H574=0,G574=""),1,"")</f>
        <v/>
      </c>
      <c r="AT574" s="25">
        <f>IF(G574="BLOQ",1,"")</f>
        <v/>
      </c>
      <c r="AU574" s="25">
        <f>IF(L574="BLOQ",1,"")</f>
        <v/>
      </c>
      <c r="AV574" s="25">
        <f>MONTH(F574)</f>
        <v/>
      </c>
      <c r="AW574" s="65">
        <f>IF(AP574="",100%,0%)</f>
        <v/>
      </c>
      <c r="AX574" s="23" t="n"/>
      <c r="AY574" s="24">
        <f>IF(M574=0,"",M574-$AX$2)</f>
        <v/>
      </c>
      <c r="AZ574" s="66">
        <f>IF(AND(W574="",AY574&gt;0,AY574&lt;15),1,0)</f>
        <v/>
      </c>
      <c r="BA574" s="24">
        <f>IF(AND(W574="",AY574&gt;0,AY574&lt;15),T574,"")</f>
        <v/>
      </c>
      <c r="BB574" s="87">
        <f>IF(R574&lt;Q574,"X","")</f>
        <v/>
      </c>
      <c r="BC574" s="190" t="inlineStr">
        <is>
          <t>NO</t>
        </is>
      </c>
      <c r="BD574" s="190" t="inlineStr">
        <is>
          <t>NO</t>
        </is>
      </c>
    </row>
    <row r="575" ht="15" customHeight="1" s="162">
      <c r="A575" s="7" t="n">
        <v>574</v>
      </c>
      <c r="B575" t="inlineStr">
        <is>
          <t>1709800000500</t>
        </is>
      </c>
      <c r="C575" t="inlineStr">
        <is>
          <t>COMPRA DIRECTA FERRETERIA Y HERRAMIENTAS</t>
        </is>
      </c>
      <c r="D575" t="inlineStr">
        <is>
          <t>1101899460</t>
        </is>
      </c>
      <c r="E575" t="inlineStr">
        <is>
          <t>1</t>
        </is>
      </c>
      <c r="F575" s="163" t="n">
        <v>45880</v>
      </c>
      <c r="G575" t="inlineStr"/>
      <c r="H575" t="inlineStr">
        <is>
          <t>4200624525</t>
        </is>
      </c>
      <c r="I575" t="inlineStr">
        <is>
          <t>10</t>
        </is>
      </c>
      <c r="J575" s="163" t="n">
        <v>45895</v>
      </c>
      <c r="K575" s="163" t="n">
        <v>45896</v>
      </c>
      <c r="L575" t="inlineStr"/>
      <c r="M575" s="163" t="n">
        <v>45961</v>
      </c>
      <c r="N575" s="164" t="n">
        <v>30</v>
      </c>
      <c r="O575" s="164" t="n">
        <v>8</v>
      </c>
      <c r="P575" t="inlineStr">
        <is>
          <t>Liberado</t>
        </is>
      </c>
      <c r="Q575" s="165" t="n">
        <v>1</v>
      </c>
      <c r="R575" s="165" t="n">
        <v>1</v>
      </c>
      <c r="S575" s="165" t="n">
        <v>1</v>
      </c>
      <c r="T575" s="165" t="n">
        <v>0</v>
      </c>
      <c r="U575" s="166" t="n">
        <v>0</v>
      </c>
      <c r="V575" s="166" t="n">
        <v>0</v>
      </c>
      <c r="W575" t="inlineStr">
        <is>
          <t>X</t>
        </is>
      </c>
      <c r="X575" t="inlineStr">
        <is>
          <t>0.00</t>
        </is>
      </c>
      <c r="Y575" t="inlineStr"/>
      <c r="Z575" t="inlineStr">
        <is>
          <t>ABACO SUYTEC, S.A.U.</t>
        </is>
      </c>
      <c r="AA575" t="inlineStr">
        <is>
          <t>OTROS FABRICANTES</t>
        </is>
      </c>
      <c r="AB575" t="inlineStr">
        <is>
          <t>1709800000500</t>
        </is>
      </c>
      <c r="AC575" t="inlineStr"/>
      <c r="AD575" s="164" t="n">
        <v>0</v>
      </c>
      <c r="AE575" s="185" t="n">
        <v>0</v>
      </c>
      <c r="AG575" s="167" t="inlineStr">
        <is>
          <t>7218|JA2593_1001</t>
        </is>
      </c>
      <c r="AH575" s="46">
        <f>IF(M575=0,"-",M575-J575)</f>
        <v/>
      </c>
      <c r="AI575" s="46">
        <f>IF(AND(S575=0,M575&gt;0,L575=0),IF(AH575&gt;=120,"VERY HIGH",IF(AH575&gt;=90,"HIGH",IF(AH575&gt;=60,"MEDIUM",IF(AH575&lt;60,"LOW")))),"-")</f>
        <v/>
      </c>
      <c r="AJ575" s="12" t="n"/>
      <c r="AK575" s="41">
        <f>IF(AND(W575="X",M575&lt;=$AJ$2),"YES","")</f>
        <v/>
      </c>
      <c r="AL575" s="38">
        <f>IF(AND(W575="X",M575&lt;=$AJ$2),S575,"")</f>
        <v/>
      </c>
      <c r="AM575" s="26">
        <f>IF(AND(W575="X",M575&gt;$AJ$2),"YES","")</f>
        <v/>
      </c>
      <c r="AN575" s="89">
        <f>IF(AND(W575="X",M575&gt;$AJ$2),S575,"")</f>
        <v/>
      </c>
      <c r="AO575" s="35">
        <f>IF(AND(W575="",M575&gt;0,$AJ$2&gt;M575,L575=""),1,0)</f>
        <v/>
      </c>
      <c r="AP575" s="26">
        <f>IF(AND(AK575="YES",W575="X"),"X","")</f>
        <v/>
      </c>
      <c r="AQ575" s="28">
        <f>IF(AP575="X",100%,0%)</f>
        <v/>
      </c>
      <c r="AR575" s="25">
        <f>IF(AND(T575&gt;0,L575=""),H575,"")</f>
        <v/>
      </c>
      <c r="AS575" s="25">
        <f>IF(AND(D575&gt;0,H575=0,G575=""),1,"")</f>
        <v/>
      </c>
      <c r="AT575" s="25">
        <f>IF(G575="BLOQ",1,"")</f>
        <v/>
      </c>
      <c r="AU575" s="25">
        <f>IF(L575="BLOQ",1,"")</f>
        <v/>
      </c>
      <c r="AV575" s="25">
        <f>MONTH(F575)</f>
        <v/>
      </c>
      <c r="AW575" s="65">
        <f>IF(AP575="",100%,0%)</f>
        <v/>
      </c>
      <c r="AX575" s="23" t="n"/>
      <c r="AY575" s="24">
        <f>IF(M575=0,"",M575-$AX$2)</f>
        <v/>
      </c>
      <c r="AZ575" s="66">
        <f>IF(AND(W575="",AY575&gt;0,AY575&lt;15),1,0)</f>
        <v/>
      </c>
      <c r="BA575" s="24">
        <f>IF(AND(W575="",AY575&gt;0,AY575&lt;15),T575,"")</f>
        <v/>
      </c>
      <c r="BB575" s="87">
        <f>IF(R575&lt;Q575,"X","")</f>
        <v/>
      </c>
      <c r="BC575" s="190" t="inlineStr">
        <is>
          <t>NO</t>
        </is>
      </c>
      <c r="BD575" s="190" t="inlineStr">
        <is>
          <t>NO</t>
        </is>
      </c>
    </row>
    <row r="576" ht="15" customHeight="1" s="162">
      <c r="A576" s="7" t="n">
        <v>575</v>
      </c>
      <c r="B576" t="inlineStr">
        <is>
          <t>1709800000500</t>
        </is>
      </c>
      <c r="C576" t="inlineStr">
        <is>
          <t>COMPRA DIRECTA FERRETERIA Y HERRAMIENTAS</t>
        </is>
      </c>
      <c r="D576" t="inlineStr">
        <is>
          <t>1101899460</t>
        </is>
      </c>
      <c r="E576" t="inlineStr">
        <is>
          <t>2</t>
        </is>
      </c>
      <c r="F576" s="163" t="n">
        <v>45880</v>
      </c>
      <c r="G576" t="inlineStr"/>
      <c r="H576" t="inlineStr">
        <is>
          <t>4200624525</t>
        </is>
      </c>
      <c r="I576" t="inlineStr">
        <is>
          <t>20</t>
        </is>
      </c>
      <c r="J576" s="163" t="n">
        <v>45895</v>
      </c>
      <c r="K576" s="163" t="n">
        <v>45896</v>
      </c>
      <c r="L576" t="inlineStr"/>
      <c r="M576" s="163" t="n">
        <v>45961</v>
      </c>
      <c r="N576" s="164" t="n">
        <v>30</v>
      </c>
      <c r="O576" s="164" t="n">
        <v>8</v>
      </c>
      <c r="P576" t="inlineStr">
        <is>
          <t>Liberado</t>
        </is>
      </c>
      <c r="Q576" s="165" t="n">
        <v>1</v>
      </c>
      <c r="R576" s="165" t="n">
        <v>1</v>
      </c>
      <c r="S576" s="165" t="n">
        <v>1</v>
      </c>
      <c r="T576" s="165" t="n">
        <v>0</v>
      </c>
      <c r="U576" s="166" t="n">
        <v>0</v>
      </c>
      <c r="V576" s="166" t="n">
        <v>0</v>
      </c>
      <c r="W576" t="inlineStr">
        <is>
          <t>X</t>
        </is>
      </c>
      <c r="X576" t="inlineStr">
        <is>
          <t>0.00</t>
        </is>
      </c>
      <c r="Y576" t="inlineStr"/>
      <c r="Z576" t="inlineStr">
        <is>
          <t>ABACO SUYTEC, S.A.U.</t>
        </is>
      </c>
      <c r="AA576" t="inlineStr">
        <is>
          <t>OTROS FABRICANTES</t>
        </is>
      </c>
      <c r="AB576" t="inlineStr">
        <is>
          <t>1709800000500</t>
        </is>
      </c>
      <c r="AC576" t="inlineStr"/>
      <c r="AD576" s="164" t="n">
        <v>0</v>
      </c>
      <c r="AE576" s="185" t="n">
        <v>0</v>
      </c>
      <c r="AG576" s="167" t="inlineStr">
        <is>
          <t>7218|JA2593_1001</t>
        </is>
      </c>
      <c r="AH576" s="46">
        <f>IF(M576=0,"-",M576-J576)</f>
        <v/>
      </c>
      <c r="AI576" s="46">
        <f>IF(AND(S576=0,M576&gt;0,L576=0),IF(AH576&gt;=120,"VERY HIGH",IF(AH576&gt;=90,"HIGH",IF(AH576&gt;=60,"MEDIUM",IF(AH576&lt;60,"LOW")))),"-")</f>
        <v/>
      </c>
      <c r="AJ576" s="12" t="n"/>
      <c r="AK576" s="41">
        <f>IF(AND(W576="X",M576&lt;=$AJ$2),"YES","")</f>
        <v/>
      </c>
      <c r="AL576" s="38">
        <f>IF(AND(W576="X",M576&lt;=$AJ$2),S576,"")</f>
        <v/>
      </c>
      <c r="AM576" s="26">
        <f>IF(AND(W576="X",M576&gt;$AJ$2),"YES","")</f>
        <v/>
      </c>
      <c r="AN576" s="89">
        <f>IF(AND(W576="X",M576&gt;$AJ$2),S576,"")</f>
        <v/>
      </c>
      <c r="AO576" s="35">
        <f>IF(AND(W576="",M576&gt;0,$AJ$2&gt;M576,L576=""),1,0)</f>
        <v/>
      </c>
      <c r="AP576" s="26">
        <f>IF(AND(AK576="YES",W576="X"),"X","")</f>
        <v/>
      </c>
      <c r="AQ576" s="28">
        <f>IF(AP576="X",100%,0%)</f>
        <v/>
      </c>
      <c r="AR576" s="25">
        <f>IF(AND(T576&gt;0,L576=""),H576,"")</f>
        <v/>
      </c>
      <c r="AS576" s="25">
        <f>IF(AND(D576&gt;0,H576=0,G576=""),1,"")</f>
        <v/>
      </c>
      <c r="AT576" s="25">
        <f>IF(G576="BLOQ",1,"")</f>
        <v/>
      </c>
      <c r="AU576" s="25">
        <f>IF(L576="BLOQ",1,"")</f>
        <v/>
      </c>
      <c r="AV576" s="25">
        <f>MONTH(F576)</f>
        <v/>
      </c>
      <c r="AW576" s="65">
        <f>IF(AP576="",100%,0%)</f>
        <v/>
      </c>
      <c r="AX576" s="23" t="n"/>
      <c r="AY576" s="24">
        <f>IF(M576=0,"",M576-$AX$2)</f>
        <v/>
      </c>
      <c r="AZ576" s="66">
        <f>IF(AND(W576="",AY576&gt;0,AY576&lt;15),1,0)</f>
        <v/>
      </c>
      <c r="BA576" s="24">
        <f>IF(AND(W576="",AY576&gt;0,AY576&lt;15),T576,"")</f>
        <v/>
      </c>
      <c r="BB576" s="87">
        <f>IF(R576&lt;Q576,"X","")</f>
        <v/>
      </c>
      <c r="BC576" s="190" t="inlineStr">
        <is>
          <t>NO</t>
        </is>
      </c>
      <c r="BD576" s="190" t="inlineStr">
        <is>
          <t>NO</t>
        </is>
      </c>
    </row>
    <row r="577" ht="15" customHeight="1" s="162">
      <c r="A577" s="7" t="n">
        <v>576</v>
      </c>
      <c r="B577" t="inlineStr">
        <is>
          <t>1709800000500</t>
        </is>
      </c>
      <c r="C577" t="inlineStr">
        <is>
          <t>COMPRA DIRECTA FERRETERIA Y HERRAMIENTAS</t>
        </is>
      </c>
      <c r="D577" t="inlineStr">
        <is>
          <t>1101899460</t>
        </is>
      </c>
      <c r="E577" t="inlineStr">
        <is>
          <t>3</t>
        </is>
      </c>
      <c r="F577" s="163" t="n">
        <v>45880</v>
      </c>
      <c r="G577" t="inlineStr"/>
      <c r="H577" t="inlineStr">
        <is>
          <t>4200624525</t>
        </is>
      </c>
      <c r="I577" t="inlineStr">
        <is>
          <t>30</t>
        </is>
      </c>
      <c r="J577" s="163" t="n">
        <v>45895</v>
      </c>
      <c r="K577" s="163" t="n">
        <v>45896</v>
      </c>
      <c r="L577" t="inlineStr"/>
      <c r="M577" s="163" t="n">
        <v>45961</v>
      </c>
      <c r="N577" s="164" t="n">
        <v>30</v>
      </c>
      <c r="O577" s="164" t="n">
        <v>8</v>
      </c>
      <c r="P577" t="inlineStr">
        <is>
          <t>Liberado</t>
        </is>
      </c>
      <c r="Q577" s="165" t="n">
        <v>1</v>
      </c>
      <c r="R577" s="165" t="n">
        <v>1</v>
      </c>
      <c r="S577" s="165" t="n">
        <v>1</v>
      </c>
      <c r="T577" s="165" t="n">
        <v>0</v>
      </c>
      <c r="U577" s="166" t="n">
        <v>0</v>
      </c>
      <c r="V577" s="166" t="n">
        <v>0</v>
      </c>
      <c r="W577" t="inlineStr">
        <is>
          <t>X</t>
        </is>
      </c>
      <c r="X577" t="inlineStr">
        <is>
          <t>0.00</t>
        </is>
      </c>
      <c r="Y577" t="inlineStr"/>
      <c r="Z577" t="inlineStr">
        <is>
          <t>ABACO SUYTEC, S.A.U.</t>
        </is>
      </c>
      <c r="AA577" t="inlineStr">
        <is>
          <t>OTROS FABRICANTES</t>
        </is>
      </c>
      <c r="AB577" t="inlineStr">
        <is>
          <t>1709800000500</t>
        </is>
      </c>
      <c r="AC577" t="inlineStr"/>
      <c r="AD577" s="164" t="n">
        <v>0</v>
      </c>
      <c r="AE577" s="185" t="n">
        <v>0</v>
      </c>
      <c r="AG577" s="167" t="inlineStr">
        <is>
          <t>7218|JA2593_1001</t>
        </is>
      </c>
      <c r="AH577" s="46">
        <f>IF(M577=0,"-",M577-J577)</f>
        <v/>
      </c>
      <c r="AI577" s="46">
        <f>IF(AND(S577=0,M577&gt;0,L577=0),IF(AH577&gt;=120,"VERY HIGH",IF(AH577&gt;=90,"HIGH",IF(AH577&gt;=60,"MEDIUM",IF(AH577&lt;60,"LOW")))),"-")</f>
        <v/>
      </c>
      <c r="AJ577" s="12" t="n"/>
      <c r="AK577" s="41">
        <f>IF(AND(W577="X",M577&lt;=$AJ$2),"YES","")</f>
        <v/>
      </c>
      <c r="AL577" s="38">
        <f>IF(AND(W577="X",M577&lt;=$AJ$2),S577,"")</f>
        <v/>
      </c>
      <c r="AM577" s="26">
        <f>IF(AND(W577="X",M577&gt;$AJ$2),"YES","")</f>
        <v/>
      </c>
      <c r="AN577" s="89">
        <f>IF(AND(W577="X",M577&gt;$AJ$2),S577,"")</f>
        <v/>
      </c>
      <c r="AO577" s="35">
        <f>IF(AND(W577="",M577&gt;0,$AJ$2&gt;M577,L577=""),1,0)</f>
        <v/>
      </c>
      <c r="AP577" s="26">
        <f>IF(AND(AK577="YES",W577="X"),"X","")</f>
        <v/>
      </c>
      <c r="AQ577" s="28">
        <f>IF(AP577="X",100%,0%)</f>
        <v/>
      </c>
      <c r="AR577" s="25">
        <f>IF(AND(T577&gt;0,L577=""),H577,"")</f>
        <v/>
      </c>
      <c r="AS577" s="25">
        <f>IF(AND(D577&gt;0,H577=0,G577=""),1,"")</f>
        <v/>
      </c>
      <c r="AT577" s="25">
        <f>IF(G577="BLOQ",1,"")</f>
        <v/>
      </c>
      <c r="AU577" s="25">
        <f>IF(L577="BLOQ",1,"")</f>
        <v/>
      </c>
      <c r="AV577" s="25">
        <f>MONTH(F577)</f>
        <v/>
      </c>
      <c r="AW577" s="65">
        <f>IF(AP577="",100%,0%)</f>
        <v/>
      </c>
      <c r="AX577" s="23" t="n"/>
      <c r="AY577" s="24">
        <f>IF(M577=0,"",M577-$AX$2)</f>
        <v/>
      </c>
      <c r="AZ577" s="66">
        <f>IF(AND(W577="",AY577&gt;0,AY577&lt;15),1,0)</f>
        <v/>
      </c>
      <c r="BA577" s="24">
        <f>IF(AND(W577="",AY577&gt;0,AY577&lt;15),T577,"")</f>
        <v/>
      </c>
      <c r="BB577" s="87">
        <f>IF(R577&lt;Q577,"X","")</f>
        <v/>
      </c>
      <c r="BC577" s="190" t="inlineStr">
        <is>
          <t>NO</t>
        </is>
      </c>
      <c r="BD577" s="190" t="inlineStr">
        <is>
          <t>NO</t>
        </is>
      </c>
    </row>
    <row r="578" ht="15" customHeight="1" s="162">
      <c r="A578" s="7" t="n">
        <v>577</v>
      </c>
      <c r="B578" t="inlineStr">
        <is>
          <t>1709800000500</t>
        </is>
      </c>
      <c r="C578" t="inlineStr">
        <is>
          <t>COMPRA DIRECTA FERRETERIA Y HERRAMIENTAS</t>
        </is>
      </c>
      <c r="D578" t="inlineStr">
        <is>
          <t>1101899460</t>
        </is>
      </c>
      <c r="E578" t="inlineStr">
        <is>
          <t>4</t>
        </is>
      </c>
      <c r="F578" s="163" t="n">
        <v>45880</v>
      </c>
      <c r="G578" t="inlineStr"/>
      <c r="H578" t="inlineStr">
        <is>
          <t>4200624525</t>
        </is>
      </c>
      <c r="I578" t="inlineStr">
        <is>
          <t>40</t>
        </is>
      </c>
      <c r="J578" s="163" t="n">
        <v>45895</v>
      </c>
      <c r="K578" s="163" t="n">
        <v>45896</v>
      </c>
      <c r="L578" t="inlineStr"/>
      <c r="M578" s="163" t="n">
        <v>45961</v>
      </c>
      <c r="N578" s="164" t="n">
        <v>30</v>
      </c>
      <c r="O578" s="164" t="n">
        <v>8</v>
      </c>
      <c r="P578" t="inlineStr">
        <is>
          <t>Liberado</t>
        </is>
      </c>
      <c r="Q578" s="165" t="n">
        <v>1</v>
      </c>
      <c r="R578" s="165" t="n">
        <v>1</v>
      </c>
      <c r="S578" s="165" t="n">
        <v>1</v>
      </c>
      <c r="T578" s="165" t="n">
        <v>0</v>
      </c>
      <c r="U578" s="166" t="n">
        <v>0</v>
      </c>
      <c r="V578" s="166" t="n">
        <v>0</v>
      </c>
      <c r="W578" t="inlineStr">
        <is>
          <t>X</t>
        </is>
      </c>
      <c r="X578" t="inlineStr">
        <is>
          <t>0.00</t>
        </is>
      </c>
      <c r="Y578" t="inlineStr"/>
      <c r="Z578" t="inlineStr">
        <is>
          <t>ABACO SUYTEC, S.A.U.</t>
        </is>
      </c>
      <c r="AA578" t="inlineStr">
        <is>
          <t>OTROS FABRICANTES</t>
        </is>
      </c>
      <c r="AB578" t="inlineStr">
        <is>
          <t>1709800000500</t>
        </is>
      </c>
      <c r="AC578" t="inlineStr"/>
      <c r="AD578" s="164" t="n">
        <v>0</v>
      </c>
      <c r="AE578" s="185" t="n">
        <v>0</v>
      </c>
      <c r="AG578" s="167" t="inlineStr">
        <is>
          <t>7218|JA2593_1001</t>
        </is>
      </c>
      <c r="AH578" s="46">
        <f>IF(M578=0,"-",M578-J578)</f>
        <v/>
      </c>
      <c r="AI578" s="46">
        <f>IF(AND(S578=0,M578&gt;0,L578=0),IF(AH578&gt;=120,"VERY HIGH",IF(AH578&gt;=90,"HIGH",IF(AH578&gt;=60,"MEDIUM",IF(AH578&lt;60,"LOW")))),"-")</f>
        <v/>
      </c>
      <c r="AJ578" s="12" t="n"/>
      <c r="AK578" s="41">
        <f>IF(AND(W578="X",M578&lt;=$AJ$2),"YES","")</f>
        <v/>
      </c>
      <c r="AL578" s="38">
        <f>IF(AND(W578="X",M578&lt;=$AJ$2),S578,"")</f>
        <v/>
      </c>
      <c r="AM578" s="26">
        <f>IF(AND(W578="X",M578&gt;$AJ$2),"YES","")</f>
        <v/>
      </c>
      <c r="AN578" s="89">
        <f>IF(AND(W578="X",M578&gt;$AJ$2),S578,"")</f>
        <v/>
      </c>
      <c r="AO578" s="35">
        <f>IF(AND(W578="",M578&gt;0,$AJ$2&gt;M578,L578=""),1,0)</f>
        <v/>
      </c>
      <c r="AP578" s="26">
        <f>IF(AND(AK578="YES",W578="X"),"X","")</f>
        <v/>
      </c>
      <c r="AQ578" s="28">
        <f>IF(AP578="X",100%,0%)</f>
        <v/>
      </c>
      <c r="AR578" s="25">
        <f>IF(AND(T578&gt;0,L578=""),H578,"")</f>
        <v/>
      </c>
      <c r="AS578" s="25">
        <f>IF(AND(D578&gt;0,H578=0,G578=""),1,"")</f>
        <v/>
      </c>
      <c r="AT578" s="25">
        <f>IF(G578="BLOQ",1,"")</f>
        <v/>
      </c>
      <c r="AU578" s="25">
        <f>IF(L578="BLOQ",1,"")</f>
        <v/>
      </c>
      <c r="AV578" s="25">
        <f>MONTH(F578)</f>
        <v/>
      </c>
      <c r="AW578" s="65">
        <f>IF(AP578="",100%,0%)</f>
        <v/>
      </c>
      <c r="AX578" s="23" t="n"/>
      <c r="AY578" s="24">
        <f>IF(M578=0,"",M578-$AX$2)</f>
        <v/>
      </c>
      <c r="AZ578" s="66">
        <f>IF(AND(W578="",AY578&gt;0,AY578&lt;15),1,0)</f>
        <v/>
      </c>
      <c r="BA578" s="24">
        <f>IF(AND(W578="",AY578&gt;0,AY578&lt;15),T578,"")</f>
        <v/>
      </c>
      <c r="BB578" s="87">
        <f>IF(R578&lt;Q578,"X","")</f>
        <v/>
      </c>
      <c r="BC578" s="190" t="inlineStr">
        <is>
          <t>NO</t>
        </is>
      </c>
      <c r="BD578" s="190" t="inlineStr">
        <is>
          <t>NO</t>
        </is>
      </c>
    </row>
    <row r="579" ht="15" customHeight="1" s="162">
      <c r="A579" s="7" t="n">
        <v>578</v>
      </c>
      <c r="B579" t="inlineStr">
        <is>
          <t>39121606</t>
        </is>
      </c>
      <c r="C579" t="inlineStr">
        <is>
          <t>Fusible de cartucho cer&amp;#225;mico Mersen</t>
        </is>
      </c>
      <c r="D579" t="inlineStr">
        <is>
          <t>1101899657</t>
        </is>
      </c>
      <c r="E579" t="inlineStr">
        <is>
          <t>1</t>
        </is>
      </c>
      <c r="F579" s="163" t="n">
        <v>45881</v>
      </c>
      <c r="G579" t="inlineStr"/>
      <c r="H579" t="inlineStr">
        <is>
          <t>4800003223</t>
        </is>
      </c>
      <c r="I579" t="inlineStr">
        <is>
          <t>600</t>
        </is>
      </c>
      <c r="J579" s="163" t="n">
        <v>45877</v>
      </c>
      <c r="K579" s="163" t="inlineStr"/>
      <c r="L579" t="inlineStr"/>
      <c r="M579" s="163" t="n">
        <v>45882</v>
      </c>
      <c r="N579" s="164" t="n">
        <v>0</v>
      </c>
      <c r="O579" s="164" t="n">
        <v>0</v>
      </c>
      <c r="P579" t="inlineStr"/>
      <c r="Q579" s="165" t="n">
        <v>10</v>
      </c>
      <c r="R579" s="165" t="n">
        <v>10</v>
      </c>
      <c r="S579" s="165" t="n">
        <v>10</v>
      </c>
      <c r="T579" s="165" t="n">
        <v>0</v>
      </c>
      <c r="U579" s="166" t="n">
        <v>0</v>
      </c>
      <c r="V579" s="166" t="n">
        <v>0</v>
      </c>
      <c r="W579" t="inlineStr">
        <is>
          <t>X</t>
        </is>
      </c>
      <c r="X579" t="inlineStr">
        <is>
          <t>0.00</t>
        </is>
      </c>
      <c r="Y579" t="inlineStr"/>
      <c r="Z579" t="inlineStr">
        <is>
          <t>AMIDATA, S.A.</t>
        </is>
      </c>
      <c r="AA579" t="inlineStr"/>
      <c r="AB579" t="inlineStr">
        <is>
          <t>1886962</t>
        </is>
      </c>
      <c r="AC579" t="inlineStr"/>
      <c r="AD579" s="164" t="n">
        <v>0</v>
      </c>
      <c r="AE579" s="185" t="n">
        <v>0</v>
      </c>
      <c r="AG579" s="167" t="inlineStr">
        <is>
          <t>7218|S24B05_S1074</t>
        </is>
      </c>
      <c r="AH579" s="46">
        <f>IF(M579=0,"-",M579-J579)</f>
        <v/>
      </c>
      <c r="AI579" s="46">
        <f>IF(AND(S579=0,M579&gt;0,L579=0),IF(AH579&gt;=120,"VERY HIGH",IF(AH579&gt;=90,"HIGH",IF(AH579&gt;=60,"MEDIUM",IF(AH579&lt;60,"LOW")))),"-")</f>
        <v/>
      </c>
      <c r="AJ579" s="12" t="n"/>
      <c r="AK579" s="41">
        <f>IF(AND(W579="X",M579&lt;=$AJ$2),"YES","")</f>
        <v/>
      </c>
      <c r="AL579" s="38">
        <f>IF(AND(W579="X",M579&lt;=$AJ$2),S579,"")</f>
        <v/>
      </c>
      <c r="AM579" s="26">
        <f>IF(AND(W579="X",M579&gt;$AJ$2),"YES","")</f>
        <v/>
      </c>
      <c r="AN579" s="89">
        <f>IF(AND(W579="X",M579&gt;$AJ$2),S579,"")</f>
        <v/>
      </c>
      <c r="AO579" s="35">
        <f>IF(AND(W579="",M579&gt;0,$AJ$2&gt;M579,L579=""),1,0)</f>
        <v/>
      </c>
      <c r="AP579" s="26">
        <f>IF(AND(AK579="YES",W579="X"),"X","")</f>
        <v/>
      </c>
      <c r="AQ579" s="28">
        <f>IF(AP579="X",100%,0%)</f>
        <v/>
      </c>
      <c r="AR579" s="25">
        <f>IF(AND(T579&gt;0,L579=""),H579,"")</f>
        <v/>
      </c>
      <c r="AS579" s="25">
        <f>IF(AND(D579&gt;0,H579=0,G579=""),1,"")</f>
        <v/>
      </c>
      <c r="AT579" s="25">
        <f>IF(G579="BLOQ",1,"")</f>
        <v/>
      </c>
      <c r="AU579" s="25">
        <f>IF(L579="BLOQ",1,"")</f>
        <v/>
      </c>
      <c r="AV579" s="25">
        <f>MONTH(F579)</f>
        <v/>
      </c>
      <c r="AW579" s="65">
        <f>IF(AP579="",100%,0%)</f>
        <v/>
      </c>
      <c r="AX579" s="23" t="n"/>
      <c r="AY579" s="24">
        <f>IF(M579=0,"",M579-$AX$2)</f>
        <v/>
      </c>
      <c r="AZ579" s="66">
        <f>IF(AND(W579="",AY579&gt;0,AY579&lt;15),1,0)</f>
        <v/>
      </c>
      <c r="BA579" s="24">
        <f>IF(AND(W579="",AY579&gt;0,AY579&lt;15),T579,"")</f>
        <v/>
      </c>
      <c r="BB579" s="87">
        <f>IF(R579&lt;Q579,"X","")</f>
        <v/>
      </c>
      <c r="BC579" s="190" t="inlineStr">
        <is>
          <t>NO</t>
        </is>
      </c>
      <c r="BD579" s="190" t="inlineStr">
        <is>
          <t>NO</t>
        </is>
      </c>
    </row>
    <row r="580" ht="15" customHeight="1" s="162">
      <c r="A580" s="7" t="n">
        <v>579</v>
      </c>
      <c r="B580" t="inlineStr">
        <is>
          <t>1709800000500</t>
        </is>
      </c>
      <c r="C580" t="inlineStr">
        <is>
          <t>COMPRA DIRECTA FERRETERIA Y HERRAMIENTAS</t>
        </is>
      </c>
      <c r="D580" t="inlineStr">
        <is>
          <t>1101900103</t>
        </is>
      </c>
      <c r="E580" t="inlineStr">
        <is>
          <t>1</t>
        </is>
      </c>
      <c r="F580" s="163" t="n">
        <v>45882</v>
      </c>
      <c r="G580" t="inlineStr"/>
      <c r="H580" t="inlineStr">
        <is>
          <t>4200624659</t>
        </is>
      </c>
      <c r="I580" t="inlineStr">
        <is>
          <t>10</t>
        </is>
      </c>
      <c r="J580" s="163" t="n">
        <v>45896</v>
      </c>
      <c r="K580" s="163" t="n">
        <v>45897</v>
      </c>
      <c r="L580" t="inlineStr"/>
      <c r="M580" s="163" t="n">
        <v>45961</v>
      </c>
      <c r="N580" s="164" t="n">
        <v>30</v>
      </c>
      <c r="O580" s="164" t="n">
        <v>8</v>
      </c>
      <c r="P580" t="inlineStr">
        <is>
          <t>Liberado</t>
        </is>
      </c>
      <c r="Q580" s="165" t="n">
        <v>20</v>
      </c>
      <c r="R580" s="165" t="n">
        <v>20</v>
      </c>
      <c r="S580" s="165" t="n">
        <v>20</v>
      </c>
      <c r="T580" s="165" t="n">
        <v>0</v>
      </c>
      <c r="U580" s="166" t="n">
        <v>0</v>
      </c>
      <c r="V580" s="166" t="n">
        <v>0</v>
      </c>
      <c r="W580" t="inlineStr">
        <is>
          <t>X</t>
        </is>
      </c>
      <c r="X580" t="inlineStr">
        <is>
          <t>0.00</t>
        </is>
      </c>
      <c r="Y580" t="inlineStr"/>
      <c r="Z580" t="inlineStr">
        <is>
          <t>ABACO SUYTEC, S.A.U.</t>
        </is>
      </c>
      <c r="AA580" t="inlineStr">
        <is>
          <t>OTROS FABRICANTES</t>
        </is>
      </c>
      <c r="AB580" t="inlineStr">
        <is>
          <t>1709800000500</t>
        </is>
      </c>
      <c r="AC580" t="inlineStr"/>
      <c r="AD580" s="164" t="n">
        <v>0</v>
      </c>
      <c r="AE580" s="185" t="n">
        <v>0</v>
      </c>
      <c r="AG580" s="167" t="inlineStr">
        <is>
          <t>7218|JA2594_1001</t>
        </is>
      </c>
      <c r="AH580" s="46">
        <f>IF(M580=0,"-",M580-J580)</f>
        <v/>
      </c>
      <c r="AI580" s="46">
        <f>IF(AND(S580=0,M580&gt;0,L580=0),IF(AH580&gt;=120,"VERY HIGH",IF(AH580&gt;=90,"HIGH",IF(AH580&gt;=60,"MEDIUM",IF(AH580&lt;60,"LOW")))),"-")</f>
        <v/>
      </c>
      <c r="AJ580" s="12" t="n"/>
      <c r="AK580" s="41">
        <f>IF(AND(W580="X",M580&lt;=$AJ$2),"YES","")</f>
        <v/>
      </c>
      <c r="AL580" s="38">
        <f>IF(AND(W580="X",M580&lt;=$AJ$2),S580,"")</f>
        <v/>
      </c>
      <c r="AM580" s="26">
        <f>IF(AND(W580="X",M580&gt;$AJ$2),"YES","")</f>
        <v/>
      </c>
      <c r="AN580" s="89">
        <f>IF(AND(W580="X",M580&gt;$AJ$2),S580,"")</f>
        <v/>
      </c>
      <c r="AO580" s="35">
        <f>IF(AND(W580="",M580&gt;0,$AJ$2&gt;M580,L580=""),1,0)</f>
        <v/>
      </c>
      <c r="AP580" s="26">
        <f>IF(AND(AK580="YES",W580="X"),"X","")</f>
        <v/>
      </c>
      <c r="AQ580" s="28">
        <f>IF(AP580="X",100%,0%)</f>
        <v/>
      </c>
      <c r="AR580" s="25">
        <f>IF(AND(T580&gt;0,L580=""),H580,"")</f>
        <v/>
      </c>
      <c r="AS580" s="25">
        <f>IF(AND(D580&gt;0,H580=0,G580=""),1,"")</f>
        <v/>
      </c>
      <c r="AT580" s="25">
        <f>IF(G580="BLOQ",1,"")</f>
        <v/>
      </c>
      <c r="AU580" s="25">
        <f>IF(L580="BLOQ",1,"")</f>
        <v/>
      </c>
      <c r="AV580" s="25">
        <f>MONTH(F580)</f>
        <v/>
      </c>
      <c r="AW580" s="65">
        <f>IF(AP580="",100%,0%)</f>
        <v/>
      </c>
      <c r="AX580" s="23" t="n"/>
      <c r="AY580" s="24">
        <f>IF(M580=0,"",M580-$AX$2)</f>
        <v/>
      </c>
      <c r="AZ580" s="66">
        <f>IF(AND(W580="",AY580&gt;0,AY580&lt;15),1,0)</f>
        <v/>
      </c>
      <c r="BA580" s="24">
        <f>IF(AND(W580="",AY580&gt;0,AY580&lt;15),T580,"")</f>
        <v/>
      </c>
      <c r="BB580" s="87">
        <f>IF(R580&lt;Q580,"X","")</f>
        <v/>
      </c>
      <c r="BC580" s="190" t="inlineStr">
        <is>
          <t>NO</t>
        </is>
      </c>
      <c r="BD580" s="190" t="inlineStr">
        <is>
          <t>NO</t>
        </is>
      </c>
    </row>
    <row r="581" ht="15" customHeight="1" s="162">
      <c r="A581" s="7" t="n">
        <v>580</v>
      </c>
      <c r="B581" t="inlineStr">
        <is>
          <t>1709800000500</t>
        </is>
      </c>
      <c r="C581" t="inlineStr">
        <is>
          <t>COMPRA DIRECTA FERRETERIA Y HERRAMIENTAS</t>
        </is>
      </c>
      <c r="D581" t="inlineStr">
        <is>
          <t>1101900103</t>
        </is>
      </c>
      <c r="E581" t="inlineStr">
        <is>
          <t>2</t>
        </is>
      </c>
      <c r="F581" s="163" t="n">
        <v>45882</v>
      </c>
      <c r="G581" t="inlineStr"/>
      <c r="H581" t="inlineStr">
        <is>
          <t>4200624659</t>
        </is>
      </c>
      <c r="I581" t="inlineStr">
        <is>
          <t>20</t>
        </is>
      </c>
      <c r="J581" s="163" t="n">
        <v>45896</v>
      </c>
      <c r="K581" s="163" t="n">
        <v>45897</v>
      </c>
      <c r="L581" t="inlineStr"/>
      <c r="M581" s="163" t="n">
        <v>45961</v>
      </c>
      <c r="N581" s="164" t="n">
        <v>30</v>
      </c>
      <c r="O581" s="164" t="n">
        <v>8</v>
      </c>
      <c r="P581" t="inlineStr">
        <is>
          <t>Liberado</t>
        </is>
      </c>
      <c r="Q581" s="165" t="n">
        <v>20</v>
      </c>
      <c r="R581" s="165" t="n">
        <v>20</v>
      </c>
      <c r="S581" s="165" t="n">
        <v>20</v>
      </c>
      <c r="T581" s="165" t="n">
        <v>0</v>
      </c>
      <c r="U581" s="166" t="n">
        <v>0</v>
      </c>
      <c r="V581" s="166" t="n">
        <v>0</v>
      </c>
      <c r="W581" t="inlineStr">
        <is>
          <t>X</t>
        </is>
      </c>
      <c r="X581" t="inlineStr">
        <is>
          <t>0.00</t>
        </is>
      </c>
      <c r="Y581" t="inlineStr"/>
      <c r="Z581" t="inlineStr">
        <is>
          <t>ABACO SUYTEC, S.A.U.</t>
        </is>
      </c>
      <c r="AA581" t="inlineStr">
        <is>
          <t>OTROS FABRICANTES</t>
        </is>
      </c>
      <c r="AB581" t="inlineStr">
        <is>
          <t>1709800000500</t>
        </is>
      </c>
      <c r="AC581" t="inlineStr"/>
      <c r="AD581" s="164" t="n">
        <v>0</v>
      </c>
      <c r="AE581" s="185" t="n">
        <v>0</v>
      </c>
      <c r="AG581" s="167" t="inlineStr">
        <is>
          <t>7218|JA2594_1001</t>
        </is>
      </c>
      <c r="AH581" s="46">
        <f>IF(M581=0,"-",M581-J581)</f>
        <v/>
      </c>
      <c r="AI581" s="46">
        <f>IF(AND(S581=0,M581&gt;0,L581=0),IF(AH581&gt;=120,"VERY HIGH",IF(AH581&gt;=90,"HIGH",IF(AH581&gt;=60,"MEDIUM",IF(AH581&lt;60,"LOW")))),"-")</f>
        <v/>
      </c>
      <c r="AJ581" s="12" t="n"/>
      <c r="AK581" s="41">
        <f>IF(AND(W581="X",M581&lt;=$AJ$2),"YES","")</f>
        <v/>
      </c>
      <c r="AL581" s="38">
        <f>IF(AND(W581="X",M581&lt;=$AJ$2),S581,"")</f>
        <v/>
      </c>
      <c r="AM581" s="26">
        <f>IF(AND(W581="X",M581&gt;$AJ$2),"YES","")</f>
        <v/>
      </c>
      <c r="AN581" s="89">
        <f>IF(AND(W581="X",M581&gt;$AJ$2),S581,"")</f>
        <v/>
      </c>
      <c r="AO581" s="35">
        <f>IF(AND(W581="",M581&gt;0,$AJ$2&gt;M581,L581=""),1,0)</f>
        <v/>
      </c>
      <c r="AP581" s="26">
        <f>IF(AND(AK581="YES",W581="X"),"X","")</f>
        <v/>
      </c>
      <c r="AQ581" s="28">
        <f>IF(AP581="X",100%,0%)</f>
        <v/>
      </c>
      <c r="AR581" s="25">
        <f>IF(AND(T581&gt;0,L581=""),H581,"")</f>
        <v/>
      </c>
      <c r="AS581" s="25">
        <f>IF(AND(D581&gt;0,H581=0,G581=""),1,"")</f>
        <v/>
      </c>
      <c r="AT581" s="25">
        <f>IF(G581="BLOQ",1,"")</f>
        <v/>
      </c>
      <c r="AU581" s="25">
        <f>IF(L581="BLOQ",1,"")</f>
        <v/>
      </c>
      <c r="AV581" s="25">
        <f>MONTH(F581)</f>
        <v/>
      </c>
      <c r="AW581" s="65">
        <f>IF(AP581="",100%,0%)</f>
        <v/>
      </c>
      <c r="AX581" s="23" t="n"/>
      <c r="AY581" s="24">
        <f>IF(M581=0,"",M581-$AX$2)</f>
        <v/>
      </c>
      <c r="AZ581" s="66">
        <f>IF(AND(W581="",AY581&gt;0,AY581&lt;15),1,0)</f>
        <v/>
      </c>
      <c r="BA581" s="24">
        <f>IF(AND(W581="",AY581&gt;0,AY581&lt;15),T581,"")</f>
        <v/>
      </c>
      <c r="BB581" s="87">
        <f>IF(R581&lt;Q581,"X","")</f>
        <v/>
      </c>
      <c r="BC581" s="190" t="inlineStr">
        <is>
          <t>NO</t>
        </is>
      </c>
      <c r="BD581" s="190" t="inlineStr">
        <is>
          <t>NO</t>
        </is>
      </c>
    </row>
    <row r="582" ht="15" customHeight="1" s="162">
      <c r="A582" s="7" t="n">
        <v>581</v>
      </c>
      <c r="B582" t="inlineStr">
        <is>
          <t>1709800000500</t>
        </is>
      </c>
      <c r="C582" t="inlineStr">
        <is>
          <t>COMPRA DIRECTA FERRETERIA Y HERRAMIENTAS</t>
        </is>
      </c>
      <c r="D582" t="inlineStr">
        <is>
          <t>1101900103</t>
        </is>
      </c>
      <c r="E582" t="inlineStr">
        <is>
          <t>3</t>
        </is>
      </c>
      <c r="F582" s="163" t="n">
        <v>45882</v>
      </c>
      <c r="G582" t="inlineStr"/>
      <c r="H582" t="inlineStr">
        <is>
          <t>4200624659</t>
        </is>
      </c>
      <c r="I582" t="inlineStr">
        <is>
          <t>30</t>
        </is>
      </c>
      <c r="J582" s="163" t="n">
        <v>45896</v>
      </c>
      <c r="K582" s="163" t="n">
        <v>45897</v>
      </c>
      <c r="L582" t="inlineStr"/>
      <c r="M582" s="163" t="n">
        <v>45961</v>
      </c>
      <c r="N582" s="164" t="n">
        <v>30</v>
      </c>
      <c r="O582" s="164" t="n">
        <v>8</v>
      </c>
      <c r="P582" t="inlineStr">
        <is>
          <t>Liberado</t>
        </is>
      </c>
      <c r="Q582" s="165" t="n">
        <v>20</v>
      </c>
      <c r="R582" s="165" t="n">
        <v>20</v>
      </c>
      <c r="S582" s="165" t="n">
        <v>20</v>
      </c>
      <c r="T582" s="165" t="n">
        <v>0</v>
      </c>
      <c r="U582" s="166" t="n">
        <v>0</v>
      </c>
      <c r="V582" s="166" t="n">
        <v>0</v>
      </c>
      <c r="W582" t="inlineStr">
        <is>
          <t>X</t>
        </is>
      </c>
      <c r="X582" t="inlineStr">
        <is>
          <t>0.00</t>
        </is>
      </c>
      <c r="Y582" t="inlineStr"/>
      <c r="Z582" t="inlineStr">
        <is>
          <t>ABACO SUYTEC, S.A.U.</t>
        </is>
      </c>
      <c r="AA582" t="inlineStr">
        <is>
          <t>OTROS FABRICANTES</t>
        </is>
      </c>
      <c r="AB582" t="inlineStr">
        <is>
          <t>1709800000500</t>
        </is>
      </c>
      <c r="AC582" t="inlineStr"/>
      <c r="AD582" s="164" t="n">
        <v>0</v>
      </c>
      <c r="AE582" s="185" t="n">
        <v>0</v>
      </c>
      <c r="AG582" s="167" t="inlineStr">
        <is>
          <t>7218|JA2594_1001</t>
        </is>
      </c>
      <c r="AH582" s="46">
        <f>IF(M582=0,"-",M582-J582)</f>
        <v/>
      </c>
      <c r="AI582" s="46">
        <f>IF(AND(S582=0,M582&gt;0,L582=0),IF(AH582&gt;=120,"VERY HIGH",IF(AH582&gt;=90,"HIGH",IF(AH582&gt;=60,"MEDIUM",IF(AH582&lt;60,"LOW")))),"-")</f>
        <v/>
      </c>
      <c r="AJ582" s="12" t="n"/>
      <c r="AK582" s="41">
        <f>IF(AND(W582="X",M582&lt;=$AJ$2),"YES","")</f>
        <v/>
      </c>
      <c r="AL582" s="38">
        <f>IF(AND(W582="X",M582&lt;=$AJ$2),S582,"")</f>
        <v/>
      </c>
      <c r="AM582" s="26">
        <f>IF(AND(W582="X",M582&gt;$AJ$2),"YES","")</f>
        <v/>
      </c>
      <c r="AN582" s="89">
        <f>IF(AND(W582="X",M582&gt;$AJ$2),S582,"")</f>
        <v/>
      </c>
      <c r="AO582" s="35">
        <f>IF(AND(W582="",M582&gt;0,$AJ$2&gt;M582,L582=""),1,0)</f>
        <v/>
      </c>
      <c r="AP582" s="26">
        <f>IF(AND(AK582="YES",W582="X"),"X","")</f>
        <v/>
      </c>
      <c r="AQ582" s="28">
        <f>IF(AP582="X",100%,0%)</f>
        <v/>
      </c>
      <c r="AR582" s="25">
        <f>IF(AND(T582&gt;0,L582=""),H582,"")</f>
        <v/>
      </c>
      <c r="AS582" s="25">
        <f>IF(AND(D582&gt;0,H582=0,G582=""),1,"")</f>
        <v/>
      </c>
      <c r="AT582" s="25">
        <f>IF(G582="BLOQ",1,"")</f>
        <v/>
      </c>
      <c r="AU582" s="25">
        <f>IF(L582="BLOQ",1,"")</f>
        <v/>
      </c>
      <c r="AV582" s="25">
        <f>MONTH(F582)</f>
        <v/>
      </c>
      <c r="AW582" s="65">
        <f>IF(AP582="",100%,0%)</f>
        <v/>
      </c>
      <c r="AX582" s="23" t="n"/>
      <c r="AY582" s="24">
        <f>IF(M582=0,"",M582-$AX$2)</f>
        <v/>
      </c>
      <c r="AZ582" s="66">
        <f>IF(AND(W582="",AY582&gt;0,AY582&lt;15),1,0)</f>
        <v/>
      </c>
      <c r="BA582" s="24">
        <f>IF(AND(W582="",AY582&gt;0,AY582&lt;15),T582,"")</f>
        <v/>
      </c>
      <c r="BB582" s="87">
        <f>IF(R582&lt;Q582,"X","")</f>
        <v/>
      </c>
      <c r="BC582" s="190" t="inlineStr">
        <is>
          <t>NO</t>
        </is>
      </c>
      <c r="BD582" s="190" t="inlineStr">
        <is>
          <t>NO</t>
        </is>
      </c>
    </row>
    <row r="583" ht="15" customHeight="1" s="162">
      <c r="A583" s="7" t="n">
        <v>582</v>
      </c>
      <c r="B583" t="inlineStr">
        <is>
          <t>1357007369100</t>
        </is>
      </c>
      <c r="C583" t="inlineStr">
        <is>
          <t>MARCADOR ADH P/SERIE H 3000X</t>
        </is>
      </c>
      <c r="D583" t="inlineStr">
        <is>
          <t>1101900185</t>
        </is>
      </c>
      <c r="E583" t="inlineStr">
        <is>
          <t>1</t>
        </is>
      </c>
      <c r="F583" s="163" t="n">
        <v>45882</v>
      </c>
      <c r="G583" t="inlineStr"/>
      <c r="H583" t="inlineStr">
        <is>
          <t>4200624090</t>
        </is>
      </c>
      <c r="I583" t="inlineStr">
        <is>
          <t>10</t>
        </is>
      </c>
      <c r="J583" s="163" t="n">
        <v>45890</v>
      </c>
      <c r="K583" s="163" t="n">
        <v>45890</v>
      </c>
      <c r="L583" t="inlineStr"/>
      <c r="M583" s="163" t="n">
        <v>45897</v>
      </c>
      <c r="N583" s="164" t="n">
        <v>40</v>
      </c>
      <c r="O583" s="164" t="n">
        <v>8</v>
      </c>
      <c r="P583" t="inlineStr">
        <is>
          <t>Liberado</t>
        </is>
      </c>
      <c r="Q583" s="165" t="n">
        <v>1</v>
      </c>
      <c r="R583" s="165" t="n">
        <v>1</v>
      </c>
      <c r="S583" s="165" t="n">
        <v>1</v>
      </c>
      <c r="T583" s="165" t="n">
        <v>0</v>
      </c>
      <c r="U583" s="166" t="n">
        <v>1</v>
      </c>
      <c r="V583" s="166" t="n">
        <v>0</v>
      </c>
      <c r="W583" t="inlineStr">
        <is>
          <t>X</t>
        </is>
      </c>
      <c r="X583" t="inlineStr">
        <is>
          <t>0.00</t>
        </is>
      </c>
      <c r="Y583" t="inlineStr"/>
      <c r="Z583" t="inlineStr">
        <is>
          <t>SOLUCIONES SICNOVA, S.L.</t>
        </is>
      </c>
      <c r="AA583" t="inlineStr">
        <is>
          <t>SHINING 3D</t>
        </is>
      </c>
      <c r="AB583" t="inlineStr">
        <is>
          <t>P00012182</t>
        </is>
      </c>
      <c r="AC583" t="inlineStr"/>
      <c r="AD583" s="164" t="n">
        <v>0</v>
      </c>
      <c r="AE583" s="185" t="n">
        <v>0</v>
      </c>
      <c r="AG583" s="167" t="inlineStr">
        <is>
          <t>7218|S24B05_S1071</t>
        </is>
      </c>
      <c r="AH583" s="46">
        <f>IF(M583=0,"-",M583-J583)</f>
        <v/>
      </c>
      <c r="AI583" s="46">
        <f>IF(AND(S583=0,M583&gt;0,L583=0),IF(AH583&gt;=120,"VERY HIGH",IF(AH583&gt;=90,"HIGH",IF(AH583&gt;=60,"MEDIUM",IF(AH583&lt;60,"LOW")))),"-")</f>
        <v/>
      </c>
      <c r="AJ583" s="12" t="n"/>
      <c r="AK583" s="41">
        <f>IF(AND(W583="X",M583&lt;=$AJ$2),"YES","")</f>
        <v/>
      </c>
      <c r="AL583" s="38">
        <f>IF(AND(W583="X",M583&lt;=$AJ$2),S583,"")</f>
        <v/>
      </c>
      <c r="AM583" s="26">
        <f>IF(AND(W583="X",M583&gt;$AJ$2),"YES","")</f>
        <v/>
      </c>
      <c r="AN583" s="89">
        <f>IF(AND(W583="X",M583&gt;$AJ$2),S583,"")</f>
        <v/>
      </c>
      <c r="AO583" s="35">
        <f>IF(AND(W583="",M583&gt;0,$AJ$2&gt;M583,L583=""),1,0)</f>
        <v/>
      </c>
      <c r="AP583" s="26">
        <f>IF(AND(AK583="YES",W583="X"),"X","")</f>
        <v/>
      </c>
      <c r="AQ583" s="28">
        <f>IF(AP583="X",100%,0%)</f>
        <v/>
      </c>
      <c r="AR583" s="25">
        <f>IF(AND(T583&gt;0,L583=""),H583,"")</f>
        <v/>
      </c>
      <c r="AS583" s="25">
        <f>IF(AND(D583&gt;0,H583=0,G583=""),1,"")</f>
        <v/>
      </c>
      <c r="AT583" s="25">
        <f>IF(G583="BLOQ",1,"")</f>
        <v/>
      </c>
      <c r="AU583" s="25">
        <f>IF(L583="BLOQ",1,"")</f>
        <v/>
      </c>
      <c r="AV583" s="25">
        <f>MONTH(F583)</f>
        <v/>
      </c>
      <c r="AW583" s="65">
        <f>IF(AP583="",100%,0%)</f>
        <v/>
      </c>
      <c r="AX583" s="23" t="n"/>
      <c r="AY583" s="24">
        <f>IF(M583=0,"",M583-$AX$2)</f>
        <v/>
      </c>
      <c r="AZ583" s="66">
        <f>IF(AND(W583="",AY583&gt;0,AY583&lt;15),1,0)</f>
        <v/>
      </c>
      <c r="BA583" s="24">
        <f>IF(AND(W583="",AY583&gt;0,AY583&lt;15),T583,"")</f>
        <v/>
      </c>
      <c r="BB583" s="87">
        <f>IF(R583&lt;Q583,"X","")</f>
        <v/>
      </c>
      <c r="BC583" s="190" t="inlineStr">
        <is>
          <t>NO</t>
        </is>
      </c>
      <c r="BD583" s="190" t="inlineStr">
        <is>
          <t>NO</t>
        </is>
      </c>
    </row>
    <row r="584" ht="15" customHeight="1" s="162">
      <c r="A584" s="7" t="n">
        <v>583</v>
      </c>
      <c r="B584" t="inlineStr">
        <is>
          <t>1709800000500</t>
        </is>
      </c>
      <c r="C584" t="inlineStr">
        <is>
          <t>COMPRA DIRECTA FERRETERIA Y HERRAMIENTAS</t>
        </is>
      </c>
      <c r="D584" t="inlineStr">
        <is>
          <t>1101900360</t>
        </is>
      </c>
      <c r="E584" t="inlineStr">
        <is>
          <t>1</t>
        </is>
      </c>
      <c r="F584" s="163" t="n">
        <v>45883</v>
      </c>
      <c r="G584" t="inlineStr"/>
      <c r="H584" t="inlineStr">
        <is>
          <t>4200624673</t>
        </is>
      </c>
      <c r="I584" t="inlineStr">
        <is>
          <t>10</t>
        </is>
      </c>
      <c r="J584" s="163" t="n">
        <v>45896</v>
      </c>
      <c r="K584" s="163" t="n">
        <v>45897</v>
      </c>
      <c r="L584" t="inlineStr"/>
      <c r="M584" s="163" t="n">
        <v>45961</v>
      </c>
      <c r="N584" s="164" t="n">
        <v>30</v>
      </c>
      <c r="O584" s="164" t="n">
        <v>8</v>
      </c>
      <c r="P584" t="inlineStr">
        <is>
          <t>Liberado</t>
        </is>
      </c>
      <c r="Q584" s="165" t="n">
        <v>2</v>
      </c>
      <c r="R584" s="165" t="n">
        <v>2</v>
      </c>
      <c r="S584" s="165" t="n">
        <v>2</v>
      </c>
      <c r="T584" s="165" t="n">
        <v>0</v>
      </c>
      <c r="U584" s="166" t="n">
        <v>0</v>
      </c>
      <c r="V584" s="166" t="n">
        <v>0</v>
      </c>
      <c r="W584" t="inlineStr">
        <is>
          <t>X</t>
        </is>
      </c>
      <c r="X584" t="inlineStr">
        <is>
          <t>0.00</t>
        </is>
      </c>
      <c r="Y584" t="inlineStr"/>
      <c r="Z584" t="inlineStr">
        <is>
          <t>ABACO SUYTEC, S.A.U.</t>
        </is>
      </c>
      <c r="AA584" t="inlineStr">
        <is>
          <t>OTROS FABRICANTES</t>
        </is>
      </c>
      <c r="AB584" t="inlineStr">
        <is>
          <t>1709800000500</t>
        </is>
      </c>
      <c r="AC584" t="inlineStr"/>
      <c r="AD584" s="164" t="n">
        <v>0</v>
      </c>
      <c r="AE584" s="185" t="n">
        <v>0</v>
      </c>
      <c r="AG584" s="167" t="inlineStr">
        <is>
          <t>7218|JA2594_1001</t>
        </is>
      </c>
      <c r="AH584" s="46">
        <f>IF(M584=0,"-",M584-J584)</f>
        <v/>
      </c>
      <c r="AI584" s="46">
        <f>IF(AND(S584=0,M584&gt;0,L584=0),IF(AH584&gt;=120,"VERY HIGH",IF(AH584&gt;=90,"HIGH",IF(AH584&gt;=60,"MEDIUM",IF(AH584&lt;60,"LOW")))),"-")</f>
        <v/>
      </c>
      <c r="AJ584" s="12" t="n"/>
      <c r="AK584" s="41">
        <f>IF(AND(W584="X",M584&lt;=$AJ$2),"YES","")</f>
        <v/>
      </c>
      <c r="AL584" s="38">
        <f>IF(AND(W584="X",M584&lt;=$AJ$2),S584,"")</f>
        <v/>
      </c>
      <c r="AM584" s="26">
        <f>IF(AND(W584="X",M584&gt;$AJ$2),"YES","")</f>
        <v/>
      </c>
      <c r="AN584" s="89">
        <f>IF(AND(W584="X",M584&gt;$AJ$2),S584,"")</f>
        <v/>
      </c>
      <c r="AO584" s="35">
        <f>IF(AND(W584="",M584&gt;0,$AJ$2&gt;M584,L584=""),1,0)</f>
        <v/>
      </c>
      <c r="AP584" s="26">
        <f>IF(AND(AK584="YES",W584="X"),"X","")</f>
        <v/>
      </c>
      <c r="AQ584" s="28">
        <f>IF(AP584="X",100%,0%)</f>
        <v/>
      </c>
      <c r="AR584" s="25">
        <f>IF(AND(T584&gt;0,L584=""),H584,"")</f>
        <v/>
      </c>
      <c r="AS584" s="25">
        <f>IF(AND(D584&gt;0,H584=0,G584=""),1,"")</f>
        <v/>
      </c>
      <c r="AT584" s="25">
        <f>IF(G584="BLOQ",1,"")</f>
        <v/>
      </c>
      <c r="AU584" s="25">
        <f>IF(L584="BLOQ",1,"")</f>
        <v/>
      </c>
      <c r="AV584" s="25">
        <f>MONTH(F584)</f>
        <v/>
      </c>
      <c r="AW584" s="65">
        <f>IF(AP584="",100%,0%)</f>
        <v/>
      </c>
      <c r="AX584" s="23" t="n"/>
      <c r="AY584" s="24">
        <f>IF(M584=0,"",M584-$AX$2)</f>
        <v/>
      </c>
      <c r="AZ584" s="66">
        <f>IF(AND(W584="",AY584&gt;0,AY584&lt;15),1,0)</f>
        <v/>
      </c>
      <c r="BA584" s="24">
        <f>IF(AND(W584="",AY584&gt;0,AY584&lt;15),T584,"")</f>
        <v/>
      </c>
      <c r="BB584" s="87">
        <f>IF(R584&lt;Q584,"X","")</f>
        <v/>
      </c>
      <c r="BC584" s="190" t="inlineStr">
        <is>
          <t>NO</t>
        </is>
      </c>
      <c r="BD584" s="190" t="inlineStr">
        <is>
          <t>NO</t>
        </is>
      </c>
    </row>
    <row r="585" ht="15" customHeight="1" s="162">
      <c r="A585" s="7" t="n">
        <v>584</v>
      </c>
      <c r="B585" t="inlineStr">
        <is>
          <t>1709800000500</t>
        </is>
      </c>
      <c r="C585" t="inlineStr">
        <is>
          <t>COMPRA DIRECTA FERRETERIA Y HERRAMIENTAS</t>
        </is>
      </c>
      <c r="D585" t="inlineStr">
        <is>
          <t>1101900360</t>
        </is>
      </c>
      <c r="E585" t="inlineStr">
        <is>
          <t>2</t>
        </is>
      </c>
      <c r="F585" s="163" t="n">
        <v>45883</v>
      </c>
      <c r="G585" t="inlineStr"/>
      <c r="H585" t="inlineStr">
        <is>
          <t>4200624673</t>
        </is>
      </c>
      <c r="I585" t="inlineStr">
        <is>
          <t>20</t>
        </is>
      </c>
      <c r="J585" s="163" t="n">
        <v>45896</v>
      </c>
      <c r="K585" s="163" t="n">
        <v>45897</v>
      </c>
      <c r="L585" t="inlineStr"/>
      <c r="M585" s="163" t="n">
        <v>45961</v>
      </c>
      <c r="N585" s="164" t="n">
        <v>30</v>
      </c>
      <c r="O585" s="164" t="n">
        <v>8</v>
      </c>
      <c r="P585" t="inlineStr">
        <is>
          <t>Liberado</t>
        </is>
      </c>
      <c r="Q585" s="165" t="n">
        <v>2</v>
      </c>
      <c r="R585" s="165" t="n">
        <v>2</v>
      </c>
      <c r="S585" s="165" t="n">
        <v>2</v>
      </c>
      <c r="T585" s="165" t="n">
        <v>0</v>
      </c>
      <c r="U585" s="166" t="n">
        <v>0</v>
      </c>
      <c r="V585" s="166" t="n">
        <v>0</v>
      </c>
      <c r="W585" t="inlineStr">
        <is>
          <t>X</t>
        </is>
      </c>
      <c r="X585" t="inlineStr">
        <is>
          <t>0.00</t>
        </is>
      </c>
      <c r="Y585" t="inlineStr"/>
      <c r="Z585" t="inlineStr">
        <is>
          <t>ABACO SUYTEC, S.A.U.</t>
        </is>
      </c>
      <c r="AA585" t="inlineStr">
        <is>
          <t>OTROS FABRICANTES</t>
        </is>
      </c>
      <c r="AB585" t="inlineStr">
        <is>
          <t>1709800000500</t>
        </is>
      </c>
      <c r="AC585" t="inlineStr"/>
      <c r="AD585" s="164" t="n">
        <v>0</v>
      </c>
      <c r="AE585" s="185" t="n">
        <v>0</v>
      </c>
      <c r="AG585" s="167" t="inlineStr">
        <is>
          <t>7218|JA2594_1001</t>
        </is>
      </c>
      <c r="AH585" s="46">
        <f>IF(M585=0,"-",M585-J585)</f>
        <v/>
      </c>
      <c r="AI585" s="46">
        <f>IF(AND(S585=0,M585&gt;0,L585=0),IF(AH585&gt;=120,"VERY HIGH",IF(AH585&gt;=90,"HIGH",IF(AH585&gt;=60,"MEDIUM",IF(AH585&lt;60,"LOW")))),"-")</f>
        <v/>
      </c>
      <c r="AJ585" s="12" t="n"/>
      <c r="AK585" s="41">
        <f>IF(AND(W585="X",M585&lt;=$AJ$2),"YES","")</f>
        <v/>
      </c>
      <c r="AL585" s="38">
        <f>IF(AND(W585="X",M585&lt;=$AJ$2),S585,"")</f>
        <v/>
      </c>
      <c r="AM585" s="26">
        <f>IF(AND(W585="X",M585&gt;$AJ$2),"YES","")</f>
        <v/>
      </c>
      <c r="AN585" s="89">
        <f>IF(AND(W585="X",M585&gt;$AJ$2),S585,"")</f>
        <v/>
      </c>
      <c r="AO585" s="35">
        <f>IF(AND(W585="",M585&gt;0,$AJ$2&gt;M585,L585=""),1,0)</f>
        <v/>
      </c>
      <c r="AP585" s="26">
        <f>IF(AND(AK585="YES",W585="X"),"X","")</f>
        <v/>
      </c>
      <c r="AQ585" s="28">
        <f>IF(AP585="X",100%,0%)</f>
        <v/>
      </c>
      <c r="AR585" s="25">
        <f>IF(AND(T585&gt;0,L585=""),H585,"")</f>
        <v/>
      </c>
      <c r="AS585" s="25">
        <f>IF(AND(D585&gt;0,H585=0,G585=""),1,"")</f>
        <v/>
      </c>
      <c r="AT585" s="25">
        <f>IF(G585="BLOQ",1,"")</f>
        <v/>
      </c>
      <c r="AU585" s="25">
        <f>IF(L585="BLOQ",1,"")</f>
        <v/>
      </c>
      <c r="AV585" s="25">
        <f>MONTH(F585)</f>
        <v/>
      </c>
      <c r="AW585" s="65">
        <f>IF(AP585="",100%,0%)</f>
        <v/>
      </c>
      <c r="AX585" s="23" t="n"/>
      <c r="AY585" s="24">
        <f>IF(M585=0,"",M585-$AX$2)</f>
        <v/>
      </c>
      <c r="AZ585" s="66">
        <f>IF(AND(W585="",AY585&gt;0,AY585&lt;15),1,0)</f>
        <v/>
      </c>
      <c r="BA585" s="24">
        <f>IF(AND(W585="",AY585&gt;0,AY585&lt;15),T585,"")</f>
        <v/>
      </c>
      <c r="BB585" s="87">
        <f>IF(R585&lt;Q585,"X","")</f>
        <v/>
      </c>
      <c r="BC585" s="190" t="inlineStr">
        <is>
          <t>NO</t>
        </is>
      </c>
      <c r="BD585" s="190" t="inlineStr">
        <is>
          <t>NO</t>
        </is>
      </c>
    </row>
    <row r="586" ht="15" customHeight="1" s="162">
      <c r="A586" s="7" t="n">
        <v>585</v>
      </c>
      <c r="B586" t="inlineStr">
        <is>
          <t>1359900000500</t>
        </is>
      </c>
      <c r="C586" t="inlineStr">
        <is>
          <t>COMPRA DIRECTA ELECTRICOS/ELECTRONICOS</t>
        </is>
      </c>
      <c r="D586" t="inlineStr">
        <is>
          <t>1101901582</t>
        </is>
      </c>
      <c r="E586" t="inlineStr">
        <is>
          <t>1</t>
        </is>
      </c>
      <c r="F586" s="163" t="n">
        <v>45890</v>
      </c>
      <c r="G586" t="inlineStr"/>
      <c r="H586" t="inlineStr">
        <is>
          <t>4200625226</t>
        </is>
      </c>
      <c r="I586" t="inlineStr">
        <is>
          <t>10</t>
        </is>
      </c>
      <c r="J586" s="163" t="n">
        <v>45902</v>
      </c>
      <c r="K586" s="163" t="n">
        <v>45905</v>
      </c>
      <c r="L586" t="inlineStr"/>
      <c r="M586" s="163" t="n">
        <v>45943</v>
      </c>
      <c r="N586" s="164" t="n">
        <v>30</v>
      </c>
      <c r="O586" s="164" t="n">
        <v>8</v>
      </c>
      <c r="P586" t="inlineStr">
        <is>
          <t>Liberado</t>
        </is>
      </c>
      <c r="Q586" s="165" t="n">
        <v>6</v>
      </c>
      <c r="R586" s="165" t="n">
        <v>6</v>
      </c>
      <c r="S586" s="165" t="n">
        <v>6</v>
      </c>
      <c r="T586" s="165" t="n">
        <v>0</v>
      </c>
      <c r="U586" s="166" t="n">
        <v>0</v>
      </c>
      <c r="V586" s="166" t="n">
        <v>0</v>
      </c>
      <c r="W586" t="inlineStr">
        <is>
          <t>X</t>
        </is>
      </c>
      <c r="X586" t="inlineStr">
        <is>
          <t>0.00</t>
        </is>
      </c>
      <c r="Y586" t="inlineStr"/>
      <c r="Z586" t="inlineStr">
        <is>
          <t>TCX MICRO, S.L.U</t>
        </is>
      </c>
      <c r="AA586" t="inlineStr">
        <is>
          <t>OTROS FABRICANTES</t>
        </is>
      </c>
      <c r="AB586" t="inlineStr">
        <is>
          <t>1359900000500</t>
        </is>
      </c>
      <c r="AC586" t="inlineStr"/>
      <c r="AD586" s="164" t="n">
        <v>0</v>
      </c>
      <c r="AE586" s="185" t="n">
        <v>0</v>
      </c>
      <c r="AG586" s="167" t="inlineStr">
        <is>
          <t>7218|JA2581_1001</t>
        </is>
      </c>
      <c r="AH586" s="46">
        <f>IF(M586=0,"-",M586-J586)</f>
        <v/>
      </c>
      <c r="AI586" s="46">
        <f>IF(AND(S586=0,M586&gt;0,L586=0),IF(AH586&gt;=120,"VERY HIGH",IF(AH586&gt;=90,"HIGH",IF(AH586&gt;=60,"MEDIUM",IF(AH586&lt;60,"LOW")))),"-")</f>
        <v/>
      </c>
      <c r="AJ586" s="12" t="n"/>
      <c r="AK586" s="41">
        <f>IF(AND(W586="X",M586&lt;=$AJ$2),"YES","")</f>
        <v/>
      </c>
      <c r="AL586" s="38">
        <f>IF(AND(W586="X",M586&lt;=$AJ$2),S586,"")</f>
        <v/>
      </c>
      <c r="AM586" s="26">
        <f>IF(AND(W586="X",M586&gt;$AJ$2),"YES","")</f>
        <v/>
      </c>
      <c r="AN586" s="89">
        <f>IF(AND(W586="X",M586&gt;$AJ$2),S586,"")</f>
        <v/>
      </c>
      <c r="AO586" s="35">
        <f>IF(AND(W586="",M586&gt;0,$AJ$2&gt;M586,L586=""),1,0)</f>
        <v/>
      </c>
      <c r="AP586" s="26">
        <f>IF(AND(AK586="YES",W586="X"),"X","")</f>
        <v/>
      </c>
      <c r="AQ586" s="28">
        <f>IF(AP586="X",100%,0%)</f>
        <v/>
      </c>
      <c r="AR586" s="25">
        <f>IF(AND(T586&gt;0,L586=""),H586,"")</f>
        <v/>
      </c>
      <c r="AS586" s="25">
        <f>IF(AND(D586&gt;0,H586=0,G586=""),1,"")</f>
        <v/>
      </c>
      <c r="AT586" s="25">
        <f>IF(G586="BLOQ",1,"")</f>
        <v/>
      </c>
      <c r="AU586" s="25">
        <f>IF(L586="BLOQ",1,"")</f>
        <v/>
      </c>
      <c r="AV586" s="25">
        <f>MONTH(F586)</f>
        <v/>
      </c>
      <c r="AW586" s="65">
        <f>IF(AP586="",100%,0%)</f>
        <v/>
      </c>
      <c r="AX586" s="23" t="n"/>
      <c r="AY586" s="24">
        <f>IF(M586=0,"",M586-$AX$2)</f>
        <v/>
      </c>
      <c r="AZ586" s="66">
        <f>IF(AND(W586="",AY586&gt;0,AY586&lt;15),1,0)</f>
        <v/>
      </c>
      <c r="BA586" s="24">
        <f>IF(AND(W586="",AY586&gt;0,AY586&lt;15),T586,"")</f>
        <v/>
      </c>
      <c r="BB586" s="87">
        <f>IF(R586&lt;Q586,"X","")</f>
        <v/>
      </c>
      <c r="BC586" s="190" t="inlineStr">
        <is>
          <t>NO</t>
        </is>
      </c>
      <c r="BD586" s="190" t="inlineStr">
        <is>
          <t>NO</t>
        </is>
      </c>
    </row>
    <row r="587" ht="15" customHeight="1" s="162">
      <c r="A587" s="7" t="n">
        <v>586</v>
      </c>
      <c r="B587" t="inlineStr">
        <is>
          <t>1359900000500</t>
        </is>
      </c>
      <c r="C587" t="inlineStr">
        <is>
          <t>COMPRA DIRECTA ELECTRICOS/ELECTRONICOS</t>
        </is>
      </c>
      <c r="D587" t="inlineStr">
        <is>
          <t>1101902110</t>
        </is>
      </c>
      <c r="E587" t="inlineStr">
        <is>
          <t>1</t>
        </is>
      </c>
      <c r="F587" s="163" t="n">
        <v>45894</v>
      </c>
      <c r="G587" t="inlineStr"/>
      <c r="H587" t="inlineStr">
        <is>
          <t>4200625298</t>
        </is>
      </c>
      <c r="I587" t="inlineStr">
        <is>
          <t>10</t>
        </is>
      </c>
      <c r="J587" s="163" t="n">
        <v>45902</v>
      </c>
      <c r="K587" s="163" t="n">
        <v>45905</v>
      </c>
      <c r="L587" t="inlineStr"/>
      <c r="M587" s="163" t="n">
        <v>45961</v>
      </c>
      <c r="N587" s="164" t="n">
        <v>30</v>
      </c>
      <c r="O587" s="164" t="n">
        <v>8</v>
      </c>
      <c r="P587" t="inlineStr">
        <is>
          <t>Liberado</t>
        </is>
      </c>
      <c r="Q587" s="165" t="n">
        <v>1</v>
      </c>
      <c r="R587" s="165" t="n">
        <v>1</v>
      </c>
      <c r="S587" s="165" t="n">
        <v>1</v>
      </c>
      <c r="T587" s="165" t="n">
        <v>0</v>
      </c>
      <c r="U587" s="166" t="n">
        <v>0</v>
      </c>
      <c r="V587" s="166" t="n">
        <v>0</v>
      </c>
      <c r="W587" t="inlineStr">
        <is>
          <t>X</t>
        </is>
      </c>
      <c r="X587" t="inlineStr">
        <is>
          <t>0.00</t>
        </is>
      </c>
      <c r="Y587" t="inlineStr"/>
      <c r="Z587" t="inlineStr">
        <is>
          <t>TCX MICRO, S.L.U</t>
        </is>
      </c>
      <c r="AA587" t="inlineStr">
        <is>
          <t>OTROS FABRICANTES</t>
        </is>
      </c>
      <c r="AB587" t="inlineStr">
        <is>
          <t>1359900000500</t>
        </is>
      </c>
      <c r="AC587" t="inlineStr"/>
      <c r="AD587" s="164" t="n">
        <v>0</v>
      </c>
      <c r="AE587" s="185" t="n">
        <v>0</v>
      </c>
      <c r="AG587" s="167" t="inlineStr">
        <is>
          <t>7218|S24B05_S1076</t>
        </is>
      </c>
      <c r="AH587" s="46">
        <f>IF(M587=0,"-",M587-J587)</f>
        <v/>
      </c>
      <c r="AI587" s="46">
        <f>IF(AND(S587=0,M587&gt;0,L587=0),IF(AH587&gt;=120,"VERY HIGH",IF(AH587&gt;=90,"HIGH",IF(AH587&gt;=60,"MEDIUM",IF(AH587&lt;60,"LOW")))),"-")</f>
        <v/>
      </c>
      <c r="AJ587" s="12" t="n"/>
      <c r="AK587" s="41">
        <f>IF(AND(W587="X",M587&lt;=$AJ$2),"YES","")</f>
        <v/>
      </c>
      <c r="AL587" s="38">
        <f>IF(AND(W587="X",M587&lt;=$AJ$2),S587,"")</f>
        <v/>
      </c>
      <c r="AM587" s="26">
        <f>IF(AND(W587="X",M587&gt;$AJ$2),"YES","")</f>
        <v/>
      </c>
      <c r="AN587" s="89">
        <f>IF(AND(W587="X",M587&gt;$AJ$2),S587,"")</f>
        <v/>
      </c>
      <c r="AO587" s="35">
        <f>IF(AND(W587="",M587&gt;0,$AJ$2&gt;M587,L587=""),1,0)</f>
        <v/>
      </c>
      <c r="AP587" s="26">
        <f>IF(AND(AK587="YES",W587="X"),"X","")</f>
        <v/>
      </c>
      <c r="AQ587" s="28">
        <f>IF(AP587="X",100%,0%)</f>
        <v/>
      </c>
      <c r="AR587" s="25">
        <f>IF(AND(T587&gt;0,L587=""),H587,"")</f>
        <v/>
      </c>
      <c r="AS587" s="25">
        <f>IF(AND(D587&gt;0,H587=0,G587=""),1,"")</f>
        <v/>
      </c>
      <c r="AT587" s="25">
        <f>IF(G587="BLOQ",1,"")</f>
        <v/>
      </c>
      <c r="AU587" s="25">
        <f>IF(L587="BLOQ",1,"")</f>
        <v/>
      </c>
      <c r="AV587" s="25">
        <f>MONTH(F587)</f>
        <v/>
      </c>
      <c r="AW587" s="65">
        <f>IF(AP587="",100%,0%)</f>
        <v/>
      </c>
      <c r="AX587" s="23" t="n"/>
      <c r="AY587" s="24">
        <f>IF(M587=0,"",M587-$AX$2)</f>
        <v/>
      </c>
      <c r="AZ587" s="66">
        <f>IF(AND(W587="",AY587&gt;0,AY587&lt;15),1,0)</f>
        <v/>
      </c>
      <c r="BA587" s="24">
        <f>IF(AND(W587="",AY587&gt;0,AY587&lt;15),T587,"")</f>
        <v/>
      </c>
      <c r="BB587" s="87">
        <f>IF(R587&lt;Q587,"X","")</f>
        <v/>
      </c>
      <c r="BC587" s="190" t="inlineStr">
        <is>
          <t>NO</t>
        </is>
      </c>
      <c r="BD587" s="190" t="inlineStr">
        <is>
          <t>NO</t>
        </is>
      </c>
    </row>
    <row r="588" ht="15" customHeight="1" s="162">
      <c r="A588" s="7" t="n">
        <v>587</v>
      </c>
      <c r="B588" t="inlineStr">
        <is>
          <t>32151703</t>
        </is>
      </c>
      <c r="C588" t="inlineStr">
        <is>
          <t>Memoria Phoenix Contact SD FLASH 512MB</t>
        </is>
      </c>
      <c r="D588" t="inlineStr">
        <is>
          <t>1101903948</t>
        </is>
      </c>
      <c r="E588" t="inlineStr">
        <is>
          <t>1</t>
        </is>
      </c>
      <c r="F588" s="163" t="n">
        <v>45902</v>
      </c>
      <c r="G588" t="inlineStr"/>
      <c r="H588" t="inlineStr">
        <is>
          <t>4800003245</t>
        </is>
      </c>
      <c r="I588" t="inlineStr">
        <is>
          <t>130</t>
        </is>
      </c>
      <c r="J588" s="163" t="n">
        <v>45902</v>
      </c>
      <c r="K588" s="163" t="inlineStr"/>
      <c r="L588" t="inlineStr"/>
      <c r="M588" s="163" t="n">
        <v>45903</v>
      </c>
      <c r="N588" s="164" t="n">
        <v>0</v>
      </c>
      <c r="O588" s="164" t="n">
        <v>0</v>
      </c>
      <c r="P588" t="inlineStr"/>
      <c r="Q588" s="165" t="n">
        <v>1</v>
      </c>
      <c r="R588" s="165" t="n">
        <v>1</v>
      </c>
      <c r="S588" s="165" t="n">
        <v>1</v>
      </c>
      <c r="T588" s="165" t="n">
        <v>0</v>
      </c>
      <c r="U588" s="166" t="n">
        <v>0</v>
      </c>
      <c r="V588" s="166" t="n">
        <v>0</v>
      </c>
      <c r="W588" t="inlineStr">
        <is>
          <t>X</t>
        </is>
      </c>
      <c r="X588" t="inlineStr">
        <is>
          <t>0.00</t>
        </is>
      </c>
      <c r="Y588" t="inlineStr"/>
      <c r="Z588" t="inlineStr">
        <is>
          <t>AMIDATA, S.A.</t>
        </is>
      </c>
      <c r="AA588" t="inlineStr"/>
      <c r="AB588" t="inlineStr">
        <is>
          <t>2416141</t>
        </is>
      </c>
      <c r="AC588" t="inlineStr"/>
      <c r="AD588" s="164" t="n">
        <v>0</v>
      </c>
      <c r="AE588" s="185" t="n">
        <v>0</v>
      </c>
      <c r="AG588" s="167" t="inlineStr">
        <is>
          <t>7218|JA2581_1001</t>
        </is>
      </c>
      <c r="AH588" s="46">
        <f>IF(M588=0,"-",M588-J588)</f>
        <v/>
      </c>
      <c r="AI588" s="46">
        <f>IF(AND(S588=0,M588&gt;0,L588=0),IF(AH588&gt;=120,"VERY HIGH",IF(AH588&gt;=90,"HIGH",IF(AH588&gt;=60,"MEDIUM",IF(AH588&lt;60,"LOW")))),"-")</f>
        <v/>
      </c>
      <c r="AJ588" s="12" t="n"/>
      <c r="AK588" s="41">
        <f>IF(AND(W588="X",M588&lt;=$AJ$2),"YES","")</f>
        <v/>
      </c>
      <c r="AL588" s="38">
        <f>IF(AND(W588="X",M588&lt;=$AJ$2),S588,"")</f>
        <v/>
      </c>
      <c r="AM588" s="26">
        <f>IF(AND(W588="X",M588&gt;$AJ$2),"YES","")</f>
        <v/>
      </c>
      <c r="AN588" s="89">
        <f>IF(AND(W588="X",M588&gt;$AJ$2),S588,"")</f>
        <v/>
      </c>
      <c r="AO588" s="35">
        <f>IF(AND(W588="",M588&gt;0,$AJ$2&gt;M588,L588=""),1,0)</f>
        <v/>
      </c>
      <c r="AP588" s="26">
        <f>IF(AND(AK588="YES",W588="X"),"X","")</f>
        <v/>
      </c>
      <c r="AQ588" s="28">
        <f>IF(AP588="X",100%,0%)</f>
        <v/>
      </c>
      <c r="AR588" s="25">
        <f>IF(AND(T588&gt;0,L588=""),H588,"")</f>
        <v/>
      </c>
      <c r="AS588" s="25">
        <f>IF(AND(D588&gt;0,H588=0,G588=""),1,"")</f>
        <v/>
      </c>
      <c r="AT588" s="25">
        <f>IF(G588="BLOQ",1,"")</f>
        <v/>
      </c>
      <c r="AU588" s="25">
        <f>IF(L588="BLOQ",1,"")</f>
        <v/>
      </c>
      <c r="AV588" s="25">
        <f>MONTH(F588)</f>
        <v/>
      </c>
      <c r="AW588" s="65">
        <f>IF(AP588="",100%,0%)</f>
        <v/>
      </c>
      <c r="AX588" s="23" t="n"/>
      <c r="AY588" s="24">
        <f>IF(M588=0,"",M588-$AX$2)</f>
        <v/>
      </c>
      <c r="AZ588" s="66">
        <f>IF(AND(W588="",AY588&gt;0,AY588&lt;15),1,0)</f>
        <v/>
      </c>
      <c r="BA588" s="24">
        <f>IF(AND(W588="",AY588&gt;0,AY588&lt;15),T588,"")</f>
        <v/>
      </c>
      <c r="BB588" s="87">
        <f>IF(R588&lt;Q588,"X","")</f>
        <v/>
      </c>
      <c r="BC588" s="190" t="inlineStr">
        <is>
          <t>NO</t>
        </is>
      </c>
      <c r="BD588" s="190" t="inlineStr">
        <is>
          <t>NO</t>
        </is>
      </c>
    </row>
    <row r="589" ht="15" customHeight="1" s="162">
      <c r="A589" s="7" t="n">
        <v>588</v>
      </c>
      <c r="B589" t="inlineStr">
        <is>
          <t>1359900000500</t>
        </is>
      </c>
      <c r="C589" t="inlineStr">
        <is>
          <t>COMPRA DIRECTA ELECTRICOS/ELECTRONICOS</t>
        </is>
      </c>
      <c r="D589" t="inlineStr">
        <is>
          <t>1101904260</t>
        </is>
      </c>
      <c r="E589" t="inlineStr">
        <is>
          <t>1</t>
        </is>
      </c>
      <c r="F589" s="163" t="n">
        <v>45903</v>
      </c>
      <c r="G589" t="inlineStr"/>
      <c r="H589" t="inlineStr">
        <is>
          <t>4200626753</t>
        </is>
      </c>
      <c r="I589" t="inlineStr">
        <is>
          <t>10</t>
        </is>
      </c>
      <c r="J589" s="163" t="n">
        <v>45912</v>
      </c>
      <c r="K589" s="163" t="n">
        <v>45917</v>
      </c>
      <c r="L589" t="inlineStr"/>
      <c r="M589" s="163" t="n">
        <v>45989</v>
      </c>
      <c r="N589" s="164" t="n">
        <v>30</v>
      </c>
      <c r="O589" s="164" t="n">
        <v>8</v>
      </c>
      <c r="P589" t="inlineStr">
        <is>
          <t>Liberado</t>
        </is>
      </c>
      <c r="Q589" s="165" t="n">
        <v>1</v>
      </c>
      <c r="R589" s="165" t="n">
        <v>1</v>
      </c>
      <c r="S589" s="165" t="n">
        <v>1</v>
      </c>
      <c r="T589" s="165" t="n">
        <v>0</v>
      </c>
      <c r="U589" s="166" t="n">
        <v>0</v>
      </c>
      <c r="V589" s="166" t="n">
        <v>0</v>
      </c>
      <c r="W589" t="inlineStr">
        <is>
          <t>X</t>
        </is>
      </c>
      <c r="X589" t="inlineStr">
        <is>
          <t>0.00</t>
        </is>
      </c>
      <c r="Y589" t="inlineStr"/>
      <c r="Z589" t="inlineStr">
        <is>
          <t>SARVER S.L.</t>
        </is>
      </c>
      <c r="AA589" t="inlineStr">
        <is>
          <t>OTROS FABRICANTES</t>
        </is>
      </c>
      <c r="AB589" t="inlineStr">
        <is>
          <t>1359900000500</t>
        </is>
      </c>
      <c r="AC589" t="inlineStr"/>
      <c r="AD589" s="164" t="n">
        <v>0</v>
      </c>
      <c r="AE589" s="185" t="n">
        <v>0</v>
      </c>
      <c r="AG589" s="167" t="inlineStr">
        <is>
          <t>7218|S24B05_S1076</t>
        </is>
      </c>
      <c r="AH589" s="46">
        <f>IF(M589=0,"-",M589-J589)</f>
        <v/>
      </c>
      <c r="AI589" s="46">
        <f>IF(AND(S589=0,M589&gt;0,L589=0),IF(AH589&gt;=120,"VERY HIGH",IF(AH589&gt;=90,"HIGH",IF(AH589&gt;=60,"MEDIUM",IF(AH589&lt;60,"LOW")))),"-")</f>
        <v/>
      </c>
      <c r="AJ589" s="12" t="n"/>
      <c r="AK589" s="41">
        <f>IF(AND(W589="X",M589&lt;=$AJ$2),"YES","")</f>
        <v/>
      </c>
      <c r="AL589" s="38">
        <f>IF(AND(W589="X",M589&lt;=$AJ$2),S589,"")</f>
        <v/>
      </c>
      <c r="AM589" s="26">
        <f>IF(AND(W589="X",M589&gt;$AJ$2),"YES","")</f>
        <v/>
      </c>
      <c r="AN589" s="89">
        <f>IF(AND(W589="X",M589&gt;$AJ$2),S589,"")</f>
        <v/>
      </c>
      <c r="AO589" s="35">
        <f>IF(AND(W589="",M589&gt;0,$AJ$2&gt;M589,L589=""),1,0)</f>
        <v/>
      </c>
      <c r="AP589" s="26">
        <f>IF(AND(AK589="YES",W589="X"),"X","")</f>
        <v/>
      </c>
      <c r="AQ589" s="28">
        <f>IF(AP589="X",100%,0%)</f>
        <v/>
      </c>
      <c r="AR589" s="25">
        <f>IF(AND(T589&gt;0,L589=""),H589,"")</f>
        <v/>
      </c>
      <c r="AS589" s="25">
        <f>IF(AND(D589&gt;0,H589=0,G589=""),1,"")</f>
        <v/>
      </c>
      <c r="AT589" s="25">
        <f>IF(G589="BLOQ",1,"")</f>
        <v/>
      </c>
      <c r="AU589" s="25">
        <f>IF(L589="BLOQ",1,"")</f>
        <v/>
      </c>
      <c r="AV589" s="25">
        <f>MONTH(F589)</f>
        <v/>
      </c>
      <c r="AW589" s="65">
        <f>IF(AP589="",100%,0%)</f>
        <v/>
      </c>
      <c r="AX589" s="23" t="n"/>
      <c r="AY589" s="24">
        <f>IF(M589=0,"",M589-$AX$2)</f>
        <v/>
      </c>
      <c r="AZ589" s="66">
        <f>IF(AND(W589="",AY589&gt;0,AY589&lt;15),1,0)</f>
        <v/>
      </c>
      <c r="BA589" s="24">
        <f>IF(AND(W589="",AY589&gt;0,AY589&lt;15),T589,"")</f>
        <v/>
      </c>
      <c r="BB589" s="87">
        <f>IF(R589&lt;Q589,"X","")</f>
        <v/>
      </c>
      <c r="BC589" s="190" t="inlineStr">
        <is>
          <t>NO</t>
        </is>
      </c>
      <c r="BD589" s="190" t="inlineStr">
        <is>
          <t>NO</t>
        </is>
      </c>
    </row>
    <row r="590" ht="15" customHeight="1" s="162">
      <c r="A590" s="7" t="n">
        <v>589</v>
      </c>
      <c r="B590" t="inlineStr">
        <is>
          <t>1359900000500</t>
        </is>
      </c>
      <c r="C590" t="inlineStr">
        <is>
          <t>COMPRA DIRECTA ELECTRICOS/ELECTRONICOS</t>
        </is>
      </c>
      <c r="D590" t="inlineStr">
        <is>
          <t>1101904270</t>
        </is>
      </c>
      <c r="E590" t="inlineStr">
        <is>
          <t>1</t>
        </is>
      </c>
      <c r="F590" s="163" t="n">
        <v>45903</v>
      </c>
      <c r="G590" t="inlineStr"/>
      <c r="H590" t="inlineStr">
        <is>
          <t>4200626754</t>
        </is>
      </c>
      <c r="I590" t="inlineStr">
        <is>
          <t>10</t>
        </is>
      </c>
      <c r="J590" s="163" t="n">
        <v>45912</v>
      </c>
      <c r="K590" s="163" t="n">
        <v>45917</v>
      </c>
      <c r="L590" t="inlineStr"/>
      <c r="M590" s="163" t="n">
        <v>46024</v>
      </c>
      <c r="N590" s="164" t="n">
        <v>30</v>
      </c>
      <c r="O590" s="164" t="n">
        <v>8</v>
      </c>
      <c r="P590" t="inlineStr">
        <is>
          <t>Liberado</t>
        </is>
      </c>
      <c r="Q590" s="165" t="n">
        <v>1</v>
      </c>
      <c r="R590" s="165" t="n">
        <v>1</v>
      </c>
      <c r="S590" s="165" t="n">
        <v>1</v>
      </c>
      <c r="T590" s="165" t="n">
        <v>0</v>
      </c>
      <c r="U590" s="166" t="n">
        <v>0</v>
      </c>
      <c r="V590" s="166" t="n">
        <v>0</v>
      </c>
      <c r="W590" t="inlineStr">
        <is>
          <t>X</t>
        </is>
      </c>
      <c r="X590" t="inlineStr">
        <is>
          <t>0.00</t>
        </is>
      </c>
      <c r="Y590" t="inlineStr"/>
      <c r="Z590" t="inlineStr">
        <is>
          <t>SARVER S.L.</t>
        </is>
      </c>
      <c r="AA590" t="inlineStr">
        <is>
          <t>OTROS FABRICANTES</t>
        </is>
      </c>
      <c r="AB590" t="inlineStr">
        <is>
          <t>1359900000500</t>
        </is>
      </c>
      <c r="AC590" t="inlineStr"/>
      <c r="AD590" s="164" t="n">
        <v>0</v>
      </c>
      <c r="AE590" s="185" t="n">
        <v>0</v>
      </c>
      <c r="AG590" s="167" t="inlineStr">
        <is>
          <t>7218|S24B05_S1076</t>
        </is>
      </c>
      <c r="AH590" s="46">
        <f>IF(M590=0,"-",M590-J590)</f>
        <v/>
      </c>
      <c r="AI590" s="46">
        <f>IF(AND(S590=0,M590&gt;0,L590=0),IF(AH590&gt;=120,"VERY HIGH",IF(AH590&gt;=90,"HIGH",IF(AH590&gt;=60,"MEDIUM",IF(AH590&lt;60,"LOW")))),"-")</f>
        <v/>
      </c>
      <c r="AJ590" s="12" t="n"/>
      <c r="AK590" s="41">
        <f>IF(AND(W590="X",M590&lt;=$AJ$2),"YES","")</f>
        <v/>
      </c>
      <c r="AL590" s="38">
        <f>IF(AND(W590="X",M590&lt;=$AJ$2),S590,"")</f>
        <v/>
      </c>
      <c r="AM590" s="26">
        <f>IF(AND(W590="X",M590&gt;$AJ$2),"YES","")</f>
        <v/>
      </c>
      <c r="AN590" s="89">
        <f>IF(AND(W590="X",M590&gt;$AJ$2),S590,"")</f>
        <v/>
      </c>
      <c r="AO590" s="35">
        <f>IF(AND(W590="",M590&gt;0,$AJ$2&gt;M590,L590=""),1,0)</f>
        <v/>
      </c>
      <c r="AP590" s="26">
        <f>IF(AND(AK590="YES",W590="X"),"X","")</f>
        <v/>
      </c>
      <c r="AQ590" s="28">
        <f>IF(AP590="X",100%,0%)</f>
        <v/>
      </c>
      <c r="AR590" s="25">
        <f>IF(AND(T590&gt;0,L590=""),H590,"")</f>
        <v/>
      </c>
      <c r="AS590" s="25">
        <f>IF(AND(D590&gt;0,H590=0,G590=""),1,"")</f>
        <v/>
      </c>
      <c r="AT590" s="25">
        <f>IF(G590="BLOQ",1,"")</f>
        <v/>
      </c>
      <c r="AU590" s="25">
        <f>IF(L590="BLOQ",1,"")</f>
        <v/>
      </c>
      <c r="AV590" s="25">
        <f>MONTH(F590)</f>
        <v/>
      </c>
      <c r="AW590" s="65">
        <f>IF(AP590="",100%,0%)</f>
        <v/>
      </c>
      <c r="AX590" s="23" t="n"/>
      <c r="AY590" s="24">
        <f>IF(M590=0,"",M590-$AX$2)</f>
        <v/>
      </c>
      <c r="AZ590" s="66">
        <f>IF(AND(W590="",AY590&gt;0,AY590&lt;15),1,0)</f>
        <v/>
      </c>
      <c r="BA590" s="24">
        <f>IF(AND(W590="",AY590&gt;0,AY590&lt;15),T590,"")</f>
        <v/>
      </c>
      <c r="BB590" s="87">
        <f>IF(R590&lt;Q590,"X","")</f>
        <v/>
      </c>
      <c r="BC590" s="190" t="inlineStr">
        <is>
          <t>NO</t>
        </is>
      </c>
      <c r="BD590" s="190" t="inlineStr">
        <is>
          <t>NO</t>
        </is>
      </c>
    </row>
    <row r="591" ht="15" customHeight="1" s="162">
      <c r="A591" s="7" t="n">
        <v>590</v>
      </c>
      <c r="B591" t="inlineStr">
        <is>
          <t>26111722</t>
        </is>
      </c>
      <c r="C591" t="inlineStr">
        <is>
          <t>Adaptador AC/DC RS PRO 100 ? 240V ac, 15</t>
        </is>
      </c>
      <c r="D591" t="inlineStr">
        <is>
          <t>1101904399</t>
        </is>
      </c>
      <c r="E591" t="inlineStr">
        <is>
          <t>1</t>
        </is>
      </c>
      <c r="F591" s="163" t="n">
        <v>45903</v>
      </c>
      <c r="G591" t="inlineStr"/>
      <c r="H591" t="inlineStr">
        <is>
          <t>4800003245</t>
        </is>
      </c>
      <c r="I591" t="inlineStr">
        <is>
          <t>700</t>
        </is>
      </c>
      <c r="J591" s="163" t="n">
        <v>45902</v>
      </c>
      <c r="K591" s="163" t="inlineStr"/>
      <c r="L591" t="inlineStr"/>
      <c r="M591" s="163" t="n">
        <v>45904</v>
      </c>
      <c r="N591" s="164" t="n">
        <v>0</v>
      </c>
      <c r="O591" s="164" t="n">
        <v>0</v>
      </c>
      <c r="P591" t="inlineStr"/>
      <c r="Q591" s="165" t="n">
        <v>2</v>
      </c>
      <c r="R591" s="165" t="n">
        <v>2</v>
      </c>
      <c r="S591" s="165" t="n">
        <v>2</v>
      </c>
      <c r="T591" s="165" t="n">
        <v>0</v>
      </c>
      <c r="U591" s="166" t="n">
        <v>0</v>
      </c>
      <c r="V591" s="166" t="n">
        <v>0</v>
      </c>
      <c r="W591" t="inlineStr">
        <is>
          <t>X</t>
        </is>
      </c>
      <c r="X591" t="inlineStr">
        <is>
          <t>0.00</t>
        </is>
      </c>
      <c r="Y591" t="inlineStr"/>
      <c r="Z591" t="inlineStr">
        <is>
          <t>AMIDATA, S.A.</t>
        </is>
      </c>
      <c r="AA591" t="inlineStr"/>
      <c r="AB591" t="inlineStr">
        <is>
          <t>2008924</t>
        </is>
      </c>
      <c r="AC591" t="inlineStr"/>
      <c r="AD591" s="164" t="n">
        <v>0</v>
      </c>
      <c r="AE591" s="185" t="n">
        <v>0</v>
      </c>
      <c r="AG591" s="167" t="inlineStr">
        <is>
          <t>7218|S24B05_S1077</t>
        </is>
      </c>
      <c r="AH591" s="46">
        <f>IF(M591=0,"-",M591-J591)</f>
        <v/>
      </c>
      <c r="AI591" s="46">
        <f>IF(AND(S591=0,M591&gt;0,L591=0),IF(AH591&gt;=120,"VERY HIGH",IF(AH591&gt;=90,"HIGH",IF(AH591&gt;=60,"MEDIUM",IF(AH591&lt;60,"LOW")))),"-")</f>
        <v/>
      </c>
      <c r="AJ591" s="12" t="n"/>
      <c r="AK591" s="41">
        <f>IF(AND(W591="X",M591&lt;=$AJ$2),"YES","")</f>
        <v/>
      </c>
      <c r="AL591" s="38">
        <f>IF(AND(W591="X",M591&lt;=$AJ$2),S591,"")</f>
        <v/>
      </c>
      <c r="AM591" s="26">
        <f>IF(AND(W591="X",M591&gt;$AJ$2),"YES","")</f>
        <v/>
      </c>
      <c r="AN591" s="89">
        <f>IF(AND(W591="X",M591&gt;$AJ$2),S591,"")</f>
        <v/>
      </c>
      <c r="AO591" s="35">
        <f>IF(AND(W591="",M591&gt;0,$AJ$2&gt;M591,L591=""),1,0)</f>
        <v/>
      </c>
      <c r="AP591" s="26">
        <f>IF(AND(AK591="YES",W591="X"),"X","")</f>
        <v/>
      </c>
      <c r="AQ591" s="28">
        <f>IF(AP591="X",100%,0%)</f>
        <v/>
      </c>
      <c r="AR591" s="25">
        <f>IF(AND(T591&gt;0,L591=""),H591,"")</f>
        <v/>
      </c>
      <c r="AS591" s="25">
        <f>IF(AND(D591&gt;0,H591=0,G591=""),1,"")</f>
        <v/>
      </c>
      <c r="AT591" s="25">
        <f>IF(G591="BLOQ",1,"")</f>
        <v/>
      </c>
      <c r="AU591" s="25">
        <f>IF(L591="BLOQ",1,"")</f>
        <v/>
      </c>
      <c r="AV591" s="25">
        <f>MONTH(F591)</f>
        <v/>
      </c>
      <c r="AW591" s="65">
        <f>IF(AP591="",100%,0%)</f>
        <v/>
      </c>
      <c r="AX591" s="23" t="n"/>
      <c r="AY591" s="24">
        <f>IF(M591=0,"",M591-$AX$2)</f>
        <v/>
      </c>
      <c r="AZ591" s="66">
        <f>IF(AND(W591="",AY591&gt;0,AY591&lt;15),1,0)</f>
        <v/>
      </c>
      <c r="BA591" s="24">
        <f>IF(AND(W591="",AY591&gt;0,AY591&lt;15),T591,"")</f>
        <v/>
      </c>
      <c r="BB591" s="87">
        <f>IF(R591&lt;Q591,"X","")</f>
        <v/>
      </c>
      <c r="BC591" s="190" t="inlineStr">
        <is>
          <t>NO</t>
        </is>
      </c>
      <c r="BD591" s="190" t="inlineStr">
        <is>
          <t>NO</t>
        </is>
      </c>
    </row>
    <row r="592" ht="15" customHeight="1" s="162">
      <c r="A592" s="7" t="n">
        <v>591</v>
      </c>
      <c r="B592" t="inlineStr">
        <is>
          <t>39121004</t>
        </is>
      </c>
      <c r="C592" t="inlineStr">
        <is>
          <t>Adaptador AC/DC Ansmann 135 ? 370 V dc,</t>
        </is>
      </c>
      <c r="D592" t="inlineStr">
        <is>
          <t>1101904399</t>
        </is>
      </c>
      <c r="E592" t="inlineStr">
        <is>
          <t>2</t>
        </is>
      </c>
      <c r="F592" s="163" t="n">
        <v>45903</v>
      </c>
      <c r="G592" t="inlineStr"/>
      <c r="H592" t="inlineStr">
        <is>
          <t>4800003245</t>
        </is>
      </c>
      <c r="I592" t="inlineStr">
        <is>
          <t>710</t>
        </is>
      </c>
      <c r="J592" s="163" t="n">
        <v>45902</v>
      </c>
      <c r="K592" s="163" t="inlineStr"/>
      <c r="L592" t="inlineStr"/>
      <c r="M592" s="163" t="n">
        <v>45904</v>
      </c>
      <c r="N592" s="164" t="n">
        <v>0</v>
      </c>
      <c r="O592" s="164" t="n">
        <v>0</v>
      </c>
      <c r="P592" t="inlineStr"/>
      <c r="Q592" s="165" t="n">
        <v>2</v>
      </c>
      <c r="R592" s="165" t="n">
        <v>2</v>
      </c>
      <c r="S592" s="165" t="n">
        <v>2</v>
      </c>
      <c r="T592" s="165" t="n">
        <v>0</v>
      </c>
      <c r="U592" s="166" t="n">
        <v>0</v>
      </c>
      <c r="V592" s="166" t="n">
        <v>0</v>
      </c>
      <c r="W592" t="inlineStr">
        <is>
          <t>X</t>
        </is>
      </c>
      <c r="X592" t="inlineStr">
        <is>
          <t>0.00</t>
        </is>
      </c>
      <c r="Y592" t="inlineStr"/>
      <c r="Z592" t="inlineStr">
        <is>
          <t>AMIDATA, S.A.</t>
        </is>
      </c>
      <c r="AA592" t="inlineStr"/>
      <c r="AB592" t="inlineStr">
        <is>
          <t>7023261</t>
        </is>
      </c>
      <c r="AC592" t="inlineStr"/>
      <c r="AD592" s="164" t="n">
        <v>0</v>
      </c>
      <c r="AE592" s="185" t="n">
        <v>0</v>
      </c>
      <c r="AG592" s="167" t="inlineStr">
        <is>
          <t>7218|S24B05_S1077</t>
        </is>
      </c>
      <c r="AH592" s="46">
        <f>IF(M592=0,"-",M592-J592)</f>
        <v/>
      </c>
      <c r="AI592" s="46">
        <f>IF(AND(S592=0,M592&gt;0,L592=0),IF(AH592&gt;=120,"VERY HIGH",IF(AH592&gt;=90,"HIGH",IF(AH592&gt;=60,"MEDIUM",IF(AH592&lt;60,"LOW")))),"-")</f>
        <v/>
      </c>
      <c r="AJ592" s="12" t="n"/>
      <c r="AK592" s="41">
        <f>IF(AND(W592="X",M592&lt;=$AJ$2),"YES","")</f>
        <v/>
      </c>
      <c r="AL592" s="38">
        <f>IF(AND(W592="X",M592&lt;=$AJ$2),S592,"")</f>
        <v/>
      </c>
      <c r="AM592" s="26">
        <f>IF(AND(W592="X",M592&gt;$AJ$2),"YES","")</f>
        <v/>
      </c>
      <c r="AN592" s="89">
        <f>IF(AND(W592="X",M592&gt;$AJ$2),S592,"")</f>
        <v/>
      </c>
      <c r="AO592" s="35">
        <f>IF(AND(W592="",M592&gt;0,$AJ$2&gt;M592,L592=""),1,0)</f>
        <v/>
      </c>
      <c r="AP592" s="26">
        <f>IF(AND(AK592="YES",W592="X"),"X","")</f>
        <v/>
      </c>
      <c r="AQ592" s="28">
        <f>IF(AP592="X",100%,0%)</f>
        <v/>
      </c>
      <c r="AR592" s="25">
        <f>IF(AND(T592&gt;0,L592=""),H592,"")</f>
        <v/>
      </c>
      <c r="AS592" s="25">
        <f>IF(AND(D592&gt;0,H592=0,G592=""),1,"")</f>
        <v/>
      </c>
      <c r="AT592" s="25">
        <f>IF(G592="BLOQ",1,"")</f>
        <v/>
      </c>
      <c r="AU592" s="25">
        <f>IF(L592="BLOQ",1,"")</f>
        <v/>
      </c>
      <c r="AV592" s="25">
        <f>MONTH(F592)</f>
        <v/>
      </c>
      <c r="AW592" s="65">
        <f>IF(AP592="",100%,0%)</f>
        <v/>
      </c>
      <c r="AX592" s="23" t="n"/>
      <c r="AY592" s="24">
        <f>IF(M592=0,"",M592-$AX$2)</f>
        <v/>
      </c>
      <c r="AZ592" s="66">
        <f>IF(AND(W592="",AY592&gt;0,AY592&lt;15),1,0)</f>
        <v/>
      </c>
      <c r="BA592" s="24">
        <f>IF(AND(W592="",AY592&gt;0,AY592&lt;15),T592,"")</f>
        <v/>
      </c>
      <c r="BB592" s="87">
        <f>IF(R592&lt;Q592,"X","")</f>
        <v/>
      </c>
      <c r="BC592" s="190" t="inlineStr">
        <is>
          <t>NO</t>
        </is>
      </c>
      <c r="BD592" s="190" t="inlineStr">
        <is>
          <t>NO</t>
        </is>
      </c>
    </row>
    <row r="593" ht="15" customFormat="1" customHeight="1" s="183">
      <c r="A593" s="7" t="n">
        <v>592</v>
      </c>
      <c r="B593" t="inlineStr"/>
      <c r="C593" t="inlineStr">
        <is>
          <t>INSTALACION SIMULADOR H175</t>
        </is>
      </c>
      <c r="D593" t="inlineStr">
        <is>
          <t>1101904455</t>
        </is>
      </c>
      <c r="E593" t="inlineStr">
        <is>
          <t>1</t>
        </is>
      </c>
      <c r="F593" s="163" t="n">
        <v>45903</v>
      </c>
      <c r="G593" t="inlineStr"/>
      <c r="H593" t="inlineStr">
        <is>
          <t>4300352010</t>
        </is>
      </c>
      <c r="I593" t="inlineStr">
        <is>
          <t>20</t>
        </is>
      </c>
      <c r="J593" s="163" t="n">
        <v>45905</v>
      </c>
      <c r="K593" s="163" t="n">
        <v>45917</v>
      </c>
      <c r="L593" t="inlineStr"/>
      <c r="M593" s="163" t="n">
        <v>45945</v>
      </c>
      <c r="N593" s="164" t="n">
        <v>0</v>
      </c>
      <c r="O593" s="164" t="n">
        <v>0</v>
      </c>
      <c r="P593" t="inlineStr">
        <is>
          <t>Liberado</t>
        </is>
      </c>
      <c r="Q593" s="166" t="n">
        <v>1</v>
      </c>
      <c r="R593" s="164" t="n">
        <v>1</v>
      </c>
      <c r="S593" s="164" t="n">
        <v>0</v>
      </c>
      <c r="T593" s="164" t="n">
        <v>0</v>
      </c>
      <c r="U593" s="166" t="n">
        <v>0</v>
      </c>
      <c r="V593" s="166" t="n">
        <v>0</v>
      </c>
      <c r="W593" t="inlineStr"/>
      <c r="X593" t="inlineStr">
        <is>
          <t>0.00</t>
        </is>
      </c>
      <c r="Y593" t="inlineStr"/>
      <c r="Z593" t="inlineStr">
        <is>
          <t>ISC Instalaciones y Servicios de</t>
        </is>
      </c>
      <c r="AA593" t="inlineStr"/>
      <c r="AB593" t="inlineStr"/>
      <c r="AC593" t="inlineStr"/>
      <c r="AD593" s="164" t="n">
        <v>1</v>
      </c>
      <c r="AE593" s="185" t="n">
        <v>1</v>
      </c>
      <c r="AG593" s="183" t="inlineStr">
        <is>
          <t>7218|JA2593_1001</t>
        </is>
      </c>
      <c r="AH593" s="172">
        <f>IF(M593=0,"-",M593-J593)</f>
        <v/>
      </c>
      <c r="AI593" s="172">
        <f>IF(AND(S593=0,M593&gt;0,L593=0),IF(AH593&gt;=120,"VERY HIGH",IF(AH593&gt;=90,"HIGH",IF(AH593&gt;=60,"MEDIUM",IF(AH593&lt;60,"LOW")))),"-")</f>
        <v/>
      </c>
      <c r="AJ593" s="183" t="n"/>
      <c r="AK593" s="174">
        <f>IF(AND(W593="X",M593&lt;=$AJ$2),"YES","")</f>
        <v/>
      </c>
      <c r="AL593" s="175">
        <f>IF(AND(W593="X",M593&lt;=$AJ$2),S593,"")</f>
        <v/>
      </c>
      <c r="AM593" s="172">
        <f>IF(AND(W593="X",M593&gt;$AJ$2),"YES","")</f>
        <v/>
      </c>
      <c r="AN593" s="176">
        <f>IF(AND(W593="X",M593&gt;$AJ$2),S593,"")</f>
        <v/>
      </c>
      <c r="AO593" s="177">
        <f>IF(AND(W593="",M593&gt;0,$AJ$2&gt;M593,L593=""),1,0)</f>
        <v/>
      </c>
      <c r="AP593" s="172">
        <f>IF(AND(AK593="YES",W593="X"),"X","")</f>
        <v/>
      </c>
      <c r="AQ593" s="178">
        <f>IF(AP593="X",100%,0%)</f>
        <v/>
      </c>
      <c r="AR593" s="177">
        <f>IF(AND(T593&gt;0,L593=""),H593,"")</f>
        <v/>
      </c>
      <c r="AS593" s="177">
        <f>IF(AND(D593&gt;0,H593=0,G593=""),1,"")</f>
        <v/>
      </c>
      <c r="AT593" s="177">
        <f>IF(G593="BLOQ",1,"")</f>
        <v/>
      </c>
      <c r="AU593" s="177">
        <f>IF(L593="BLOQ",1,"")</f>
        <v/>
      </c>
      <c r="AV593" s="177">
        <f>MONTH(F593)</f>
        <v/>
      </c>
      <c r="AW593" s="178">
        <f>IF(AP593="",100%,0%)</f>
        <v/>
      </c>
      <c r="AX593" s="179" t="n"/>
      <c r="AY593" s="180">
        <f>IF(M593=0,"",M593-$AX$2)</f>
        <v/>
      </c>
      <c r="AZ593" s="181">
        <f>IF(AND(W593="",AY593&gt;0,AY593&lt;15),1,0)</f>
        <v/>
      </c>
      <c r="BA593" s="180">
        <f>IF(AND(W593="",AY593&gt;0,AY593&lt;15),T593,"")</f>
        <v/>
      </c>
      <c r="BB593" s="182">
        <f>IF(R593&lt;Q593,"X","")</f>
        <v/>
      </c>
      <c r="BC593" s="190" t="inlineStr">
        <is>
          <t>NO</t>
        </is>
      </c>
      <c r="BD593" s="190" t="inlineStr">
        <is>
          <t>NO</t>
        </is>
      </c>
    </row>
    <row r="594" ht="15" customHeight="1" s="162">
      <c r="A594" s="7" t="n">
        <v>593</v>
      </c>
      <c r="B594" t="inlineStr">
        <is>
          <t>1359900000500</t>
        </is>
      </c>
      <c r="C594" t="inlineStr">
        <is>
          <t>COMPRA DIRECTA ELECTRICOS/ELECTRONICOS</t>
        </is>
      </c>
      <c r="D594" t="inlineStr">
        <is>
          <t>1101907155</t>
        </is>
      </c>
      <c r="E594" t="inlineStr">
        <is>
          <t>1</t>
        </is>
      </c>
      <c r="F594" s="163" t="n">
        <v>45911</v>
      </c>
      <c r="G594" t="inlineStr"/>
      <c r="H594" t="inlineStr">
        <is>
          <t>4200627807</t>
        </is>
      </c>
      <c r="I594" t="inlineStr">
        <is>
          <t>10</t>
        </is>
      </c>
      <c r="J594" s="163" t="n">
        <v>45919</v>
      </c>
      <c r="K594" s="163" t="n">
        <v>45923</v>
      </c>
      <c r="L594" t="inlineStr"/>
      <c r="M594" s="163" t="n">
        <v>45990</v>
      </c>
      <c r="N594" s="164" t="n">
        <v>30</v>
      </c>
      <c r="O594" s="164" t="n">
        <v>8</v>
      </c>
      <c r="P594" t="inlineStr">
        <is>
          <t>Liberado</t>
        </is>
      </c>
      <c r="Q594" s="165" t="n">
        <v>3</v>
      </c>
      <c r="R594" s="165" t="n">
        <v>3</v>
      </c>
      <c r="S594" s="165" t="n">
        <v>3</v>
      </c>
      <c r="T594" s="165" t="n">
        <v>0</v>
      </c>
      <c r="U594" s="166" t="n">
        <v>0</v>
      </c>
      <c r="V594" s="166" t="n">
        <v>0</v>
      </c>
      <c r="W594" t="inlineStr">
        <is>
          <t>X</t>
        </is>
      </c>
      <c r="X594" t="inlineStr">
        <is>
          <t>0.00</t>
        </is>
      </c>
      <c r="Y594" t="inlineStr"/>
      <c r="Z594" t="inlineStr">
        <is>
          <t>SARVER S.L.</t>
        </is>
      </c>
      <c r="AA594" t="inlineStr">
        <is>
          <t>OTROS FABRICANTES</t>
        </is>
      </c>
      <c r="AB594" t="inlineStr">
        <is>
          <t>1359900000500</t>
        </is>
      </c>
      <c r="AC594" t="inlineStr"/>
      <c r="AD594" s="164" t="n">
        <v>0</v>
      </c>
      <c r="AE594" s="185" t="n">
        <v>0</v>
      </c>
      <c r="AG594" s="167" t="inlineStr">
        <is>
          <t>7218|S24B05_S1074</t>
        </is>
      </c>
      <c r="AH594" s="46">
        <f>IF(M594=0,"-",M594-J594)</f>
        <v/>
      </c>
      <c r="AI594" s="46">
        <f>IF(AND(S594=0,M594&gt;0,L594=0),IF(AH594&gt;=120,"VERY HIGH",IF(AH594&gt;=90,"HIGH",IF(AH594&gt;=60,"MEDIUM",IF(AH594&lt;60,"LOW")))),"-")</f>
        <v/>
      </c>
      <c r="AJ594" s="12" t="n"/>
      <c r="AK594" s="41">
        <f>IF(AND(W594="X",M594&lt;=$AJ$2),"YES","")</f>
        <v/>
      </c>
      <c r="AL594" s="38">
        <f>IF(AND(W594="X",M594&lt;=$AJ$2),S594,"")</f>
        <v/>
      </c>
      <c r="AM594" s="26">
        <f>IF(AND(W594="X",M594&gt;$AJ$2),"YES","")</f>
        <v/>
      </c>
      <c r="AN594" s="89">
        <f>IF(AND(W594="X",M594&gt;$AJ$2),S594,"")</f>
        <v/>
      </c>
      <c r="AO594" s="35">
        <f>IF(AND(W594="",M594&gt;0,$AJ$2&gt;M594,L594=""),1,0)</f>
        <v/>
      </c>
      <c r="AP594" s="26">
        <f>IF(AND(AK594="YES",W594="X"),"X","")</f>
        <v/>
      </c>
      <c r="AQ594" s="28">
        <f>IF(AP594="X",100%,0%)</f>
        <v/>
      </c>
      <c r="AR594" s="25">
        <f>IF(AND(T594&gt;0,L594=""),H594,"")</f>
        <v/>
      </c>
      <c r="AS594" s="25">
        <f>IF(AND(D594&gt;0,H594=0,G594=""),1,"")</f>
        <v/>
      </c>
      <c r="AT594" s="25">
        <f>IF(G594="BLOQ",1,"")</f>
        <v/>
      </c>
      <c r="AU594" s="25">
        <f>IF(L594="BLOQ",1,"")</f>
        <v/>
      </c>
      <c r="AV594" s="25">
        <f>MONTH(F594)</f>
        <v/>
      </c>
      <c r="AW594" s="65">
        <f>IF(AP594="",100%,0%)</f>
        <v/>
      </c>
      <c r="AX594" s="23" t="n"/>
      <c r="AY594" s="24">
        <f>IF(M594=0,"",M594-$AX$2)</f>
        <v/>
      </c>
      <c r="AZ594" s="66">
        <f>IF(AND(W594="",AY594&gt;0,AY594&lt;15),1,0)</f>
        <v/>
      </c>
      <c r="BA594" s="24">
        <f>IF(AND(W594="",AY594&gt;0,AY594&lt;15),T594,"")</f>
        <v/>
      </c>
      <c r="BB594" s="87">
        <f>IF(R594&lt;Q594,"X","")</f>
        <v/>
      </c>
      <c r="BC594" s="190" t="inlineStr">
        <is>
          <t>NO</t>
        </is>
      </c>
      <c r="BD594" s="190" t="inlineStr">
        <is>
          <t>NO</t>
        </is>
      </c>
    </row>
    <row r="595" ht="15" customHeight="1" s="162">
      <c r="A595" s="7" t="n">
        <v>594</v>
      </c>
      <c r="B595" t="inlineStr">
        <is>
          <t>55121704</t>
        </is>
      </c>
      <c r="C595" t="inlineStr">
        <is>
          <t>Se&amp;#241;al de salida de emergencia S21 S</t>
        </is>
      </c>
      <c r="D595" t="inlineStr">
        <is>
          <t>1101907243</t>
        </is>
      </c>
      <c r="E595" t="inlineStr">
        <is>
          <t>1</t>
        </is>
      </c>
      <c r="F595" s="163" t="n">
        <v>45911</v>
      </c>
      <c r="G595" t="inlineStr"/>
      <c r="H595" t="inlineStr">
        <is>
          <t>4800003266</t>
        </is>
      </c>
      <c r="I595" t="inlineStr">
        <is>
          <t>790</t>
        </is>
      </c>
      <c r="J595" s="163" t="n">
        <v>45910</v>
      </c>
      <c r="K595" s="163" t="inlineStr"/>
      <c r="L595" t="inlineStr"/>
      <c r="M595" s="163" t="n">
        <v>45912</v>
      </c>
      <c r="N595" s="164" t="n">
        <v>0</v>
      </c>
      <c r="O595" s="164" t="n">
        <v>0</v>
      </c>
      <c r="P595" t="inlineStr"/>
      <c r="Q595" s="165" t="n">
        <v>1</v>
      </c>
      <c r="R595" s="165" t="n">
        <v>1</v>
      </c>
      <c r="S595" s="165" t="n">
        <v>1</v>
      </c>
      <c r="T595" s="165" t="n">
        <v>0</v>
      </c>
      <c r="U595" s="166" t="n">
        <v>0</v>
      </c>
      <c r="V595" s="166" t="n">
        <v>0</v>
      </c>
      <c r="W595" t="inlineStr">
        <is>
          <t>X</t>
        </is>
      </c>
      <c r="X595" t="inlineStr">
        <is>
          <t>0.00</t>
        </is>
      </c>
      <c r="Y595" t="inlineStr"/>
      <c r="Z595" t="inlineStr">
        <is>
          <t>AMIDATA, S.A.</t>
        </is>
      </c>
      <c r="AA595" t="inlineStr"/>
      <c r="AB595" t="inlineStr">
        <is>
          <t>2209907</t>
        </is>
      </c>
      <c r="AC595" t="inlineStr"/>
      <c r="AD595" s="164" t="n">
        <v>0</v>
      </c>
      <c r="AE595" s="185" t="n">
        <v>0</v>
      </c>
      <c r="AG595" s="167" t="inlineStr">
        <is>
          <t>7218|JA2582_1001</t>
        </is>
      </c>
      <c r="AH595" s="46">
        <f>IF(M595=0,"-",M595-J595)</f>
        <v/>
      </c>
      <c r="AI595" s="46">
        <f>IF(AND(S595=0,M595&gt;0,L595=0),IF(AH595&gt;=120,"VERY HIGH",IF(AH595&gt;=90,"HIGH",IF(AH595&gt;=60,"MEDIUM",IF(AH595&lt;60,"LOW")))),"-")</f>
        <v/>
      </c>
      <c r="AJ595" s="12" t="n"/>
      <c r="AK595" s="41">
        <f>IF(AND(W595="X",M595&lt;=$AJ$2),"YES","")</f>
        <v/>
      </c>
      <c r="AL595" s="38">
        <f>IF(AND(W595="X",M595&lt;=$AJ$2),S595,"")</f>
        <v/>
      </c>
      <c r="AM595" s="26">
        <f>IF(AND(W595="X",M595&gt;$AJ$2),"YES","")</f>
        <v/>
      </c>
      <c r="AN595" s="89">
        <f>IF(AND(W595="X",M595&gt;$AJ$2),S595,"")</f>
        <v/>
      </c>
      <c r="AO595" s="35">
        <f>IF(AND(W595="",M595&gt;0,$AJ$2&gt;M595,L595=""),1,0)</f>
        <v/>
      </c>
      <c r="AP595" s="26">
        <f>IF(AND(AK595="YES",W595="X"),"X","")</f>
        <v/>
      </c>
      <c r="AQ595" s="28">
        <f>IF(AP595="X",100%,0%)</f>
        <v/>
      </c>
      <c r="AR595" s="25">
        <f>IF(AND(T595&gt;0,L595=""),H595,"")</f>
        <v/>
      </c>
      <c r="AS595" s="25">
        <f>IF(AND(D595&gt;0,H595=0,G595=""),1,"")</f>
        <v/>
      </c>
      <c r="AT595" s="25">
        <f>IF(G595="BLOQ",1,"")</f>
        <v/>
      </c>
      <c r="AU595" s="25">
        <f>IF(L595="BLOQ",1,"")</f>
        <v/>
      </c>
      <c r="AV595" s="25">
        <f>MONTH(F595)</f>
        <v/>
      </c>
      <c r="AW595" s="65">
        <f>IF(AP595="",100%,0%)</f>
        <v/>
      </c>
      <c r="AX595" s="23" t="n"/>
      <c r="AY595" s="24">
        <f>IF(M595=0,"",M595-$AX$2)</f>
        <v/>
      </c>
      <c r="AZ595" s="66">
        <f>IF(AND(W595="",AY595&gt;0,AY595&lt;15),1,0)</f>
        <v/>
      </c>
      <c r="BA595" s="24">
        <f>IF(AND(W595="",AY595&gt;0,AY595&lt;15),T595,"")</f>
        <v/>
      </c>
      <c r="BB595" s="87">
        <f>IF(R595&lt;Q595,"X","")</f>
        <v/>
      </c>
      <c r="BC595" s="190" t="inlineStr">
        <is>
          <t>NO</t>
        </is>
      </c>
      <c r="BD595" s="190" t="inlineStr">
        <is>
          <t>NO</t>
        </is>
      </c>
    </row>
    <row r="596" ht="15" customHeight="1" s="162">
      <c r="A596" s="7" t="n">
        <v>595</v>
      </c>
      <c r="B596" t="inlineStr">
        <is>
          <t>55121704</t>
        </is>
      </c>
      <c r="C596" t="inlineStr">
        <is>
          <t>Se&amp;#241;al de salida de emergencia con f</t>
        </is>
      </c>
      <c r="D596" t="inlineStr">
        <is>
          <t>1101907243</t>
        </is>
      </c>
      <c r="E596" t="inlineStr">
        <is>
          <t>2</t>
        </is>
      </c>
      <c r="F596" s="163" t="n">
        <v>45911</v>
      </c>
      <c r="G596" t="inlineStr"/>
      <c r="H596" t="inlineStr">
        <is>
          <t>4800003266</t>
        </is>
      </c>
      <c r="I596" t="inlineStr">
        <is>
          <t>800</t>
        </is>
      </c>
      <c r="J596" s="163" t="n">
        <v>45910</v>
      </c>
      <c r="K596" s="163" t="inlineStr"/>
      <c r="L596" t="inlineStr"/>
      <c r="M596" s="163" t="n">
        <v>45912</v>
      </c>
      <c r="N596" s="164" t="n">
        <v>0</v>
      </c>
      <c r="O596" s="164" t="n">
        <v>0</v>
      </c>
      <c r="P596" t="inlineStr"/>
      <c r="Q596" s="165" t="n">
        <v>1</v>
      </c>
      <c r="R596" s="165" t="n">
        <v>1</v>
      </c>
      <c r="S596" s="165" t="n">
        <v>1</v>
      </c>
      <c r="T596" s="165" t="n">
        <v>0</v>
      </c>
      <c r="U596" s="166" t="n">
        <v>0</v>
      </c>
      <c r="V596" s="166" t="n">
        <v>0</v>
      </c>
      <c r="W596" t="inlineStr">
        <is>
          <t>X</t>
        </is>
      </c>
      <c r="X596" t="inlineStr">
        <is>
          <t>0.00</t>
        </is>
      </c>
      <c r="Y596" t="inlineStr"/>
      <c r="Z596" t="inlineStr">
        <is>
          <t>AMIDATA, S.A.</t>
        </is>
      </c>
      <c r="AA596" t="inlineStr"/>
      <c r="AB596" t="inlineStr">
        <is>
          <t>2209885</t>
        </is>
      </c>
      <c r="AC596" t="inlineStr"/>
      <c r="AD596" s="164" t="n">
        <v>0</v>
      </c>
      <c r="AE596" s="185" t="n">
        <v>0</v>
      </c>
      <c r="AG596" s="167" t="inlineStr">
        <is>
          <t>7218|JA2582_1001</t>
        </is>
      </c>
      <c r="AH596" s="46">
        <f>IF(M596=0,"-",M596-J596)</f>
        <v/>
      </c>
      <c r="AI596" s="46">
        <f>IF(AND(S596=0,M596&gt;0,L596=0),IF(AH596&gt;=120,"VERY HIGH",IF(AH596&gt;=90,"HIGH",IF(AH596&gt;=60,"MEDIUM",IF(AH596&lt;60,"LOW")))),"-")</f>
        <v/>
      </c>
      <c r="AJ596" s="12" t="n"/>
      <c r="AK596" s="41">
        <f>IF(AND(W596="X",M596&lt;=$AJ$2),"YES","")</f>
        <v/>
      </c>
      <c r="AL596" s="38">
        <f>IF(AND(W596="X",M596&lt;=$AJ$2),S596,"")</f>
        <v/>
      </c>
      <c r="AM596" s="26">
        <f>IF(AND(W596="X",M596&gt;$AJ$2),"YES","")</f>
        <v/>
      </c>
      <c r="AN596" s="89">
        <f>IF(AND(W596="X",M596&gt;$AJ$2),S596,"")</f>
        <v/>
      </c>
      <c r="AO596" s="35">
        <f>IF(AND(W596="",M596&gt;0,$AJ$2&gt;M596,L596=""),1,0)</f>
        <v/>
      </c>
      <c r="AP596" s="26">
        <f>IF(AND(AK596="YES",W596="X"),"X","")</f>
        <v/>
      </c>
      <c r="AQ596" s="28">
        <f>IF(AP596="X",100%,0%)</f>
        <v/>
      </c>
      <c r="AR596" s="25">
        <f>IF(AND(T596&gt;0,L596=""),H596,"")</f>
        <v/>
      </c>
      <c r="AS596" s="25">
        <f>IF(AND(D596&gt;0,H596=0,G596=""),1,"")</f>
        <v/>
      </c>
      <c r="AT596" s="25">
        <f>IF(G596="BLOQ",1,"")</f>
        <v/>
      </c>
      <c r="AU596" s="25">
        <f>IF(L596="BLOQ",1,"")</f>
        <v/>
      </c>
      <c r="AV596" s="25">
        <f>MONTH(F596)</f>
        <v/>
      </c>
      <c r="AW596" s="65">
        <f>IF(AP596="",100%,0%)</f>
        <v/>
      </c>
      <c r="AX596" s="23" t="n"/>
      <c r="AY596" s="24">
        <f>IF(M596=0,"",M596-$AX$2)</f>
        <v/>
      </c>
      <c r="AZ596" s="66">
        <f>IF(AND(W596="",AY596&gt;0,AY596&lt;15),1,0)</f>
        <v/>
      </c>
      <c r="BA596" s="24">
        <f>IF(AND(W596="",AY596&gt;0,AY596&lt;15),T596,"")</f>
        <v/>
      </c>
      <c r="BB596" s="87">
        <f>IF(R596&lt;Q596,"X","")</f>
        <v/>
      </c>
      <c r="BC596" s="190" t="inlineStr">
        <is>
          <t>NO</t>
        </is>
      </c>
      <c r="BD596" s="190" t="inlineStr">
        <is>
          <t>NO</t>
        </is>
      </c>
    </row>
    <row r="597" ht="15" customHeight="1" s="162">
      <c r="A597" s="7" t="n">
        <v>596</v>
      </c>
      <c r="B597" t="inlineStr">
        <is>
          <t>55121704</t>
        </is>
      </c>
      <c r="C597" t="inlineStr">
        <is>
          <t>Se&amp;#241;al de protecci&amp;#243;n contra inc</t>
        </is>
      </c>
      <c r="D597" t="inlineStr">
        <is>
          <t>1101907243</t>
        </is>
      </c>
      <c r="E597" t="inlineStr">
        <is>
          <t>3</t>
        </is>
      </c>
      <c r="F597" s="163" t="n">
        <v>45911</v>
      </c>
      <c r="G597" t="inlineStr"/>
      <c r="H597" t="inlineStr">
        <is>
          <t>4800003266</t>
        </is>
      </c>
      <c r="I597" t="inlineStr">
        <is>
          <t>810</t>
        </is>
      </c>
      <c r="J597" s="163" t="n">
        <v>45910</v>
      </c>
      <c r="K597" s="163" t="inlineStr"/>
      <c r="L597" t="inlineStr"/>
      <c r="M597" s="163" t="n">
        <v>45912</v>
      </c>
      <c r="N597" s="164" t="n">
        <v>0</v>
      </c>
      <c r="O597" s="164" t="n">
        <v>0</v>
      </c>
      <c r="P597" t="inlineStr"/>
      <c r="Q597" s="165" t="n">
        <v>1</v>
      </c>
      <c r="R597" s="165" t="n">
        <v>1</v>
      </c>
      <c r="S597" s="165" t="n">
        <v>1</v>
      </c>
      <c r="T597" s="165" t="n">
        <v>0</v>
      </c>
      <c r="U597" s="166" t="n">
        <v>0</v>
      </c>
      <c r="V597" s="166" t="n">
        <v>0</v>
      </c>
      <c r="W597" t="inlineStr">
        <is>
          <t>X</t>
        </is>
      </c>
      <c r="X597" t="inlineStr">
        <is>
          <t>0.00</t>
        </is>
      </c>
      <c r="Y597" t="inlineStr"/>
      <c r="Z597" t="inlineStr">
        <is>
          <t>AMIDATA, S.A.</t>
        </is>
      </c>
      <c r="AA597" t="inlineStr"/>
      <c r="AB597" t="inlineStr">
        <is>
          <t>2209929</t>
        </is>
      </c>
      <c r="AC597" t="inlineStr"/>
      <c r="AD597" s="164" t="n">
        <v>0</v>
      </c>
      <c r="AE597" s="185" t="n">
        <v>0</v>
      </c>
      <c r="AG597" s="167" t="inlineStr">
        <is>
          <t>7218|JA2582_1001</t>
        </is>
      </c>
      <c r="AH597" s="46">
        <f>IF(M597=0,"-",M597-J597)</f>
        <v/>
      </c>
      <c r="AI597" s="46">
        <f>IF(AND(S597=0,M597&gt;0,L597=0),IF(AH597&gt;=120,"VERY HIGH",IF(AH597&gt;=90,"HIGH",IF(AH597&gt;=60,"MEDIUM",IF(AH597&lt;60,"LOW")))),"-")</f>
        <v/>
      </c>
      <c r="AJ597" s="12" t="n"/>
      <c r="AK597" s="41">
        <f>IF(AND(W597="X",M597&lt;=$AJ$2),"YES","")</f>
        <v/>
      </c>
      <c r="AL597" s="38">
        <f>IF(AND(W597="X",M597&lt;=$AJ$2),S597,"")</f>
        <v/>
      </c>
      <c r="AM597" s="26">
        <f>IF(AND(W597="X",M597&gt;$AJ$2),"YES","")</f>
        <v/>
      </c>
      <c r="AN597" s="89">
        <f>IF(AND(W597="X",M597&gt;$AJ$2),S597,"")</f>
        <v/>
      </c>
      <c r="AO597" s="35">
        <f>IF(AND(W597="",M597&gt;0,$AJ$2&gt;M597,L597=""),1,0)</f>
        <v/>
      </c>
      <c r="AP597" s="26">
        <f>IF(AND(AK597="YES",W597="X"),"X","")</f>
        <v/>
      </c>
      <c r="AQ597" s="28">
        <f>IF(AP597="X",100%,0%)</f>
        <v/>
      </c>
      <c r="AR597" s="25">
        <f>IF(AND(T597&gt;0,L597=""),H597,"")</f>
        <v/>
      </c>
      <c r="AS597" s="25">
        <f>IF(AND(D597&gt;0,H597=0,G597=""),1,"")</f>
        <v/>
      </c>
      <c r="AT597" s="25">
        <f>IF(G597="BLOQ",1,"")</f>
        <v/>
      </c>
      <c r="AU597" s="25">
        <f>IF(L597="BLOQ",1,"")</f>
        <v/>
      </c>
      <c r="AV597" s="25">
        <f>MONTH(F597)</f>
        <v/>
      </c>
      <c r="AW597" s="65">
        <f>IF(AP597="",100%,0%)</f>
        <v/>
      </c>
      <c r="AX597" s="23" t="n"/>
      <c r="AY597" s="24">
        <f>IF(M597=0,"",M597-$AX$2)</f>
        <v/>
      </c>
      <c r="AZ597" s="66">
        <f>IF(AND(W597="",AY597&gt;0,AY597&lt;15),1,0)</f>
        <v/>
      </c>
      <c r="BA597" s="24">
        <f>IF(AND(W597="",AY597&gt;0,AY597&lt;15),T597,"")</f>
        <v/>
      </c>
      <c r="BB597" s="87">
        <f>IF(R597&lt;Q597,"X","")</f>
        <v/>
      </c>
      <c r="BC597" s="190" t="inlineStr">
        <is>
          <t>NO</t>
        </is>
      </c>
      <c r="BD597" s="190" t="inlineStr">
        <is>
          <t>NO</t>
        </is>
      </c>
    </row>
    <row r="598" ht="15" customHeight="1" s="162">
      <c r="A598" s="7" t="n">
        <v>597</v>
      </c>
      <c r="B598" t="inlineStr">
        <is>
          <t>55121704</t>
        </is>
      </c>
      <c r="C598" t="inlineStr">
        <is>
          <t>Se&amp;#241;al de protecci&amp;#243;n contra inc</t>
        </is>
      </c>
      <c r="D598" t="inlineStr">
        <is>
          <t>1101907243</t>
        </is>
      </c>
      <c r="E598" t="inlineStr">
        <is>
          <t>4</t>
        </is>
      </c>
      <c r="F598" s="163" t="n">
        <v>45911</v>
      </c>
      <c r="G598" t="inlineStr"/>
      <c r="H598" t="inlineStr">
        <is>
          <t>4800003266</t>
        </is>
      </c>
      <c r="I598" t="inlineStr">
        <is>
          <t>820</t>
        </is>
      </c>
      <c r="J598" s="163" t="n">
        <v>45910</v>
      </c>
      <c r="K598" s="163" t="inlineStr"/>
      <c r="L598" t="inlineStr"/>
      <c r="M598" s="163" t="n">
        <v>45912</v>
      </c>
      <c r="N598" s="164" t="n">
        <v>0</v>
      </c>
      <c r="O598" s="164" t="n">
        <v>0</v>
      </c>
      <c r="P598" t="inlineStr"/>
      <c r="Q598" s="165" t="n">
        <v>1</v>
      </c>
      <c r="R598" s="165" t="n">
        <v>1</v>
      </c>
      <c r="S598" s="165" t="n">
        <v>1</v>
      </c>
      <c r="T598" s="165" t="n">
        <v>0</v>
      </c>
      <c r="U598" s="166" t="n">
        <v>0</v>
      </c>
      <c r="V598" s="166" t="n">
        <v>0</v>
      </c>
      <c r="W598" t="inlineStr">
        <is>
          <t>X</t>
        </is>
      </c>
      <c r="X598" t="inlineStr">
        <is>
          <t>0.00</t>
        </is>
      </c>
      <c r="Y598" t="inlineStr"/>
      <c r="Z598" t="inlineStr">
        <is>
          <t>AMIDATA, S.A.</t>
        </is>
      </c>
      <c r="AA598" t="inlineStr"/>
      <c r="AB598" t="inlineStr">
        <is>
          <t>2209930</t>
        </is>
      </c>
      <c r="AC598" t="inlineStr"/>
      <c r="AD598" s="164" t="n">
        <v>0</v>
      </c>
      <c r="AE598" s="185" t="n">
        <v>0</v>
      </c>
      <c r="AG598" s="167" t="inlineStr">
        <is>
          <t>7218|JA2582_1001</t>
        </is>
      </c>
      <c r="AH598" s="46">
        <f>IF(M598=0,"-",M598-J598)</f>
        <v/>
      </c>
      <c r="AI598" s="46">
        <f>IF(AND(S598=0,M598&gt;0,L598=0),IF(AH598&gt;=120,"VERY HIGH",IF(AH598&gt;=90,"HIGH",IF(AH598&gt;=60,"MEDIUM",IF(AH598&lt;60,"LOW")))),"-")</f>
        <v/>
      </c>
      <c r="AJ598" s="12" t="n"/>
      <c r="AK598" s="41">
        <f>IF(AND(W598="X",M598&lt;=$AJ$2),"YES","")</f>
        <v/>
      </c>
      <c r="AL598" s="38">
        <f>IF(AND(W598="X",M598&lt;=$AJ$2),S598,"")</f>
        <v/>
      </c>
      <c r="AM598" s="26">
        <f>IF(AND(W598="X",M598&gt;$AJ$2),"YES","")</f>
        <v/>
      </c>
      <c r="AN598" s="89">
        <f>IF(AND(W598="X",M598&gt;$AJ$2),S598,"")</f>
        <v/>
      </c>
      <c r="AO598" s="35">
        <f>IF(AND(W598="",M598&gt;0,$AJ$2&gt;M598,L598=""),1,0)</f>
        <v/>
      </c>
      <c r="AP598" s="26">
        <f>IF(AND(AK598="YES",W598="X"),"X","")</f>
        <v/>
      </c>
      <c r="AQ598" s="28">
        <f>IF(AP598="X",100%,0%)</f>
        <v/>
      </c>
      <c r="AR598" s="25">
        <f>IF(AND(T598&gt;0,L598=""),H598,"")</f>
        <v/>
      </c>
      <c r="AS598" s="25">
        <f>IF(AND(D598&gt;0,H598=0,G598=""),1,"")</f>
        <v/>
      </c>
      <c r="AT598" s="25">
        <f>IF(G598="BLOQ",1,"")</f>
        <v/>
      </c>
      <c r="AU598" s="25">
        <f>IF(L598="BLOQ",1,"")</f>
        <v/>
      </c>
      <c r="AV598" s="25">
        <f>MONTH(F598)</f>
        <v/>
      </c>
      <c r="AW598" s="65">
        <f>IF(AP598="",100%,0%)</f>
        <v/>
      </c>
      <c r="AX598" s="23" t="n"/>
      <c r="AY598" s="24">
        <f>IF(M598=0,"",M598-$AX$2)</f>
        <v/>
      </c>
      <c r="AZ598" s="66">
        <f>IF(AND(W598="",AY598&gt;0,AY598&lt;15),1,0)</f>
        <v/>
      </c>
      <c r="BA598" s="24">
        <f>IF(AND(W598="",AY598&gt;0,AY598&lt;15),T598,"")</f>
        <v/>
      </c>
      <c r="BB598" s="87">
        <f>IF(R598&lt;Q598,"X","")</f>
        <v/>
      </c>
      <c r="BC598" s="190" t="inlineStr">
        <is>
          <t>NO</t>
        </is>
      </c>
      <c r="BD598" s="190" t="inlineStr">
        <is>
          <t>NO</t>
        </is>
      </c>
    </row>
    <row r="599" ht="15" customHeight="1" s="162">
      <c r="A599" s="7" t="n">
        <v>598</v>
      </c>
      <c r="B599" t="inlineStr">
        <is>
          <t>44121615</t>
        </is>
      </c>
      <c r="C599" t="inlineStr">
        <is>
          <t>GRAPADORA PETRUS 210 25H NGO</t>
        </is>
      </c>
      <c r="D599" t="inlineStr">
        <is>
          <t>1101907259</t>
        </is>
      </c>
      <c r="E599" t="inlineStr">
        <is>
          <t>1</t>
        </is>
      </c>
      <c r="F599" s="163" t="n">
        <v>45911</v>
      </c>
      <c r="G599" t="inlineStr"/>
      <c r="H599" t="inlineStr">
        <is>
          <t>4800003240</t>
        </is>
      </c>
      <c r="I599" t="inlineStr">
        <is>
          <t>2540</t>
        </is>
      </c>
      <c r="J599" s="163" t="n">
        <v>45901</v>
      </c>
      <c r="K599" s="163" t="inlineStr"/>
      <c r="L599" t="inlineStr"/>
      <c r="M599" s="163" t="n">
        <v>45912</v>
      </c>
      <c r="N599" s="164" t="n">
        <v>0</v>
      </c>
      <c r="O599" s="164" t="n">
        <v>0</v>
      </c>
      <c r="P599" t="inlineStr"/>
      <c r="Q599" s="165" t="n">
        <v>5</v>
      </c>
      <c r="R599" s="165" t="n">
        <v>5</v>
      </c>
      <c r="S599" s="165" t="n">
        <v>5</v>
      </c>
      <c r="T599" s="165" t="n">
        <v>0</v>
      </c>
      <c r="U599" s="166" t="n">
        <v>0</v>
      </c>
      <c r="V599" s="166" t="n">
        <v>0</v>
      </c>
      <c r="W599" t="inlineStr">
        <is>
          <t>X</t>
        </is>
      </c>
      <c r="X599" t="inlineStr">
        <is>
          <t>0.00</t>
        </is>
      </c>
      <c r="Y599" t="inlineStr"/>
      <c r="Z599" t="inlineStr">
        <is>
          <t>FUNDACION JUAN XXIII-RONCALLI DISC.</t>
        </is>
      </c>
      <c r="AA599" t="inlineStr"/>
      <c r="AB599" t="inlineStr">
        <is>
          <t>6018307</t>
        </is>
      </c>
      <c r="AC599" t="inlineStr"/>
      <c r="AD599" s="164" t="n">
        <v>0</v>
      </c>
      <c r="AE599" s="185" t="n">
        <v>0</v>
      </c>
      <c r="AG599" s="167" t="inlineStr">
        <is>
          <t>7218|JA2594_1001</t>
        </is>
      </c>
      <c r="AH599" s="46">
        <f>IF(M599=0,"-",M599-J599)</f>
        <v/>
      </c>
      <c r="AI599" s="46">
        <f>IF(AND(S599=0,M599&gt;0,L599=0),IF(AH599&gt;=120,"VERY HIGH",IF(AH599&gt;=90,"HIGH",IF(AH599&gt;=60,"MEDIUM",IF(AH599&lt;60,"LOW")))),"-")</f>
        <v/>
      </c>
      <c r="AJ599" s="12" t="n"/>
      <c r="AK599" s="41">
        <f>IF(AND(W599="X",M599&lt;=$AJ$2),"YES","")</f>
        <v/>
      </c>
      <c r="AL599" s="38">
        <f>IF(AND(W599="X",M599&lt;=$AJ$2),S599,"")</f>
        <v/>
      </c>
      <c r="AM599" s="26">
        <f>IF(AND(W599="X",M599&gt;$AJ$2),"YES","")</f>
        <v/>
      </c>
      <c r="AN599" s="89">
        <f>IF(AND(W599="X",M599&gt;$AJ$2),S599,"")</f>
        <v/>
      </c>
      <c r="AO599" s="35">
        <f>IF(AND(W599="",M599&gt;0,$AJ$2&gt;M599,L599=""),1,0)</f>
        <v/>
      </c>
      <c r="AP599" s="26">
        <f>IF(AND(AK599="YES",W599="X"),"X","")</f>
        <v/>
      </c>
      <c r="AQ599" s="28">
        <f>IF(AP599="X",100%,0%)</f>
        <v/>
      </c>
      <c r="AR599" s="25">
        <f>IF(AND(T599&gt;0,L599=""),H599,"")</f>
        <v/>
      </c>
      <c r="AS599" s="25">
        <f>IF(AND(D599&gt;0,H599=0,G599=""),1,"")</f>
        <v/>
      </c>
      <c r="AT599" s="25">
        <f>IF(G599="BLOQ",1,"")</f>
        <v/>
      </c>
      <c r="AU599" s="25">
        <f>IF(L599="BLOQ",1,"")</f>
        <v/>
      </c>
      <c r="AV599" s="25">
        <f>MONTH(F599)</f>
        <v/>
      </c>
      <c r="AW599" s="65">
        <f>IF(AP599="",100%,0%)</f>
        <v/>
      </c>
      <c r="AX599" s="23" t="n"/>
      <c r="AY599" s="24">
        <f>IF(M599=0,"",M599-$AX$2)</f>
        <v/>
      </c>
      <c r="AZ599" s="66">
        <f>IF(AND(W599="",AY599&gt;0,AY599&lt;15),1,0)</f>
        <v/>
      </c>
      <c r="BA599" s="24">
        <f>IF(AND(W599="",AY599&gt;0,AY599&lt;15),T599,"")</f>
        <v/>
      </c>
      <c r="BB599" s="87">
        <f>IF(R599&lt;Q599,"X","")</f>
        <v/>
      </c>
      <c r="BC599" s="190" t="inlineStr">
        <is>
          <t>NO</t>
        </is>
      </c>
      <c r="BD599" s="190" t="inlineStr">
        <is>
          <t>NO</t>
        </is>
      </c>
    </row>
    <row r="600" ht="15" customHeight="1" s="162">
      <c r="A600" s="7" t="n">
        <v>599</v>
      </c>
      <c r="B600" t="inlineStr">
        <is>
          <t>31161518</t>
        </is>
      </c>
      <c r="C600" t="inlineStr">
        <is>
          <t>Tornillo Allen de cabeza cil&amp;#237;ndrica</t>
        </is>
      </c>
      <c r="D600" t="inlineStr">
        <is>
          <t>1101908872</t>
        </is>
      </c>
      <c r="E600" t="inlineStr">
        <is>
          <t>1</t>
        </is>
      </c>
      <c r="F600" s="163" t="n">
        <v>45916</v>
      </c>
      <c r="G600" t="inlineStr"/>
      <c r="H600" t="inlineStr">
        <is>
          <t>4800003275</t>
        </is>
      </c>
      <c r="I600" t="inlineStr">
        <is>
          <t>560</t>
        </is>
      </c>
      <c r="J600" s="163" t="n">
        <v>45915</v>
      </c>
      <c r="K600" s="163" t="inlineStr"/>
      <c r="L600" t="inlineStr"/>
      <c r="M600" s="163" t="n">
        <v>45917</v>
      </c>
      <c r="N600" s="164" t="n">
        <v>0</v>
      </c>
      <c r="O600" s="164" t="n">
        <v>0</v>
      </c>
      <c r="P600" t="inlineStr"/>
      <c r="Q600" s="165" t="n">
        <v>1</v>
      </c>
      <c r="R600" s="165" t="n">
        <v>1</v>
      </c>
      <c r="S600" s="165" t="n">
        <v>1</v>
      </c>
      <c r="T600" s="165" t="n">
        <v>0</v>
      </c>
      <c r="U600" s="166" t="n">
        <v>0</v>
      </c>
      <c r="V600" s="166" t="n">
        <v>0</v>
      </c>
      <c r="W600" t="inlineStr">
        <is>
          <t>X</t>
        </is>
      </c>
      <c r="X600" t="inlineStr">
        <is>
          <t>0.00</t>
        </is>
      </c>
      <c r="Y600" t="inlineStr"/>
      <c r="Z600" t="inlineStr">
        <is>
          <t>AMIDATA, S.A.</t>
        </is>
      </c>
      <c r="AA600" t="inlineStr"/>
      <c r="AB600" t="inlineStr">
        <is>
          <t>1247350</t>
        </is>
      </c>
      <c r="AC600" t="inlineStr"/>
      <c r="AD600" s="164" t="n">
        <v>0</v>
      </c>
      <c r="AE600" s="185" t="n">
        <v>0</v>
      </c>
      <c r="AG600" s="167" t="inlineStr">
        <is>
          <t>7218|S24B05_S1071</t>
        </is>
      </c>
      <c r="AH600" s="46">
        <f>IF(M600=0,"-",M600-J600)</f>
        <v/>
      </c>
      <c r="AI600" s="46">
        <f>IF(AND(S600=0,M600&gt;0,L600=0),IF(AH600&gt;=120,"VERY HIGH",IF(AH600&gt;=90,"HIGH",IF(AH600&gt;=60,"MEDIUM",IF(AH600&lt;60,"LOW")))),"-")</f>
        <v/>
      </c>
      <c r="AJ600" s="12" t="n"/>
      <c r="AK600" s="41">
        <f>IF(AND(W600="X",M600&lt;=$AJ$2),"YES","")</f>
        <v/>
      </c>
      <c r="AL600" s="38">
        <f>IF(AND(W600="X",M600&lt;=$AJ$2),S600,"")</f>
        <v/>
      </c>
      <c r="AM600" s="26">
        <f>IF(AND(W600="X",M600&gt;$AJ$2),"YES","")</f>
        <v/>
      </c>
      <c r="AN600" s="89">
        <f>IF(AND(W600="X",M600&gt;$AJ$2),S600,"")</f>
        <v/>
      </c>
      <c r="AO600" s="35">
        <f>IF(AND(W600="",M600&gt;0,$AJ$2&gt;M600,L600=""),1,0)</f>
        <v/>
      </c>
      <c r="AP600" s="26">
        <f>IF(AND(AK600="YES",W600="X"),"X","")</f>
        <v/>
      </c>
      <c r="AQ600" s="28">
        <f>IF(AP600="X",100%,0%)</f>
        <v/>
      </c>
      <c r="AR600" s="25">
        <f>IF(AND(T600&gt;0,L600=""),H600,"")</f>
        <v/>
      </c>
      <c r="AS600" s="25">
        <f>IF(AND(D600&gt;0,H600=0,G600=""),1,"")</f>
        <v/>
      </c>
      <c r="AT600" s="25">
        <f>IF(G600="BLOQ",1,"")</f>
        <v/>
      </c>
      <c r="AU600" s="25">
        <f>IF(L600="BLOQ",1,"")</f>
        <v/>
      </c>
      <c r="AV600" s="25">
        <f>MONTH(F600)</f>
        <v/>
      </c>
      <c r="AW600" s="65">
        <f>IF(AP600="",100%,0%)</f>
        <v/>
      </c>
      <c r="AX600" s="23" t="n"/>
      <c r="AY600" s="24">
        <f>IF(M600=0,"",M600-$AX$2)</f>
        <v/>
      </c>
      <c r="AZ600" s="66">
        <f>IF(AND(W600="",AY600&gt;0,AY600&lt;15),1,0)</f>
        <v/>
      </c>
      <c r="BA600" s="24">
        <f>IF(AND(W600="",AY600&gt;0,AY600&lt;15),T600,"")</f>
        <v/>
      </c>
      <c r="BB600" s="87">
        <f>IF(R600&lt;Q600,"X","")</f>
        <v/>
      </c>
      <c r="BC600" s="190" t="inlineStr">
        <is>
          <t>NO</t>
        </is>
      </c>
      <c r="BD600" s="190" t="inlineStr">
        <is>
          <t>NO</t>
        </is>
      </c>
    </row>
    <row r="601" ht="15" customHeight="1" s="162">
      <c r="A601" s="7" t="n">
        <v>600</v>
      </c>
      <c r="B601" t="inlineStr">
        <is>
          <t>39121415</t>
        </is>
      </c>
      <c r="C601" t="inlineStr">
        <is>
          <t>Conector macho para PCB Molex serie SL d</t>
        </is>
      </c>
      <c r="D601" t="inlineStr">
        <is>
          <t>1101909391</t>
        </is>
      </c>
      <c r="E601" t="inlineStr">
        <is>
          <t>1</t>
        </is>
      </c>
      <c r="F601" s="163" t="n">
        <v>45917</v>
      </c>
      <c r="G601" t="inlineStr"/>
      <c r="H601" t="inlineStr">
        <is>
          <t>4800003278</t>
        </is>
      </c>
      <c r="I601" t="inlineStr">
        <is>
          <t>360</t>
        </is>
      </c>
      <c r="J601" s="163" t="n">
        <v>45917</v>
      </c>
      <c r="K601" s="163" t="inlineStr"/>
      <c r="L601" t="inlineStr"/>
      <c r="M601" s="163" t="n">
        <v>45918</v>
      </c>
      <c r="N601" s="164" t="n">
        <v>0</v>
      </c>
      <c r="O601" s="164" t="n">
        <v>0</v>
      </c>
      <c r="P601" t="inlineStr"/>
      <c r="Q601" s="165" t="n">
        <v>5</v>
      </c>
      <c r="R601" s="165" t="n">
        <v>5</v>
      </c>
      <c r="S601" s="165" t="n">
        <v>5</v>
      </c>
      <c r="T601" s="165" t="n">
        <v>0</v>
      </c>
      <c r="U601" s="166" t="n">
        <v>0</v>
      </c>
      <c r="V601" s="166" t="n">
        <v>0</v>
      </c>
      <c r="W601" t="inlineStr">
        <is>
          <t>X</t>
        </is>
      </c>
      <c r="X601" t="inlineStr">
        <is>
          <t>0.00</t>
        </is>
      </c>
      <c r="Y601" t="inlineStr"/>
      <c r="Z601" t="inlineStr">
        <is>
          <t>AMIDATA, S.A.</t>
        </is>
      </c>
      <c r="AA601" t="inlineStr"/>
      <c r="AB601" t="inlineStr">
        <is>
          <t>6700835</t>
        </is>
      </c>
      <c r="AC601" t="inlineStr"/>
      <c r="AD601" s="164" t="n">
        <v>0</v>
      </c>
      <c r="AE601" s="185" t="n">
        <v>0</v>
      </c>
      <c r="AG601" s="167" t="inlineStr">
        <is>
          <t>7218|JA2581_1001</t>
        </is>
      </c>
      <c r="AH601" s="46">
        <f>IF(M601=0,"-",M601-J601)</f>
        <v/>
      </c>
      <c r="AI601" s="46">
        <f>IF(AND(S601=0,M601&gt;0,L601=0),IF(AH601&gt;=120,"VERY HIGH",IF(AH601&gt;=90,"HIGH",IF(AH601&gt;=60,"MEDIUM",IF(AH601&lt;60,"LOW")))),"-")</f>
        <v/>
      </c>
      <c r="AJ601" s="12" t="n"/>
      <c r="AK601" s="41">
        <f>IF(AND(W601="X",M601&lt;=$AJ$2),"YES","")</f>
        <v/>
      </c>
      <c r="AL601" s="38">
        <f>IF(AND(W601="X",M601&lt;=$AJ$2),S601,"")</f>
        <v/>
      </c>
      <c r="AM601" s="26">
        <f>IF(AND(W601="X",M601&gt;$AJ$2),"YES","")</f>
        <v/>
      </c>
      <c r="AN601" s="89">
        <f>IF(AND(W601="X",M601&gt;$AJ$2),S601,"")</f>
        <v/>
      </c>
      <c r="AO601" s="35">
        <f>IF(AND(W601="",M601&gt;0,$AJ$2&gt;M601,L601=""),1,0)</f>
        <v/>
      </c>
      <c r="AP601" s="26">
        <f>IF(AND(AK601="YES",W601="X"),"X","")</f>
        <v/>
      </c>
      <c r="AQ601" s="28">
        <f>IF(AP601="X",100%,0%)</f>
        <v/>
      </c>
      <c r="AR601" s="25">
        <f>IF(AND(T601&gt;0,L601=""),H601,"")</f>
        <v/>
      </c>
      <c r="AS601" s="25">
        <f>IF(AND(D601&gt;0,H601=0,G601=""),1,"")</f>
        <v/>
      </c>
      <c r="AT601" s="25">
        <f>IF(G601="BLOQ",1,"")</f>
        <v/>
      </c>
      <c r="AU601" s="25">
        <f>IF(L601="BLOQ",1,"")</f>
        <v/>
      </c>
      <c r="AV601" s="25">
        <f>MONTH(F601)</f>
        <v/>
      </c>
      <c r="AW601" s="65">
        <f>IF(AP601="",100%,0%)</f>
        <v/>
      </c>
      <c r="AX601" s="23" t="n"/>
      <c r="AY601" s="24">
        <f>IF(M601=0,"",M601-$AX$2)</f>
        <v/>
      </c>
      <c r="AZ601" s="66">
        <f>IF(AND(W601="",AY601&gt;0,AY601&lt;15),1,0)</f>
        <v/>
      </c>
      <c r="BA601" s="24">
        <f>IF(AND(W601="",AY601&gt;0,AY601&lt;15),T601,"")</f>
        <v/>
      </c>
      <c r="BB601" s="87">
        <f>IF(R601&lt;Q601,"X","")</f>
        <v/>
      </c>
      <c r="BC601" s="190" t="inlineStr">
        <is>
          <t>NO</t>
        </is>
      </c>
      <c r="BD601" s="190" t="inlineStr">
        <is>
          <t>NO</t>
        </is>
      </c>
    </row>
    <row r="602" ht="15" customHeight="1" s="162">
      <c r="A602" s="7" t="n">
        <v>601</v>
      </c>
      <c r="B602" t="inlineStr">
        <is>
          <t>32121612</t>
        </is>
      </c>
      <c r="C602" t="inlineStr">
        <is>
          <t>Resistencia Vishay, de 3.9k? &amp;#177;1%, 0</t>
        </is>
      </c>
      <c r="D602" t="inlineStr">
        <is>
          <t>1101909391</t>
        </is>
      </c>
      <c r="E602" t="inlineStr">
        <is>
          <t>2</t>
        </is>
      </c>
      <c r="F602" s="163" t="n">
        <v>45917</v>
      </c>
      <c r="G602" t="inlineStr"/>
      <c r="H602" t="inlineStr">
        <is>
          <t>4800003278</t>
        </is>
      </c>
      <c r="I602" t="inlineStr">
        <is>
          <t>370</t>
        </is>
      </c>
      <c r="J602" s="163" t="n">
        <v>45917</v>
      </c>
      <c r="K602" s="163" t="inlineStr"/>
      <c r="L602" t="inlineStr"/>
      <c r="M602" s="163" t="n">
        <v>45918</v>
      </c>
      <c r="N602" s="164" t="n">
        <v>0</v>
      </c>
      <c r="O602" s="164" t="n">
        <v>0</v>
      </c>
      <c r="P602" t="inlineStr"/>
      <c r="Q602" s="165" t="n">
        <v>25</v>
      </c>
      <c r="R602" s="165" t="n">
        <v>25</v>
      </c>
      <c r="S602" s="165" t="n">
        <v>25</v>
      </c>
      <c r="T602" s="165" t="n">
        <v>0</v>
      </c>
      <c r="U602" s="166" t="n">
        <v>0</v>
      </c>
      <c r="V602" s="166" t="n">
        <v>0</v>
      </c>
      <c r="W602" t="inlineStr">
        <is>
          <t>X</t>
        </is>
      </c>
      <c r="X602" t="inlineStr">
        <is>
          <t>0.00</t>
        </is>
      </c>
      <c r="Y602" t="inlineStr"/>
      <c r="Z602" t="inlineStr">
        <is>
          <t>AMIDATA, S.A.</t>
        </is>
      </c>
      <c r="AA602" t="inlineStr"/>
      <c r="AB602" t="inlineStr">
        <is>
          <t>6833641</t>
        </is>
      </c>
      <c r="AC602" t="inlineStr"/>
      <c r="AD602" s="164" t="n">
        <v>0</v>
      </c>
      <c r="AE602" s="185" t="n">
        <v>0</v>
      </c>
      <c r="AG602" s="167" t="inlineStr">
        <is>
          <t>7218|JA2581_1001</t>
        </is>
      </c>
      <c r="AH602" s="46">
        <f>IF(M602=0,"-",M602-J602)</f>
        <v/>
      </c>
      <c r="AI602" s="46">
        <f>IF(AND(S602=0,M602&gt;0,L602=0),IF(AH602&gt;=120,"VERY HIGH",IF(AH602&gt;=90,"HIGH",IF(AH602&gt;=60,"MEDIUM",IF(AH602&lt;60,"LOW")))),"-")</f>
        <v/>
      </c>
      <c r="AJ602" s="12" t="n"/>
      <c r="AK602" s="41">
        <f>IF(AND(W602="X",M602&lt;=$AJ$2),"YES","")</f>
        <v/>
      </c>
      <c r="AL602" s="38">
        <f>IF(AND(W602="X",M602&lt;=$AJ$2),S602,"")</f>
        <v/>
      </c>
      <c r="AM602" s="26">
        <f>IF(AND(W602="X",M602&gt;$AJ$2),"YES","")</f>
        <v/>
      </c>
      <c r="AN602" s="89">
        <f>IF(AND(W602="X",M602&gt;$AJ$2),S602,"")</f>
        <v/>
      </c>
      <c r="AO602" s="35">
        <f>IF(AND(W602="",M602&gt;0,$AJ$2&gt;M602,L602=""),1,0)</f>
        <v/>
      </c>
      <c r="AP602" s="26">
        <f>IF(AND(AK602="YES",W602="X"),"X","")</f>
        <v/>
      </c>
      <c r="AQ602" s="28">
        <f>IF(AP602="X",100%,0%)</f>
        <v/>
      </c>
      <c r="AR602" s="25">
        <f>IF(AND(T602&gt;0,L602=""),H602,"")</f>
        <v/>
      </c>
      <c r="AS602" s="25">
        <f>IF(AND(D602&gt;0,H602=0,G602=""),1,"")</f>
        <v/>
      </c>
      <c r="AT602" s="25">
        <f>IF(G602="BLOQ",1,"")</f>
        <v/>
      </c>
      <c r="AU602" s="25">
        <f>IF(L602="BLOQ",1,"")</f>
        <v/>
      </c>
      <c r="AV602" s="25">
        <f>MONTH(F602)</f>
        <v/>
      </c>
      <c r="AW602" s="65">
        <f>IF(AP602="",100%,0%)</f>
        <v/>
      </c>
      <c r="AX602" s="23" t="n"/>
      <c r="AY602" s="24">
        <f>IF(M602=0,"",M602-$AX$2)</f>
        <v/>
      </c>
      <c r="AZ602" s="66">
        <f>IF(AND(W602="",AY602&gt;0,AY602&lt;15),1,0)</f>
        <v/>
      </c>
      <c r="BA602" s="24">
        <f>IF(AND(W602="",AY602&gt;0,AY602&lt;15),T602,"")</f>
        <v/>
      </c>
      <c r="BB602" s="87">
        <f>IF(R602&lt;Q602,"X","")</f>
        <v/>
      </c>
      <c r="BC602" s="190" t="inlineStr">
        <is>
          <t>NO</t>
        </is>
      </c>
      <c r="BD602" s="190" t="inlineStr">
        <is>
          <t>NO</t>
        </is>
      </c>
    </row>
    <row r="603" ht="15" customHeight="1" s="162">
      <c r="A603" s="7" t="n">
        <v>602</v>
      </c>
      <c r="B603" t="inlineStr">
        <is>
          <t>44122109</t>
        </is>
      </c>
      <c r="C603" t="inlineStr">
        <is>
          <t>Cinta de gancho y bucle RS PRO de color</t>
        </is>
      </c>
      <c r="D603" t="inlineStr">
        <is>
          <t>1101910399</t>
        </is>
      </c>
      <c r="E603" t="inlineStr">
        <is>
          <t>1</t>
        </is>
      </c>
      <c r="F603" s="163" t="n">
        <v>45919</v>
      </c>
      <c r="G603" t="inlineStr"/>
      <c r="H603" t="inlineStr">
        <is>
          <t>4800003284</t>
        </is>
      </c>
      <c r="I603" t="inlineStr">
        <is>
          <t>100</t>
        </is>
      </c>
      <c r="J603" s="163" t="n">
        <v>45919</v>
      </c>
      <c r="K603" s="163" t="inlineStr"/>
      <c r="L603" t="inlineStr"/>
      <c r="M603" s="163" t="n">
        <v>45920</v>
      </c>
      <c r="N603" s="164" t="n">
        <v>0</v>
      </c>
      <c r="O603" s="164" t="n">
        <v>0</v>
      </c>
      <c r="P603" t="inlineStr"/>
      <c r="Q603" s="165" t="n">
        <v>1</v>
      </c>
      <c r="R603" s="165" t="n">
        <v>1</v>
      </c>
      <c r="S603" s="165" t="n">
        <v>1</v>
      </c>
      <c r="T603" s="165" t="n">
        <v>0</v>
      </c>
      <c r="U603" s="166" t="n">
        <v>0</v>
      </c>
      <c r="V603" s="166" t="n">
        <v>0</v>
      </c>
      <c r="W603" t="inlineStr">
        <is>
          <t>X</t>
        </is>
      </c>
      <c r="X603" t="inlineStr">
        <is>
          <t>0.00</t>
        </is>
      </c>
      <c r="Y603" t="inlineStr"/>
      <c r="Z603" t="inlineStr">
        <is>
          <t>AMIDATA, S.A.</t>
        </is>
      </c>
      <c r="AA603" t="inlineStr"/>
      <c r="AB603" t="inlineStr">
        <is>
          <t>8904149</t>
        </is>
      </c>
      <c r="AC603" t="inlineStr"/>
      <c r="AD603" s="164" t="n">
        <v>0</v>
      </c>
      <c r="AE603" s="185" t="n">
        <v>0</v>
      </c>
      <c r="AG603" s="167" t="inlineStr">
        <is>
          <t>7218|JA2581_1001</t>
        </is>
      </c>
      <c r="AH603" s="46">
        <f>IF(M603=0,"-",M603-J603)</f>
        <v/>
      </c>
      <c r="AI603" s="46">
        <f>IF(AND(S603=0,M603&gt;0,L603=0),IF(AH603&gt;=120,"VERY HIGH",IF(AH603&gt;=90,"HIGH",IF(AH603&gt;=60,"MEDIUM",IF(AH603&lt;60,"LOW")))),"-")</f>
        <v/>
      </c>
      <c r="AJ603" s="12" t="n"/>
      <c r="AK603" s="41">
        <f>IF(AND(W603="X",M603&lt;=$AJ$2),"YES","")</f>
        <v/>
      </c>
      <c r="AL603" s="38">
        <f>IF(AND(W603="X",M603&lt;=$AJ$2),S603,"")</f>
        <v/>
      </c>
      <c r="AM603" s="26">
        <f>IF(AND(W603="X",M603&gt;$AJ$2),"YES","")</f>
        <v/>
      </c>
      <c r="AN603" s="89">
        <f>IF(AND(W603="X",M603&gt;$AJ$2),S603,"")</f>
        <v/>
      </c>
      <c r="AO603" s="35">
        <f>IF(AND(W603="",M603&gt;0,$AJ$2&gt;M603,L603=""),1,0)</f>
        <v/>
      </c>
      <c r="AP603" s="26">
        <f>IF(AND(AK603="YES",W603="X"),"X","")</f>
        <v/>
      </c>
      <c r="AQ603" s="28">
        <f>IF(AP603="X",100%,0%)</f>
        <v/>
      </c>
      <c r="AR603" s="25">
        <f>IF(AND(T603&gt;0,L603=""),H603,"")</f>
        <v/>
      </c>
      <c r="AS603" s="25">
        <f>IF(AND(D603&gt;0,H603=0,G603=""),1,"")</f>
        <v/>
      </c>
      <c r="AT603" s="25">
        <f>IF(G603="BLOQ",1,"")</f>
        <v/>
      </c>
      <c r="AU603" s="25">
        <f>IF(L603="BLOQ",1,"")</f>
        <v/>
      </c>
      <c r="AV603" s="25">
        <f>MONTH(F603)</f>
        <v/>
      </c>
      <c r="AW603" s="65">
        <f>IF(AP603="",100%,0%)</f>
        <v/>
      </c>
      <c r="AX603" s="23" t="n"/>
      <c r="AY603" s="24">
        <f>IF(M603=0,"",M603-$AX$2)</f>
        <v/>
      </c>
      <c r="AZ603" s="66">
        <f>IF(AND(W603="",AY603&gt;0,AY603&lt;15),1,0)</f>
        <v/>
      </c>
      <c r="BA603" s="24">
        <f>IF(AND(W603="",AY603&gt;0,AY603&lt;15),T603,"")</f>
        <v/>
      </c>
      <c r="BB603" s="87">
        <f>IF(R603&lt;Q603,"X","")</f>
        <v/>
      </c>
      <c r="BC603" s="190" t="inlineStr">
        <is>
          <t>NO</t>
        </is>
      </c>
      <c r="BD603" s="190" t="inlineStr">
        <is>
          <t>NO</t>
        </is>
      </c>
    </row>
    <row r="604" ht="15" customHeight="1" s="162">
      <c r="A604" s="7" t="n">
        <v>603</v>
      </c>
      <c r="B604" t="inlineStr">
        <is>
          <t>7889090900000</t>
        </is>
      </c>
      <c r="C604" t="inlineStr">
        <is>
          <t>ROPA LABORAL CATALOGO INDRA</t>
        </is>
      </c>
      <c r="D604" t="inlineStr">
        <is>
          <t>1101910728</t>
        </is>
      </c>
      <c r="E604" t="inlineStr">
        <is>
          <t>1</t>
        </is>
      </c>
      <c r="F604" s="163" t="n">
        <v>45922</v>
      </c>
      <c r="G604" t="inlineStr"/>
      <c r="H604" t="inlineStr">
        <is>
          <t>4900011337</t>
        </is>
      </c>
      <c r="I604" t="inlineStr">
        <is>
          <t>10</t>
        </is>
      </c>
      <c r="J604" s="163" t="n">
        <v>45923</v>
      </c>
      <c r="K604" s="163" t="inlineStr"/>
      <c r="L604" t="inlineStr"/>
      <c r="M604" s="163" t="n">
        <v>46022</v>
      </c>
      <c r="N604" s="164" t="n">
        <v>40</v>
      </c>
      <c r="O604" s="164" t="n">
        <v>8</v>
      </c>
      <c r="P604" t="inlineStr"/>
      <c r="Q604" s="165" t="n">
        <v>1</v>
      </c>
      <c r="R604" s="165" t="n">
        <v>1</v>
      </c>
      <c r="S604" s="165" t="n">
        <v>1</v>
      </c>
      <c r="T604" s="165" t="n">
        <v>0</v>
      </c>
      <c r="U604" s="166" t="n">
        <v>0</v>
      </c>
      <c r="V604" s="166" t="n">
        <v>0</v>
      </c>
      <c r="W604" t="inlineStr">
        <is>
          <t>X</t>
        </is>
      </c>
      <c r="X604" t="inlineStr">
        <is>
          <t>0.00</t>
        </is>
      </c>
      <c r="Y604" t="inlineStr"/>
      <c r="Z604" t="inlineStr">
        <is>
          <t>VESTUARIO Y PROTECCION LABORAL JOYS</t>
        </is>
      </c>
      <c r="AA604" t="inlineStr">
        <is>
          <t>INDRA SISTEMAS S.A.</t>
        </is>
      </c>
      <c r="AB604" t="inlineStr">
        <is>
          <t>7889090900000</t>
        </is>
      </c>
      <c r="AC604" t="inlineStr"/>
      <c r="AD604" s="164" t="n">
        <v>0</v>
      </c>
      <c r="AE604" s="185" t="n">
        <v>0</v>
      </c>
      <c r="AG604" s="167" t="inlineStr">
        <is>
          <t>7218|2GP240_1020</t>
        </is>
      </c>
      <c r="AH604" s="46">
        <f>IF(M604=0,"-",M604-J604)</f>
        <v/>
      </c>
      <c r="AI604" s="46">
        <f>IF(AND(S604=0,M604&gt;0,L604=0),IF(AH604&gt;=120,"VERY HIGH",IF(AH604&gt;=90,"HIGH",IF(AH604&gt;=60,"MEDIUM",IF(AH604&lt;60,"LOW")))),"-")</f>
        <v/>
      </c>
      <c r="AJ604" s="12" t="n"/>
      <c r="AK604" s="41">
        <f>IF(AND(W604="X",M604&lt;=$AJ$2),"YES","")</f>
        <v/>
      </c>
      <c r="AL604" s="38">
        <f>IF(AND(W604="X",M604&lt;=$AJ$2),S604,"")</f>
        <v/>
      </c>
      <c r="AM604" s="26">
        <f>IF(AND(W604="X",M604&gt;$AJ$2),"YES","")</f>
        <v/>
      </c>
      <c r="AN604" s="89">
        <f>IF(AND(W604="X",M604&gt;$AJ$2),S604,"")</f>
        <v/>
      </c>
      <c r="AO604" s="35">
        <f>IF(AND(W604="",M604&gt;0,$AJ$2&gt;M604,L604=""),1,0)</f>
        <v/>
      </c>
      <c r="AP604" s="26">
        <f>IF(AND(AK604="YES",W604="X"),"X","")</f>
        <v/>
      </c>
      <c r="AQ604" s="28">
        <f>IF(AP604="X",100%,0%)</f>
        <v/>
      </c>
      <c r="AR604" s="25">
        <f>IF(AND(T604&gt;0,L604=""),H604,"")</f>
        <v/>
      </c>
      <c r="AS604" s="25">
        <f>IF(AND(D604&gt;0,H604=0,G604=""),1,"")</f>
        <v/>
      </c>
      <c r="AT604" s="25">
        <f>IF(G604="BLOQ",1,"")</f>
        <v/>
      </c>
      <c r="AU604" s="25">
        <f>IF(L604="BLOQ",1,"")</f>
        <v/>
      </c>
      <c r="AV604" s="25">
        <f>MONTH(F604)</f>
        <v/>
      </c>
      <c r="AW604" s="65">
        <f>IF(AP604="",100%,0%)</f>
        <v/>
      </c>
      <c r="AX604" s="23" t="n"/>
      <c r="AY604" s="24">
        <f>IF(M604=0,"",M604-$AX$2)</f>
        <v/>
      </c>
      <c r="AZ604" s="66">
        <f>IF(AND(W604="",AY604&gt;0,AY604&lt;15),1,0)</f>
        <v/>
      </c>
      <c r="BA604" s="24">
        <f>IF(AND(W604="",AY604&gt;0,AY604&lt;15),T604,"")</f>
        <v/>
      </c>
      <c r="BB604" s="87">
        <f>IF(R604&lt;Q604,"X","")</f>
        <v/>
      </c>
      <c r="BC604" s="190" t="inlineStr">
        <is>
          <t>NO</t>
        </is>
      </c>
      <c r="BD604" s="190" t="inlineStr">
        <is>
          <t>NO</t>
        </is>
      </c>
    </row>
    <row r="605" ht="15" customHeight="1" s="162">
      <c r="A605" s="7" t="n">
        <v>604</v>
      </c>
      <c r="B605" t="inlineStr">
        <is>
          <t>1709800000500</t>
        </is>
      </c>
      <c r="C605" t="inlineStr">
        <is>
          <t>COMPRA DIRECTA FERRETERIA Y HERRAMIENTAS</t>
        </is>
      </c>
      <c r="D605" t="inlineStr">
        <is>
          <t>1101910881</t>
        </is>
      </c>
      <c r="E605" t="inlineStr">
        <is>
          <t>1</t>
        </is>
      </c>
      <c r="F605" s="163" t="n">
        <v>45922</v>
      </c>
      <c r="G605" t="inlineStr"/>
      <c r="H605" t="inlineStr">
        <is>
          <t>4200628789</t>
        </is>
      </c>
      <c r="I605" t="inlineStr">
        <is>
          <t>10</t>
        </is>
      </c>
      <c r="J605" s="163" t="n">
        <v>45926</v>
      </c>
      <c r="K605" s="163" t="n">
        <v>45929</v>
      </c>
      <c r="L605" t="inlineStr"/>
      <c r="M605" s="163" t="n">
        <v>45975</v>
      </c>
      <c r="N605" s="164" t="n">
        <v>30</v>
      </c>
      <c r="O605" s="164" t="n">
        <v>8</v>
      </c>
      <c r="P605" t="inlineStr">
        <is>
          <t>Liberado</t>
        </is>
      </c>
      <c r="Q605" s="166" t="n">
        <v>1</v>
      </c>
      <c r="R605" s="166" t="n">
        <v>1</v>
      </c>
      <c r="S605" s="166" t="n">
        <v>1</v>
      </c>
      <c r="T605" s="166" t="n">
        <v>0</v>
      </c>
      <c r="U605" s="166" t="n">
        <v>0</v>
      </c>
      <c r="V605" s="166" t="n">
        <v>0</v>
      </c>
      <c r="W605" t="inlineStr">
        <is>
          <t>X</t>
        </is>
      </c>
      <c r="X605" t="inlineStr">
        <is>
          <t>0.00</t>
        </is>
      </c>
      <c r="Y605" t="inlineStr"/>
      <c r="Z605" t="inlineStr">
        <is>
          <t>ABACO SUYTEC, S.A.U.</t>
        </is>
      </c>
      <c r="AA605" t="inlineStr">
        <is>
          <t>OTROS FABRICANTES</t>
        </is>
      </c>
      <c r="AB605" t="inlineStr">
        <is>
          <t>1709800000500</t>
        </is>
      </c>
      <c r="AC605" t="inlineStr"/>
      <c r="AD605" s="164" t="n">
        <v>0</v>
      </c>
      <c r="AE605" s="185" t="n">
        <v>0</v>
      </c>
      <c r="AG605" s="167" t="inlineStr">
        <is>
          <t>7218|S24B05_S1076</t>
        </is>
      </c>
      <c r="AH605" s="46">
        <f>IF(M605=0,"-",M605-J605)</f>
        <v/>
      </c>
      <c r="AI605" s="46">
        <f>IF(AND(S605=0,M605&gt;0,L605=0),IF(AH605&gt;=120,"VERY HIGH",IF(AH605&gt;=90,"HIGH",IF(AH605&gt;=60,"MEDIUM",IF(AH605&lt;60,"LOW")))),"-")</f>
        <v/>
      </c>
      <c r="AJ605" s="12" t="n"/>
      <c r="AK605" s="41">
        <f>IF(AND(W605="X",M605&lt;=$AJ$2),"YES","")</f>
        <v/>
      </c>
      <c r="AL605" s="38">
        <f>IF(AND(W605="X",M605&lt;=$AJ$2),S605,"")</f>
        <v/>
      </c>
      <c r="AM605" s="26">
        <f>IF(AND(W605="X",M605&gt;$AJ$2),"YES","")</f>
        <v/>
      </c>
      <c r="AN605" s="89">
        <f>IF(AND(W605="X",M605&gt;$AJ$2),S605,"")</f>
        <v/>
      </c>
      <c r="AO605" s="35">
        <f>IF(AND(W605="",M605&gt;0,$AJ$2&gt;M605,L605=""),1,0)</f>
        <v/>
      </c>
      <c r="AP605" s="26">
        <f>IF(AND(AK605="YES",W605="X"),"X","")</f>
        <v/>
      </c>
      <c r="AQ605" s="28">
        <f>IF(AP605="X",100%,0%)</f>
        <v/>
      </c>
      <c r="AR605" s="25">
        <f>IF(AND(T605&gt;0,L605=""),H605,"")</f>
        <v/>
      </c>
      <c r="AS605" s="25">
        <f>IF(AND(D605&gt;0,H605=0,G605=""),1,"")</f>
        <v/>
      </c>
      <c r="AT605" s="25">
        <f>IF(G605="BLOQ",1,"")</f>
        <v/>
      </c>
      <c r="AU605" s="25">
        <f>IF(L605="BLOQ",1,"")</f>
        <v/>
      </c>
      <c r="AV605" s="25">
        <f>MONTH(F605)</f>
        <v/>
      </c>
      <c r="AW605" s="65">
        <f>IF(AP605="",100%,0%)</f>
        <v/>
      </c>
      <c r="AX605" s="23" t="n"/>
      <c r="AY605" s="24">
        <f>IF(M605=0,"",M605-$AX$2)</f>
        <v/>
      </c>
      <c r="AZ605" s="66">
        <f>IF(AND(W605="",AY605&gt;0,AY605&lt;15),1,0)</f>
        <v/>
      </c>
      <c r="BA605" s="24">
        <f>IF(AND(W605="",AY605&gt;0,AY605&lt;15),T605,"")</f>
        <v/>
      </c>
      <c r="BB605" s="87">
        <f>IF(R605&lt;Q605,"X","")</f>
        <v/>
      </c>
      <c r="BC605" s="190" t="inlineStr">
        <is>
          <t>NO</t>
        </is>
      </c>
      <c r="BD605" s="190" t="inlineStr">
        <is>
          <t>NO</t>
        </is>
      </c>
    </row>
    <row r="606" ht="15" customHeight="1" s="162">
      <c r="A606" s="7" t="n">
        <v>605</v>
      </c>
      <c r="B606" t="inlineStr">
        <is>
          <t>7889090900000</t>
        </is>
      </c>
      <c r="C606" t="inlineStr">
        <is>
          <t>ROPA LABORAL CATALOGO INDRA</t>
        </is>
      </c>
      <c r="D606" t="inlineStr">
        <is>
          <t>1101911213</t>
        </is>
      </c>
      <c r="E606" t="inlineStr">
        <is>
          <t>1</t>
        </is>
      </c>
      <c r="F606" s="163" t="n">
        <v>45923</v>
      </c>
      <c r="G606" t="inlineStr"/>
      <c r="H606" t="inlineStr">
        <is>
          <t>4900011345</t>
        </is>
      </c>
      <c r="I606" t="inlineStr">
        <is>
          <t>10</t>
        </is>
      </c>
      <c r="J606" s="163" t="n">
        <v>45923</v>
      </c>
      <c r="K606" s="163" t="inlineStr"/>
      <c r="L606" t="inlineStr"/>
      <c r="M606" s="163" t="n">
        <v>45991</v>
      </c>
      <c r="N606" s="164" t="n">
        <v>40</v>
      </c>
      <c r="O606" s="164" t="n">
        <v>8</v>
      </c>
      <c r="P606" t="inlineStr"/>
      <c r="Q606" s="165" t="n">
        <v>1</v>
      </c>
      <c r="R606" s="165" t="n">
        <v>1</v>
      </c>
      <c r="S606" s="165" t="n">
        <v>1</v>
      </c>
      <c r="T606" s="165" t="n">
        <v>0</v>
      </c>
      <c r="U606" s="166" t="n">
        <v>0</v>
      </c>
      <c r="V606" s="166" t="n">
        <v>0</v>
      </c>
      <c r="W606" t="inlineStr">
        <is>
          <t>X</t>
        </is>
      </c>
      <c r="X606" t="inlineStr">
        <is>
          <t>0.00</t>
        </is>
      </c>
      <c r="Y606" t="inlineStr"/>
      <c r="Z606" t="inlineStr">
        <is>
          <t>VESTUARIO Y PROTECCION LABORAL JOYS</t>
        </is>
      </c>
      <c r="AA606" t="inlineStr">
        <is>
          <t>INDRA SISTEMAS S.A.</t>
        </is>
      </c>
      <c r="AB606" t="inlineStr">
        <is>
          <t>7889090900000</t>
        </is>
      </c>
      <c r="AC606" t="inlineStr"/>
      <c r="AD606" s="164" t="n">
        <v>0</v>
      </c>
      <c r="AE606" s="185" t="n">
        <v>0</v>
      </c>
      <c r="AG606" s="167" t="inlineStr">
        <is>
          <t>7218|JA2594_1001</t>
        </is>
      </c>
      <c r="AH606" s="46">
        <f>IF(M606=0,"-",M606-J606)</f>
        <v/>
      </c>
      <c r="AI606" s="46">
        <f>IF(AND(S606=0,M606&gt;0,L606=0),IF(AH606&gt;=120,"VERY HIGH",IF(AH606&gt;=90,"HIGH",IF(AH606&gt;=60,"MEDIUM",IF(AH606&lt;60,"LOW")))),"-")</f>
        <v/>
      </c>
      <c r="AJ606" s="12" t="n"/>
      <c r="AK606" s="41">
        <f>IF(AND(W606="X",M606&lt;=$AJ$2),"YES","")</f>
        <v/>
      </c>
      <c r="AL606" s="38">
        <f>IF(AND(W606="X",M606&lt;=$AJ$2),S606,"")</f>
        <v/>
      </c>
      <c r="AM606" s="26">
        <f>IF(AND(W606="X",M606&gt;$AJ$2),"YES","")</f>
        <v/>
      </c>
      <c r="AN606" s="89">
        <f>IF(AND(W606="X",M606&gt;$AJ$2),S606,"")</f>
        <v/>
      </c>
      <c r="AO606" s="35">
        <f>IF(AND(W606="",M606&gt;0,$AJ$2&gt;M606,L606=""),1,0)</f>
        <v/>
      </c>
      <c r="AP606" s="26">
        <f>IF(AND(AK606="YES",W606="X"),"X","")</f>
        <v/>
      </c>
      <c r="AQ606" s="28">
        <f>IF(AP606="X",100%,0%)</f>
        <v/>
      </c>
      <c r="AR606" s="25">
        <f>IF(AND(T606&gt;0,L606=""),H606,"")</f>
        <v/>
      </c>
      <c r="AS606" s="25">
        <f>IF(AND(D606&gt;0,H606=0,G606=""),1,"")</f>
        <v/>
      </c>
      <c r="AT606" s="25">
        <f>IF(G606="BLOQ",1,"")</f>
        <v/>
      </c>
      <c r="AU606" s="25">
        <f>IF(L606="BLOQ",1,"")</f>
        <v/>
      </c>
      <c r="AV606" s="25">
        <f>MONTH(F606)</f>
        <v/>
      </c>
      <c r="AW606" s="65">
        <f>IF(AP606="",100%,0%)</f>
        <v/>
      </c>
      <c r="AX606" s="23" t="n"/>
      <c r="AY606" s="24">
        <f>IF(M606=0,"",M606-$AX$2)</f>
        <v/>
      </c>
      <c r="AZ606" s="66">
        <f>IF(AND(W606="",AY606&gt;0,AY606&lt;15),1,0)</f>
        <v/>
      </c>
      <c r="BA606" s="24">
        <f>IF(AND(W606="",AY606&gt;0,AY606&lt;15),T606,"")</f>
        <v/>
      </c>
      <c r="BB606" s="87">
        <f>IF(R606&lt;Q606,"X","")</f>
        <v/>
      </c>
      <c r="BC606" s="190" t="inlineStr">
        <is>
          <t>NO</t>
        </is>
      </c>
      <c r="BD606" s="190" t="inlineStr">
        <is>
          <t>NO</t>
        </is>
      </c>
    </row>
    <row r="607" ht="15" customHeight="1" s="162">
      <c r="A607" s="7" t="n">
        <v>606</v>
      </c>
      <c r="B607" t="inlineStr">
        <is>
          <t>55121612</t>
        </is>
      </c>
      <c r="C607" t="inlineStr">
        <is>
          <t>PK20 ETQ LSR 210X297 VDE FLUO APLI 2881</t>
        </is>
      </c>
      <c r="D607" t="inlineStr">
        <is>
          <t>1101911902</t>
        </is>
      </c>
      <c r="E607" t="inlineStr">
        <is>
          <t>1</t>
        </is>
      </c>
      <c r="F607" s="163" t="n">
        <v>45924</v>
      </c>
      <c r="G607" t="inlineStr"/>
      <c r="H607" t="inlineStr">
        <is>
          <t>4800003240</t>
        </is>
      </c>
      <c r="I607" t="inlineStr">
        <is>
          <t>4640</t>
        </is>
      </c>
      <c r="J607" s="163" t="n">
        <v>45901</v>
      </c>
      <c r="K607" s="163" t="inlineStr"/>
      <c r="L607" t="inlineStr"/>
      <c r="M607" s="163" t="n">
        <v>45925</v>
      </c>
      <c r="N607" s="164" t="n">
        <v>0</v>
      </c>
      <c r="O607" s="164" t="n">
        <v>0</v>
      </c>
      <c r="P607" t="inlineStr"/>
      <c r="Q607" s="165" t="n">
        <v>2</v>
      </c>
      <c r="R607" s="165" t="n">
        <v>2</v>
      </c>
      <c r="S607" s="165" t="n">
        <v>2</v>
      </c>
      <c r="T607" s="165" t="n">
        <v>0</v>
      </c>
      <c r="U607" s="166" t="n">
        <v>0</v>
      </c>
      <c r="V607" s="166" t="n">
        <v>0</v>
      </c>
      <c r="W607" t="inlineStr">
        <is>
          <t>X</t>
        </is>
      </c>
      <c r="X607" t="inlineStr">
        <is>
          <t>0.00</t>
        </is>
      </c>
      <c r="Y607" t="inlineStr"/>
      <c r="Z607" t="inlineStr">
        <is>
          <t>FUNDACION JUAN XXIII-RONCALLI DISC.</t>
        </is>
      </c>
      <c r="AA607" t="inlineStr"/>
      <c r="AB607" t="inlineStr">
        <is>
          <t>993168</t>
        </is>
      </c>
      <c r="AC607" t="inlineStr"/>
      <c r="AD607" s="164" t="n">
        <v>0</v>
      </c>
      <c r="AE607" s="185" t="n">
        <v>0</v>
      </c>
      <c r="AG607" s="167" t="inlineStr">
        <is>
          <t>7218|JA2594_1001</t>
        </is>
      </c>
      <c r="AH607" s="46">
        <f>IF(M607=0,"-",M607-J607)</f>
        <v/>
      </c>
      <c r="AI607" s="46">
        <f>IF(AND(S607=0,M607&gt;0,L607=0),IF(AH607&gt;=120,"VERY HIGH",IF(AH607&gt;=90,"HIGH",IF(AH607&gt;=60,"MEDIUM",IF(AH607&lt;60,"LOW")))),"-")</f>
        <v/>
      </c>
      <c r="AJ607" s="12" t="n"/>
      <c r="AK607" s="41">
        <f>IF(AND(W607="X",M607&lt;=$AJ$2),"YES","")</f>
        <v/>
      </c>
      <c r="AL607" s="38">
        <f>IF(AND(W607="X",M607&lt;=$AJ$2),S607,"")</f>
        <v/>
      </c>
      <c r="AM607" s="26">
        <f>IF(AND(W607="X",M607&gt;$AJ$2),"YES","")</f>
        <v/>
      </c>
      <c r="AN607" s="89">
        <f>IF(AND(W607="X",M607&gt;$AJ$2),S607,"")</f>
        <v/>
      </c>
      <c r="AO607" s="35">
        <f>IF(AND(W607="",M607&gt;0,$AJ$2&gt;M607,L607=""),1,0)</f>
        <v/>
      </c>
      <c r="AP607" s="26">
        <f>IF(AND(AK607="YES",W607="X"),"X","")</f>
        <v/>
      </c>
      <c r="AQ607" s="28">
        <f>IF(AP607="X",100%,0%)</f>
        <v/>
      </c>
      <c r="AR607" s="25">
        <f>IF(AND(T607&gt;0,L607=""),H607,"")</f>
        <v/>
      </c>
      <c r="AS607" s="25">
        <f>IF(AND(D607&gt;0,H607=0,G607=""),1,"")</f>
        <v/>
      </c>
      <c r="AT607" s="25">
        <f>IF(G607="BLOQ",1,"")</f>
        <v/>
      </c>
      <c r="AU607" s="25">
        <f>IF(L607="BLOQ",1,"")</f>
        <v/>
      </c>
      <c r="AV607" s="25">
        <f>MONTH(F607)</f>
        <v/>
      </c>
      <c r="AW607" s="65">
        <f>IF(AP607="",100%,0%)</f>
        <v/>
      </c>
      <c r="AX607" s="23" t="n"/>
      <c r="AY607" s="24">
        <f>IF(M607=0,"",M607-$AX$2)</f>
        <v/>
      </c>
      <c r="AZ607" s="66">
        <f>IF(AND(W607="",AY607&gt;0,AY607&lt;15),1,0)</f>
        <v/>
      </c>
      <c r="BA607" s="24">
        <f>IF(AND(W607="",AY607&gt;0,AY607&lt;15),T607,"")</f>
        <v/>
      </c>
      <c r="BB607" s="87">
        <f>IF(R607&lt;Q607,"X","")</f>
        <v/>
      </c>
      <c r="BC607" s="190" t="inlineStr">
        <is>
          <t>NO</t>
        </is>
      </c>
      <c r="BD607" s="190" t="inlineStr">
        <is>
          <t>NO</t>
        </is>
      </c>
    </row>
    <row r="608" ht="15" customHeight="1" s="162">
      <c r="A608" s="7" t="n">
        <v>607</v>
      </c>
      <c r="B608" t="inlineStr">
        <is>
          <t>1709800000500</t>
        </is>
      </c>
      <c r="C608" t="inlineStr">
        <is>
          <t>COMPRA DIRECTA FERRETERIA Y HERRAMIENTAS</t>
        </is>
      </c>
      <c r="D608" t="inlineStr">
        <is>
          <t>1101911917</t>
        </is>
      </c>
      <c r="E608" t="inlineStr">
        <is>
          <t>1</t>
        </is>
      </c>
      <c r="F608" s="163" t="n">
        <v>45924</v>
      </c>
      <c r="G608" t="inlineStr"/>
      <c r="H608" t="inlineStr">
        <is>
          <t>4200628787</t>
        </is>
      </c>
      <c r="I608" t="inlineStr">
        <is>
          <t>10</t>
        </is>
      </c>
      <c r="J608" s="163" t="n">
        <v>45926</v>
      </c>
      <c r="K608" s="163" t="n">
        <v>45929</v>
      </c>
      <c r="L608" t="inlineStr"/>
      <c r="M608" s="163" t="n">
        <v>45977</v>
      </c>
      <c r="N608" s="164" t="n">
        <v>30</v>
      </c>
      <c r="O608" s="164" t="n">
        <v>8</v>
      </c>
      <c r="P608" t="inlineStr">
        <is>
          <t>Liberado</t>
        </is>
      </c>
      <c r="Q608" s="166" t="n">
        <v>1</v>
      </c>
      <c r="R608" s="166" t="n">
        <v>1</v>
      </c>
      <c r="S608" s="166" t="n">
        <v>1</v>
      </c>
      <c r="T608" s="166" t="n">
        <v>0</v>
      </c>
      <c r="U608" s="166" t="n">
        <v>0</v>
      </c>
      <c r="V608" s="166" t="n">
        <v>0</v>
      </c>
      <c r="W608" t="inlineStr">
        <is>
          <t>X</t>
        </is>
      </c>
      <c r="X608" t="inlineStr">
        <is>
          <t>0.00</t>
        </is>
      </c>
      <c r="Y608" t="inlineStr"/>
      <c r="Z608" t="inlineStr">
        <is>
          <t>ABACO SUYTEC, S.A.U.</t>
        </is>
      </c>
      <c r="AA608" t="inlineStr">
        <is>
          <t>OTROS FABRICANTES</t>
        </is>
      </c>
      <c r="AB608" t="inlineStr">
        <is>
          <t>1709800000500</t>
        </is>
      </c>
      <c r="AC608" t="inlineStr"/>
      <c r="AD608" s="164" t="n">
        <v>0</v>
      </c>
      <c r="AE608" s="185" t="n">
        <v>0</v>
      </c>
      <c r="AG608" s="167" t="inlineStr">
        <is>
          <t>7218|S24B05_S107G</t>
        </is>
      </c>
      <c r="AH608" s="46">
        <f>IF(M608=0,"-",M608-J608)</f>
        <v/>
      </c>
      <c r="AI608" s="46">
        <f>IF(AND(S608=0,M608&gt;0,L608=0),IF(AH608&gt;=120,"VERY HIGH",IF(AH608&gt;=90,"HIGH",IF(AH608&gt;=60,"MEDIUM",IF(AH608&lt;60,"LOW")))),"-")</f>
        <v/>
      </c>
      <c r="AJ608" s="12" t="n"/>
      <c r="AK608" s="41">
        <f>IF(AND(W608="X",M608&lt;=$AJ$2),"YES","")</f>
        <v/>
      </c>
      <c r="AL608" s="38">
        <f>IF(AND(W608="X",M608&lt;=$AJ$2),S608,"")</f>
        <v/>
      </c>
      <c r="AM608" s="26">
        <f>IF(AND(W608="X",M608&gt;$AJ$2),"YES","")</f>
        <v/>
      </c>
      <c r="AN608" s="89">
        <f>IF(AND(W608="X",M608&gt;$AJ$2),S608,"")</f>
        <v/>
      </c>
      <c r="AO608" s="35">
        <f>IF(AND(W608="",M608&gt;0,$AJ$2&gt;M608,L608=""),1,0)</f>
        <v/>
      </c>
      <c r="AP608" s="26">
        <f>IF(AND(AK608="YES",W608="X"),"X","")</f>
        <v/>
      </c>
      <c r="AQ608" s="28">
        <f>IF(AP608="X",100%,0%)</f>
        <v/>
      </c>
      <c r="AR608" s="25">
        <f>IF(AND(T608&gt;0,L608=""),H608,"")</f>
        <v/>
      </c>
      <c r="AS608" s="25">
        <f>IF(AND(D608&gt;0,H608=0,G608=""),1,"")</f>
        <v/>
      </c>
      <c r="AT608" s="25">
        <f>IF(G608="BLOQ",1,"")</f>
        <v/>
      </c>
      <c r="AU608" s="25">
        <f>IF(L608="BLOQ",1,"")</f>
        <v/>
      </c>
      <c r="AV608" s="25">
        <f>MONTH(F608)</f>
        <v/>
      </c>
      <c r="AW608" s="65">
        <f>IF(AP608="",100%,0%)</f>
        <v/>
      </c>
      <c r="AX608" s="23" t="n"/>
      <c r="AY608" s="24">
        <f>IF(M608=0,"",M608-$AX$2)</f>
        <v/>
      </c>
      <c r="AZ608" s="66">
        <f>IF(AND(W608="",AY608&gt;0,AY608&lt;15),1,0)</f>
        <v/>
      </c>
      <c r="BA608" s="24">
        <f>IF(AND(W608="",AY608&gt;0,AY608&lt;15),T608,"")</f>
        <v/>
      </c>
      <c r="BB608" s="87">
        <f>IF(R608&lt;Q608,"X","")</f>
        <v/>
      </c>
      <c r="BC608" s="190" t="inlineStr">
        <is>
          <t>NO</t>
        </is>
      </c>
      <c r="BD608" s="190" t="inlineStr">
        <is>
          <t>NO</t>
        </is>
      </c>
    </row>
    <row r="609" ht="15" customHeight="1" s="162">
      <c r="A609" s="7" t="n">
        <v>608</v>
      </c>
      <c r="B609" t="inlineStr">
        <is>
          <t>32111601</t>
        </is>
      </c>
      <c r="C609" t="inlineStr">
        <is>
          <t>Fototransistor NPN Vishay sensible a IR,</t>
        </is>
      </c>
      <c r="D609" t="inlineStr">
        <is>
          <t>1101912966</t>
        </is>
      </c>
      <c r="E609" t="inlineStr">
        <is>
          <t>1</t>
        </is>
      </c>
      <c r="F609" s="163" t="n">
        <v>45926</v>
      </c>
      <c r="G609" t="inlineStr"/>
      <c r="H609" t="inlineStr">
        <is>
          <t>4800003291</t>
        </is>
      </c>
      <c r="I609" t="inlineStr">
        <is>
          <t>530</t>
        </is>
      </c>
      <c r="J609" s="163" t="n">
        <v>45925</v>
      </c>
      <c r="K609" s="163" t="inlineStr"/>
      <c r="L609" t="inlineStr"/>
      <c r="M609" s="163" t="n">
        <v>45927</v>
      </c>
      <c r="N609" s="164" t="n">
        <v>0</v>
      </c>
      <c r="O609" s="164" t="n">
        <v>0</v>
      </c>
      <c r="P609" t="inlineStr"/>
      <c r="Q609" s="165" t="n">
        <v>10</v>
      </c>
      <c r="R609" s="165" t="n">
        <v>10</v>
      </c>
      <c r="S609" s="165" t="n">
        <v>10</v>
      </c>
      <c r="T609" s="165" t="n">
        <v>0</v>
      </c>
      <c r="U609" s="166" t="n">
        <v>0</v>
      </c>
      <c r="V609" s="166" t="n">
        <v>0</v>
      </c>
      <c r="W609" t="inlineStr">
        <is>
          <t>X</t>
        </is>
      </c>
      <c r="X609" t="inlineStr">
        <is>
          <t>0.00</t>
        </is>
      </c>
      <c r="Y609" t="inlineStr"/>
      <c r="Z609" t="inlineStr">
        <is>
          <t>AMIDATA, S.A.</t>
        </is>
      </c>
      <c r="AA609" t="inlineStr"/>
      <c r="AB609" t="inlineStr">
        <is>
          <t>7082822</t>
        </is>
      </c>
      <c r="AC609" t="inlineStr"/>
      <c r="AD609" s="164" t="n">
        <v>0</v>
      </c>
      <c r="AE609" s="185" t="n">
        <v>0</v>
      </c>
      <c r="AG609" s="167" t="inlineStr">
        <is>
          <t>7218|S24B05_S1076</t>
        </is>
      </c>
      <c r="AH609" s="46">
        <f>IF(M609=0,"-",M609-J609)</f>
        <v/>
      </c>
      <c r="AI609" s="46">
        <f>IF(AND(S609=0,M609&gt;0,L609=0),IF(AH609&gt;=120,"VERY HIGH",IF(AH609&gt;=90,"HIGH",IF(AH609&gt;=60,"MEDIUM",IF(AH609&lt;60,"LOW")))),"-")</f>
        <v/>
      </c>
      <c r="AJ609" s="12" t="n"/>
      <c r="AK609" s="41">
        <f>IF(AND(W609="X",M609&lt;=$AJ$2),"YES","")</f>
        <v/>
      </c>
      <c r="AL609" s="38">
        <f>IF(AND(W609="X",M609&lt;=$AJ$2),S609,"")</f>
        <v/>
      </c>
      <c r="AM609" s="26">
        <f>IF(AND(W609="X",M609&gt;$AJ$2),"YES","")</f>
        <v/>
      </c>
      <c r="AN609" s="89">
        <f>IF(AND(W609="X",M609&gt;$AJ$2),S609,"")</f>
        <v/>
      </c>
      <c r="AO609" s="35">
        <f>IF(AND(W609="",M609&gt;0,$AJ$2&gt;M609,L609=""),1,0)</f>
        <v/>
      </c>
      <c r="AP609" s="26">
        <f>IF(AND(AK609="YES",W609="X"),"X","")</f>
        <v/>
      </c>
      <c r="AQ609" s="28">
        <f>IF(AP609="X",100%,0%)</f>
        <v/>
      </c>
      <c r="AR609" s="25">
        <f>IF(AND(T609&gt;0,L609=""),H609,"")</f>
        <v/>
      </c>
      <c r="AS609" s="25">
        <f>IF(AND(D609&gt;0,H609=0,G609=""),1,"")</f>
        <v/>
      </c>
      <c r="AT609" s="25">
        <f>IF(G609="BLOQ",1,"")</f>
        <v/>
      </c>
      <c r="AU609" s="25">
        <f>IF(L609="BLOQ",1,"")</f>
        <v/>
      </c>
      <c r="AV609" s="25">
        <f>MONTH(F609)</f>
        <v/>
      </c>
      <c r="AW609" s="65">
        <f>IF(AP609="",100%,0%)</f>
        <v/>
      </c>
      <c r="AX609" s="23" t="n"/>
      <c r="AY609" s="24">
        <f>IF(M609=0,"",M609-$AX$2)</f>
        <v/>
      </c>
      <c r="AZ609" s="66">
        <f>IF(AND(W609="",AY609&gt;0,AY609&lt;15),1,0)</f>
        <v/>
      </c>
      <c r="BA609" s="24">
        <f>IF(AND(W609="",AY609&gt;0,AY609&lt;15),T609,"")</f>
        <v/>
      </c>
      <c r="BB609" s="87">
        <f>IF(R609&lt;Q609,"X","")</f>
        <v/>
      </c>
      <c r="BC609" s="190" t="inlineStr">
        <is>
          <t>NO</t>
        </is>
      </c>
      <c r="BD609" s="190" t="inlineStr">
        <is>
          <t>NO</t>
        </is>
      </c>
    </row>
    <row r="610" ht="15" customHeight="1" s="162">
      <c r="A610" s="7" t="n">
        <v>609</v>
      </c>
      <c r="B610" t="inlineStr">
        <is>
          <t>1359900000500</t>
        </is>
      </c>
      <c r="C610" t="inlineStr">
        <is>
          <t>COMPRA DIRECTA ELECTRICOS/ELECTRONICOS</t>
        </is>
      </c>
      <c r="D610" t="inlineStr">
        <is>
          <t>1101912981</t>
        </is>
      </c>
      <c r="E610" t="inlineStr">
        <is>
          <t>1</t>
        </is>
      </c>
      <c r="F610" s="163" t="n">
        <v>45926</v>
      </c>
      <c r="G610" t="inlineStr"/>
      <c r="H610" t="inlineStr">
        <is>
          <t>4200630006</t>
        </is>
      </c>
      <c r="I610" t="inlineStr">
        <is>
          <t>10</t>
        </is>
      </c>
      <c r="J610" s="163" t="n">
        <v>45936</v>
      </c>
      <c r="K610" s="163" t="n">
        <v>45937</v>
      </c>
      <c r="L610" t="inlineStr"/>
      <c r="M610" s="163" t="n">
        <v>45990</v>
      </c>
      <c r="N610" s="164" t="n">
        <v>30</v>
      </c>
      <c r="O610" s="164" t="n">
        <v>8</v>
      </c>
      <c r="P610" t="inlineStr">
        <is>
          <t>Liberado</t>
        </is>
      </c>
      <c r="Q610" s="165" t="n">
        <v>1</v>
      </c>
      <c r="R610" s="165" t="n">
        <v>1</v>
      </c>
      <c r="S610" s="165" t="n">
        <v>1</v>
      </c>
      <c r="T610" s="165" t="n">
        <v>0</v>
      </c>
      <c r="U610" s="166" t="n">
        <v>0</v>
      </c>
      <c r="V610" s="166" t="n">
        <v>0</v>
      </c>
      <c r="W610" t="inlineStr">
        <is>
          <t>X</t>
        </is>
      </c>
      <c r="X610" t="inlineStr">
        <is>
          <t>0.00</t>
        </is>
      </c>
      <c r="Y610" t="inlineStr"/>
      <c r="Z610" t="inlineStr">
        <is>
          <t>SARVER S.L.</t>
        </is>
      </c>
      <c r="AA610" t="inlineStr">
        <is>
          <t>OTROS FABRICANTES</t>
        </is>
      </c>
      <c r="AB610" t="inlineStr">
        <is>
          <t>1359900000500</t>
        </is>
      </c>
      <c r="AC610" t="inlineStr"/>
      <c r="AD610" s="164" t="n">
        <v>0</v>
      </c>
      <c r="AE610" s="185" t="n">
        <v>0</v>
      </c>
      <c r="AG610" s="167" t="inlineStr">
        <is>
          <t>7218|S24B05_S1076</t>
        </is>
      </c>
      <c r="AH610" s="46">
        <f>IF(M610=0,"-",M610-J610)</f>
        <v/>
      </c>
      <c r="AI610" s="46">
        <f>IF(AND(S610=0,M610&gt;0,L610=0),IF(AH610&gt;=120,"VERY HIGH",IF(AH610&gt;=90,"HIGH",IF(AH610&gt;=60,"MEDIUM",IF(AH610&lt;60,"LOW")))),"-")</f>
        <v/>
      </c>
      <c r="AJ610" s="12" t="n"/>
      <c r="AK610" s="41">
        <f>IF(AND(W610="X",M610&lt;=$AJ$2),"YES","")</f>
        <v/>
      </c>
      <c r="AL610" s="38">
        <f>IF(AND(W610="X",M610&lt;=$AJ$2),S610,"")</f>
        <v/>
      </c>
      <c r="AM610" s="26">
        <f>IF(AND(W610="X",M610&gt;$AJ$2),"YES","")</f>
        <v/>
      </c>
      <c r="AN610" s="89">
        <f>IF(AND(W610="X",M610&gt;$AJ$2),S610,"")</f>
        <v/>
      </c>
      <c r="AO610" s="35">
        <f>IF(AND(W610="",M610&gt;0,$AJ$2&gt;M610,L610=""),1,0)</f>
        <v/>
      </c>
      <c r="AP610" s="26">
        <f>IF(AND(AK610="YES",W610="X"),"X","")</f>
        <v/>
      </c>
      <c r="AQ610" s="28">
        <f>IF(AP610="X",100%,0%)</f>
        <v/>
      </c>
      <c r="AR610" s="25">
        <f>IF(AND(T610&gt;0,L610=""),H610,"")</f>
        <v/>
      </c>
      <c r="AS610" s="25">
        <f>IF(AND(D610&gt;0,H610=0,G610=""),1,"")</f>
        <v/>
      </c>
      <c r="AT610" s="25">
        <f>IF(G610="BLOQ",1,"")</f>
        <v/>
      </c>
      <c r="AU610" s="25">
        <f>IF(L610="BLOQ",1,"")</f>
        <v/>
      </c>
      <c r="AV610" s="25">
        <f>MONTH(F610)</f>
        <v/>
      </c>
      <c r="AW610" s="65">
        <f>IF(AP610="",100%,0%)</f>
        <v/>
      </c>
      <c r="AX610" s="23" t="n"/>
      <c r="AY610" s="24">
        <f>IF(M610=0,"",M610-$AX$2)</f>
        <v/>
      </c>
      <c r="AZ610" s="66">
        <f>IF(AND(W610="",AY610&gt;0,AY610&lt;15),1,0)</f>
        <v/>
      </c>
      <c r="BA610" s="24">
        <f>IF(AND(W610="",AY610&gt;0,AY610&lt;15),T610,"")</f>
        <v/>
      </c>
      <c r="BB610" s="87">
        <f>IF(R610&lt;Q610,"X","")</f>
        <v/>
      </c>
      <c r="BC610" s="190" t="inlineStr">
        <is>
          <t>NO</t>
        </is>
      </c>
      <c r="BD610" s="190" t="inlineStr">
        <is>
          <t>NO</t>
        </is>
      </c>
    </row>
    <row r="611" ht="15" customHeight="1" s="162">
      <c r="A611" s="7" t="n">
        <v>610</v>
      </c>
      <c r="B611" t="inlineStr">
        <is>
          <t>1359900000500</t>
        </is>
      </c>
      <c r="C611" t="inlineStr">
        <is>
          <t>COMPRA DIRECTA ELECTRICOS/ELECTRONICOS</t>
        </is>
      </c>
      <c r="D611" t="inlineStr">
        <is>
          <t>1101913015</t>
        </is>
      </c>
      <c r="E611" t="inlineStr">
        <is>
          <t>1</t>
        </is>
      </c>
      <c r="F611" s="163" t="n">
        <v>45926</v>
      </c>
      <c r="G611" t="inlineStr"/>
      <c r="H611" t="inlineStr">
        <is>
          <t>4200630007</t>
        </is>
      </c>
      <c r="I611" t="inlineStr">
        <is>
          <t>10</t>
        </is>
      </c>
      <c r="J611" s="163" t="n">
        <v>45936</v>
      </c>
      <c r="K611" s="163" t="n">
        <v>45937</v>
      </c>
      <c r="L611" t="inlineStr"/>
      <c r="M611" s="163" t="n">
        <v>45988</v>
      </c>
      <c r="N611" s="164" t="n">
        <v>30</v>
      </c>
      <c r="O611" s="164" t="n">
        <v>8</v>
      </c>
      <c r="P611" t="inlineStr">
        <is>
          <t>Liberado</t>
        </is>
      </c>
      <c r="Q611" s="165" t="n">
        <v>2</v>
      </c>
      <c r="R611" s="165" t="n">
        <v>2</v>
      </c>
      <c r="S611" s="165" t="n">
        <v>2</v>
      </c>
      <c r="T611" s="165" t="n">
        <v>0</v>
      </c>
      <c r="U611" s="166" t="n">
        <v>0</v>
      </c>
      <c r="V611" s="166" t="n">
        <v>0</v>
      </c>
      <c r="W611" t="inlineStr">
        <is>
          <t>X</t>
        </is>
      </c>
      <c r="X611" t="inlineStr">
        <is>
          <t>0.00</t>
        </is>
      </c>
      <c r="Y611" t="inlineStr"/>
      <c r="Z611" t="inlineStr">
        <is>
          <t>GRUPO ELECTRO-STOCKS,S.L.U</t>
        </is>
      </c>
      <c r="AA611" t="inlineStr">
        <is>
          <t>OTROS FABRICANTES</t>
        </is>
      </c>
      <c r="AB611" t="inlineStr">
        <is>
          <t>1359900000500</t>
        </is>
      </c>
      <c r="AC611" t="inlineStr"/>
      <c r="AD611" s="164" t="n">
        <v>0</v>
      </c>
      <c r="AE611" s="185" t="n">
        <v>0</v>
      </c>
      <c r="AG611" s="167" t="inlineStr">
        <is>
          <t>7218|S24B05_S1074</t>
        </is>
      </c>
      <c r="AH611" s="46">
        <f>IF(M611=0,"-",M611-J611)</f>
        <v/>
      </c>
      <c r="AI611" s="46">
        <f>IF(AND(S611=0,M611&gt;0,L611=0),IF(AH611&gt;=120,"VERY HIGH",IF(AH611&gt;=90,"HIGH",IF(AH611&gt;=60,"MEDIUM",IF(AH611&lt;60,"LOW")))),"-")</f>
        <v/>
      </c>
      <c r="AJ611" s="12" t="n"/>
      <c r="AK611" s="41">
        <f>IF(AND(W611="X",M611&lt;=$AJ$2),"YES","")</f>
        <v/>
      </c>
      <c r="AL611" s="38">
        <f>IF(AND(W611="X",M611&lt;=$AJ$2),S611,"")</f>
        <v/>
      </c>
      <c r="AM611" s="26">
        <f>IF(AND(W611="X",M611&gt;$AJ$2),"YES","")</f>
        <v/>
      </c>
      <c r="AN611" s="89">
        <f>IF(AND(W611="X",M611&gt;$AJ$2),S611,"")</f>
        <v/>
      </c>
      <c r="AO611" s="35">
        <f>IF(AND(W611="",M611&gt;0,$AJ$2&gt;M611,L611=""),1,0)</f>
        <v/>
      </c>
      <c r="AP611" s="26">
        <f>IF(AND(AK611="YES",W611="X"),"X","")</f>
        <v/>
      </c>
      <c r="AQ611" s="28">
        <f>IF(AP611="X",100%,0%)</f>
        <v/>
      </c>
      <c r="AR611" s="25">
        <f>IF(AND(T611&gt;0,L611=""),H611,"")</f>
        <v/>
      </c>
      <c r="AS611" s="25">
        <f>IF(AND(D611&gt;0,H611=0,G611=""),1,"")</f>
        <v/>
      </c>
      <c r="AT611" s="25">
        <f>IF(G611="BLOQ",1,"")</f>
        <v/>
      </c>
      <c r="AU611" s="25">
        <f>IF(L611="BLOQ",1,"")</f>
        <v/>
      </c>
      <c r="AV611" s="25">
        <f>MONTH(F611)</f>
        <v/>
      </c>
      <c r="AW611" s="65">
        <f>IF(AP611="",100%,0%)</f>
        <v/>
      </c>
      <c r="AX611" s="23" t="n"/>
      <c r="AY611" s="24">
        <f>IF(M611=0,"",M611-$AX$2)</f>
        <v/>
      </c>
      <c r="AZ611" s="66">
        <f>IF(AND(W611="",AY611&gt;0,AY611&lt;15),1,0)</f>
        <v/>
      </c>
      <c r="BA611" s="24">
        <f>IF(AND(W611="",AY611&gt;0,AY611&lt;15),T611,"")</f>
        <v/>
      </c>
      <c r="BB611" s="87">
        <f>IF(R611&lt;Q611,"X","")</f>
        <v/>
      </c>
      <c r="BC611" s="190" t="inlineStr">
        <is>
          <t>NO</t>
        </is>
      </c>
      <c r="BD611" s="190" t="inlineStr">
        <is>
          <t>NO</t>
        </is>
      </c>
    </row>
    <row r="612" ht="15" customHeight="1" s="162">
      <c r="A612" s="7" t="n">
        <v>611</v>
      </c>
      <c r="B612" t="inlineStr">
        <is>
          <t>32000000</t>
        </is>
      </c>
      <c r="C612" t="inlineStr">
        <is>
          <t>Funda termorrectr&amp;#225;ctil TE Connectiv</t>
        </is>
      </c>
      <c r="D612" t="inlineStr">
        <is>
          <t>1101913156</t>
        </is>
      </c>
      <c r="E612" t="inlineStr">
        <is>
          <t>1</t>
        </is>
      </c>
      <c r="F612" s="163" t="n">
        <v>45926</v>
      </c>
      <c r="G612" t="inlineStr"/>
      <c r="H612" t="inlineStr">
        <is>
          <t>4800003291</t>
        </is>
      </c>
      <c r="I612" t="inlineStr">
        <is>
          <t>590</t>
        </is>
      </c>
      <c r="J612" s="163" t="n">
        <v>45925</v>
      </c>
      <c r="K612" s="163" t="inlineStr"/>
      <c r="L612" t="inlineStr"/>
      <c r="M612" s="163" t="n">
        <v>45927</v>
      </c>
      <c r="N612" s="164" t="n">
        <v>40</v>
      </c>
      <c r="O612" s="164" t="n">
        <v>8</v>
      </c>
      <c r="P612" t="inlineStr"/>
      <c r="Q612" s="165" t="n">
        <v>2</v>
      </c>
      <c r="R612" s="165" t="n">
        <v>2</v>
      </c>
      <c r="S612" s="165" t="n">
        <v>2</v>
      </c>
      <c r="T612" s="165" t="n">
        <v>0</v>
      </c>
      <c r="U612" s="166" t="n">
        <v>0</v>
      </c>
      <c r="V612" s="166" t="n">
        <v>0</v>
      </c>
      <c r="W612" t="inlineStr">
        <is>
          <t>X</t>
        </is>
      </c>
      <c r="X612" t="inlineStr">
        <is>
          <t>0.00</t>
        </is>
      </c>
      <c r="Y612" t="inlineStr"/>
      <c r="Z612" t="inlineStr">
        <is>
          <t>AMIDATA, S.A.</t>
        </is>
      </c>
      <c r="AA612" t="inlineStr"/>
      <c r="AB612" t="inlineStr">
        <is>
          <t>7183317P</t>
        </is>
      </c>
      <c r="AC612" t="inlineStr"/>
      <c r="AD612" s="164" t="n">
        <v>0</v>
      </c>
      <c r="AE612" s="185" t="n">
        <v>0</v>
      </c>
      <c r="AG612" s="167" t="inlineStr">
        <is>
          <t>7218|S24B05_S08</t>
        </is>
      </c>
      <c r="AH612" s="46">
        <f>IF(M612=0,"-",M612-J612)</f>
        <v/>
      </c>
      <c r="AI612" s="46">
        <f>IF(AND(S612=0,M612&gt;0,L612=0),IF(AH612&gt;=120,"VERY HIGH",IF(AH612&gt;=90,"HIGH",IF(AH612&gt;=60,"MEDIUM",IF(AH612&lt;60,"LOW")))),"-")</f>
        <v/>
      </c>
      <c r="AJ612" s="12" t="n"/>
      <c r="AK612" s="41">
        <f>IF(AND(W612="X",M612&lt;=$AJ$2),"YES","")</f>
        <v/>
      </c>
      <c r="AL612" s="38">
        <f>IF(AND(W612="X",M612&lt;=$AJ$2),S612,"")</f>
        <v/>
      </c>
      <c r="AM612" s="26">
        <f>IF(AND(W612="X",M612&gt;$AJ$2),"YES","")</f>
        <v/>
      </c>
      <c r="AN612" s="89">
        <f>IF(AND(W612="X",M612&gt;$AJ$2),S612,"")</f>
        <v/>
      </c>
      <c r="AO612" s="35">
        <f>IF(AND(W612="",M612&gt;0,$AJ$2&gt;M612,L612=""),1,0)</f>
        <v/>
      </c>
      <c r="AP612" s="26">
        <f>IF(AND(AK612="YES",W612="X"),"X","")</f>
        <v/>
      </c>
      <c r="AQ612" s="28">
        <f>IF(AP612="X",100%,0%)</f>
        <v/>
      </c>
      <c r="AR612" s="25">
        <f>IF(AND(T612&gt;0,L612=""),H612,"")</f>
        <v/>
      </c>
      <c r="AS612" s="25">
        <f>IF(AND(D612&gt;0,H612=0,G612=""),1,"")</f>
        <v/>
      </c>
      <c r="AT612" s="25">
        <f>IF(G612="BLOQ",1,"")</f>
        <v/>
      </c>
      <c r="AU612" s="25">
        <f>IF(L612="BLOQ",1,"")</f>
        <v/>
      </c>
      <c r="AV612" s="25">
        <f>MONTH(F612)</f>
        <v/>
      </c>
      <c r="AW612" s="65">
        <f>IF(AP612="",100%,0%)</f>
        <v/>
      </c>
      <c r="AX612" s="23" t="n"/>
      <c r="AY612" s="24">
        <f>IF(M612=0,"",M612-$AX$2)</f>
        <v/>
      </c>
      <c r="AZ612" s="66">
        <f>IF(AND(W612="",AY612&gt;0,AY612&lt;15),1,0)</f>
        <v/>
      </c>
      <c r="BA612" s="24">
        <f>IF(AND(W612="",AY612&gt;0,AY612&lt;15),T612,"")</f>
        <v/>
      </c>
      <c r="BB612" s="87">
        <f>IF(R612&lt;Q612,"X","")</f>
        <v/>
      </c>
      <c r="BC612" s="190" t="inlineStr">
        <is>
          <t>NO</t>
        </is>
      </c>
      <c r="BD612" s="190" t="inlineStr">
        <is>
          <t>NO</t>
        </is>
      </c>
    </row>
    <row r="613" ht="15" customHeight="1" s="162">
      <c r="A613" s="7" t="n">
        <v>612</v>
      </c>
      <c r="B613" t="inlineStr"/>
      <c r="C613" t="inlineStr">
        <is>
          <t>CONEXIÓN CENTRALITAS INCENDIOS</t>
        </is>
      </c>
      <c r="D613" t="inlineStr">
        <is>
          <t>1101915959</t>
        </is>
      </c>
      <c r="E613" t="inlineStr">
        <is>
          <t>1</t>
        </is>
      </c>
      <c r="F613" s="163" t="n">
        <v>45933</v>
      </c>
      <c r="G613" t="inlineStr"/>
      <c r="H613" t="inlineStr">
        <is>
          <t>4300353869</t>
        </is>
      </c>
      <c r="I613" t="inlineStr">
        <is>
          <t>10</t>
        </is>
      </c>
      <c r="J613" s="163" t="n">
        <v>45937</v>
      </c>
      <c r="K613" s="163" t="n">
        <v>45937</v>
      </c>
      <c r="L613" t="inlineStr"/>
      <c r="M613" s="163" t="n">
        <v>46053</v>
      </c>
      <c r="N613" s="164" t="n">
        <v>0</v>
      </c>
      <c r="O613" s="164" t="n">
        <v>0</v>
      </c>
      <c r="P613" t="inlineStr">
        <is>
          <t>Liberado</t>
        </is>
      </c>
      <c r="Q613" s="165" t="n">
        <v>1</v>
      </c>
      <c r="R613" s="165" t="n">
        <v>1</v>
      </c>
      <c r="S613" s="165" t="n">
        <v>0</v>
      </c>
      <c r="T613" s="165" t="n">
        <v>0</v>
      </c>
      <c r="U613" s="166" t="n">
        <v>0</v>
      </c>
      <c r="V613" s="166" t="n">
        <v>0</v>
      </c>
      <c r="W613" t="inlineStr"/>
      <c r="X613" t="inlineStr">
        <is>
          <t>0.00</t>
        </is>
      </c>
      <c r="Y613" t="inlineStr"/>
      <c r="Z613" t="inlineStr">
        <is>
          <t>VEOLIA SERVICIOS LECAM, S.A.U.</t>
        </is>
      </c>
      <c r="AA613" t="inlineStr"/>
      <c r="AB613" t="inlineStr"/>
      <c r="AC613" t="inlineStr"/>
      <c r="AD613" s="164" t="n">
        <v>0</v>
      </c>
      <c r="AE613" s="185" t="n">
        <v>0</v>
      </c>
      <c r="AG613" s="167" t="inlineStr">
        <is>
          <t>7218|S24B05_S1076</t>
        </is>
      </c>
      <c r="AH613" s="46">
        <f>IF(M613=0,"-",M613-J613)</f>
        <v/>
      </c>
      <c r="AI613" s="46">
        <f>IF(AND(S613=0,M613&gt;0,L613=0),IF(AH613&gt;=120,"VERY HIGH",IF(AH613&gt;=90,"HIGH",IF(AH613&gt;=60,"MEDIUM",IF(AH613&lt;60,"LOW")))),"-")</f>
        <v/>
      </c>
      <c r="AJ613" s="12" t="n"/>
      <c r="AK613" s="41">
        <f>IF(AND(W613="X",M613&lt;=$AJ$2),"YES","")</f>
        <v/>
      </c>
      <c r="AL613" s="38">
        <f>IF(AND(W613="X",M613&lt;=$AJ$2),S613,"")</f>
        <v/>
      </c>
      <c r="AM613" s="26">
        <f>IF(AND(W613="X",M613&gt;$AJ$2),"YES","")</f>
        <v/>
      </c>
      <c r="AN613" s="89">
        <f>IF(AND(W613="X",M613&gt;$AJ$2),S613,"")</f>
        <v/>
      </c>
      <c r="AO613" s="35">
        <f>IF(AND(W613="",M613&gt;0,$AJ$2&gt;M613,L613=""),1,0)</f>
        <v/>
      </c>
      <c r="AP613" s="26">
        <f>IF(AND(AK613="YES",W613="X"),"X","")</f>
        <v/>
      </c>
      <c r="AQ613" s="28">
        <f>IF(AP613="X",100%,0%)</f>
        <v/>
      </c>
      <c r="AR613" s="25">
        <f>IF(AND(T613&gt;0,L613=""),H613,"")</f>
        <v/>
      </c>
      <c r="AS613" s="25">
        <f>IF(AND(D613&gt;0,H613=0,G613=""),1,"")</f>
        <v/>
      </c>
      <c r="AT613" s="25">
        <f>IF(G613="BLOQ",1,"")</f>
        <v/>
      </c>
      <c r="AU613" s="25">
        <f>IF(L613="BLOQ",1,"")</f>
        <v/>
      </c>
      <c r="AV613" s="25">
        <f>MONTH(F613)</f>
        <v/>
      </c>
      <c r="AW613" s="65">
        <f>IF(AP613="",100%,0%)</f>
        <v/>
      </c>
      <c r="AX613" s="23" t="n"/>
      <c r="AY613" s="24">
        <f>IF(M613=0,"",M613-$AX$2)</f>
        <v/>
      </c>
      <c r="AZ613" s="66">
        <f>IF(AND(W613="",AY613&gt;0,AY613&lt;15),1,0)</f>
        <v/>
      </c>
      <c r="BA613" s="24">
        <f>IF(AND(W613="",AY613&gt;0,AY613&lt;15),T613,"")</f>
        <v/>
      </c>
      <c r="BB613" s="87">
        <f>IF(R613&lt;Q613,"X","")</f>
        <v/>
      </c>
      <c r="BC613" s="190" t="inlineStr">
        <is>
          <t>NO</t>
        </is>
      </c>
      <c r="BD613" s="190" t="inlineStr">
        <is>
          <t>NO</t>
        </is>
      </c>
    </row>
    <row r="614" ht="15" customHeight="1" s="162">
      <c r="A614" s="7" t="n">
        <v>613</v>
      </c>
      <c r="B614" t="inlineStr">
        <is>
          <t>39121004</t>
        </is>
      </c>
      <c r="C614" t="inlineStr">
        <is>
          <t>Fuente de alimentaci&amp;#243;n conmutada Ex</t>
        </is>
      </c>
      <c r="D614" t="inlineStr">
        <is>
          <t>1101915964</t>
        </is>
      </c>
      <c r="E614" t="inlineStr">
        <is>
          <t>1</t>
        </is>
      </c>
      <c r="F614" s="163" t="n">
        <v>45933</v>
      </c>
      <c r="G614" t="inlineStr"/>
      <c r="H614" t="inlineStr">
        <is>
          <t>4800003318</t>
        </is>
      </c>
      <c r="I614" t="inlineStr">
        <is>
          <t>80</t>
        </is>
      </c>
      <c r="J614" s="163" t="n">
        <v>45933</v>
      </c>
      <c r="K614" s="163" t="inlineStr"/>
      <c r="L614" t="inlineStr"/>
      <c r="M614" s="163" t="n">
        <v>45934</v>
      </c>
      <c r="N614" s="164" t="n">
        <v>0</v>
      </c>
      <c r="O614" s="164" t="n">
        <v>0</v>
      </c>
      <c r="P614" t="inlineStr"/>
      <c r="Q614" s="165" t="n">
        <v>2</v>
      </c>
      <c r="R614" s="165" t="n">
        <v>2</v>
      </c>
      <c r="S614" s="165" t="n">
        <v>2</v>
      </c>
      <c r="T614" s="165" t="n">
        <v>0</v>
      </c>
      <c r="U614" s="166" t="n">
        <v>0</v>
      </c>
      <c r="V614" s="166" t="n">
        <v>0</v>
      </c>
      <c r="W614" t="inlineStr">
        <is>
          <t>X</t>
        </is>
      </c>
      <c r="X614" t="inlineStr">
        <is>
          <t>0.00</t>
        </is>
      </c>
      <c r="Y614" t="inlineStr"/>
      <c r="Z614" t="inlineStr">
        <is>
          <t>AMIDATA, S.A.</t>
        </is>
      </c>
      <c r="AA614" t="inlineStr"/>
      <c r="AB614" t="inlineStr">
        <is>
          <t>6273787</t>
        </is>
      </c>
      <c r="AC614" t="inlineStr"/>
      <c r="AD614" s="164" t="n">
        <v>0</v>
      </c>
      <c r="AE614" s="185" t="n">
        <v>0</v>
      </c>
      <c r="AG614" s="167" t="inlineStr">
        <is>
          <t>7218|S24B05_S1074</t>
        </is>
      </c>
      <c r="AH614" s="46">
        <f>IF(M614=0,"-",M614-J614)</f>
        <v/>
      </c>
      <c r="AI614" s="46">
        <f>IF(AND(S614=0,M614&gt;0,L614=0),IF(AH614&gt;=120,"VERY HIGH",IF(AH614&gt;=90,"HIGH",IF(AH614&gt;=60,"MEDIUM",IF(AH614&lt;60,"LOW")))),"-")</f>
        <v/>
      </c>
      <c r="AJ614" s="12" t="n"/>
      <c r="AK614" s="41">
        <f>IF(AND(W614="X",M614&lt;=$AJ$2),"YES","")</f>
        <v/>
      </c>
      <c r="AL614" s="38">
        <f>IF(AND(W614="X",M614&lt;=$AJ$2),S614,"")</f>
        <v/>
      </c>
      <c r="AM614" s="26">
        <f>IF(AND(W614="X",M614&gt;$AJ$2),"YES","")</f>
        <v/>
      </c>
      <c r="AN614" s="89">
        <f>IF(AND(W614="X",M614&gt;$AJ$2),S614,"")</f>
        <v/>
      </c>
      <c r="AO614" s="35">
        <f>IF(AND(W614="",M614&gt;0,$AJ$2&gt;M614,L614=""),1,0)</f>
        <v/>
      </c>
      <c r="AP614" s="26">
        <f>IF(AND(AK614="YES",W614="X"),"X","")</f>
        <v/>
      </c>
      <c r="AQ614" s="28">
        <f>IF(AP614="X",100%,0%)</f>
        <v/>
      </c>
      <c r="AR614" s="25">
        <f>IF(AND(T614&gt;0,L614=""),H614,"")</f>
        <v/>
      </c>
      <c r="AS614" s="25">
        <f>IF(AND(D614&gt;0,H614=0,G614=""),1,"")</f>
        <v/>
      </c>
      <c r="AT614" s="25">
        <f>IF(G614="BLOQ",1,"")</f>
        <v/>
      </c>
      <c r="AU614" s="25">
        <f>IF(L614="BLOQ",1,"")</f>
        <v/>
      </c>
      <c r="AV614" s="25">
        <f>MONTH(F614)</f>
        <v/>
      </c>
      <c r="AW614" s="65">
        <f>IF(AP614="",100%,0%)</f>
        <v/>
      </c>
      <c r="AX614" s="23" t="n"/>
      <c r="AY614" s="24">
        <f>IF(M614=0,"",M614-$AX$2)</f>
        <v/>
      </c>
      <c r="AZ614" s="66">
        <f>IF(AND(W614="",AY614&gt;0,AY614&lt;15),1,0)</f>
        <v/>
      </c>
      <c r="BA614" s="24">
        <f>IF(AND(W614="",AY614&gt;0,AY614&lt;15),T614,"")</f>
        <v/>
      </c>
      <c r="BB614" s="87">
        <f>IF(R614&lt;Q614,"X","")</f>
        <v/>
      </c>
      <c r="BC614" s="190" t="inlineStr">
        <is>
          <t>NO</t>
        </is>
      </c>
      <c r="BD614" s="190" t="inlineStr">
        <is>
          <t>NO</t>
        </is>
      </c>
    </row>
    <row r="615" ht="15" customHeight="1" s="162">
      <c r="A615" s="7" t="n">
        <v>614</v>
      </c>
      <c r="B615" t="inlineStr">
        <is>
          <t>1359900000500</t>
        </is>
      </c>
      <c r="C615" t="inlineStr">
        <is>
          <t>COMPRA DIRECTA ELECTRICOS/ELECTRONICOS</t>
        </is>
      </c>
      <c r="D615" t="inlineStr">
        <is>
          <t>1101916037</t>
        </is>
      </c>
      <c r="E615" t="inlineStr">
        <is>
          <t>1</t>
        </is>
      </c>
      <c r="F615" s="163" t="n">
        <v>45933</v>
      </c>
      <c r="G615" t="inlineStr"/>
      <c r="H615" t="inlineStr">
        <is>
          <t>4200630828</t>
        </is>
      </c>
      <c r="I615" t="inlineStr">
        <is>
          <t>10</t>
        </is>
      </c>
      <c r="J615" s="163" t="n">
        <v>45940</v>
      </c>
      <c r="K615" s="163" t="n">
        <v>45944</v>
      </c>
      <c r="L615" t="inlineStr"/>
      <c r="M615" s="163" t="n">
        <v>46022</v>
      </c>
      <c r="N615" s="164" t="n">
        <v>30</v>
      </c>
      <c r="O615" s="164" t="n">
        <v>8</v>
      </c>
      <c r="P615" t="inlineStr">
        <is>
          <t>Liberado</t>
        </is>
      </c>
      <c r="Q615" s="165" t="n">
        <v>5</v>
      </c>
      <c r="R615" s="165" t="n">
        <v>5</v>
      </c>
      <c r="S615" s="165" t="n">
        <v>5</v>
      </c>
      <c r="T615" s="165" t="n">
        <v>0</v>
      </c>
      <c r="U615" s="166" t="n">
        <v>0</v>
      </c>
      <c r="V615" s="166" t="n">
        <v>0</v>
      </c>
      <c r="W615" t="inlineStr">
        <is>
          <t>X</t>
        </is>
      </c>
      <c r="X615" t="inlineStr">
        <is>
          <t>0.00</t>
        </is>
      </c>
      <c r="Y615" t="inlineStr"/>
      <c r="Z615" t="inlineStr">
        <is>
          <t>SARVER S.L.</t>
        </is>
      </c>
      <c r="AA615" t="inlineStr">
        <is>
          <t>OTROS FABRICANTES</t>
        </is>
      </c>
      <c r="AB615" t="inlineStr">
        <is>
          <t>1359900000500</t>
        </is>
      </c>
      <c r="AC615" t="inlineStr"/>
      <c r="AD615" s="164" t="n">
        <v>0</v>
      </c>
      <c r="AE615" s="185" t="n">
        <v>0</v>
      </c>
      <c r="AG615" s="167" t="inlineStr">
        <is>
          <t>7218|JA2578_1001</t>
        </is>
      </c>
      <c r="AH615" s="46">
        <f>IF(M615=0,"-",M615-J615)</f>
        <v/>
      </c>
      <c r="AI615" s="46">
        <f>IF(AND(S615=0,M615&gt;0,L615=0),IF(AH615&gt;=120,"VERY HIGH",IF(AH615&gt;=90,"HIGH",IF(AH615&gt;=60,"MEDIUM",IF(AH615&lt;60,"LOW")))),"-")</f>
        <v/>
      </c>
      <c r="AJ615" s="12" t="n"/>
      <c r="AK615" s="41">
        <f>IF(AND(W615="X",M615&lt;=$AJ$2),"YES","")</f>
        <v/>
      </c>
      <c r="AL615" s="38">
        <f>IF(AND(W615="X",M615&lt;=$AJ$2),S615,"")</f>
        <v/>
      </c>
      <c r="AM615" s="26">
        <f>IF(AND(W615="X",M615&gt;$AJ$2),"YES","")</f>
        <v/>
      </c>
      <c r="AN615" s="89">
        <f>IF(AND(W615="X",M615&gt;$AJ$2),S615,"")</f>
        <v/>
      </c>
      <c r="AO615" s="35">
        <f>IF(AND(W615="",M615&gt;0,$AJ$2&gt;M615,L615=""),1,0)</f>
        <v/>
      </c>
      <c r="AP615" s="26">
        <f>IF(AND(AK615="YES",W615="X"),"X","")</f>
        <v/>
      </c>
      <c r="AQ615" s="28">
        <f>IF(AP615="X",100%,0%)</f>
        <v/>
      </c>
      <c r="AR615" s="25">
        <f>IF(AND(T615&gt;0,L615=""),H615,"")</f>
        <v/>
      </c>
      <c r="AS615" s="25">
        <f>IF(AND(D615&gt;0,H615=0,G615=""),1,"")</f>
        <v/>
      </c>
      <c r="AT615" s="25">
        <f>IF(G615="BLOQ",1,"")</f>
        <v/>
      </c>
      <c r="AU615" s="25">
        <f>IF(L615="BLOQ",1,"")</f>
        <v/>
      </c>
      <c r="AV615" s="25">
        <f>MONTH(F615)</f>
        <v/>
      </c>
      <c r="AW615" s="65">
        <f>IF(AP615="",100%,0%)</f>
        <v/>
      </c>
      <c r="AX615" s="23" t="n"/>
      <c r="AY615" s="24">
        <f>IF(M615=0,"",M615-$AX$2)</f>
        <v/>
      </c>
      <c r="AZ615" s="66">
        <f>IF(AND(W615="",AY615&gt;0,AY615&lt;15),1,0)</f>
        <v/>
      </c>
      <c r="BA615" s="24">
        <f>IF(AND(W615="",AY615&gt;0,AY615&lt;15),T615,"")</f>
        <v/>
      </c>
      <c r="BB615" s="87">
        <f>IF(R615&lt;Q615,"X","")</f>
        <v/>
      </c>
      <c r="BC615" s="190" t="inlineStr">
        <is>
          <t>NO</t>
        </is>
      </c>
      <c r="BD615" s="190" t="inlineStr">
        <is>
          <t>NO</t>
        </is>
      </c>
    </row>
    <row r="616" ht="15" customHeight="1" s="162">
      <c r="A616" s="7" t="n">
        <v>615</v>
      </c>
      <c r="B616" t="inlineStr">
        <is>
          <t>1359900000500</t>
        </is>
      </c>
      <c r="C616" t="inlineStr">
        <is>
          <t>COMPRA DIRECTA ELECTRICOS/ELECTRONICOS</t>
        </is>
      </c>
      <c r="D616" t="inlineStr">
        <is>
          <t>1101916037</t>
        </is>
      </c>
      <c r="E616" t="inlineStr">
        <is>
          <t>2</t>
        </is>
      </c>
      <c r="F616" s="163" t="n">
        <v>45933</v>
      </c>
      <c r="G616" t="inlineStr"/>
      <c r="H616" t="inlineStr">
        <is>
          <t>4200630828</t>
        </is>
      </c>
      <c r="I616" t="inlineStr">
        <is>
          <t>20</t>
        </is>
      </c>
      <c r="J616" s="163" t="n">
        <v>45940</v>
      </c>
      <c r="K616" s="163" t="n">
        <v>45944</v>
      </c>
      <c r="L616" t="inlineStr"/>
      <c r="M616" s="163" t="n">
        <v>46022</v>
      </c>
      <c r="N616" s="164" t="n">
        <v>30</v>
      </c>
      <c r="O616" s="164" t="n">
        <v>8</v>
      </c>
      <c r="P616" t="inlineStr">
        <is>
          <t>Liberado</t>
        </is>
      </c>
      <c r="Q616" s="165" t="n">
        <v>1</v>
      </c>
      <c r="R616" s="165" t="n">
        <v>1</v>
      </c>
      <c r="S616" s="165" t="n">
        <v>1</v>
      </c>
      <c r="T616" s="165" t="n">
        <v>0</v>
      </c>
      <c r="U616" s="166" t="n">
        <v>0</v>
      </c>
      <c r="V616" s="166" t="n">
        <v>0</v>
      </c>
      <c r="W616" t="inlineStr">
        <is>
          <t>X</t>
        </is>
      </c>
      <c r="X616" t="inlineStr">
        <is>
          <t>0.00</t>
        </is>
      </c>
      <c r="Y616" t="inlineStr"/>
      <c r="Z616" t="inlineStr">
        <is>
          <t>SARVER S.L.</t>
        </is>
      </c>
      <c r="AA616" t="inlineStr">
        <is>
          <t>OTROS FABRICANTES</t>
        </is>
      </c>
      <c r="AB616" t="inlineStr">
        <is>
          <t>1359900000500</t>
        </is>
      </c>
      <c r="AC616" t="inlineStr"/>
      <c r="AD616" s="164" t="n">
        <v>0</v>
      </c>
      <c r="AE616" s="185" t="n">
        <v>0</v>
      </c>
      <c r="AG616" s="167" t="inlineStr">
        <is>
          <t>7218|JA2578_1001</t>
        </is>
      </c>
      <c r="AH616" s="46">
        <f>IF(M616=0,"-",M616-J616)</f>
        <v/>
      </c>
      <c r="AI616" s="46">
        <f>IF(AND(S616=0,M616&gt;0,L616=0),IF(AH616&gt;=120,"VERY HIGH",IF(AH616&gt;=90,"HIGH",IF(AH616&gt;=60,"MEDIUM",IF(AH616&lt;60,"LOW")))),"-")</f>
        <v/>
      </c>
      <c r="AJ616" s="12" t="n"/>
      <c r="AK616" s="41">
        <f>IF(AND(W616="X",M616&lt;=$AJ$2),"YES","")</f>
        <v/>
      </c>
      <c r="AL616" s="38">
        <f>IF(AND(W616="X",M616&lt;=$AJ$2),S616,"")</f>
        <v/>
      </c>
      <c r="AM616" s="26">
        <f>IF(AND(W616="X",M616&gt;$AJ$2),"YES","")</f>
        <v/>
      </c>
      <c r="AN616" s="89">
        <f>IF(AND(W616="X",M616&gt;$AJ$2),S616,"")</f>
        <v/>
      </c>
      <c r="AO616" s="35">
        <f>IF(AND(W616="",M616&gt;0,$AJ$2&gt;M616,L616=""),1,0)</f>
        <v/>
      </c>
      <c r="AP616" s="26">
        <f>IF(AND(AK616="YES",W616="X"),"X","")</f>
        <v/>
      </c>
      <c r="AQ616" s="28">
        <f>IF(AP616="X",100%,0%)</f>
        <v/>
      </c>
      <c r="AR616" s="25">
        <f>IF(AND(T616&gt;0,L616=""),H616,"")</f>
        <v/>
      </c>
      <c r="AS616" s="25">
        <f>IF(AND(D616&gt;0,H616=0,G616=""),1,"")</f>
        <v/>
      </c>
      <c r="AT616" s="25">
        <f>IF(G616="BLOQ",1,"")</f>
        <v/>
      </c>
      <c r="AU616" s="25">
        <f>IF(L616="BLOQ",1,"")</f>
        <v/>
      </c>
      <c r="AV616" s="25">
        <f>MONTH(F616)</f>
        <v/>
      </c>
      <c r="AW616" s="65">
        <f>IF(AP616="",100%,0%)</f>
        <v/>
      </c>
      <c r="AX616" s="23" t="n"/>
      <c r="AY616" s="24">
        <f>IF(M616=0,"",M616-$AX$2)</f>
        <v/>
      </c>
      <c r="AZ616" s="66">
        <f>IF(AND(W616="",AY616&gt;0,AY616&lt;15),1,0)</f>
        <v/>
      </c>
      <c r="BA616" s="24">
        <f>IF(AND(W616="",AY616&gt;0,AY616&lt;15),T616,"")</f>
        <v/>
      </c>
      <c r="BB616" s="87">
        <f>IF(R616&lt;Q616,"X","")</f>
        <v/>
      </c>
      <c r="BC616" s="190" t="inlineStr">
        <is>
          <t>NO</t>
        </is>
      </c>
      <c r="BD616" s="190" t="inlineStr">
        <is>
          <t>NO</t>
        </is>
      </c>
    </row>
    <row r="617" ht="15" customHeight="1" s="162">
      <c r="A617" s="7" t="n">
        <v>616</v>
      </c>
      <c r="B617" t="inlineStr">
        <is>
          <t>1359900000500</t>
        </is>
      </c>
      <c r="C617" t="inlineStr">
        <is>
          <t>COMPRA DIRECTA ELECTRICOS/ELECTRONICOS</t>
        </is>
      </c>
      <c r="D617" t="inlineStr">
        <is>
          <t>1101916037</t>
        </is>
      </c>
      <c r="E617" t="inlineStr">
        <is>
          <t>3</t>
        </is>
      </c>
      <c r="F617" s="163" t="n">
        <v>45933</v>
      </c>
      <c r="G617" t="inlineStr"/>
      <c r="H617" t="inlineStr">
        <is>
          <t>4200630828</t>
        </is>
      </c>
      <c r="I617" t="inlineStr">
        <is>
          <t>30</t>
        </is>
      </c>
      <c r="J617" s="163" t="n">
        <v>45940</v>
      </c>
      <c r="K617" s="163" t="n">
        <v>45944</v>
      </c>
      <c r="L617" t="inlineStr"/>
      <c r="M617" s="163" t="n">
        <v>46022</v>
      </c>
      <c r="N617" s="164" t="n">
        <v>30</v>
      </c>
      <c r="O617" s="164" t="n">
        <v>8</v>
      </c>
      <c r="P617" t="inlineStr">
        <is>
          <t>Liberado</t>
        </is>
      </c>
      <c r="Q617" s="165" t="n">
        <v>1</v>
      </c>
      <c r="R617" s="165" t="n">
        <v>1</v>
      </c>
      <c r="S617" s="165" t="n">
        <v>1</v>
      </c>
      <c r="T617" s="165" t="n">
        <v>0</v>
      </c>
      <c r="U617" s="166" t="n">
        <v>0</v>
      </c>
      <c r="V617" s="166" t="n">
        <v>0</v>
      </c>
      <c r="W617" t="inlineStr">
        <is>
          <t>X</t>
        </is>
      </c>
      <c r="X617" t="inlineStr">
        <is>
          <t>0.00</t>
        </is>
      </c>
      <c r="Y617" t="inlineStr"/>
      <c r="Z617" t="inlineStr">
        <is>
          <t>SARVER S.L.</t>
        </is>
      </c>
      <c r="AA617" t="inlineStr">
        <is>
          <t>OTROS FABRICANTES</t>
        </is>
      </c>
      <c r="AB617" t="inlineStr">
        <is>
          <t>1359900000500</t>
        </is>
      </c>
      <c r="AC617" t="inlineStr"/>
      <c r="AD617" s="164" t="n">
        <v>0</v>
      </c>
      <c r="AE617" s="185" t="n">
        <v>0</v>
      </c>
      <c r="AG617" s="167" t="inlineStr">
        <is>
          <t>7218|JA2578_1001</t>
        </is>
      </c>
      <c r="AH617" s="46">
        <f>IF(M617=0,"-",M617-J617)</f>
        <v/>
      </c>
      <c r="AI617" s="46">
        <f>IF(AND(S617=0,M617&gt;0,L617=0),IF(AH617&gt;=120,"VERY HIGH",IF(AH617&gt;=90,"HIGH",IF(AH617&gt;=60,"MEDIUM",IF(AH617&lt;60,"LOW")))),"-")</f>
        <v/>
      </c>
      <c r="AJ617" s="12" t="n"/>
      <c r="AK617" s="41">
        <f>IF(AND(W617="X",M617&lt;=$AJ$2),"YES","")</f>
        <v/>
      </c>
      <c r="AL617" s="38">
        <f>IF(AND(W617="X",M617&lt;=$AJ$2),S617,"")</f>
        <v/>
      </c>
      <c r="AM617" s="26">
        <f>IF(AND(W617="X",M617&gt;$AJ$2),"YES","")</f>
        <v/>
      </c>
      <c r="AN617" s="89">
        <f>IF(AND(W617="X",M617&gt;$AJ$2),S617,"")</f>
        <v/>
      </c>
      <c r="AO617" s="35">
        <f>IF(AND(W617="",M617&gt;0,$AJ$2&gt;M617,L617=""),1,0)</f>
        <v/>
      </c>
      <c r="AP617" s="26">
        <f>IF(AND(AK617="YES",W617="X"),"X","")</f>
        <v/>
      </c>
      <c r="AQ617" s="28">
        <f>IF(AP617="X",100%,0%)</f>
        <v/>
      </c>
      <c r="AR617" s="25">
        <f>IF(AND(T617&gt;0,L617=""),H617,"")</f>
        <v/>
      </c>
      <c r="AS617" s="25">
        <f>IF(AND(D617&gt;0,H617=0,G617=""),1,"")</f>
        <v/>
      </c>
      <c r="AT617" s="25">
        <f>IF(G617="BLOQ",1,"")</f>
        <v/>
      </c>
      <c r="AU617" s="25">
        <f>IF(L617="BLOQ",1,"")</f>
        <v/>
      </c>
      <c r="AV617" s="25">
        <f>MONTH(F617)</f>
        <v/>
      </c>
      <c r="AW617" s="65">
        <f>IF(AP617="",100%,0%)</f>
        <v/>
      </c>
      <c r="AX617" s="23" t="n"/>
      <c r="AY617" s="24">
        <f>IF(M617=0,"",M617-$AX$2)</f>
        <v/>
      </c>
      <c r="AZ617" s="66">
        <f>IF(AND(W617="",AY617&gt;0,AY617&lt;15),1,0)</f>
        <v/>
      </c>
      <c r="BA617" s="24">
        <f>IF(AND(W617="",AY617&gt;0,AY617&lt;15),T617,"")</f>
        <v/>
      </c>
      <c r="BB617" s="87">
        <f>IF(R617&lt;Q617,"X","")</f>
        <v/>
      </c>
      <c r="BC617" s="190" t="inlineStr">
        <is>
          <t>NO</t>
        </is>
      </c>
      <c r="BD617" s="190" t="inlineStr">
        <is>
          <t>NO</t>
        </is>
      </c>
    </row>
    <row r="618" ht="15" customHeight="1" s="162">
      <c r="A618" s="7" t="n">
        <v>617</v>
      </c>
      <c r="B618" t="inlineStr">
        <is>
          <t>39121421</t>
        </is>
      </c>
      <c r="C618" t="inlineStr">
        <is>
          <t>Conector de potencia industrial Macho, F</t>
        </is>
      </c>
      <c r="D618" t="inlineStr">
        <is>
          <t>1101916440</t>
        </is>
      </c>
      <c r="E618" t="inlineStr">
        <is>
          <t>1</t>
        </is>
      </c>
      <c r="F618" s="163" t="n">
        <v>45936</v>
      </c>
      <c r="G618" t="inlineStr"/>
      <c r="H618" t="inlineStr">
        <is>
          <t>4800003320</t>
        </is>
      </c>
      <c r="I618" t="inlineStr">
        <is>
          <t>280</t>
        </is>
      </c>
      <c r="J618" s="163" t="n">
        <v>45936</v>
      </c>
      <c r="K618" s="163" t="inlineStr"/>
      <c r="L618" t="inlineStr"/>
      <c r="M618" s="163" t="n">
        <v>45937</v>
      </c>
      <c r="N618" s="164" t="n">
        <v>0</v>
      </c>
      <c r="O618" s="164" t="n">
        <v>0</v>
      </c>
      <c r="P618" t="inlineStr"/>
      <c r="Q618" s="165" t="n">
        <v>1</v>
      </c>
      <c r="R618" s="165" t="n">
        <v>1</v>
      </c>
      <c r="S618" s="165" t="n">
        <v>1</v>
      </c>
      <c r="T618" s="165" t="n">
        <v>0</v>
      </c>
      <c r="U618" s="166" t="n">
        <v>0</v>
      </c>
      <c r="V618" s="166" t="n">
        <v>0</v>
      </c>
      <c r="W618" t="inlineStr">
        <is>
          <t>X</t>
        </is>
      </c>
      <c r="X618" t="inlineStr">
        <is>
          <t>0.00</t>
        </is>
      </c>
      <c r="Y618" t="inlineStr"/>
      <c r="Z618" t="inlineStr">
        <is>
          <t>AMIDATA, S.A.</t>
        </is>
      </c>
      <c r="AA618" t="inlineStr"/>
      <c r="AB618" t="inlineStr">
        <is>
          <t>5306101</t>
        </is>
      </c>
      <c r="AC618" t="inlineStr"/>
      <c r="AD618" s="164" t="n">
        <v>0</v>
      </c>
      <c r="AE618" s="185" t="n">
        <v>0</v>
      </c>
      <c r="AG618" s="167" t="inlineStr">
        <is>
          <t>7218|JA2581_1001</t>
        </is>
      </c>
      <c r="AH618" s="46">
        <f>IF(M618=0,"-",M618-J618)</f>
        <v/>
      </c>
      <c r="AI618" s="46">
        <f>IF(AND(S618=0,M618&gt;0,L618=0),IF(AH618&gt;=120,"VERY HIGH",IF(AH618&gt;=90,"HIGH",IF(AH618&gt;=60,"MEDIUM",IF(AH618&lt;60,"LOW")))),"-")</f>
        <v/>
      </c>
      <c r="AJ618" s="12" t="n"/>
      <c r="AK618" s="41">
        <f>IF(AND(W618="X",M618&lt;=$AJ$2),"YES","")</f>
        <v/>
      </c>
      <c r="AL618" s="38">
        <f>IF(AND(W618="X",M618&lt;=$AJ$2),S618,"")</f>
        <v/>
      </c>
      <c r="AM618" s="26">
        <f>IF(AND(W618="X",M618&gt;$AJ$2),"YES","")</f>
        <v/>
      </c>
      <c r="AN618" s="89">
        <f>IF(AND(W618="X",M618&gt;$AJ$2),S618,"")</f>
        <v/>
      </c>
      <c r="AO618" s="35">
        <f>IF(AND(W618="",M618&gt;0,$AJ$2&gt;M618,L618=""),1,0)</f>
        <v/>
      </c>
      <c r="AP618" s="26">
        <f>IF(AND(AK618="YES",W618="X"),"X","")</f>
        <v/>
      </c>
      <c r="AQ618" s="28">
        <f>IF(AP618="X",100%,0%)</f>
        <v/>
      </c>
      <c r="AR618" s="25">
        <f>IF(AND(T618&gt;0,L618=""),H618,"")</f>
        <v/>
      </c>
      <c r="AS618" s="25">
        <f>IF(AND(D618&gt;0,H618=0,G618=""),1,"")</f>
        <v/>
      </c>
      <c r="AT618" s="25">
        <f>IF(G618="BLOQ",1,"")</f>
        <v/>
      </c>
      <c r="AU618" s="25">
        <f>IF(L618="BLOQ",1,"")</f>
        <v/>
      </c>
      <c r="AV618" s="25">
        <f>MONTH(F618)</f>
        <v/>
      </c>
      <c r="AW618" s="65">
        <f>IF(AP618="",100%,0%)</f>
        <v/>
      </c>
      <c r="AX618" s="23" t="n"/>
      <c r="AY618" s="24">
        <f>IF(M618=0,"",M618-$AX$2)</f>
        <v/>
      </c>
      <c r="AZ618" s="66">
        <f>IF(AND(W618="",AY618&gt;0,AY618&lt;15),1,0)</f>
        <v/>
      </c>
      <c r="BA618" s="24">
        <f>IF(AND(W618="",AY618&gt;0,AY618&lt;15),T618,"")</f>
        <v/>
      </c>
      <c r="BB618" s="87">
        <f>IF(R618&lt;Q618,"X","")</f>
        <v/>
      </c>
      <c r="BC618" s="190" t="inlineStr">
        <is>
          <t>NO</t>
        </is>
      </c>
      <c r="BD618" s="190" t="inlineStr">
        <is>
          <t>NO</t>
        </is>
      </c>
    </row>
    <row r="619" ht="15" customHeight="1" s="162">
      <c r="A619" s="7" t="n">
        <v>618</v>
      </c>
      <c r="B619" t="inlineStr">
        <is>
          <t>55121704</t>
        </is>
      </c>
      <c r="C619" t="inlineStr">
        <is>
          <t>Se&amp;#241;al de protecci&amp;#243;n contra inc</t>
        </is>
      </c>
      <c r="D619" t="inlineStr">
        <is>
          <t>1101917916</t>
        </is>
      </c>
      <c r="E619" t="inlineStr">
        <is>
          <t>1</t>
        </is>
      </c>
      <c r="F619" s="163" t="n">
        <v>45939</v>
      </c>
      <c r="G619" t="inlineStr"/>
      <c r="H619" t="inlineStr">
        <is>
          <t>4800003327</t>
        </is>
      </c>
      <c r="I619" t="inlineStr">
        <is>
          <t>50</t>
        </is>
      </c>
      <c r="J619" s="163" t="n">
        <v>45938</v>
      </c>
      <c r="K619" s="163" t="inlineStr"/>
      <c r="L619" t="inlineStr"/>
      <c r="M619" s="163" t="n">
        <v>45940</v>
      </c>
      <c r="N619" s="164" t="n">
        <v>0</v>
      </c>
      <c r="O619" s="164" t="n">
        <v>0</v>
      </c>
      <c r="P619" t="inlineStr"/>
      <c r="Q619" s="165" t="n">
        <v>1</v>
      </c>
      <c r="R619" s="165" t="n">
        <v>1</v>
      </c>
      <c r="S619" s="165" t="n">
        <v>1</v>
      </c>
      <c r="T619" s="165" t="n">
        <v>0</v>
      </c>
      <c r="U619" s="166" t="n">
        <v>0</v>
      </c>
      <c r="V619" s="166" t="n">
        <v>0</v>
      </c>
      <c r="W619" t="inlineStr">
        <is>
          <t>X</t>
        </is>
      </c>
      <c r="X619" t="inlineStr">
        <is>
          <t>0.00</t>
        </is>
      </c>
      <c r="Y619" t="inlineStr"/>
      <c r="Z619" t="inlineStr">
        <is>
          <t>AMIDATA, S.A.</t>
        </is>
      </c>
      <c r="AA619" t="inlineStr"/>
      <c r="AB619" t="inlineStr">
        <is>
          <t>2209872</t>
        </is>
      </c>
      <c r="AC619" t="inlineStr"/>
      <c r="AD619" s="164" t="n">
        <v>0</v>
      </c>
      <c r="AE619" s="185" t="n">
        <v>0</v>
      </c>
      <c r="AG619" s="167" t="inlineStr">
        <is>
          <t>7218|JA2582_1001</t>
        </is>
      </c>
      <c r="AH619" s="46">
        <f>IF(M619=0,"-",M619-J619)</f>
        <v/>
      </c>
      <c r="AI619" s="46">
        <f>IF(AND(S619=0,M619&gt;0,L619=0),IF(AH619&gt;=120,"VERY HIGH",IF(AH619&gt;=90,"HIGH",IF(AH619&gt;=60,"MEDIUM",IF(AH619&lt;60,"LOW")))),"-")</f>
        <v/>
      </c>
      <c r="AJ619" s="12" t="n"/>
      <c r="AK619" s="41">
        <f>IF(AND(W619="X",M619&lt;=$AJ$2),"YES","")</f>
        <v/>
      </c>
      <c r="AL619" s="38">
        <f>IF(AND(W619="X",M619&lt;=$AJ$2),S619,"")</f>
        <v/>
      </c>
      <c r="AM619" s="26">
        <f>IF(AND(W619="X",M619&gt;$AJ$2),"YES","")</f>
        <v/>
      </c>
      <c r="AN619" s="89">
        <f>IF(AND(W619="X",M619&gt;$AJ$2),S619,"")</f>
        <v/>
      </c>
      <c r="AO619" s="35">
        <f>IF(AND(W619="",M619&gt;0,$AJ$2&gt;M619,L619=""),1,0)</f>
        <v/>
      </c>
      <c r="AP619" s="26">
        <f>IF(AND(AK619="YES",W619="X"),"X","")</f>
        <v/>
      </c>
      <c r="AQ619" s="28">
        <f>IF(AP619="X",100%,0%)</f>
        <v/>
      </c>
      <c r="AR619" s="25">
        <f>IF(AND(T619&gt;0,L619=""),H619,"")</f>
        <v/>
      </c>
      <c r="AS619" s="25">
        <f>IF(AND(D619&gt;0,H619=0,G619=""),1,"")</f>
        <v/>
      </c>
      <c r="AT619" s="25">
        <f>IF(G619="BLOQ",1,"")</f>
        <v/>
      </c>
      <c r="AU619" s="25">
        <f>IF(L619="BLOQ",1,"")</f>
        <v/>
      </c>
      <c r="AV619" s="25">
        <f>MONTH(F619)</f>
        <v/>
      </c>
      <c r="AW619" s="65">
        <f>IF(AP619="",100%,0%)</f>
        <v/>
      </c>
      <c r="AX619" s="23" t="n"/>
      <c r="AY619" s="24">
        <f>IF(M619=0,"",M619-$AX$2)</f>
        <v/>
      </c>
      <c r="AZ619" s="66">
        <f>IF(AND(W619="",AY619&gt;0,AY619&lt;15),1,0)</f>
        <v/>
      </c>
      <c r="BA619" s="24">
        <f>IF(AND(W619="",AY619&gt;0,AY619&lt;15),T619,"")</f>
        <v/>
      </c>
      <c r="BB619" s="87">
        <f>IF(R619&lt;Q619,"X","")</f>
        <v/>
      </c>
      <c r="BC619" s="190" t="inlineStr">
        <is>
          <t>NO</t>
        </is>
      </c>
      <c r="BD619" s="190" t="inlineStr">
        <is>
          <t>NO</t>
        </is>
      </c>
    </row>
    <row r="620" ht="15" customHeight="1" s="162">
      <c r="A620" s="7" t="n">
        <v>619</v>
      </c>
      <c r="B620" t="inlineStr">
        <is>
          <t>1359900000500</t>
        </is>
      </c>
      <c r="C620" t="inlineStr">
        <is>
          <t>COMPRA DIRECTA ELECTRICOS/ELECTRONICOS</t>
        </is>
      </c>
      <c r="D620" t="inlineStr">
        <is>
          <t>1101918375</t>
        </is>
      </c>
      <c r="E620" t="inlineStr">
        <is>
          <t>1</t>
        </is>
      </c>
      <c r="F620" s="163" t="n">
        <v>45939</v>
      </c>
      <c r="G620" t="inlineStr"/>
      <c r="H620" t="inlineStr">
        <is>
          <t>4200631682</t>
        </is>
      </c>
      <c r="I620" t="inlineStr">
        <is>
          <t>10</t>
        </is>
      </c>
      <c r="J620" s="163" t="n">
        <v>45946</v>
      </c>
      <c r="K620" s="163" t="n">
        <v>45951</v>
      </c>
      <c r="L620" t="inlineStr"/>
      <c r="M620" s="163" t="n">
        <v>46022</v>
      </c>
      <c r="N620" s="164" t="n">
        <v>30</v>
      </c>
      <c r="O620" s="164" t="n">
        <v>8</v>
      </c>
      <c r="P620" t="inlineStr">
        <is>
          <t>Liberado</t>
        </is>
      </c>
      <c r="Q620" s="165" t="n">
        <v>1</v>
      </c>
      <c r="R620" s="165" t="n">
        <v>1</v>
      </c>
      <c r="S620" s="165" t="n">
        <v>1</v>
      </c>
      <c r="T620" s="165" t="n">
        <v>0</v>
      </c>
      <c r="U620" s="166" t="n">
        <v>0</v>
      </c>
      <c r="V620" s="166" t="n">
        <v>0</v>
      </c>
      <c r="W620" t="inlineStr">
        <is>
          <t>X</t>
        </is>
      </c>
      <c r="X620" t="inlineStr">
        <is>
          <t>0.00</t>
        </is>
      </c>
      <c r="Y620" t="inlineStr"/>
      <c r="Z620" t="inlineStr">
        <is>
          <t>SARVER S.L.</t>
        </is>
      </c>
      <c r="AA620" t="inlineStr">
        <is>
          <t>OTROS FABRICANTES</t>
        </is>
      </c>
      <c r="AB620" t="inlineStr">
        <is>
          <t>1359900000500</t>
        </is>
      </c>
      <c r="AC620" t="inlineStr"/>
      <c r="AD620" s="164" t="n">
        <v>0</v>
      </c>
      <c r="AE620" s="185" t="n">
        <v>0</v>
      </c>
      <c r="AG620" s="167" t="inlineStr">
        <is>
          <t>7218|JA2578_1001</t>
        </is>
      </c>
      <c r="AH620" s="46">
        <f>IF(M620=0,"-",M620-J620)</f>
        <v/>
      </c>
      <c r="AI620" s="46">
        <f>IF(AND(S620=0,M620&gt;0,L620=0),IF(AH620&gt;=120,"VERY HIGH",IF(AH620&gt;=90,"HIGH",IF(AH620&gt;=60,"MEDIUM",IF(AH620&lt;60,"LOW")))),"-")</f>
        <v/>
      </c>
      <c r="AJ620" s="12" t="n"/>
      <c r="AK620" s="41">
        <f>IF(AND(W620="X",M620&lt;=$AJ$2),"YES","")</f>
        <v/>
      </c>
      <c r="AL620" s="38">
        <f>IF(AND(W620="X",M620&lt;=$AJ$2),S620,"")</f>
        <v/>
      </c>
      <c r="AM620" s="26">
        <f>IF(AND(W620="X",M620&gt;$AJ$2),"YES","")</f>
        <v/>
      </c>
      <c r="AN620" s="89">
        <f>IF(AND(W620="X",M620&gt;$AJ$2),S620,"")</f>
        <v/>
      </c>
      <c r="AO620" s="35">
        <f>IF(AND(W620="",M620&gt;0,$AJ$2&gt;M620,L620=""),1,0)</f>
        <v/>
      </c>
      <c r="AP620" s="26">
        <f>IF(AND(AK620="YES",W620="X"),"X","")</f>
        <v/>
      </c>
      <c r="AQ620" s="28">
        <f>IF(AP620="X",100%,0%)</f>
        <v/>
      </c>
      <c r="AR620" s="25">
        <f>IF(AND(T620&gt;0,L620=""),H620,"")</f>
        <v/>
      </c>
      <c r="AS620" s="25">
        <f>IF(AND(D620&gt;0,H620=0,G620=""),1,"")</f>
        <v/>
      </c>
      <c r="AT620" s="25">
        <f>IF(G620="BLOQ",1,"")</f>
        <v/>
      </c>
      <c r="AU620" s="25">
        <f>IF(L620="BLOQ",1,"")</f>
        <v/>
      </c>
      <c r="AV620" s="25">
        <f>MONTH(F620)</f>
        <v/>
      </c>
      <c r="AW620" s="65">
        <f>IF(AP620="",100%,0%)</f>
        <v/>
      </c>
      <c r="AX620" s="23" t="n"/>
      <c r="AY620" s="24">
        <f>IF(M620=0,"",M620-$AX$2)</f>
        <v/>
      </c>
      <c r="AZ620" s="66">
        <f>IF(AND(W620="",AY620&gt;0,AY620&lt;15),1,0)</f>
        <v/>
      </c>
      <c r="BA620" s="24">
        <f>IF(AND(W620="",AY620&gt;0,AY620&lt;15),T620,"")</f>
        <v/>
      </c>
      <c r="BB620" s="87">
        <f>IF(R620&lt;Q620,"X","")</f>
        <v/>
      </c>
      <c r="BC620" s="190" t="inlineStr">
        <is>
          <t>NO</t>
        </is>
      </c>
      <c r="BD620" s="190" t="inlineStr">
        <is>
          <t>NO</t>
        </is>
      </c>
    </row>
    <row r="621" ht="15" customHeight="1" s="162">
      <c r="A621" s="7" t="n">
        <v>620</v>
      </c>
      <c r="B621" t="inlineStr">
        <is>
          <t>39121529</t>
        </is>
      </c>
      <c r="C621" t="inlineStr">
        <is>
          <t>Contactor ABB ESB25-40N-01 ESB de 4 polo</t>
        </is>
      </c>
      <c r="D621" t="inlineStr">
        <is>
          <t>1101918581</t>
        </is>
      </c>
      <c r="E621" t="inlineStr">
        <is>
          <t>1</t>
        </is>
      </c>
      <c r="F621" s="163" t="n">
        <v>45940</v>
      </c>
      <c r="G621" t="inlineStr"/>
      <c r="H621" t="inlineStr">
        <is>
          <t>4800003329</t>
        </is>
      </c>
      <c r="I621" t="inlineStr">
        <is>
          <t>630</t>
        </is>
      </c>
      <c r="J621" s="163" t="n">
        <v>45939</v>
      </c>
      <c r="K621" s="163" t="inlineStr"/>
      <c r="L621" t="inlineStr"/>
      <c r="M621" s="163" t="n">
        <v>45941</v>
      </c>
      <c r="N621" s="164" t="n">
        <v>0</v>
      </c>
      <c r="O621" s="164" t="n">
        <v>0</v>
      </c>
      <c r="P621" t="inlineStr"/>
      <c r="Q621" s="165" t="n">
        <v>1</v>
      </c>
      <c r="R621" s="165" t="n">
        <v>1</v>
      </c>
      <c r="S621" s="165" t="n">
        <v>1</v>
      </c>
      <c r="T621" s="165" t="n">
        <v>0</v>
      </c>
      <c r="U621" s="166" t="n">
        <v>0</v>
      </c>
      <c r="V621" s="166" t="n">
        <v>0</v>
      </c>
      <c r="W621" t="inlineStr">
        <is>
          <t>X</t>
        </is>
      </c>
      <c r="X621" t="inlineStr">
        <is>
          <t>0.00</t>
        </is>
      </c>
      <c r="Y621" t="inlineStr"/>
      <c r="Z621" t="inlineStr">
        <is>
          <t>AMIDATA, S.A.</t>
        </is>
      </c>
      <c r="AA621" t="inlineStr"/>
      <c r="AB621" t="inlineStr">
        <is>
          <t>2111460</t>
        </is>
      </c>
      <c r="AC621" t="inlineStr"/>
      <c r="AD621" s="164" t="n">
        <v>0</v>
      </c>
      <c r="AE621" s="185" t="n">
        <v>0</v>
      </c>
      <c r="AG621" s="167" t="inlineStr">
        <is>
          <t>7218|S24B05_S1074</t>
        </is>
      </c>
      <c r="AH621" s="46">
        <f>IF(M621=0,"-",M621-J621)</f>
        <v/>
      </c>
      <c r="AI621" s="46">
        <f>IF(AND(S621=0,M621&gt;0,L621=0),IF(AH621&gt;=120,"VERY HIGH",IF(AH621&gt;=90,"HIGH",IF(AH621&gt;=60,"MEDIUM",IF(AH621&lt;60,"LOW")))),"-")</f>
        <v/>
      </c>
      <c r="AJ621" s="12" t="n"/>
      <c r="AK621" s="41">
        <f>IF(AND(W621="X",M621&lt;=$AJ$2),"YES","")</f>
        <v/>
      </c>
      <c r="AL621" s="38">
        <f>IF(AND(W621="X",M621&lt;=$AJ$2),S621,"")</f>
        <v/>
      </c>
      <c r="AM621" s="26">
        <f>IF(AND(W621="X",M621&gt;$AJ$2),"YES","")</f>
        <v/>
      </c>
      <c r="AN621" s="89">
        <f>IF(AND(W621="X",M621&gt;$AJ$2),S621,"")</f>
        <v/>
      </c>
      <c r="AO621" s="35">
        <f>IF(AND(W621="",M621&gt;0,$AJ$2&gt;M621,L621=""),1,0)</f>
        <v/>
      </c>
      <c r="AP621" s="26">
        <f>IF(AND(AK621="YES",W621="X"),"X","")</f>
        <v/>
      </c>
      <c r="AQ621" s="28">
        <f>IF(AP621="X",100%,0%)</f>
        <v/>
      </c>
      <c r="AR621" s="25">
        <f>IF(AND(T621&gt;0,L621=""),H621,"")</f>
        <v/>
      </c>
      <c r="AS621" s="25">
        <f>IF(AND(D621&gt;0,H621=0,G621=""),1,"")</f>
        <v/>
      </c>
      <c r="AT621" s="25">
        <f>IF(G621="BLOQ",1,"")</f>
        <v/>
      </c>
      <c r="AU621" s="25">
        <f>IF(L621="BLOQ",1,"")</f>
        <v/>
      </c>
      <c r="AV621" s="25">
        <f>MONTH(F621)</f>
        <v/>
      </c>
      <c r="AW621" s="65">
        <f>IF(AP621="",100%,0%)</f>
        <v/>
      </c>
      <c r="AX621" s="23" t="n"/>
      <c r="AY621" s="24">
        <f>IF(M621=0,"",M621-$AX$2)</f>
        <v/>
      </c>
      <c r="AZ621" s="66">
        <f>IF(AND(W621="",AY621&gt;0,AY621&lt;15),1,0)</f>
        <v/>
      </c>
      <c r="BA621" s="24">
        <f>IF(AND(W621="",AY621&gt;0,AY621&lt;15),T621,"")</f>
        <v/>
      </c>
      <c r="BB621" s="87">
        <f>IF(R621&lt;Q621,"X","")</f>
        <v/>
      </c>
      <c r="BC621" s="190" t="inlineStr">
        <is>
          <t>NO</t>
        </is>
      </c>
      <c r="BD621" s="190" t="inlineStr">
        <is>
          <t>NO</t>
        </is>
      </c>
    </row>
    <row r="622" ht="15" customHeight="1" s="162">
      <c r="A622" s="7" t="n">
        <v>621</v>
      </c>
      <c r="B622" t="inlineStr"/>
      <c r="C622" t="inlineStr">
        <is>
          <t>PROGRAMACIÓN CENTRALITA DE INCENDIOS</t>
        </is>
      </c>
      <c r="D622" t="inlineStr">
        <is>
          <t>1101920430</t>
        </is>
      </c>
      <c r="E622" t="inlineStr">
        <is>
          <t>1</t>
        </is>
      </c>
      <c r="F622" s="163" t="n">
        <v>45945</v>
      </c>
      <c r="G622" t="inlineStr"/>
      <c r="H622" t="inlineStr">
        <is>
          <t>4300354754</t>
        </is>
      </c>
      <c r="I622" t="inlineStr">
        <is>
          <t>10</t>
        </is>
      </c>
      <c r="J622" s="163" t="n">
        <v>45953</v>
      </c>
      <c r="K622" s="163" t="n">
        <v>45979</v>
      </c>
      <c r="L622" t="inlineStr"/>
      <c r="M622" s="163" t="n">
        <v>45991</v>
      </c>
      <c r="N622" s="164" t="n">
        <v>0</v>
      </c>
      <c r="O622" s="164" t="n">
        <v>0</v>
      </c>
      <c r="P622" t="inlineStr">
        <is>
          <t>Liberado</t>
        </is>
      </c>
      <c r="Q622" s="165" t="n">
        <v>1</v>
      </c>
      <c r="R622" s="165" t="n">
        <v>1</v>
      </c>
      <c r="S622" s="165" t="n">
        <v>0</v>
      </c>
      <c r="T622" s="165" t="n">
        <v>0</v>
      </c>
      <c r="U622" s="166" t="n">
        <v>0</v>
      </c>
      <c r="V622" s="166" t="n">
        <v>0</v>
      </c>
      <c r="W622" t="inlineStr"/>
      <c r="X622" t="inlineStr">
        <is>
          <t>0.00</t>
        </is>
      </c>
      <c r="Y622" t="inlineStr"/>
      <c r="Z622" t="inlineStr">
        <is>
          <t>IBERCOIN INGENIEROS, S.L.</t>
        </is>
      </c>
      <c r="AA622" t="inlineStr"/>
      <c r="AB622" t="inlineStr"/>
      <c r="AC622" t="inlineStr"/>
      <c r="AD622" s="164" t="n">
        <v>2</v>
      </c>
      <c r="AE622" s="185" t="n">
        <v>2</v>
      </c>
      <c r="AG622" s="167" t="inlineStr">
        <is>
          <t>7218|S24B05_S1076</t>
        </is>
      </c>
      <c r="AH622" s="46">
        <f>IF(M622=0,"-",M622-J622)</f>
        <v/>
      </c>
      <c r="AI622" s="46">
        <f>IF(AND(S622=0,M622&gt;0,L622=0),IF(AH622&gt;=120,"VERY HIGH",IF(AH622&gt;=90,"HIGH",IF(AH622&gt;=60,"MEDIUM",IF(AH622&lt;60,"LOW")))),"-")</f>
        <v/>
      </c>
      <c r="AJ622" s="12" t="n"/>
      <c r="AK622" s="41">
        <f>IF(AND(W622="X",M622&lt;=$AJ$2),"YES","")</f>
        <v/>
      </c>
      <c r="AL622" s="38">
        <f>IF(AND(W622="X",M622&lt;=$AJ$2),S622,"")</f>
        <v/>
      </c>
      <c r="AM622" s="26">
        <f>IF(AND(W622="X",M622&gt;$AJ$2),"YES","")</f>
        <v/>
      </c>
      <c r="AN622" s="89">
        <f>IF(AND(W622="X",M622&gt;$AJ$2),S622,"")</f>
        <v/>
      </c>
      <c r="AO622" s="35">
        <f>IF(AND(W622="",M622&gt;0,$AJ$2&gt;M622,L622=""),1,0)</f>
        <v/>
      </c>
      <c r="AP622" s="26">
        <f>IF(AND(AK622="YES",W622="X"),"X","")</f>
        <v/>
      </c>
      <c r="AQ622" s="28">
        <f>IF(AP622="X",100%,0%)</f>
        <v/>
      </c>
      <c r="AR622" s="25">
        <f>IF(AND(T622&gt;0,L622=""),H622,"")</f>
        <v/>
      </c>
      <c r="AS622" s="25">
        <f>IF(AND(D622&gt;0,H622=0,G622=""),1,"")</f>
        <v/>
      </c>
      <c r="AT622" s="25">
        <f>IF(G622="BLOQ",1,"")</f>
        <v/>
      </c>
      <c r="AU622" s="25">
        <f>IF(L622="BLOQ",1,"")</f>
        <v/>
      </c>
      <c r="AV622" s="25">
        <f>MONTH(F622)</f>
        <v/>
      </c>
      <c r="AW622" s="65">
        <f>IF(AP622="",100%,0%)</f>
        <v/>
      </c>
      <c r="AX622" s="23" t="n"/>
      <c r="AY622" s="24">
        <f>IF(M622=0,"",M622-$AX$2)</f>
        <v/>
      </c>
      <c r="AZ622" s="66">
        <f>IF(AND(W622="",AY622&gt;0,AY622&lt;15),1,0)</f>
        <v/>
      </c>
      <c r="BA622" s="24">
        <f>IF(AND(W622="",AY622&gt;0,AY622&lt;15),T622,"")</f>
        <v/>
      </c>
      <c r="BB622" s="87">
        <f>IF(R622&lt;Q622,"X","")</f>
        <v/>
      </c>
      <c r="BC622" s="190" t="inlineStr">
        <is>
          <t>NO</t>
        </is>
      </c>
      <c r="BD622" s="190" t="inlineStr">
        <is>
          <t>NO</t>
        </is>
      </c>
    </row>
    <row r="623" ht="15" customHeight="1" s="162">
      <c r="A623" s="7" t="n">
        <v>622</v>
      </c>
      <c r="B623" t="inlineStr">
        <is>
          <t>1709800000500</t>
        </is>
      </c>
      <c r="C623" t="inlineStr">
        <is>
          <t>COMPRA DIRECTA FERRETERIA Y HERRAMIENTAS</t>
        </is>
      </c>
      <c r="D623" t="inlineStr">
        <is>
          <t>1101920785</t>
        </is>
      </c>
      <c r="E623" t="inlineStr">
        <is>
          <t>1</t>
        </is>
      </c>
      <c r="F623" s="163" t="n">
        <v>45946</v>
      </c>
      <c r="G623" t="inlineStr"/>
      <c r="H623" t="inlineStr">
        <is>
          <t>4200633117</t>
        </is>
      </c>
      <c r="I623" t="inlineStr">
        <is>
          <t>10</t>
        </is>
      </c>
      <c r="J623" s="163" t="n">
        <v>45958</v>
      </c>
      <c r="K623" s="163" t="n">
        <v>45960</v>
      </c>
      <c r="L623" t="inlineStr"/>
      <c r="M623" s="163" t="n">
        <v>45999</v>
      </c>
      <c r="N623" s="164" t="n">
        <v>30</v>
      </c>
      <c r="O623" s="164" t="n">
        <v>8</v>
      </c>
      <c r="P623" t="inlineStr">
        <is>
          <t>Liberado</t>
        </is>
      </c>
      <c r="Q623" s="165" t="n">
        <v>5</v>
      </c>
      <c r="R623" s="165" t="n">
        <v>5</v>
      </c>
      <c r="S623" s="165" t="n">
        <v>5</v>
      </c>
      <c r="T623" s="165" t="n">
        <v>0</v>
      </c>
      <c r="U623" s="166" t="n">
        <v>0</v>
      </c>
      <c r="V623" s="166" t="n">
        <v>0</v>
      </c>
      <c r="W623" t="inlineStr">
        <is>
          <t>X</t>
        </is>
      </c>
      <c r="X623" t="inlineStr">
        <is>
          <t>0.00</t>
        </is>
      </c>
      <c r="Y623" t="inlineStr"/>
      <c r="Z623" t="inlineStr">
        <is>
          <t>FELIPE DE MARCO, S.A.</t>
        </is>
      </c>
      <c r="AA623" t="inlineStr">
        <is>
          <t>OTROS FABRICANTES</t>
        </is>
      </c>
      <c r="AB623" t="inlineStr">
        <is>
          <t>1709800000500</t>
        </is>
      </c>
      <c r="AC623" t="inlineStr"/>
      <c r="AD623" s="164" t="n">
        <v>0</v>
      </c>
      <c r="AE623" s="185" t="n">
        <v>0</v>
      </c>
      <c r="AG623" s="167" t="inlineStr">
        <is>
          <t>7218|JA2593_1001</t>
        </is>
      </c>
      <c r="AH623" s="46">
        <f>IF(M623=0,"-",M623-J623)</f>
        <v/>
      </c>
      <c r="AI623" s="46">
        <f>IF(AND(S623=0,M623&gt;0,L623=0),IF(AH623&gt;=120,"VERY HIGH",IF(AH623&gt;=90,"HIGH",IF(AH623&gt;=60,"MEDIUM",IF(AH623&lt;60,"LOW")))),"-")</f>
        <v/>
      </c>
      <c r="AJ623" s="12" t="n"/>
      <c r="AK623" s="41">
        <f>IF(AND(W623="X",M623&lt;=$AJ$2),"YES","")</f>
        <v/>
      </c>
      <c r="AL623" s="38">
        <f>IF(AND(W623="X",M623&lt;=$AJ$2),S623,"")</f>
        <v/>
      </c>
      <c r="AM623" s="26">
        <f>IF(AND(W623="X",M623&gt;$AJ$2),"YES","")</f>
        <v/>
      </c>
      <c r="AN623" s="89">
        <f>IF(AND(W623="X",M623&gt;$AJ$2),S623,"")</f>
        <v/>
      </c>
      <c r="AO623" s="35">
        <f>IF(AND(W623="",M623&gt;0,$AJ$2&gt;M623,L623=""),1,0)</f>
        <v/>
      </c>
      <c r="AP623" s="26">
        <f>IF(AND(AK623="YES",W623="X"),"X","")</f>
        <v/>
      </c>
      <c r="AQ623" s="28">
        <f>IF(AP623="X",100%,0%)</f>
        <v/>
      </c>
      <c r="AR623" s="25">
        <f>IF(AND(T623&gt;0,L623=""),H623,"")</f>
        <v/>
      </c>
      <c r="AS623" s="25">
        <f>IF(AND(D623&gt;0,H623=0,G623=""),1,"")</f>
        <v/>
      </c>
      <c r="AT623" s="25">
        <f>IF(G623="BLOQ",1,"")</f>
        <v/>
      </c>
      <c r="AU623" s="25">
        <f>IF(L623="BLOQ",1,"")</f>
        <v/>
      </c>
      <c r="AV623" s="25">
        <f>MONTH(F623)</f>
        <v/>
      </c>
      <c r="AW623" s="65">
        <f>IF(AP623="",100%,0%)</f>
        <v/>
      </c>
      <c r="AX623" s="23" t="n"/>
      <c r="AY623" s="24">
        <f>IF(M623=0,"",M623-$AX$2)</f>
        <v/>
      </c>
      <c r="AZ623" s="66">
        <f>IF(AND(W623="",AY623&gt;0,AY623&lt;15),1,0)</f>
        <v/>
      </c>
      <c r="BA623" s="24">
        <f>IF(AND(W623="",AY623&gt;0,AY623&lt;15),T623,"")</f>
        <v/>
      </c>
      <c r="BB623" s="87">
        <f>IF(R623&lt;Q623,"X","")</f>
        <v/>
      </c>
      <c r="BC623" s="190" t="inlineStr">
        <is>
          <t>NO</t>
        </is>
      </c>
      <c r="BD623" s="190" t="inlineStr">
        <is>
          <t>NO</t>
        </is>
      </c>
    </row>
    <row r="624" ht="15" customHeight="1" s="162">
      <c r="A624" s="7" t="n">
        <v>623</v>
      </c>
      <c r="B624" t="inlineStr">
        <is>
          <t>7889090900000</t>
        </is>
      </c>
      <c r="C624" t="inlineStr">
        <is>
          <t>ROPA LABORAL CATALOGO INDRA</t>
        </is>
      </c>
      <c r="D624" t="inlineStr">
        <is>
          <t>1101921504</t>
        </is>
      </c>
      <c r="E624" t="inlineStr">
        <is>
          <t>1</t>
        </is>
      </c>
      <c r="F624" s="163" t="n">
        <v>45950</v>
      </c>
      <c r="G624" t="inlineStr"/>
      <c r="H624" t="inlineStr">
        <is>
          <t>4900011607</t>
        </is>
      </c>
      <c r="I624" t="inlineStr">
        <is>
          <t>10</t>
        </is>
      </c>
      <c r="J624" s="163" t="n">
        <v>45950</v>
      </c>
      <c r="K624" s="163" t="inlineStr"/>
      <c r="L624" t="inlineStr"/>
      <c r="M624" s="163" t="n">
        <v>46022</v>
      </c>
      <c r="N624" s="164" t="n">
        <v>0</v>
      </c>
      <c r="O624" s="164" t="n">
        <v>8</v>
      </c>
      <c r="P624" t="inlineStr"/>
      <c r="Q624" s="165" t="n">
        <v>1</v>
      </c>
      <c r="R624" s="165" t="n">
        <v>1</v>
      </c>
      <c r="S624" s="165" t="n">
        <v>1</v>
      </c>
      <c r="T624" s="165" t="n">
        <v>0</v>
      </c>
      <c r="U624" s="166" t="n">
        <v>0</v>
      </c>
      <c r="V624" s="166" t="n">
        <v>0</v>
      </c>
      <c r="W624" t="inlineStr">
        <is>
          <t>X</t>
        </is>
      </c>
      <c r="X624" t="inlineStr">
        <is>
          <t>0.00</t>
        </is>
      </c>
      <c r="Y624" t="inlineStr"/>
      <c r="Z624" t="inlineStr">
        <is>
          <t>VESTUARIO Y PROTECCION LABORAL JOYS</t>
        </is>
      </c>
      <c r="AA624" t="inlineStr">
        <is>
          <t>INDRA SISTEMAS S.A.</t>
        </is>
      </c>
      <c r="AB624" t="inlineStr">
        <is>
          <t>7889090900000</t>
        </is>
      </c>
      <c r="AC624" t="inlineStr"/>
      <c r="AD624" s="164" t="n">
        <v>0</v>
      </c>
      <c r="AE624" s="185" t="n">
        <v>0</v>
      </c>
      <c r="AG624" s="167" t="inlineStr">
        <is>
          <t>7218|JA2594_1001</t>
        </is>
      </c>
      <c r="AH624" s="46">
        <f>IF(M624=0,"-",M624-J624)</f>
        <v/>
      </c>
      <c r="AI624" s="46">
        <f>IF(AND(S624=0,M624&gt;0,L624=0),IF(AH624&gt;=120,"VERY HIGH",IF(AH624&gt;=90,"HIGH",IF(AH624&gt;=60,"MEDIUM",IF(AH624&lt;60,"LOW")))),"-")</f>
        <v/>
      </c>
      <c r="AJ624" s="12" t="n"/>
      <c r="AK624" s="41">
        <f>IF(AND(W624="X",M624&lt;=$AJ$2),"YES","")</f>
        <v/>
      </c>
      <c r="AL624" s="38">
        <f>IF(AND(W624="X",M624&lt;=$AJ$2),S624,"")</f>
        <v/>
      </c>
      <c r="AM624" s="26">
        <f>IF(AND(W624="X",M624&gt;$AJ$2),"YES","")</f>
        <v/>
      </c>
      <c r="AN624" s="89">
        <f>IF(AND(W624="X",M624&gt;$AJ$2),S624,"")</f>
        <v/>
      </c>
      <c r="AO624" s="35">
        <f>IF(AND(W624="",M624&gt;0,$AJ$2&gt;M624,L624=""),1,0)</f>
        <v/>
      </c>
      <c r="AP624" s="26">
        <f>IF(AND(AK624="YES",W624="X"),"X","")</f>
        <v/>
      </c>
      <c r="AQ624" s="28">
        <f>IF(AP624="X",100%,0%)</f>
        <v/>
      </c>
      <c r="AR624" s="25">
        <f>IF(AND(T624&gt;0,L624=""),H624,"")</f>
        <v/>
      </c>
      <c r="AS624" s="25">
        <f>IF(AND(D624&gt;0,H624=0,G624=""),1,"")</f>
        <v/>
      </c>
      <c r="AT624" s="25">
        <f>IF(G624="BLOQ",1,"")</f>
        <v/>
      </c>
      <c r="AU624" s="25">
        <f>IF(L624="BLOQ",1,"")</f>
        <v/>
      </c>
      <c r="AV624" s="25">
        <f>MONTH(F624)</f>
        <v/>
      </c>
      <c r="AW624" s="65">
        <f>IF(AP624="",100%,0%)</f>
        <v/>
      </c>
      <c r="AX624" s="23" t="n"/>
      <c r="AY624" s="24">
        <f>IF(M624=0,"",M624-$AX$2)</f>
        <v/>
      </c>
      <c r="AZ624" s="66">
        <f>IF(AND(W624="",AY624&gt;0,AY624&lt;15),1,0)</f>
        <v/>
      </c>
      <c r="BA624" s="24">
        <f>IF(AND(W624="",AY624&gt;0,AY624&lt;15),T624,"")</f>
        <v/>
      </c>
      <c r="BB624" s="87">
        <f>IF(R624&lt;Q624,"X","")</f>
        <v/>
      </c>
      <c r="BC624" s="190" t="inlineStr">
        <is>
          <t>NO</t>
        </is>
      </c>
      <c r="BD624" s="190" t="inlineStr">
        <is>
          <t>NO</t>
        </is>
      </c>
    </row>
    <row r="625" ht="15" customHeight="1" s="162">
      <c r="A625" s="7" t="n">
        <v>624</v>
      </c>
      <c r="B625" t="inlineStr">
        <is>
          <t>1359900000500</t>
        </is>
      </c>
      <c r="C625" t="inlineStr">
        <is>
          <t>COMPRA DIRECTA ELECTRICOS/ELECTRONICOS</t>
        </is>
      </c>
      <c r="D625" t="inlineStr">
        <is>
          <t>1101921894</t>
        </is>
      </c>
      <c r="E625" t="inlineStr">
        <is>
          <t>1</t>
        </is>
      </c>
      <c r="F625" s="163" t="n">
        <v>45950</v>
      </c>
      <c r="G625" t="inlineStr"/>
      <c r="H625" t="inlineStr">
        <is>
          <t>4200634297</t>
        </is>
      </c>
      <c r="I625" t="inlineStr">
        <is>
          <t>10</t>
        </is>
      </c>
      <c r="J625" s="163" t="n">
        <v>45965</v>
      </c>
      <c r="K625" s="163" t="n">
        <v>45966</v>
      </c>
      <c r="L625" t="inlineStr"/>
      <c r="M625" s="163" t="n">
        <v>46022</v>
      </c>
      <c r="N625" s="164" t="n">
        <v>30</v>
      </c>
      <c r="O625" s="164" t="n">
        <v>8</v>
      </c>
      <c r="P625" t="inlineStr">
        <is>
          <t>Liberado</t>
        </is>
      </c>
      <c r="Q625" s="165" t="n">
        <v>7</v>
      </c>
      <c r="R625" s="165" t="n">
        <v>7</v>
      </c>
      <c r="S625" s="165" t="n">
        <v>7</v>
      </c>
      <c r="T625" s="165" t="n">
        <v>0</v>
      </c>
      <c r="U625" s="166" t="n">
        <v>0</v>
      </c>
      <c r="V625" s="166" t="n">
        <v>0</v>
      </c>
      <c r="W625" t="inlineStr">
        <is>
          <t>X</t>
        </is>
      </c>
      <c r="X625" t="inlineStr">
        <is>
          <t>0.00</t>
        </is>
      </c>
      <c r="Y625" t="inlineStr"/>
      <c r="Z625" t="inlineStr">
        <is>
          <t>SARVER S.L.</t>
        </is>
      </c>
      <c r="AA625" t="inlineStr">
        <is>
          <t>OTROS FABRICANTES</t>
        </is>
      </c>
      <c r="AB625" t="inlineStr">
        <is>
          <t>1359900000500</t>
        </is>
      </c>
      <c r="AC625" t="inlineStr"/>
      <c r="AD625" s="164" t="n">
        <v>0</v>
      </c>
      <c r="AE625" s="185" t="n">
        <v>0</v>
      </c>
      <c r="AG625" s="167" t="inlineStr">
        <is>
          <t>7218|S24B05_S1074</t>
        </is>
      </c>
      <c r="AH625" s="46">
        <f>IF(M625=0,"-",M625-J625)</f>
        <v/>
      </c>
      <c r="AI625" s="46">
        <f>IF(AND(S625=0,M625&gt;0,L625=0),IF(AH625&gt;=120,"VERY HIGH",IF(AH625&gt;=90,"HIGH",IF(AH625&gt;=60,"MEDIUM",IF(AH625&lt;60,"LOW")))),"-")</f>
        <v/>
      </c>
      <c r="AJ625" s="12" t="n"/>
      <c r="AK625" s="41">
        <f>IF(AND(W625="X",M625&lt;=$AJ$2),"YES","")</f>
        <v/>
      </c>
      <c r="AL625" s="38">
        <f>IF(AND(W625="X",M625&lt;=$AJ$2),S625,"")</f>
        <v/>
      </c>
      <c r="AM625" s="26">
        <f>IF(AND(W625="X",M625&gt;$AJ$2),"YES","")</f>
        <v/>
      </c>
      <c r="AN625" s="89">
        <f>IF(AND(W625="X",M625&gt;$AJ$2),S625,"")</f>
        <v/>
      </c>
      <c r="AO625" s="35">
        <f>IF(AND(W625="",M625&gt;0,$AJ$2&gt;M625,L625=""),1,0)</f>
        <v/>
      </c>
      <c r="AP625" s="26">
        <f>IF(AND(AK625="YES",W625="X"),"X","")</f>
        <v/>
      </c>
      <c r="AQ625" s="28">
        <f>IF(AP625="X",100%,0%)</f>
        <v/>
      </c>
      <c r="AR625" s="25">
        <f>IF(AND(T625&gt;0,L625=""),H625,"")</f>
        <v/>
      </c>
      <c r="AS625" s="25">
        <f>IF(AND(D625&gt;0,H625=0,G625=""),1,"")</f>
        <v/>
      </c>
      <c r="AT625" s="25">
        <f>IF(G625="BLOQ",1,"")</f>
        <v/>
      </c>
      <c r="AU625" s="25">
        <f>IF(L625="BLOQ",1,"")</f>
        <v/>
      </c>
      <c r="AV625" s="25">
        <f>MONTH(F625)</f>
        <v/>
      </c>
      <c r="AW625" s="65">
        <f>IF(AP625="",100%,0%)</f>
        <v/>
      </c>
      <c r="AX625" s="23" t="n"/>
      <c r="AY625" s="24">
        <f>IF(M625=0,"",M625-$AX$2)</f>
        <v/>
      </c>
      <c r="AZ625" s="66">
        <f>IF(AND(W625="",AY625&gt;0,AY625&lt;15),1,0)</f>
        <v/>
      </c>
      <c r="BA625" s="24">
        <f>IF(AND(W625="",AY625&gt;0,AY625&lt;15),T625,"")</f>
        <v/>
      </c>
      <c r="BB625" s="87">
        <f>IF(R625&lt;Q625,"X","")</f>
        <v/>
      </c>
      <c r="BC625" s="190" t="inlineStr">
        <is>
          <t>NO</t>
        </is>
      </c>
      <c r="BD625" s="190" t="inlineStr">
        <is>
          <t>NO</t>
        </is>
      </c>
    </row>
    <row r="626" ht="15" customHeight="1" s="162">
      <c r="A626" s="7" t="n">
        <v>625</v>
      </c>
      <c r="B626" t="inlineStr">
        <is>
          <t>31201503</t>
        </is>
      </c>
      <c r="C626" t="inlineStr">
        <is>
          <t>Cinta de enmascarar de Papel 3M SCOTCH 1</t>
        </is>
      </c>
      <c r="D626" t="inlineStr">
        <is>
          <t>1101923738</t>
        </is>
      </c>
      <c r="E626" t="inlineStr">
        <is>
          <t>1</t>
        </is>
      </c>
      <c r="F626" s="163" t="n">
        <v>45953</v>
      </c>
      <c r="G626" t="inlineStr"/>
      <c r="H626" t="inlineStr">
        <is>
          <t>4800003359</t>
        </is>
      </c>
      <c r="I626" t="inlineStr">
        <is>
          <t>170</t>
        </is>
      </c>
      <c r="J626" s="163" t="n">
        <v>45953</v>
      </c>
      <c r="K626" s="163" t="inlineStr"/>
      <c r="L626" t="inlineStr"/>
      <c r="M626" s="163" t="n">
        <v>45954</v>
      </c>
      <c r="N626" s="164" t="n">
        <v>0</v>
      </c>
      <c r="O626" s="164" t="n">
        <v>0</v>
      </c>
      <c r="P626" t="inlineStr"/>
      <c r="Q626" s="165" t="n">
        <v>5</v>
      </c>
      <c r="R626" s="165" t="n">
        <v>5</v>
      </c>
      <c r="S626" s="165" t="n">
        <v>5</v>
      </c>
      <c r="T626" s="165" t="n">
        <v>0</v>
      </c>
      <c r="U626" s="166" t="n">
        <v>0</v>
      </c>
      <c r="V626" s="166" t="n">
        <v>0</v>
      </c>
      <c r="W626" t="inlineStr">
        <is>
          <t>X</t>
        </is>
      </c>
      <c r="X626" t="inlineStr">
        <is>
          <t>0.00</t>
        </is>
      </c>
      <c r="Y626" t="inlineStr"/>
      <c r="Z626" t="inlineStr">
        <is>
          <t>AMIDATA, S.A.</t>
        </is>
      </c>
      <c r="AA626" t="inlineStr"/>
      <c r="AB626" t="inlineStr">
        <is>
          <t>1240913</t>
        </is>
      </c>
      <c r="AC626" t="inlineStr"/>
      <c r="AD626" s="164" t="n">
        <v>0</v>
      </c>
      <c r="AE626" s="185" t="n">
        <v>0</v>
      </c>
      <c r="AG626" s="167" t="inlineStr">
        <is>
          <t>7218|S24B05_S1071</t>
        </is>
      </c>
      <c r="AH626" s="46">
        <f>IF(M626=0,"-",M626-J626)</f>
        <v/>
      </c>
      <c r="AI626" s="46">
        <f>IF(AND(S626=0,M626&gt;0,L626=0),IF(AH626&gt;=120,"VERY HIGH",IF(AH626&gt;=90,"HIGH",IF(AH626&gt;=60,"MEDIUM",IF(AH626&lt;60,"LOW")))),"-")</f>
        <v/>
      </c>
      <c r="AJ626" s="12" t="n"/>
      <c r="AK626" s="41">
        <f>IF(AND(W626="X",M626&lt;=$AJ$2),"YES","")</f>
        <v/>
      </c>
      <c r="AL626" s="38">
        <f>IF(AND(W626="X",M626&lt;=$AJ$2),S626,"")</f>
        <v/>
      </c>
      <c r="AM626" s="26">
        <f>IF(AND(W626="X",M626&gt;$AJ$2),"YES","")</f>
        <v/>
      </c>
      <c r="AN626" s="89">
        <f>IF(AND(W626="X",M626&gt;$AJ$2),S626,"")</f>
        <v/>
      </c>
      <c r="AO626" s="35">
        <f>IF(AND(W626="",M626&gt;0,$AJ$2&gt;M626,L626=""),1,0)</f>
        <v/>
      </c>
      <c r="AP626" s="26">
        <f>IF(AND(AK626="YES",W626="X"),"X","")</f>
        <v/>
      </c>
      <c r="AQ626" s="28">
        <f>IF(AP626="X",100%,0%)</f>
        <v/>
      </c>
      <c r="AR626" s="25">
        <f>IF(AND(T626&gt;0,L626=""),H626,"")</f>
        <v/>
      </c>
      <c r="AS626" s="25">
        <f>IF(AND(D626&gt;0,H626=0,G626=""),1,"")</f>
        <v/>
      </c>
      <c r="AT626" s="25">
        <f>IF(G626="BLOQ",1,"")</f>
        <v/>
      </c>
      <c r="AU626" s="25">
        <f>IF(L626="BLOQ",1,"")</f>
        <v/>
      </c>
      <c r="AV626" s="25">
        <f>MONTH(F626)</f>
        <v/>
      </c>
      <c r="AW626" s="65">
        <f>IF(AP626="",100%,0%)</f>
        <v/>
      </c>
      <c r="AX626" s="23" t="n"/>
      <c r="AY626" s="24">
        <f>IF(M626=0,"",M626-$AX$2)</f>
        <v/>
      </c>
      <c r="AZ626" s="66">
        <f>IF(AND(W626="",AY626&gt;0,AY626&lt;15),1,0)</f>
        <v/>
      </c>
      <c r="BA626" s="24">
        <f>IF(AND(W626="",AY626&gt;0,AY626&lt;15),T626,"")</f>
        <v/>
      </c>
      <c r="BB626" s="87">
        <f>IF(R626&lt;Q626,"X","")</f>
        <v/>
      </c>
      <c r="BC626" s="190" t="inlineStr">
        <is>
          <t>NO</t>
        </is>
      </c>
      <c r="BD626" s="190" t="inlineStr">
        <is>
          <t>NO</t>
        </is>
      </c>
    </row>
    <row r="627" ht="15" customHeight="1" s="162">
      <c r="A627" s="7" t="n">
        <v>626</v>
      </c>
      <c r="B627" t="inlineStr">
        <is>
          <t>39121402</t>
        </is>
      </c>
      <c r="C627" t="inlineStr">
        <is>
          <t>Clavija Kopp de 2P de color Negro, para</t>
        </is>
      </c>
      <c r="D627" t="inlineStr">
        <is>
          <t>1101923956</t>
        </is>
      </c>
      <c r="E627" t="inlineStr">
        <is>
          <t>1</t>
        </is>
      </c>
      <c r="F627" s="163" t="n">
        <v>45953</v>
      </c>
      <c r="G627" t="inlineStr"/>
      <c r="H627" t="inlineStr">
        <is>
          <t>4800003359</t>
        </is>
      </c>
      <c r="I627" t="inlineStr">
        <is>
          <t>620</t>
        </is>
      </c>
      <c r="J627" s="163" t="n">
        <v>45953</v>
      </c>
      <c r="K627" s="163" t="inlineStr"/>
      <c r="L627" t="inlineStr"/>
      <c r="M627" s="163" t="n">
        <v>45954</v>
      </c>
      <c r="N627" s="164" t="n">
        <v>0</v>
      </c>
      <c r="O627" s="164" t="n">
        <v>0</v>
      </c>
      <c r="P627" t="inlineStr"/>
      <c r="Q627" s="165" t="n">
        <v>2</v>
      </c>
      <c r="R627" s="165" t="n">
        <v>2</v>
      </c>
      <c r="S627" s="165" t="n">
        <v>2</v>
      </c>
      <c r="T627" s="165" t="n">
        <v>0</v>
      </c>
      <c r="U627" s="166" t="n">
        <v>0</v>
      </c>
      <c r="V627" s="166" t="n">
        <v>0</v>
      </c>
      <c r="W627" t="inlineStr">
        <is>
          <t>X</t>
        </is>
      </c>
      <c r="X627" t="inlineStr">
        <is>
          <t>0.00</t>
        </is>
      </c>
      <c r="Y627" t="inlineStr"/>
      <c r="Z627" t="inlineStr">
        <is>
          <t>AMIDATA, S.A.</t>
        </is>
      </c>
      <c r="AA627" t="inlineStr"/>
      <c r="AB627" t="inlineStr">
        <is>
          <t>2425782</t>
        </is>
      </c>
      <c r="AC627" t="inlineStr"/>
      <c r="AD627" s="164" t="n">
        <v>0</v>
      </c>
      <c r="AE627" s="185" t="n">
        <v>0</v>
      </c>
      <c r="AG627" s="167" t="inlineStr">
        <is>
          <t>7218|JA2581_1001</t>
        </is>
      </c>
      <c r="AH627" s="46">
        <f>IF(M627=0,"-",M627-J627)</f>
        <v/>
      </c>
      <c r="AI627" s="46">
        <f>IF(AND(S627=0,M627&gt;0,L627=0),IF(AH627&gt;=120,"VERY HIGH",IF(AH627&gt;=90,"HIGH",IF(AH627&gt;=60,"MEDIUM",IF(AH627&lt;60,"LOW")))),"-")</f>
        <v/>
      </c>
      <c r="AJ627" s="12" t="n"/>
      <c r="AK627" s="41">
        <f>IF(AND(W627="X",M627&lt;=$AJ$2),"YES","")</f>
        <v/>
      </c>
      <c r="AL627" s="38">
        <f>IF(AND(W627="X",M627&lt;=$AJ$2),S627,"")</f>
        <v/>
      </c>
      <c r="AM627" s="26">
        <f>IF(AND(W627="X",M627&gt;$AJ$2),"YES","")</f>
        <v/>
      </c>
      <c r="AN627" s="89">
        <f>IF(AND(W627="X",M627&gt;$AJ$2),S627,"")</f>
        <v/>
      </c>
      <c r="AO627" s="35">
        <f>IF(AND(W627="",M627&gt;0,$AJ$2&gt;M627,L627=""),1,0)</f>
        <v/>
      </c>
      <c r="AP627" s="26">
        <f>IF(AND(AK627="YES",W627="X"),"X","")</f>
        <v/>
      </c>
      <c r="AQ627" s="28">
        <f>IF(AP627="X",100%,0%)</f>
        <v/>
      </c>
      <c r="AR627" s="25">
        <f>IF(AND(T627&gt;0,L627=""),H627,"")</f>
        <v/>
      </c>
      <c r="AS627" s="25">
        <f>IF(AND(D627&gt;0,H627=0,G627=""),1,"")</f>
        <v/>
      </c>
      <c r="AT627" s="25">
        <f>IF(G627="BLOQ",1,"")</f>
        <v/>
      </c>
      <c r="AU627" s="25">
        <f>IF(L627="BLOQ",1,"")</f>
        <v/>
      </c>
      <c r="AV627" s="25">
        <f>MONTH(F627)</f>
        <v/>
      </c>
      <c r="AW627" s="65">
        <f>IF(AP627="",100%,0%)</f>
        <v/>
      </c>
      <c r="AX627" s="23" t="n"/>
      <c r="AY627" s="24">
        <f>IF(M627=0,"",M627-$AX$2)</f>
        <v/>
      </c>
      <c r="AZ627" s="66">
        <f>IF(AND(W627="",AY627&gt;0,AY627&lt;15),1,0)</f>
        <v/>
      </c>
      <c r="BA627" s="24">
        <f>IF(AND(W627="",AY627&gt;0,AY627&lt;15),T627,"")</f>
        <v/>
      </c>
      <c r="BB627" s="87">
        <f>IF(R627&lt;Q627,"X","")</f>
        <v/>
      </c>
      <c r="BC627" s="190" t="inlineStr">
        <is>
          <t>NO</t>
        </is>
      </c>
      <c r="BD627" s="190" t="inlineStr">
        <is>
          <t>NO</t>
        </is>
      </c>
    </row>
    <row r="628" ht="15" customHeight="1" s="162">
      <c r="A628" s="7" t="n">
        <v>627</v>
      </c>
      <c r="B628" t="inlineStr">
        <is>
          <t>3220190900000</t>
        </is>
      </c>
      <c r="C628" t="inlineStr">
        <is>
          <t>ACCESORIOS PARA MONITORES / TELEVISIONES</t>
        </is>
      </c>
      <c r="D628" t="inlineStr">
        <is>
          <t>1101926538</t>
        </is>
      </c>
      <c r="E628" t="inlineStr">
        <is>
          <t>1</t>
        </is>
      </c>
      <c r="F628" s="163" t="n">
        <v>45959</v>
      </c>
      <c r="G628" t="inlineStr"/>
      <c r="H628" t="inlineStr">
        <is>
          <t>4200634682</t>
        </is>
      </c>
      <c r="I628" t="inlineStr">
        <is>
          <t>10</t>
        </is>
      </c>
      <c r="J628" s="163" t="n">
        <v>45967</v>
      </c>
      <c r="K628" s="163" t="n">
        <v>45967</v>
      </c>
      <c r="L628" t="inlineStr"/>
      <c r="M628" s="163" t="n">
        <v>45972</v>
      </c>
      <c r="N628" s="164" t="n">
        <v>60</v>
      </c>
      <c r="O628" s="164" t="n">
        <v>8</v>
      </c>
      <c r="P628" t="inlineStr">
        <is>
          <t>Liberado</t>
        </is>
      </c>
      <c r="Q628" s="165" t="n">
        <v>1</v>
      </c>
      <c r="R628" s="165" t="n">
        <v>1</v>
      </c>
      <c r="S628" s="165" t="n">
        <v>1</v>
      </c>
      <c r="T628" s="165" t="n">
        <v>0</v>
      </c>
      <c r="U628" s="166" t="n">
        <v>0</v>
      </c>
      <c r="V628" s="166" t="n">
        <v>0</v>
      </c>
      <c r="W628" t="inlineStr">
        <is>
          <t>X</t>
        </is>
      </c>
      <c r="X628" t="inlineStr">
        <is>
          <t>0.00</t>
        </is>
      </c>
      <c r="Y628" t="inlineStr"/>
      <c r="Z628" t="inlineStr">
        <is>
          <t>DELL COMPUTER, S.A.</t>
        </is>
      </c>
      <c r="AA628" t="inlineStr">
        <is>
          <t>OTROS FABRICANTES</t>
        </is>
      </c>
      <c r="AB628" t="inlineStr">
        <is>
          <t>3220190900000</t>
        </is>
      </c>
      <c r="AC628" t="inlineStr"/>
      <c r="AD628" s="164" t="n">
        <v>0</v>
      </c>
      <c r="AE628" s="185" t="n">
        <v>0</v>
      </c>
      <c r="AG628" s="167" t="inlineStr">
        <is>
          <t>7218|S24B05_P10261</t>
        </is>
      </c>
      <c r="AH628" s="46">
        <f>IF(M628=0,"-",M628-J628)</f>
        <v/>
      </c>
      <c r="AI628" s="46">
        <f>IF(AND(S628=0,M628&gt;0,L628=0),IF(AH628&gt;=120,"VERY HIGH",IF(AH628&gt;=90,"HIGH",IF(AH628&gt;=60,"MEDIUM",IF(AH628&lt;60,"LOW")))),"-")</f>
        <v/>
      </c>
      <c r="AJ628" s="12" t="n"/>
      <c r="AK628" s="41">
        <f>IF(AND(W628="X",M628&lt;=$AJ$2),"YES","")</f>
        <v/>
      </c>
      <c r="AL628" s="38">
        <f>IF(AND(W628="X",M628&lt;=$AJ$2),S628,"")</f>
        <v/>
      </c>
      <c r="AM628" s="26">
        <f>IF(AND(W628="X",M628&gt;$AJ$2),"YES","")</f>
        <v/>
      </c>
      <c r="AN628" s="89">
        <f>IF(AND(W628="X",M628&gt;$AJ$2),S628,"")</f>
        <v/>
      </c>
      <c r="AO628" s="35">
        <f>IF(AND(W628="",M628&gt;0,$AJ$2&gt;M628,L628=""),1,0)</f>
        <v/>
      </c>
      <c r="AP628" s="26">
        <f>IF(AND(AK628="YES",W628="X"),"X","")</f>
        <v/>
      </c>
      <c r="AQ628" s="28">
        <f>IF(AP628="X",100%,0%)</f>
        <v/>
      </c>
      <c r="AR628" s="25">
        <f>IF(AND(T628&gt;0,L628=""),H628,"")</f>
        <v/>
      </c>
      <c r="AS628" s="25">
        <f>IF(AND(D628&gt;0,H628=0,G628=""),1,"")</f>
        <v/>
      </c>
      <c r="AT628" s="25">
        <f>IF(G628="BLOQ",1,"")</f>
        <v/>
      </c>
      <c r="AU628" s="25">
        <f>IF(L628="BLOQ",1,"")</f>
        <v/>
      </c>
      <c r="AV628" s="25">
        <f>MONTH(F628)</f>
        <v/>
      </c>
      <c r="AW628" s="65">
        <f>IF(AP628="",100%,0%)</f>
        <v/>
      </c>
      <c r="AX628" s="23" t="n"/>
      <c r="AY628" s="24">
        <f>IF(M628=0,"",M628-$AX$2)</f>
        <v/>
      </c>
      <c r="AZ628" s="66">
        <f>IF(AND(W628="",AY628&gt;0,AY628&lt;15),1,0)</f>
        <v/>
      </c>
      <c r="BA628" s="24">
        <f>IF(AND(W628="",AY628&gt;0,AY628&lt;15),T628,"")</f>
        <v/>
      </c>
      <c r="BB628" s="87">
        <f>IF(R628&lt;Q628,"X","")</f>
        <v/>
      </c>
      <c r="BC628" s="190" t="inlineStr">
        <is>
          <t>NO</t>
        </is>
      </c>
      <c r="BD628" s="190" t="inlineStr">
        <is>
          <t>NO</t>
        </is>
      </c>
    </row>
    <row r="629" ht="15" customHeight="1" s="162">
      <c r="A629" s="7" t="n">
        <v>628</v>
      </c>
      <c r="B629" t="inlineStr">
        <is>
          <t>31161716</t>
        </is>
      </c>
      <c r="C629" t="inlineStr">
        <is>
          <t>Tuerca autoblocante 1/4-28 (NE)plg RS PR</t>
        </is>
      </c>
      <c r="D629" t="inlineStr">
        <is>
          <t>1101927261</t>
        </is>
      </c>
      <c r="E629" t="inlineStr">
        <is>
          <t>1</t>
        </is>
      </c>
      <c r="F629" s="163" t="n">
        <v>45960</v>
      </c>
      <c r="G629" t="inlineStr"/>
      <c r="H629" t="inlineStr">
        <is>
          <t>4800003376</t>
        </is>
      </c>
      <c r="I629" t="inlineStr">
        <is>
          <t>140</t>
        </is>
      </c>
      <c r="J629" s="163" t="n">
        <v>45960</v>
      </c>
      <c r="K629" s="163" t="inlineStr"/>
      <c r="L629" t="inlineStr"/>
      <c r="M629" s="163" t="n">
        <v>45961</v>
      </c>
      <c r="N629" s="164" t="n">
        <v>0</v>
      </c>
      <c r="O629" s="164" t="n">
        <v>0</v>
      </c>
      <c r="P629" t="inlineStr"/>
      <c r="Q629" s="165" t="n">
        <v>100</v>
      </c>
      <c r="R629" s="165" t="n">
        <v>100</v>
      </c>
      <c r="S629" s="165" t="n">
        <v>100</v>
      </c>
      <c r="T629" s="165" t="n">
        <v>0</v>
      </c>
      <c r="U629" s="166" t="n">
        <v>0</v>
      </c>
      <c r="V629" s="166" t="n">
        <v>0</v>
      </c>
      <c r="W629" t="inlineStr">
        <is>
          <t>X</t>
        </is>
      </c>
      <c r="X629" t="inlineStr">
        <is>
          <t>0.00</t>
        </is>
      </c>
      <c r="Y629" t="inlineStr"/>
      <c r="Z629" t="inlineStr">
        <is>
          <t>AMIDATA, S.A.</t>
        </is>
      </c>
      <c r="AA629" t="inlineStr"/>
      <c r="AB629" t="inlineStr">
        <is>
          <t>2451276</t>
        </is>
      </c>
      <c r="AC629" t="inlineStr"/>
      <c r="AD629" s="164" t="n">
        <v>0</v>
      </c>
      <c r="AE629" s="185" t="n">
        <v>0</v>
      </c>
      <c r="AG629" s="167" t="inlineStr">
        <is>
          <t>7218|JA2583_1001</t>
        </is>
      </c>
      <c r="AH629" s="46">
        <f>IF(M629=0,"-",M629-J629)</f>
        <v/>
      </c>
      <c r="AI629" s="46">
        <f>IF(AND(S629=0,M629&gt;0,L629=0),IF(AH629&gt;=120,"VERY HIGH",IF(AH629&gt;=90,"HIGH",IF(AH629&gt;=60,"MEDIUM",IF(AH629&lt;60,"LOW")))),"-")</f>
        <v/>
      </c>
      <c r="AJ629" s="12" t="n"/>
      <c r="AK629" s="41">
        <f>IF(AND(W629="X",M629&lt;=$AJ$2),"YES","")</f>
        <v/>
      </c>
      <c r="AL629" s="38">
        <f>IF(AND(W629="X",M629&lt;=$AJ$2),S629,"")</f>
        <v/>
      </c>
      <c r="AM629" s="26">
        <f>IF(AND(W629="X",M629&gt;$AJ$2),"YES","")</f>
        <v/>
      </c>
      <c r="AN629" s="89">
        <f>IF(AND(W629="X",M629&gt;$AJ$2),S629,"")</f>
        <v/>
      </c>
      <c r="AO629" s="35">
        <f>IF(AND(W629="",M629&gt;0,$AJ$2&gt;M629,L629=""),1,0)</f>
        <v/>
      </c>
      <c r="AP629" s="26">
        <f>IF(AND(AK629="YES",W629="X"),"X","")</f>
        <v/>
      </c>
      <c r="AQ629" s="28">
        <f>IF(AP629="X",100%,0%)</f>
        <v/>
      </c>
      <c r="AR629" s="25">
        <f>IF(AND(T629&gt;0,L629=""),H629,"")</f>
        <v/>
      </c>
      <c r="AS629" s="25">
        <f>IF(AND(D629&gt;0,H629=0,G629=""),1,"")</f>
        <v/>
      </c>
      <c r="AT629" s="25">
        <f>IF(G629="BLOQ",1,"")</f>
        <v/>
      </c>
      <c r="AU629" s="25">
        <f>IF(L629="BLOQ",1,"")</f>
        <v/>
      </c>
      <c r="AV629" s="25">
        <f>MONTH(F629)</f>
        <v/>
      </c>
      <c r="AW629" s="65">
        <f>IF(AP629="",100%,0%)</f>
        <v/>
      </c>
      <c r="AX629" s="23" t="n"/>
      <c r="AY629" s="24">
        <f>IF(M629=0,"",M629-$AX$2)</f>
        <v/>
      </c>
      <c r="AZ629" s="66">
        <f>IF(AND(W629="",AY629&gt;0,AY629&lt;15),1,0)</f>
        <v/>
      </c>
      <c r="BA629" s="24">
        <f>IF(AND(W629="",AY629&gt;0,AY629&lt;15),T629,"")</f>
        <v/>
      </c>
      <c r="BB629" s="87">
        <f>IF(R629&lt;Q629,"X","")</f>
        <v/>
      </c>
      <c r="BC629" s="190" t="inlineStr">
        <is>
          <t>NO</t>
        </is>
      </c>
      <c r="BD629" s="190" t="inlineStr">
        <is>
          <t>NO</t>
        </is>
      </c>
    </row>
    <row r="630" ht="15" customHeight="1" s="162">
      <c r="A630" s="7" t="n">
        <v>629</v>
      </c>
      <c r="B630" t="inlineStr">
        <is>
          <t>1359900000500</t>
        </is>
      </c>
      <c r="C630" t="inlineStr">
        <is>
          <t>COMPRA DIRECTA ELECTRICOS/ELECTRONICOS</t>
        </is>
      </c>
      <c r="D630" t="inlineStr">
        <is>
          <t>1101930054</t>
        </is>
      </c>
      <c r="E630" t="inlineStr">
        <is>
          <t>1</t>
        </is>
      </c>
      <c r="F630" s="163" t="n">
        <v>45967</v>
      </c>
      <c r="G630" t="inlineStr"/>
      <c r="H630" t="inlineStr">
        <is>
          <t>4200636221</t>
        </is>
      </c>
      <c r="I630" t="inlineStr">
        <is>
          <t>10</t>
        </is>
      </c>
      <c r="J630" s="163" t="n">
        <v>45975</v>
      </c>
      <c r="K630" s="163" t="n">
        <v>45978</v>
      </c>
      <c r="L630" t="inlineStr"/>
      <c r="M630" s="163" t="n">
        <v>46053</v>
      </c>
      <c r="N630" s="164" t="n">
        <v>30</v>
      </c>
      <c r="O630" s="164" t="n">
        <v>8</v>
      </c>
      <c r="P630" t="inlineStr">
        <is>
          <t>Liberado</t>
        </is>
      </c>
      <c r="Q630" s="165" t="n">
        <v>1</v>
      </c>
      <c r="R630" s="165" t="n">
        <v>1</v>
      </c>
      <c r="S630" s="165" t="n">
        <v>1</v>
      </c>
      <c r="T630" s="165" t="n">
        <v>0</v>
      </c>
      <c r="U630" s="166" t="n">
        <v>0</v>
      </c>
      <c r="V630" s="166" t="n">
        <v>0</v>
      </c>
      <c r="W630" t="inlineStr">
        <is>
          <t>X</t>
        </is>
      </c>
      <c r="X630" t="inlineStr">
        <is>
          <t>0.00</t>
        </is>
      </c>
      <c r="Y630" t="inlineStr"/>
      <c r="Z630" t="inlineStr">
        <is>
          <t>SARVER S.L.</t>
        </is>
      </c>
      <c r="AA630" t="inlineStr">
        <is>
          <t>OTROS FABRICANTES</t>
        </is>
      </c>
      <c r="AB630" t="inlineStr">
        <is>
          <t>1359900000500</t>
        </is>
      </c>
      <c r="AC630" t="inlineStr"/>
      <c r="AD630" s="164" t="n">
        <v>0</v>
      </c>
      <c r="AE630" s="185" t="n">
        <v>0</v>
      </c>
      <c r="AG630" s="167" t="inlineStr">
        <is>
          <t>7218|S24B05_S1076</t>
        </is>
      </c>
      <c r="AH630" s="46">
        <f>IF(M630=0,"-",M630-J630)</f>
        <v/>
      </c>
      <c r="AI630" s="46">
        <f>IF(AND(S630=0,M630&gt;0,L630=0),IF(AH630&gt;=120,"VERY HIGH",IF(AH630&gt;=90,"HIGH",IF(AH630&gt;=60,"MEDIUM",IF(AH630&lt;60,"LOW")))),"-")</f>
        <v/>
      </c>
      <c r="AJ630" s="12" t="n"/>
      <c r="AK630" s="41">
        <f>IF(AND(W630="X",M630&lt;=$AJ$2),"YES","")</f>
        <v/>
      </c>
      <c r="AL630" s="38">
        <f>IF(AND(W630="X",M630&lt;=$AJ$2),S630,"")</f>
        <v/>
      </c>
      <c r="AM630" s="26">
        <f>IF(AND(W630="X",M630&gt;$AJ$2),"YES","")</f>
        <v/>
      </c>
      <c r="AN630" s="89">
        <f>IF(AND(W630="X",M630&gt;$AJ$2),S630,"")</f>
        <v/>
      </c>
      <c r="AO630" s="35">
        <f>IF(AND(W630="",M630&gt;0,$AJ$2&gt;M630,L630=""),1,0)</f>
        <v/>
      </c>
      <c r="AP630" s="26">
        <f>IF(AND(AK630="YES",W630="X"),"X","")</f>
        <v/>
      </c>
      <c r="AQ630" s="28">
        <f>IF(AP630="X",100%,0%)</f>
        <v/>
      </c>
      <c r="AR630" s="25">
        <f>IF(AND(T630&gt;0,L630=""),H630,"")</f>
        <v/>
      </c>
      <c r="AS630" s="25">
        <f>IF(AND(D630&gt;0,H630=0,G630=""),1,"")</f>
        <v/>
      </c>
      <c r="AT630" s="25">
        <f>IF(G630="BLOQ",1,"")</f>
        <v/>
      </c>
      <c r="AU630" s="25">
        <f>IF(L630="BLOQ",1,"")</f>
        <v/>
      </c>
      <c r="AV630" s="25">
        <f>MONTH(F630)</f>
        <v/>
      </c>
      <c r="AW630" s="65">
        <f>IF(AP630="",100%,0%)</f>
        <v/>
      </c>
      <c r="AX630" s="23" t="n"/>
      <c r="AY630" s="24">
        <f>IF(M630=0,"",M630-$AX$2)</f>
        <v/>
      </c>
      <c r="AZ630" s="66">
        <f>IF(AND(W630="",AY630&gt;0,AY630&lt;15),1,0)</f>
        <v/>
      </c>
      <c r="BA630" s="24">
        <f>IF(AND(W630="",AY630&gt;0,AY630&lt;15),T630,"")</f>
        <v/>
      </c>
      <c r="BB630" s="87">
        <f>IF(R630&lt;Q630,"X","")</f>
        <v/>
      </c>
      <c r="BC630" s="190" t="inlineStr">
        <is>
          <t>NO</t>
        </is>
      </c>
      <c r="BD630" s="190" t="inlineStr">
        <is>
          <t>NO</t>
        </is>
      </c>
    </row>
    <row r="631" ht="15" customHeight="1" s="162">
      <c r="A631" s="7" t="n">
        <v>630</v>
      </c>
      <c r="B631" t="inlineStr">
        <is>
          <t>26121629</t>
        </is>
      </c>
      <c r="C631" t="inlineStr">
        <is>
          <t>Cable de conexi&amp;#243;n RS PRO, &amp;#225;rea</t>
        </is>
      </c>
      <c r="D631" t="inlineStr">
        <is>
          <t>1101935942</t>
        </is>
      </c>
      <c r="E631" t="inlineStr">
        <is>
          <t>1</t>
        </is>
      </c>
      <c r="F631" s="163" t="n">
        <v>45981</v>
      </c>
      <c r="G631" t="inlineStr"/>
      <c r="H631" t="inlineStr">
        <is>
          <t>4800003427</t>
        </is>
      </c>
      <c r="I631" t="inlineStr">
        <is>
          <t>420</t>
        </is>
      </c>
      <c r="J631" s="163" t="n">
        <v>45980</v>
      </c>
      <c r="K631" s="163" t="inlineStr"/>
      <c r="L631" t="inlineStr"/>
      <c r="M631" s="163" t="n">
        <v>45982</v>
      </c>
      <c r="N631" s="164" t="n">
        <v>0</v>
      </c>
      <c r="O631" s="164" t="n">
        <v>0</v>
      </c>
      <c r="P631" t="inlineStr"/>
      <c r="Q631" s="165" t="n">
        <v>1</v>
      </c>
      <c r="R631" s="165" t="n">
        <v>1</v>
      </c>
      <c r="S631" s="165" t="n">
        <v>1</v>
      </c>
      <c r="T631" s="165" t="n">
        <v>0</v>
      </c>
      <c r="U631" s="166" t="n">
        <v>0</v>
      </c>
      <c r="V631" s="166" t="n">
        <v>0</v>
      </c>
      <c r="W631" t="inlineStr">
        <is>
          <t>X</t>
        </is>
      </c>
      <c r="X631" t="inlineStr">
        <is>
          <t>0.00</t>
        </is>
      </c>
      <c r="Y631" t="inlineStr"/>
      <c r="Z631" t="inlineStr">
        <is>
          <t>AMIDATA, S.A.</t>
        </is>
      </c>
      <c r="AA631" t="inlineStr"/>
      <c r="AB631" t="inlineStr">
        <is>
          <t>8114431</t>
        </is>
      </c>
      <c r="AC631" t="inlineStr"/>
      <c r="AD631" s="164" t="n">
        <v>0</v>
      </c>
      <c r="AE631" s="185" t="n">
        <v>0</v>
      </c>
      <c r="AG631" s="167" t="inlineStr">
        <is>
          <t>7218|JA2581_1001</t>
        </is>
      </c>
      <c r="AH631" s="46">
        <f>IF(M631=0,"-",M631-J631)</f>
        <v/>
      </c>
      <c r="AI631" s="46">
        <f>IF(AND(S631=0,M631&gt;0,L631=0),IF(AH631&gt;=120,"VERY HIGH",IF(AH631&gt;=90,"HIGH",IF(AH631&gt;=60,"MEDIUM",IF(AH631&lt;60,"LOW")))),"-")</f>
        <v/>
      </c>
      <c r="AJ631" s="12" t="n"/>
      <c r="AK631" s="41">
        <f>IF(AND(W631="X",M631&lt;=$AJ$2),"YES","")</f>
        <v/>
      </c>
      <c r="AL631" s="38">
        <f>IF(AND(W631="X",M631&lt;=$AJ$2),S631,"")</f>
        <v/>
      </c>
      <c r="AM631" s="26">
        <f>IF(AND(W631="X",M631&gt;$AJ$2),"YES","")</f>
        <v/>
      </c>
      <c r="AN631" s="89">
        <f>IF(AND(W631="X",M631&gt;$AJ$2),S631,"")</f>
        <v/>
      </c>
      <c r="AO631" s="35">
        <f>IF(AND(W631="",M631&gt;0,$AJ$2&gt;M631,L631=""),1,0)</f>
        <v/>
      </c>
      <c r="AP631" s="26">
        <f>IF(AND(AK631="YES",W631="X"),"X","")</f>
        <v/>
      </c>
      <c r="AQ631" s="28">
        <f>IF(AP631="X",100%,0%)</f>
        <v/>
      </c>
      <c r="AR631" s="25">
        <f>IF(AND(T631&gt;0,L631=""),H631,"")</f>
        <v/>
      </c>
      <c r="AS631" s="25">
        <f>IF(AND(D631&gt;0,H631=0,G631=""),1,"")</f>
        <v/>
      </c>
      <c r="AT631" s="25">
        <f>IF(G631="BLOQ",1,"")</f>
        <v/>
      </c>
      <c r="AU631" s="25">
        <f>IF(L631="BLOQ",1,"")</f>
        <v/>
      </c>
      <c r="AV631" s="25">
        <f>MONTH(F631)</f>
        <v/>
      </c>
      <c r="AW631" s="65">
        <f>IF(AP631="",100%,0%)</f>
        <v/>
      </c>
      <c r="AX631" s="23" t="n"/>
      <c r="AY631" s="24">
        <f>IF(M631=0,"",M631-$AX$2)</f>
        <v/>
      </c>
      <c r="AZ631" s="66">
        <f>IF(AND(W631="",AY631&gt;0,AY631&lt;15),1,0)</f>
        <v/>
      </c>
      <c r="BA631" s="24">
        <f>IF(AND(W631="",AY631&gt;0,AY631&lt;15),T631,"")</f>
        <v/>
      </c>
      <c r="BB631" s="87">
        <f>IF(R631&lt;Q631,"X","")</f>
        <v/>
      </c>
      <c r="BC631" s="190" t="inlineStr">
        <is>
          <t>NO</t>
        </is>
      </c>
      <c r="BD631" s="190" t="inlineStr">
        <is>
          <t>NO</t>
        </is>
      </c>
    </row>
    <row r="632" ht="15" customHeight="1" s="162">
      <c r="A632" s="7" t="n">
        <v>631</v>
      </c>
      <c r="B632" t="inlineStr">
        <is>
          <t>32111503</t>
        </is>
      </c>
      <c r="C632" t="inlineStr">
        <is>
          <t>Bombilla LED, 4,2 W, casquillo GU10, Bla</t>
        </is>
      </c>
      <c r="D632" t="inlineStr">
        <is>
          <t>1101939635</t>
        </is>
      </c>
      <c r="E632" t="inlineStr">
        <is>
          <t>1</t>
        </is>
      </c>
      <c r="F632" s="163" t="n">
        <v>45989</v>
      </c>
      <c r="G632" t="inlineStr"/>
      <c r="H632" t="inlineStr">
        <is>
          <t>4800003446</t>
        </is>
      </c>
      <c r="I632" t="inlineStr">
        <is>
          <t>170</t>
        </is>
      </c>
      <c r="J632" s="163" t="n">
        <v>45988</v>
      </c>
      <c r="K632" s="163" t="inlineStr"/>
      <c r="L632" t="inlineStr"/>
      <c r="M632" s="163" t="n">
        <v>45990</v>
      </c>
      <c r="N632" s="164" t="n">
        <v>0</v>
      </c>
      <c r="O632" s="164" t="n">
        <v>0</v>
      </c>
      <c r="P632" t="inlineStr"/>
      <c r="Q632" s="165" t="n">
        <v>10</v>
      </c>
      <c r="R632" s="165" t="n">
        <v>10</v>
      </c>
      <c r="S632" s="165" t="n">
        <v>10</v>
      </c>
      <c r="T632" s="165" t="n">
        <v>0</v>
      </c>
      <c r="U632" s="166" t="n">
        <v>0</v>
      </c>
      <c r="V632" s="166" t="n">
        <v>0</v>
      </c>
      <c r="W632" t="inlineStr">
        <is>
          <t>X</t>
        </is>
      </c>
      <c r="X632" t="inlineStr">
        <is>
          <t>0.00</t>
        </is>
      </c>
      <c r="Y632" t="inlineStr"/>
      <c r="Z632" t="inlineStr">
        <is>
          <t>AMIDATA, S.A.</t>
        </is>
      </c>
      <c r="AA632" t="inlineStr"/>
      <c r="AB632" t="inlineStr">
        <is>
          <t>2889633</t>
        </is>
      </c>
      <c r="AC632" t="inlineStr"/>
      <c r="AD632" s="164" t="n">
        <v>0</v>
      </c>
      <c r="AE632" s="185" t="n">
        <v>0</v>
      </c>
      <c r="AG632" s="167" t="inlineStr">
        <is>
          <t>7218|JA2581_1001</t>
        </is>
      </c>
      <c r="AH632" s="46">
        <f>IF(M632=0,"-",M632-J632)</f>
        <v/>
      </c>
      <c r="AI632" s="46">
        <f>IF(AND(S632=0,M632&gt;0,L632=0),IF(AH632&gt;=120,"VERY HIGH",IF(AH632&gt;=90,"HIGH",IF(AH632&gt;=60,"MEDIUM",IF(AH632&lt;60,"LOW")))),"-")</f>
        <v/>
      </c>
      <c r="AJ632" s="12" t="n"/>
      <c r="AK632" s="41">
        <f>IF(AND(W632="X",M632&lt;=$AJ$2),"YES","")</f>
        <v/>
      </c>
      <c r="AL632" s="38">
        <f>IF(AND(W632="X",M632&lt;=$AJ$2),S632,"")</f>
        <v/>
      </c>
      <c r="AM632" s="26">
        <f>IF(AND(W632="X",M632&gt;$AJ$2),"YES","")</f>
        <v/>
      </c>
      <c r="AN632" s="89">
        <f>IF(AND(W632="X",M632&gt;$AJ$2),S632,"")</f>
        <v/>
      </c>
      <c r="AO632" s="35">
        <f>IF(AND(W632="",M632&gt;0,$AJ$2&gt;M632,L632=""),1,0)</f>
        <v/>
      </c>
      <c r="AP632" s="26">
        <f>IF(AND(AK632="YES",W632="X"),"X","")</f>
        <v/>
      </c>
      <c r="AQ632" s="28">
        <f>IF(AP632="X",100%,0%)</f>
        <v/>
      </c>
      <c r="AR632" s="25">
        <f>IF(AND(T632&gt;0,L632=""),H632,"")</f>
        <v/>
      </c>
      <c r="AS632" s="25">
        <f>IF(AND(D632&gt;0,H632=0,G632=""),1,"")</f>
        <v/>
      </c>
      <c r="AT632" s="25">
        <f>IF(G632="BLOQ",1,"")</f>
        <v/>
      </c>
      <c r="AU632" s="25">
        <f>IF(L632="BLOQ",1,"")</f>
        <v/>
      </c>
      <c r="AV632" s="25">
        <f>MONTH(F632)</f>
        <v/>
      </c>
      <c r="AW632" s="65">
        <f>IF(AP632="",100%,0%)</f>
        <v/>
      </c>
      <c r="AX632" s="23" t="n"/>
      <c r="AY632" s="24">
        <f>IF(M632=0,"",M632-$AX$2)</f>
        <v/>
      </c>
      <c r="AZ632" s="66">
        <f>IF(AND(W632="",AY632&gt;0,AY632&lt;15),1,0)</f>
        <v/>
      </c>
      <c r="BA632" s="24">
        <f>IF(AND(W632="",AY632&gt;0,AY632&lt;15),T632,"")</f>
        <v/>
      </c>
      <c r="BB632" s="87">
        <f>IF(R632&lt;Q632,"X","")</f>
        <v/>
      </c>
      <c r="BC632" s="190" t="inlineStr">
        <is>
          <t>NO</t>
        </is>
      </c>
      <c r="BD632" s="190" t="inlineStr">
        <is>
          <t>NO</t>
        </is>
      </c>
    </row>
    <row r="633" ht="15" customHeight="1" s="162">
      <c r="A633" s="7" t="n">
        <v>632</v>
      </c>
      <c r="B633" t="inlineStr">
        <is>
          <t>1359900000500</t>
        </is>
      </c>
      <c r="C633" t="inlineStr">
        <is>
          <t>COMPRA DIRECTA ELECTRICOS/ELECTRONICOS</t>
        </is>
      </c>
      <c r="D633" t="inlineStr">
        <is>
          <t>1101942089</t>
        </is>
      </c>
      <c r="E633" t="inlineStr">
        <is>
          <t>1</t>
        </is>
      </c>
      <c r="F633" s="163" t="n">
        <v>45994</v>
      </c>
      <c r="G633" t="inlineStr"/>
      <c r="H633" t="inlineStr">
        <is>
          <t>4200644071</t>
        </is>
      </c>
      <c r="I633" t="inlineStr">
        <is>
          <t>50</t>
        </is>
      </c>
      <c r="J633" s="163" t="n">
        <v>46029</v>
      </c>
      <c r="K633" s="163" t="n">
        <v>46030</v>
      </c>
      <c r="L633" t="inlineStr"/>
      <c r="M633" s="163" t="n">
        <v>46043</v>
      </c>
      <c r="N633" s="164" t="n">
        <v>30</v>
      </c>
      <c r="O633" s="164" t="n">
        <v>8</v>
      </c>
      <c r="P633" t="inlineStr">
        <is>
          <t>Liberado</t>
        </is>
      </c>
      <c r="Q633" s="165" t="n">
        <v>5</v>
      </c>
      <c r="R633" s="165" t="n">
        <v>5</v>
      </c>
      <c r="S633" s="165" t="n">
        <v>5</v>
      </c>
      <c r="T633" s="165" t="n">
        <v>0</v>
      </c>
      <c r="U633" s="166" t="n">
        <v>0</v>
      </c>
      <c r="V633" s="166" t="n">
        <v>0</v>
      </c>
      <c r="W633" t="inlineStr">
        <is>
          <t>X</t>
        </is>
      </c>
      <c r="X633" t="inlineStr">
        <is>
          <t>0.00</t>
        </is>
      </c>
      <c r="Y633" t="inlineStr"/>
      <c r="Z633" t="inlineStr">
        <is>
          <t>GRUPO ELECTRO-STOCKS,S.L.U</t>
        </is>
      </c>
      <c r="AA633" t="inlineStr">
        <is>
          <t>OTROS FABRICANTES</t>
        </is>
      </c>
      <c r="AB633" t="inlineStr">
        <is>
          <t>1359900000500</t>
        </is>
      </c>
      <c r="AC633" t="inlineStr"/>
      <c r="AD633" s="164" t="n">
        <v>0</v>
      </c>
      <c r="AE633" s="185" t="n">
        <v>0</v>
      </c>
      <c r="AG633" s="167" t="inlineStr">
        <is>
          <t>7218|JA2593_1001</t>
        </is>
      </c>
      <c r="AH633" s="46">
        <f>IF(M633=0,"-",M633-J633)</f>
        <v/>
      </c>
      <c r="AI633" s="46">
        <f>IF(AND(S633=0,M633&gt;0,L633=0),IF(AH633&gt;=120,"VERY HIGH",IF(AH633&gt;=90,"HIGH",IF(AH633&gt;=60,"MEDIUM",IF(AH633&lt;60,"LOW")))),"-")</f>
        <v/>
      </c>
      <c r="AJ633" s="12" t="n"/>
      <c r="AK633" s="41">
        <f>IF(AND(W633="X",M633&lt;=$AJ$2),"YES","")</f>
        <v/>
      </c>
      <c r="AL633" s="38">
        <f>IF(AND(W633="X",M633&lt;=$AJ$2),S633,"")</f>
        <v/>
      </c>
      <c r="AM633" s="26">
        <f>IF(AND(W633="X",M633&gt;$AJ$2),"YES","")</f>
        <v/>
      </c>
      <c r="AN633" s="89">
        <f>IF(AND(W633="X",M633&gt;$AJ$2),S633,"")</f>
        <v/>
      </c>
      <c r="AO633" s="35">
        <f>IF(AND(W633="",M633&gt;0,$AJ$2&gt;M633,L633=""),1,0)</f>
        <v/>
      </c>
      <c r="AP633" s="26">
        <f>IF(AND(AK633="YES",W633="X"),"X","")</f>
        <v/>
      </c>
      <c r="AQ633" s="28">
        <f>IF(AP633="X",100%,0%)</f>
        <v/>
      </c>
      <c r="AR633" s="25">
        <f>IF(AND(T633&gt;0,L633=""),H633,"")</f>
        <v/>
      </c>
      <c r="AS633" s="25">
        <f>IF(AND(D633&gt;0,H633=0,G633=""),1,"")</f>
        <v/>
      </c>
      <c r="AT633" s="25">
        <f>IF(G633="BLOQ",1,"")</f>
        <v/>
      </c>
      <c r="AU633" s="25">
        <f>IF(L633="BLOQ",1,"")</f>
        <v/>
      </c>
      <c r="AV633" s="25">
        <f>MONTH(F633)</f>
        <v/>
      </c>
      <c r="AW633" s="65">
        <f>IF(AP633="",100%,0%)</f>
        <v/>
      </c>
      <c r="AX633" s="23" t="n"/>
      <c r="AY633" s="24">
        <f>IF(M633=0,"",M633-$AX$2)</f>
        <v/>
      </c>
      <c r="AZ633" s="66">
        <f>IF(AND(W633="",AY633&gt;0,AY633&lt;15),1,0)</f>
        <v/>
      </c>
      <c r="BA633" s="24">
        <f>IF(AND(W633="",AY633&gt;0,AY633&lt;15),T633,"")</f>
        <v/>
      </c>
      <c r="BB633" s="87">
        <f>IF(R633&lt;Q633,"X","")</f>
        <v/>
      </c>
      <c r="BC633" s="190" t="inlineStr">
        <is>
          <t>NO</t>
        </is>
      </c>
      <c r="BD633" s="190" t="inlineStr">
        <is>
          <t>NO</t>
        </is>
      </c>
    </row>
    <row r="634" ht="15" customHeight="1" s="162">
      <c r="A634" s="7" t="n">
        <v>633</v>
      </c>
      <c r="B634" t="inlineStr">
        <is>
          <t>1359900000500</t>
        </is>
      </c>
      <c r="C634" t="inlineStr">
        <is>
          <t>COMPRA DIRECTA ELECTRICOS/ELECTRONICOS</t>
        </is>
      </c>
      <c r="D634" t="inlineStr">
        <is>
          <t>1101942113</t>
        </is>
      </c>
      <c r="E634" t="inlineStr">
        <is>
          <t>1</t>
        </is>
      </c>
      <c r="F634" s="163" t="n">
        <v>45994</v>
      </c>
      <c r="G634" t="inlineStr"/>
      <c r="H634" t="inlineStr">
        <is>
          <t>4200644074</t>
        </is>
      </c>
      <c r="I634" t="inlineStr">
        <is>
          <t>20</t>
        </is>
      </c>
      <c r="J634" s="163" t="n">
        <v>46029</v>
      </c>
      <c r="K634" s="163" t="n">
        <v>46030</v>
      </c>
      <c r="L634" t="inlineStr"/>
      <c r="M634" s="163" t="n">
        <v>46043</v>
      </c>
      <c r="N634" s="164" t="n">
        <v>30</v>
      </c>
      <c r="O634" s="164" t="n">
        <v>8</v>
      </c>
      <c r="P634" t="inlineStr">
        <is>
          <t>Liberado</t>
        </is>
      </c>
      <c r="Q634" s="165" t="n">
        <v>5</v>
      </c>
      <c r="R634" s="165" t="n">
        <v>5</v>
      </c>
      <c r="S634" s="165" t="n">
        <v>5</v>
      </c>
      <c r="T634" s="165" t="n">
        <v>0</v>
      </c>
      <c r="U634" s="166" t="n">
        <v>0</v>
      </c>
      <c r="V634" s="166" t="n">
        <v>0</v>
      </c>
      <c r="W634" t="inlineStr">
        <is>
          <t>X</t>
        </is>
      </c>
      <c r="X634" t="inlineStr">
        <is>
          <t>0.00</t>
        </is>
      </c>
      <c r="Y634" t="inlineStr"/>
      <c r="Z634" t="inlineStr">
        <is>
          <t>GRUPO ELECTRO-STOCKS,S.L.U</t>
        </is>
      </c>
      <c r="AA634" t="inlineStr">
        <is>
          <t>OTROS FABRICANTES</t>
        </is>
      </c>
      <c r="AB634" t="inlineStr">
        <is>
          <t>1359900000500</t>
        </is>
      </c>
      <c r="AC634" t="inlineStr"/>
      <c r="AD634" s="164" t="n">
        <v>0</v>
      </c>
      <c r="AE634" s="185" t="n">
        <v>0</v>
      </c>
      <c r="AG634" s="167" t="inlineStr">
        <is>
          <t>7218|JA2593_1001</t>
        </is>
      </c>
      <c r="AH634" s="46">
        <f>IF(M634=0,"-",M634-J634)</f>
        <v/>
      </c>
      <c r="AI634" s="46">
        <f>IF(AND(S634=0,M634&gt;0,L634=0),IF(AH634&gt;=120,"VERY HIGH",IF(AH634&gt;=90,"HIGH",IF(AH634&gt;=60,"MEDIUM",IF(AH634&lt;60,"LOW")))),"-")</f>
        <v/>
      </c>
      <c r="AJ634" s="12" t="n"/>
      <c r="AK634" s="41">
        <f>IF(AND(W634="X",M634&lt;=$AJ$2),"YES","")</f>
        <v/>
      </c>
      <c r="AL634" s="38">
        <f>IF(AND(W634="X",M634&lt;=$AJ$2),S634,"")</f>
        <v/>
      </c>
      <c r="AM634" s="26">
        <f>IF(AND(W634="X",M634&gt;$AJ$2),"YES","")</f>
        <v/>
      </c>
      <c r="AN634" s="89">
        <f>IF(AND(W634="X",M634&gt;$AJ$2),S634,"")</f>
        <v/>
      </c>
      <c r="AO634" s="35">
        <f>IF(AND(W634="",M634&gt;0,$AJ$2&gt;M634,L634=""),1,0)</f>
        <v/>
      </c>
      <c r="AP634" s="26">
        <f>IF(AND(AK634="YES",W634="X"),"X","")</f>
        <v/>
      </c>
      <c r="AQ634" s="28">
        <f>IF(AP634="X",100%,0%)</f>
        <v/>
      </c>
      <c r="AR634" s="25">
        <f>IF(AND(T634&gt;0,L634=""),H634,"")</f>
        <v/>
      </c>
      <c r="AS634" s="25">
        <f>IF(AND(D634&gt;0,H634=0,G634=""),1,"")</f>
        <v/>
      </c>
      <c r="AT634" s="25">
        <f>IF(G634="BLOQ",1,"")</f>
        <v/>
      </c>
      <c r="AU634" s="25">
        <f>IF(L634="BLOQ",1,"")</f>
        <v/>
      </c>
      <c r="AV634" s="25">
        <f>MONTH(F634)</f>
        <v/>
      </c>
      <c r="AW634" s="65">
        <f>IF(AP634="",100%,0%)</f>
        <v/>
      </c>
      <c r="AX634" s="23" t="n"/>
      <c r="AY634" s="24">
        <f>IF(M634=0,"",M634-$AX$2)</f>
        <v/>
      </c>
      <c r="AZ634" s="66">
        <f>IF(AND(W634="",AY634&gt;0,AY634&lt;15),1,0)</f>
        <v/>
      </c>
      <c r="BA634" s="24">
        <f>IF(AND(W634="",AY634&gt;0,AY634&lt;15),T634,"")</f>
        <v/>
      </c>
      <c r="BB634" s="87">
        <f>IF(R634&lt;Q634,"X","")</f>
        <v/>
      </c>
      <c r="BC634" s="190" t="inlineStr">
        <is>
          <t>NO</t>
        </is>
      </c>
      <c r="BD634" s="190" t="inlineStr">
        <is>
          <t>NO</t>
        </is>
      </c>
    </row>
    <row r="635" ht="15" customHeight="1" s="162">
      <c r="A635" s="7" t="n">
        <v>634</v>
      </c>
      <c r="B635" t="inlineStr">
        <is>
          <t>32000000</t>
        </is>
      </c>
      <c r="C635" t="inlineStr">
        <is>
          <t>Prensaestopas HENSEL ASS de Poliamida Ne</t>
        </is>
      </c>
      <c r="D635" t="inlineStr">
        <is>
          <t>1101942236</t>
        </is>
      </c>
      <c r="E635" t="inlineStr">
        <is>
          <t>1</t>
        </is>
      </c>
      <c r="F635" s="163" t="n">
        <v>45995</v>
      </c>
      <c r="G635" t="inlineStr"/>
      <c r="H635" t="inlineStr">
        <is>
          <t>4800003490</t>
        </is>
      </c>
      <c r="I635" t="inlineStr">
        <is>
          <t>60</t>
        </is>
      </c>
      <c r="J635" s="163" t="n">
        <v>46002</v>
      </c>
      <c r="K635" s="163" t="inlineStr"/>
      <c r="L635" t="inlineStr"/>
      <c r="M635" s="163" t="n">
        <v>45996</v>
      </c>
      <c r="N635" s="164" t="n">
        <v>0</v>
      </c>
      <c r="O635" s="164" t="n">
        <v>0</v>
      </c>
      <c r="P635" t="inlineStr"/>
      <c r="Q635" s="165" t="n">
        <v>10</v>
      </c>
      <c r="R635" s="165" t="n">
        <v>10</v>
      </c>
      <c r="S635" s="165" t="n">
        <v>10</v>
      </c>
      <c r="T635" s="165" t="n">
        <v>0</v>
      </c>
      <c r="U635" s="166" t="n">
        <v>0</v>
      </c>
      <c r="V635" s="166" t="n">
        <v>0</v>
      </c>
      <c r="W635" t="inlineStr">
        <is>
          <t>X</t>
        </is>
      </c>
      <c r="X635" t="inlineStr">
        <is>
          <t>0.00</t>
        </is>
      </c>
      <c r="Y635" t="inlineStr"/>
      <c r="Z635" t="inlineStr">
        <is>
          <t>AMIDATA, S.A.</t>
        </is>
      </c>
      <c r="AA635" t="inlineStr"/>
      <c r="AB635" t="inlineStr">
        <is>
          <t>0117664</t>
        </is>
      </c>
      <c r="AC635" t="inlineStr"/>
      <c r="AD635" s="164" t="n">
        <v>0</v>
      </c>
      <c r="AE635" s="185" t="n">
        <v>0</v>
      </c>
      <c r="AG635" s="167" t="inlineStr">
        <is>
          <t>7218|JA2582_1001</t>
        </is>
      </c>
      <c r="AH635" s="46">
        <f>IF(M635=0,"-",M635-J635)</f>
        <v/>
      </c>
      <c r="AI635" s="46">
        <f>IF(AND(S635=0,M635&gt;0,L635=0),IF(AH635&gt;=120,"VERY HIGH",IF(AH635&gt;=90,"HIGH",IF(AH635&gt;=60,"MEDIUM",IF(AH635&lt;60,"LOW")))),"-")</f>
        <v/>
      </c>
      <c r="AJ635" s="12" t="n"/>
      <c r="AK635" s="41">
        <f>IF(AND(W635="X",M635&lt;=$AJ$2),"YES","")</f>
        <v/>
      </c>
      <c r="AL635" s="38">
        <f>IF(AND(W635="X",M635&lt;=$AJ$2),S635,"")</f>
        <v/>
      </c>
      <c r="AM635" s="26">
        <f>IF(AND(W635="X",M635&gt;$AJ$2),"YES","")</f>
        <v/>
      </c>
      <c r="AN635" s="89">
        <f>IF(AND(W635="X",M635&gt;$AJ$2),S635,"")</f>
        <v/>
      </c>
      <c r="AO635" s="35">
        <f>IF(AND(W635="",M635&gt;0,$AJ$2&gt;M635,L635=""),1,0)</f>
        <v/>
      </c>
      <c r="AP635" s="26">
        <f>IF(AND(AK635="YES",W635="X"),"X","")</f>
        <v/>
      </c>
      <c r="AQ635" s="28">
        <f>IF(AP635="X",100%,0%)</f>
        <v/>
      </c>
      <c r="AR635" s="25">
        <f>IF(AND(T635&gt;0,L635=""),H635,"")</f>
        <v/>
      </c>
      <c r="AS635" s="25">
        <f>IF(AND(D635&gt;0,H635=0,G635=""),1,"")</f>
        <v/>
      </c>
      <c r="AT635" s="25">
        <f>IF(G635="BLOQ",1,"")</f>
        <v/>
      </c>
      <c r="AU635" s="25">
        <f>IF(L635="BLOQ",1,"")</f>
        <v/>
      </c>
      <c r="AV635" s="25">
        <f>MONTH(F635)</f>
        <v/>
      </c>
      <c r="AW635" s="65">
        <f>IF(AP635="",100%,0%)</f>
        <v/>
      </c>
      <c r="AX635" s="23" t="n"/>
      <c r="AY635" s="24">
        <f>IF(M635=0,"",M635-$AX$2)</f>
        <v/>
      </c>
      <c r="AZ635" s="66">
        <f>IF(AND(W635="",AY635&gt;0,AY635&lt;15),1,0)</f>
        <v/>
      </c>
      <c r="BA635" s="24">
        <f>IF(AND(W635="",AY635&gt;0,AY635&lt;15),T635,"")</f>
        <v/>
      </c>
      <c r="BB635" s="87">
        <f>IF(R635&lt;Q635,"X","")</f>
        <v/>
      </c>
      <c r="BC635" s="190" t="inlineStr">
        <is>
          <t>NO</t>
        </is>
      </c>
      <c r="BD635" s="190" t="inlineStr">
        <is>
          <t>NO</t>
        </is>
      </c>
    </row>
    <row r="636" ht="15" customHeight="1" s="162">
      <c r="A636" s="7" t="n">
        <v>635</v>
      </c>
      <c r="B636" t="inlineStr"/>
      <c r="C636" t="inlineStr">
        <is>
          <t>PROCESSORS RACK (ENSAYOS MARKING CE)</t>
        </is>
      </c>
      <c r="D636" t="inlineStr">
        <is>
          <t>1101944187</t>
        </is>
      </c>
      <c r="E636" t="inlineStr">
        <is>
          <t>1</t>
        </is>
      </c>
      <c r="F636" s="163" t="n">
        <v>46001</v>
      </c>
      <c r="G636" t="inlineStr"/>
      <c r="H636" t="inlineStr">
        <is>
          <t>4300358085</t>
        </is>
      </c>
      <c r="I636" t="inlineStr">
        <is>
          <t>10</t>
        </is>
      </c>
      <c r="J636" s="163" t="n">
        <v>46006</v>
      </c>
      <c r="K636" s="163" t="n">
        <v>46041</v>
      </c>
      <c r="L636" t="inlineStr"/>
      <c r="M636" s="163" t="n">
        <v>46063</v>
      </c>
      <c r="N636" s="164" t="n">
        <v>0</v>
      </c>
      <c r="O636" s="164" t="n">
        <v>0</v>
      </c>
      <c r="P636" t="inlineStr">
        <is>
          <t>Liberado</t>
        </is>
      </c>
      <c r="Q636" s="165" t="n">
        <v>1</v>
      </c>
      <c r="R636" s="165" t="n">
        <v>1</v>
      </c>
      <c r="S636" s="165" t="n">
        <v>0</v>
      </c>
      <c r="T636" s="165" t="n">
        <v>0</v>
      </c>
      <c r="U636" s="166" t="n">
        <v>0</v>
      </c>
      <c r="V636" s="166" t="n">
        <v>0</v>
      </c>
      <c r="W636" t="inlineStr"/>
      <c r="X636" t="inlineStr">
        <is>
          <t>15033.70</t>
        </is>
      </c>
      <c r="Y636" t="inlineStr"/>
      <c r="Z636" t="inlineStr">
        <is>
          <t>ALTER TECHNOLOGY-TÜV NORD</t>
        </is>
      </c>
      <c r="AA636" t="inlineStr"/>
      <c r="AB636" t="inlineStr"/>
      <c r="AC636" t="inlineStr"/>
      <c r="AD636" s="164" t="n">
        <v>0</v>
      </c>
      <c r="AE636" s="185" t="n">
        <v>0</v>
      </c>
      <c r="AG636" s="167" t="inlineStr">
        <is>
          <t>7218|S24B05_S05</t>
        </is>
      </c>
      <c r="AH636" s="46">
        <f>IF(M636=0,"-",M636-J636)</f>
        <v/>
      </c>
      <c r="AI636" s="46">
        <f>IF(AND(S636=0,M636&gt;0,L636=0),IF(AH636&gt;=120,"VERY HIGH",IF(AH636&gt;=90,"HIGH",IF(AH636&gt;=60,"MEDIUM",IF(AH636&lt;60,"LOW")))),"-")</f>
        <v/>
      </c>
      <c r="AJ636" s="12" t="n"/>
      <c r="AK636" s="41">
        <f>IF(AND(W636="X",M636&lt;=$AJ$2),"YES","")</f>
        <v/>
      </c>
      <c r="AL636" s="38">
        <f>IF(AND(W636="X",M636&lt;=$AJ$2),S636,"")</f>
        <v/>
      </c>
      <c r="AM636" s="26">
        <f>IF(AND(W636="X",M636&gt;$AJ$2),"YES","")</f>
        <v/>
      </c>
      <c r="AN636" s="89">
        <f>IF(AND(W636="X",M636&gt;$AJ$2),S636,"")</f>
        <v/>
      </c>
      <c r="AO636" s="35">
        <f>IF(AND(W636="",M636&gt;0,$AJ$2&gt;M636,L636=""),1,0)</f>
        <v/>
      </c>
      <c r="AP636" s="26">
        <f>IF(AND(AK636="YES",W636="X"),"X","")</f>
        <v/>
      </c>
      <c r="AQ636" s="28">
        <f>IF(AP636="X",100%,0%)</f>
        <v/>
      </c>
      <c r="AR636" s="25">
        <f>IF(AND(T636&gt;0,L636=""),H636,"")</f>
        <v/>
      </c>
      <c r="AS636" s="25">
        <f>IF(AND(D636&gt;0,H636=0,G636=""),1,"")</f>
        <v/>
      </c>
      <c r="AT636" s="25">
        <f>IF(G636="BLOQ",1,"")</f>
        <v/>
      </c>
      <c r="AU636" s="25">
        <f>IF(L636="BLOQ",1,"")</f>
        <v/>
      </c>
      <c r="AV636" s="25">
        <f>MONTH(F636)</f>
        <v/>
      </c>
      <c r="AW636" s="65">
        <f>IF(AP636="",100%,0%)</f>
        <v/>
      </c>
      <c r="AX636" s="23" t="n"/>
      <c r="AY636" s="24">
        <f>IF(M636=0,"",M636-$AX$2)</f>
        <v/>
      </c>
      <c r="AZ636" s="66">
        <f>IF(AND(W636="",AY636&gt;0,AY636&lt;15),1,0)</f>
        <v/>
      </c>
      <c r="BA636" s="24">
        <f>IF(AND(W636="",AY636&gt;0,AY636&lt;15),T636,"")</f>
        <v/>
      </c>
      <c r="BB636" s="87">
        <f>IF(R636&lt;Q636,"X","")</f>
        <v/>
      </c>
      <c r="BC636" s="190" t="inlineStr">
        <is>
          <t>NO</t>
        </is>
      </c>
      <c r="BD636" s="190" t="inlineStr">
        <is>
          <t>NO</t>
        </is>
      </c>
    </row>
    <row r="637" ht="15" customHeight="1" s="162">
      <c r="A637" s="7" t="n">
        <v>636</v>
      </c>
      <c r="B637" t="inlineStr">
        <is>
          <t>1709800000500</t>
        </is>
      </c>
      <c r="C637" t="inlineStr">
        <is>
          <t>COMPRA DIRECTA FERRETERIA Y HERRAMIENTAS</t>
        </is>
      </c>
      <c r="D637" t="inlineStr">
        <is>
          <t>1101948479</t>
        </is>
      </c>
      <c r="E637" t="inlineStr">
        <is>
          <t>1</t>
        </is>
      </c>
      <c r="F637" s="163" t="n">
        <v>46008</v>
      </c>
      <c r="G637" t="inlineStr"/>
      <c r="H637" t="inlineStr">
        <is>
          <t>4200645743</t>
        </is>
      </c>
      <c r="I637" t="inlineStr">
        <is>
          <t>10</t>
        </is>
      </c>
      <c r="J637" s="163" t="n">
        <v>46042</v>
      </c>
      <c r="K637" s="163" t="n">
        <v>46043</v>
      </c>
      <c r="L637" t="inlineStr"/>
      <c r="M637" s="163" t="n">
        <v>46056</v>
      </c>
      <c r="N637" s="164" t="n">
        <v>40</v>
      </c>
      <c r="O637" s="164" t="n">
        <v>8</v>
      </c>
      <c r="P637" t="inlineStr">
        <is>
          <t>Liberado</t>
        </is>
      </c>
      <c r="Q637" s="165" t="n">
        <v>6</v>
      </c>
      <c r="R637" s="165" t="n">
        <v>6</v>
      </c>
      <c r="S637" s="165" t="n">
        <v>6</v>
      </c>
      <c r="T637" s="165" t="n">
        <v>0</v>
      </c>
      <c r="U637" s="166" t="n">
        <v>0</v>
      </c>
      <c r="V637" s="166" t="n">
        <v>0</v>
      </c>
      <c r="W637" t="inlineStr">
        <is>
          <t>X</t>
        </is>
      </c>
      <c r="X637" t="inlineStr">
        <is>
          <t>0.00</t>
        </is>
      </c>
      <c r="Y637" t="inlineStr"/>
      <c r="Z637" t="inlineStr">
        <is>
          <t>ABACO SUYTEC, S.A.U.</t>
        </is>
      </c>
      <c r="AA637" t="inlineStr">
        <is>
          <t>OTROS FABRICANTES</t>
        </is>
      </c>
      <c r="AB637" t="inlineStr">
        <is>
          <t>1709800000500</t>
        </is>
      </c>
      <c r="AC637" t="inlineStr"/>
      <c r="AD637" s="164" t="n">
        <v>0</v>
      </c>
      <c r="AE637" s="185" t="n">
        <v>0</v>
      </c>
      <c r="AG637" s="167" t="inlineStr">
        <is>
          <t>7218|JA2582_1001</t>
        </is>
      </c>
      <c r="AH637" s="46">
        <f>IF(M637=0,"-",M637-J637)</f>
        <v/>
      </c>
      <c r="AI637" s="46">
        <f>IF(AND(S637=0,M637&gt;0,L637=0),IF(AH637&gt;=120,"VERY HIGH",IF(AH637&gt;=90,"HIGH",IF(AH637&gt;=60,"MEDIUM",IF(AH637&lt;60,"LOW")))),"-")</f>
        <v/>
      </c>
      <c r="AJ637" s="12" t="n"/>
      <c r="AK637" s="41">
        <f>IF(AND(W637="X",M637&lt;=$AJ$2),"YES","")</f>
        <v/>
      </c>
      <c r="AL637" s="38">
        <f>IF(AND(W637="X",M637&lt;=$AJ$2),S637,"")</f>
        <v/>
      </c>
      <c r="AM637" s="26">
        <f>IF(AND(W637="X",M637&gt;$AJ$2),"YES","")</f>
        <v/>
      </c>
      <c r="AN637" s="89">
        <f>IF(AND(W637="X",M637&gt;$AJ$2),S637,"")</f>
        <v/>
      </c>
      <c r="AO637" s="35">
        <f>IF(AND(W637="",M637&gt;0,$AJ$2&gt;M637,L637=""),1,0)</f>
        <v/>
      </c>
      <c r="AP637" s="26">
        <f>IF(AND(AK637="YES",W637="X"),"X","")</f>
        <v/>
      </c>
      <c r="AQ637" s="28">
        <f>IF(AP637="X",100%,0%)</f>
        <v/>
      </c>
      <c r="AR637" s="25">
        <f>IF(AND(T637&gt;0,L637=""),H637,"")</f>
        <v/>
      </c>
      <c r="AS637" s="25">
        <f>IF(AND(D637&gt;0,H637=0,G637=""),1,"")</f>
        <v/>
      </c>
      <c r="AT637" s="25">
        <f>IF(G637="BLOQ",1,"")</f>
        <v/>
      </c>
      <c r="AU637" s="25">
        <f>IF(L637="BLOQ",1,"")</f>
        <v/>
      </c>
      <c r="AV637" s="25">
        <f>MONTH(F637)</f>
        <v/>
      </c>
      <c r="AW637" s="65">
        <f>IF(AP637="",100%,0%)</f>
        <v/>
      </c>
      <c r="AX637" s="23" t="n"/>
      <c r="AY637" s="24">
        <f>IF(M637=0,"",M637-$AX$2)</f>
        <v/>
      </c>
      <c r="AZ637" s="66">
        <f>IF(AND(W637="",AY637&gt;0,AY637&lt;15),1,0)</f>
        <v/>
      </c>
      <c r="BA637" s="24">
        <f>IF(AND(W637="",AY637&gt;0,AY637&lt;15),T637,"")</f>
        <v/>
      </c>
      <c r="BB637" s="87">
        <f>IF(R637&lt;Q637,"X","")</f>
        <v/>
      </c>
      <c r="BC637" s="190" t="inlineStr">
        <is>
          <t>NO</t>
        </is>
      </c>
      <c r="BD637" s="190" t="inlineStr">
        <is>
          <t>NO</t>
        </is>
      </c>
    </row>
    <row r="638" ht="15" customHeight="1" s="162">
      <c r="A638" s="7" t="n">
        <v>637</v>
      </c>
      <c r="B638" t="inlineStr">
        <is>
          <t>1359900000500</t>
        </is>
      </c>
      <c r="C638" t="inlineStr">
        <is>
          <t>COMPRA DIRECTA ELECTRICOS/ELECTRONICOS</t>
        </is>
      </c>
      <c r="D638" t="inlineStr">
        <is>
          <t>1101948508</t>
        </is>
      </c>
      <c r="E638" t="inlineStr">
        <is>
          <t>1</t>
        </is>
      </c>
      <c r="F638" s="163" t="n">
        <v>46008</v>
      </c>
      <c r="G638" t="inlineStr"/>
      <c r="H638" t="inlineStr">
        <is>
          <t>4200645756</t>
        </is>
      </c>
      <c r="I638" t="inlineStr">
        <is>
          <t>10</t>
        </is>
      </c>
      <c r="J638" s="163" t="n">
        <v>46042</v>
      </c>
      <c r="K638" s="163" t="n">
        <v>46043</v>
      </c>
      <c r="L638" t="inlineStr"/>
      <c r="M638" s="163" t="n">
        <v>46056</v>
      </c>
      <c r="N638" s="164" t="n">
        <v>40</v>
      </c>
      <c r="O638" s="164" t="n">
        <v>8</v>
      </c>
      <c r="P638" t="inlineStr">
        <is>
          <t>Liberado</t>
        </is>
      </c>
      <c r="Q638" s="165" t="n">
        <v>20</v>
      </c>
      <c r="R638" s="165" t="n">
        <v>20</v>
      </c>
      <c r="S638" s="165" t="n">
        <v>20</v>
      </c>
      <c r="T638" s="165" t="n">
        <v>0</v>
      </c>
      <c r="U638" s="166" t="n">
        <v>0</v>
      </c>
      <c r="V638" s="166" t="n">
        <v>0</v>
      </c>
      <c r="W638" t="inlineStr">
        <is>
          <t>X</t>
        </is>
      </c>
      <c r="X638" t="inlineStr">
        <is>
          <t>0.00</t>
        </is>
      </c>
      <c r="Y638" t="inlineStr"/>
      <c r="Z638" t="inlineStr">
        <is>
          <t>GRUPO ELECTRO-STOCKS,S.L.U</t>
        </is>
      </c>
      <c r="AA638" t="inlineStr">
        <is>
          <t>OTROS FABRICANTES</t>
        </is>
      </c>
      <c r="AB638" t="inlineStr">
        <is>
          <t>1359900000500</t>
        </is>
      </c>
      <c r="AC638" t="inlineStr"/>
      <c r="AD638" s="164" t="n">
        <v>0</v>
      </c>
      <c r="AE638" s="185" t="n">
        <v>0</v>
      </c>
      <c r="AG638" s="167" t="inlineStr">
        <is>
          <t>7218|JA2594_1001</t>
        </is>
      </c>
      <c r="AH638" s="46">
        <f>IF(M638=0,"-",M638-J638)</f>
        <v/>
      </c>
      <c r="AI638" s="46">
        <f>IF(AND(S638=0,M638&gt;0,L638=0),IF(AH638&gt;=120,"VERY HIGH",IF(AH638&gt;=90,"HIGH",IF(AH638&gt;=60,"MEDIUM",IF(AH638&lt;60,"LOW")))),"-")</f>
        <v/>
      </c>
      <c r="AJ638" s="12" t="n"/>
      <c r="AK638" s="41">
        <f>IF(AND(W638="X",M638&lt;=$AJ$2),"YES","")</f>
        <v/>
      </c>
      <c r="AL638" s="38">
        <f>IF(AND(W638="X",M638&lt;=$AJ$2),S638,"")</f>
        <v/>
      </c>
      <c r="AM638" s="26">
        <f>IF(AND(W638="X",M638&gt;$AJ$2),"YES","")</f>
        <v/>
      </c>
      <c r="AN638" s="89">
        <f>IF(AND(W638="X",M638&gt;$AJ$2),S638,"")</f>
        <v/>
      </c>
      <c r="AO638" s="35">
        <f>IF(AND(W638="",M638&gt;0,$AJ$2&gt;M638,L638=""),1,0)</f>
        <v/>
      </c>
      <c r="AP638" s="26">
        <f>IF(AND(AK638="YES",W638="X"),"X","")</f>
        <v/>
      </c>
      <c r="AQ638" s="28">
        <f>IF(AP638="X",100%,0%)</f>
        <v/>
      </c>
      <c r="AR638" s="25">
        <f>IF(AND(T638&gt;0,L638=""),H638,"")</f>
        <v/>
      </c>
      <c r="AS638" s="25">
        <f>IF(AND(D638&gt;0,H638=0,G638=""),1,"")</f>
        <v/>
      </c>
      <c r="AT638" s="25">
        <f>IF(G638="BLOQ",1,"")</f>
        <v/>
      </c>
      <c r="AU638" s="25">
        <f>IF(L638="BLOQ",1,"")</f>
        <v/>
      </c>
      <c r="AV638" s="25">
        <f>MONTH(F638)</f>
        <v/>
      </c>
      <c r="AW638" s="65">
        <f>IF(AP638="",100%,0%)</f>
        <v/>
      </c>
      <c r="AX638" s="23" t="n"/>
      <c r="AY638" s="24">
        <f>IF(M638=0,"",M638-$AX$2)</f>
        <v/>
      </c>
      <c r="AZ638" s="66">
        <f>IF(AND(W638="",AY638&gt;0,AY638&lt;15),1,0)</f>
        <v/>
      </c>
      <c r="BA638" s="24">
        <f>IF(AND(W638="",AY638&gt;0,AY638&lt;15),T638,"")</f>
        <v/>
      </c>
      <c r="BB638" s="87">
        <f>IF(R638&lt;Q638,"X","")</f>
        <v/>
      </c>
      <c r="BC638" s="190" t="inlineStr">
        <is>
          <t>NO</t>
        </is>
      </c>
      <c r="BD638" s="190" t="inlineStr">
        <is>
          <t>NO</t>
        </is>
      </c>
    </row>
    <row r="639" ht="15" customHeight="1" s="162">
      <c r="A639" s="7" t="n">
        <v>638</v>
      </c>
      <c r="B639" t="inlineStr">
        <is>
          <t>43211730</t>
        </is>
      </c>
      <c r="C639" t="inlineStr">
        <is>
          <t>Inyector de PoE 2 puertos, entrada 100 -</t>
        </is>
      </c>
      <c r="D639" t="inlineStr">
        <is>
          <t>1101949201</t>
        </is>
      </c>
      <c r="E639" t="inlineStr">
        <is>
          <t>1</t>
        </is>
      </c>
      <c r="F639" s="163" t="n">
        <v>46009</v>
      </c>
      <c r="G639" t="inlineStr"/>
      <c r="H639" t="inlineStr">
        <is>
          <t>4800003514</t>
        </is>
      </c>
      <c r="I639" t="inlineStr">
        <is>
          <t>460</t>
        </is>
      </c>
      <c r="J639" s="163" t="n">
        <v>46009</v>
      </c>
      <c r="K639" s="163" t="inlineStr"/>
      <c r="L639" t="inlineStr"/>
      <c r="M639" s="163" t="n">
        <v>46010</v>
      </c>
      <c r="N639" s="164" t="n">
        <v>0</v>
      </c>
      <c r="O639" s="164" t="n">
        <v>0</v>
      </c>
      <c r="P639" t="inlineStr"/>
      <c r="Q639" s="165" t="n">
        <v>2</v>
      </c>
      <c r="R639" s="165" t="n">
        <v>2</v>
      </c>
      <c r="S639" s="165" t="n">
        <v>2</v>
      </c>
      <c r="T639" s="165" t="n">
        <v>0</v>
      </c>
      <c r="U639" s="166" t="n">
        <v>0</v>
      </c>
      <c r="V639" s="166" t="n">
        <v>0</v>
      </c>
      <c r="W639" t="inlineStr">
        <is>
          <t>X</t>
        </is>
      </c>
      <c r="X639" t="inlineStr">
        <is>
          <t>0.00</t>
        </is>
      </c>
      <c r="Y639" t="inlineStr"/>
      <c r="Z639" t="inlineStr">
        <is>
          <t>AMIDATA, S.A.</t>
        </is>
      </c>
      <c r="AA639" t="inlineStr"/>
      <c r="AB639" t="inlineStr">
        <is>
          <t>2753549</t>
        </is>
      </c>
      <c r="AC639" t="inlineStr"/>
      <c r="AD639" s="164" t="n">
        <v>0</v>
      </c>
      <c r="AE639" s="185" t="n">
        <v>0</v>
      </c>
      <c r="AG639" s="167" t="inlineStr">
        <is>
          <t>7218|JA2581_1001</t>
        </is>
      </c>
      <c r="AH639" s="46">
        <f>IF(M639=0,"-",M639-J639)</f>
        <v/>
      </c>
      <c r="AI639" s="46">
        <f>IF(AND(S639=0,M639&gt;0,L639=0),IF(AH639&gt;=120,"VERY HIGH",IF(AH639&gt;=90,"HIGH",IF(AH639&gt;=60,"MEDIUM",IF(AH639&lt;60,"LOW")))),"-")</f>
        <v/>
      </c>
      <c r="AJ639" s="12" t="n"/>
      <c r="AK639" s="41">
        <f>IF(AND(W639="X",M639&lt;=$AJ$2),"YES","")</f>
        <v/>
      </c>
      <c r="AL639" s="38">
        <f>IF(AND(W639="X",M639&lt;=$AJ$2),S639,"")</f>
        <v/>
      </c>
      <c r="AM639" s="26">
        <f>IF(AND(W639="X",M639&gt;$AJ$2),"YES","")</f>
        <v/>
      </c>
      <c r="AN639" s="89">
        <f>IF(AND(W639="X",M639&gt;$AJ$2),S639,"")</f>
        <v/>
      </c>
      <c r="AO639" s="35">
        <f>IF(AND(W639="",M639&gt;0,$AJ$2&gt;M639,L639=""),1,0)</f>
        <v/>
      </c>
      <c r="AP639" s="26">
        <f>IF(AND(AK639="YES",W639="X"),"X","")</f>
        <v/>
      </c>
      <c r="AQ639" s="28">
        <f>IF(AP639="X",100%,0%)</f>
        <v/>
      </c>
      <c r="AR639" s="25">
        <f>IF(AND(T639&gt;0,L639=""),H639,"")</f>
        <v/>
      </c>
      <c r="AS639" s="25">
        <f>IF(AND(D639&gt;0,H639=0,G639=""),1,"")</f>
        <v/>
      </c>
      <c r="AT639" s="25">
        <f>IF(G639="BLOQ",1,"")</f>
        <v/>
      </c>
      <c r="AU639" s="25">
        <f>IF(L639="BLOQ",1,"")</f>
        <v/>
      </c>
      <c r="AV639" s="25">
        <f>MONTH(F639)</f>
        <v/>
      </c>
      <c r="AW639" s="65">
        <f>IF(AP639="",100%,0%)</f>
        <v/>
      </c>
      <c r="AX639" s="23" t="n"/>
      <c r="AY639" s="24">
        <f>IF(M639=0,"",M639-$AX$2)</f>
        <v/>
      </c>
      <c r="AZ639" s="66">
        <f>IF(AND(W639="",AY639&gt;0,AY639&lt;15),1,0)</f>
        <v/>
      </c>
      <c r="BA639" s="24">
        <f>IF(AND(W639="",AY639&gt;0,AY639&lt;15),T639,"")</f>
        <v/>
      </c>
      <c r="BB639" s="87">
        <f>IF(R639&lt;Q639,"X","")</f>
        <v/>
      </c>
      <c r="BC639" s="190" t="inlineStr">
        <is>
          <t>NO</t>
        </is>
      </c>
      <c r="BD639" s="190" t="inlineStr">
        <is>
          <t>NO</t>
        </is>
      </c>
    </row>
    <row r="640" ht="15" customHeight="1" s="162">
      <c r="A640" s="7" t="n">
        <v>639</v>
      </c>
      <c r="B640" t="inlineStr">
        <is>
          <t>26121629</t>
        </is>
      </c>
      <c r="C640" t="inlineStr">
        <is>
          <t>Cable de alimentaci&amp;#243;n StarTech.com</t>
        </is>
      </c>
      <c r="D640" t="inlineStr">
        <is>
          <t>1101949201</t>
        </is>
      </c>
      <c r="E640" t="inlineStr">
        <is>
          <t>2</t>
        </is>
      </c>
      <c r="F640" s="163" t="n">
        <v>46009</v>
      </c>
      <c r="G640" t="inlineStr"/>
      <c r="H640" t="inlineStr">
        <is>
          <t>4800003514</t>
        </is>
      </c>
      <c r="I640" t="inlineStr">
        <is>
          <t>470</t>
        </is>
      </c>
      <c r="J640" s="163" t="n">
        <v>46009</v>
      </c>
      <c r="K640" s="163" t="inlineStr"/>
      <c r="L640" t="inlineStr"/>
      <c r="M640" s="163" t="n">
        <v>46010</v>
      </c>
      <c r="N640" s="164" t="n">
        <v>0</v>
      </c>
      <c r="O640" s="164" t="n">
        <v>0</v>
      </c>
      <c r="P640" t="inlineStr"/>
      <c r="Q640" s="165" t="n">
        <v>2</v>
      </c>
      <c r="R640" s="165" t="n">
        <v>2</v>
      </c>
      <c r="S640" s="165" t="n">
        <v>2</v>
      </c>
      <c r="T640" s="165" t="n">
        <v>0</v>
      </c>
      <c r="U640" s="166" t="n">
        <v>0</v>
      </c>
      <c r="V640" s="166" t="n">
        <v>0</v>
      </c>
      <c r="W640" t="inlineStr">
        <is>
          <t>X</t>
        </is>
      </c>
      <c r="X640" t="inlineStr">
        <is>
          <t>0.00</t>
        </is>
      </c>
      <c r="Y640" t="inlineStr"/>
      <c r="Z640" t="inlineStr">
        <is>
          <t>AMIDATA, S.A.</t>
        </is>
      </c>
      <c r="AA640" t="inlineStr"/>
      <c r="AB640" t="inlineStr">
        <is>
          <t>2677825</t>
        </is>
      </c>
      <c r="AC640" t="inlineStr"/>
      <c r="AD640" s="164" t="n">
        <v>0</v>
      </c>
      <c r="AE640" s="185" t="n">
        <v>0</v>
      </c>
      <c r="AG640" s="167" t="inlineStr">
        <is>
          <t>7218|JA2581_1001</t>
        </is>
      </c>
      <c r="AH640" s="46">
        <f>IF(M640=0,"-",M640-J640)</f>
        <v/>
      </c>
      <c r="AI640" s="46">
        <f>IF(AND(S640=0,M640&gt;0,L640=0),IF(AH640&gt;=120,"VERY HIGH",IF(AH640&gt;=90,"HIGH",IF(AH640&gt;=60,"MEDIUM",IF(AH640&lt;60,"LOW")))),"-")</f>
        <v/>
      </c>
      <c r="AJ640" s="12" t="n"/>
      <c r="AK640" s="41">
        <f>IF(AND(W640="X",M640&lt;=$AJ$2),"YES","")</f>
        <v/>
      </c>
      <c r="AL640" s="38">
        <f>IF(AND(W640="X",M640&lt;=$AJ$2),S640,"")</f>
        <v/>
      </c>
      <c r="AM640" s="26">
        <f>IF(AND(W640="X",M640&gt;$AJ$2),"YES","")</f>
        <v/>
      </c>
      <c r="AN640" s="89">
        <f>IF(AND(W640="X",M640&gt;$AJ$2),S640,"")</f>
        <v/>
      </c>
      <c r="AO640" s="35">
        <f>IF(AND(W640="",M640&gt;0,$AJ$2&gt;M640,L640=""),1,0)</f>
        <v/>
      </c>
      <c r="AP640" s="26">
        <f>IF(AND(AK640="YES",W640="X"),"X","")</f>
        <v/>
      </c>
      <c r="AQ640" s="28">
        <f>IF(AP640="X",100%,0%)</f>
        <v/>
      </c>
      <c r="AR640" s="25">
        <f>IF(AND(T640&gt;0,L640=""),H640,"")</f>
        <v/>
      </c>
      <c r="AS640" s="25">
        <f>IF(AND(D640&gt;0,H640=0,G640=""),1,"")</f>
        <v/>
      </c>
      <c r="AT640" s="25">
        <f>IF(G640="BLOQ",1,"")</f>
        <v/>
      </c>
      <c r="AU640" s="25">
        <f>IF(L640="BLOQ",1,"")</f>
        <v/>
      </c>
      <c r="AV640" s="25">
        <f>MONTH(F640)</f>
        <v/>
      </c>
      <c r="AW640" s="65">
        <f>IF(AP640="",100%,0%)</f>
        <v/>
      </c>
      <c r="AX640" s="23" t="n"/>
      <c r="AY640" s="24">
        <f>IF(M640=0,"",M640-$AX$2)</f>
        <v/>
      </c>
      <c r="AZ640" s="66">
        <f>IF(AND(W640="",AY640&gt;0,AY640&lt;15),1,0)</f>
        <v/>
      </c>
      <c r="BA640" s="24">
        <f>IF(AND(W640="",AY640&gt;0,AY640&lt;15),T640,"")</f>
        <v/>
      </c>
      <c r="BB640" s="87">
        <f>IF(R640&lt;Q640,"X","")</f>
        <v/>
      </c>
      <c r="BC640" s="190" t="inlineStr">
        <is>
          <t>NO</t>
        </is>
      </c>
      <c r="BD640" s="190" t="inlineStr">
        <is>
          <t>NO</t>
        </is>
      </c>
    </row>
    <row r="641" ht="15" customHeight="1" s="162">
      <c r="A641" s="7" t="n">
        <v>640</v>
      </c>
      <c r="B641" t="inlineStr">
        <is>
          <t>1390706600000</t>
        </is>
      </c>
      <c r="C641" t="inlineStr">
        <is>
          <t>DEPURADOR HUMO 2250M3/HR 30CM PRE/HEPA</t>
        </is>
      </c>
      <c r="D641" t="inlineStr">
        <is>
          <t>1101955015</t>
        </is>
      </c>
      <c r="E641" t="inlineStr">
        <is>
          <t>1</t>
        </is>
      </c>
      <c r="F641" s="163" t="n">
        <v>46036</v>
      </c>
      <c r="G641" t="inlineStr"/>
      <c r="H641" t="inlineStr">
        <is>
          <t>4200645767</t>
        </is>
      </c>
      <c r="I641" t="inlineStr">
        <is>
          <t>10</t>
        </is>
      </c>
      <c r="J641" s="163" t="n">
        <v>46042</v>
      </c>
      <c r="K641" s="163" t="n">
        <v>46045</v>
      </c>
      <c r="L641" t="inlineStr"/>
      <c r="M641" s="163" t="n">
        <v>46068</v>
      </c>
      <c r="N641" s="164" t="n">
        <v>40</v>
      </c>
      <c r="O641" s="164" t="n">
        <v>8</v>
      </c>
      <c r="P641" t="inlineStr">
        <is>
          <t>Liberado</t>
        </is>
      </c>
      <c r="Q641" s="165" t="n">
        <v>1</v>
      </c>
      <c r="R641" s="165" t="n">
        <v>1</v>
      </c>
      <c r="S641" s="165" t="n">
        <v>0</v>
      </c>
      <c r="T641" s="165" t="n">
        <v>1</v>
      </c>
      <c r="U641" s="166" t="n">
        <v>0</v>
      </c>
      <c r="V641" s="166" t="n">
        <v>0</v>
      </c>
      <c r="W641" t="inlineStr"/>
      <c r="X641" t="inlineStr">
        <is>
          <t>3610.77</t>
        </is>
      </c>
      <c r="Y641" t="inlineStr"/>
      <c r="Z641" t="inlineStr">
        <is>
          <t>MILEXIA IBÉRICA, S.A.U.</t>
        </is>
      </c>
      <c r="AA641" t="inlineStr">
        <is>
          <t>CONCEPT SMOKE</t>
        </is>
      </c>
      <c r="AB641" t="inlineStr">
        <is>
          <t>CEL SS-2000</t>
        </is>
      </c>
      <c r="AC641" t="inlineStr"/>
      <c r="AD641" s="164" t="n">
        <v>1</v>
      </c>
      <c r="AE641" s="185" t="n">
        <v>0</v>
      </c>
      <c r="AG641" s="167" t="inlineStr">
        <is>
          <t>7218|S24B05_P10261</t>
        </is>
      </c>
      <c r="AH641" s="46">
        <f>IF(M641=0,"-",M641-J641)</f>
        <v/>
      </c>
      <c r="AI641" s="46">
        <f>IF(AND(S641=0,M641&gt;0,L641=0),IF(AH641&gt;=120,"VERY HIGH",IF(AH641&gt;=90,"HIGH",IF(AH641&gt;=60,"MEDIUM",IF(AH641&lt;60,"LOW")))),"-")</f>
        <v/>
      </c>
      <c r="AJ641" s="12" t="n"/>
      <c r="AK641" s="41">
        <f>IF(AND(W641="X",M641&lt;=$AJ$2),"YES","")</f>
        <v/>
      </c>
      <c r="AL641" s="38">
        <f>IF(AND(W641="X",M641&lt;=$AJ$2),S641,"")</f>
        <v/>
      </c>
      <c r="AM641" s="26">
        <f>IF(AND(W641="X",M641&gt;$AJ$2),"YES","")</f>
        <v/>
      </c>
      <c r="AN641" s="89">
        <f>IF(AND(W641="X",M641&gt;$AJ$2),S641,"")</f>
        <v/>
      </c>
      <c r="AO641" s="35">
        <f>IF(AND(W641="",M641&gt;0,$AJ$2&gt;M641,L641=""),1,0)</f>
        <v/>
      </c>
      <c r="AP641" s="26">
        <f>IF(AND(AK641="YES",W641="X"),"X","")</f>
        <v/>
      </c>
      <c r="AQ641" s="28">
        <f>IF(AP641="X",100%,0%)</f>
        <v/>
      </c>
      <c r="AR641" s="25">
        <f>IF(AND(T641&gt;0,L641=""),H641,"")</f>
        <v/>
      </c>
      <c r="AS641" s="25">
        <f>IF(AND(D641&gt;0,H641=0,G641=""),1,"")</f>
        <v/>
      </c>
      <c r="AT641" s="25">
        <f>IF(G641="BLOQ",1,"")</f>
        <v/>
      </c>
      <c r="AU641" s="25">
        <f>IF(L641="BLOQ",1,"")</f>
        <v/>
      </c>
      <c r="AV641" s="25">
        <f>MONTH(F641)</f>
        <v/>
      </c>
      <c r="AW641" s="65">
        <f>IF(AP641="",100%,0%)</f>
        <v/>
      </c>
      <c r="AX641" s="23" t="n"/>
      <c r="AY641" s="24">
        <f>IF(M641=0,"",M641-$AX$2)</f>
        <v/>
      </c>
      <c r="AZ641" s="66">
        <f>IF(AND(W641="",AY641&gt;0,AY641&lt;15),1,0)</f>
        <v/>
      </c>
      <c r="BA641" s="24">
        <f>IF(AND(W641="",AY641&gt;0,AY641&lt;15),T641,"")</f>
        <v/>
      </c>
      <c r="BB641" s="87">
        <f>IF(R641&lt;Q641,"X","")</f>
        <v/>
      </c>
      <c r="BC641" s="190" t="inlineStr">
        <is>
          <t>NO</t>
        </is>
      </c>
      <c r="BD641" s="190" t="inlineStr">
        <is>
          <t>NO</t>
        </is>
      </c>
    </row>
    <row r="642" ht="15" customHeight="1" s="162">
      <c r="A642" s="7" t="n">
        <v>641</v>
      </c>
      <c r="B642" t="inlineStr">
        <is>
          <t>1709800000500</t>
        </is>
      </c>
      <c r="C642" t="inlineStr">
        <is>
          <t>COMPRA DIRECTA FERRETERIA Y HERRAMIENTAS</t>
        </is>
      </c>
      <c r="D642" t="inlineStr">
        <is>
          <t>1101958852</t>
        </is>
      </c>
      <c r="E642" t="inlineStr">
        <is>
          <t>1</t>
        </is>
      </c>
      <c r="F642" s="163" t="n">
        <v>46043</v>
      </c>
      <c r="G642" t="inlineStr"/>
      <c r="H642" t="inlineStr"/>
      <c r="I642" t="inlineStr">
        <is>
          <t>0</t>
        </is>
      </c>
      <c r="J642" s="163" t="inlineStr"/>
      <c r="K642" s="163" t="inlineStr"/>
      <c r="L642" t="inlineStr"/>
      <c r="M642" s="163" t="inlineStr"/>
      <c r="N642" s="164" t="n">
        <v>40</v>
      </c>
      <c r="O642" s="164" t="n">
        <v>8</v>
      </c>
      <c r="P642" t="inlineStr"/>
      <c r="Q642" s="165" t="n">
        <v>3</v>
      </c>
      <c r="R642" s="165" t="n">
        <v>0</v>
      </c>
      <c r="S642" s="165" t="n">
        <v>0</v>
      </c>
      <c r="T642" s="165" t="n">
        <v>0</v>
      </c>
      <c r="U642" s="166" t="n">
        <v>0</v>
      </c>
      <c r="V642" s="166" t="n">
        <v>0</v>
      </c>
      <c r="W642" t="inlineStr"/>
      <c r="X642" t="inlineStr">
        <is>
          <t>0.00</t>
        </is>
      </c>
      <c r="Y642" t="inlineStr"/>
      <c r="Z642" t="inlineStr"/>
      <c r="AA642" t="inlineStr"/>
      <c r="AB642" t="inlineStr"/>
      <c r="AC642" t="inlineStr"/>
      <c r="AD642" s="164" t="n">
        <v>0</v>
      </c>
      <c r="AE642" s="185" t="n">
        <v>0</v>
      </c>
      <c r="AG642" s="167" t="inlineStr">
        <is>
          <t>7218|S24B05_P10261</t>
        </is>
      </c>
      <c r="AH642" s="46">
        <f>IF(M642=0,"-",M642-J642)</f>
        <v/>
      </c>
      <c r="AI642" s="46">
        <f>IF(AND(S642=0,M642&gt;0,L642=0),IF(AH642&gt;=120,"VERY HIGH",IF(AH642&gt;=90,"HIGH",IF(AH642&gt;=60,"MEDIUM",IF(AH642&lt;60,"LOW")))),"-")</f>
        <v/>
      </c>
      <c r="AJ642" s="12" t="n"/>
      <c r="AK642" s="41">
        <f>IF(AND(W642="X",M642&lt;=$AJ$2),"YES","")</f>
        <v/>
      </c>
      <c r="AL642" s="38">
        <f>IF(AND(W642="X",M642&lt;=$AJ$2),S642,"")</f>
        <v/>
      </c>
      <c r="AM642" s="26">
        <f>IF(AND(W642="X",M642&gt;$AJ$2),"YES","")</f>
        <v/>
      </c>
      <c r="AN642" s="89">
        <f>IF(AND(W642="X",M642&gt;$AJ$2),S642,"")</f>
        <v/>
      </c>
      <c r="AO642" s="35">
        <f>IF(AND(W642="",M642&gt;0,$AJ$2&gt;M642,L642=""),1,0)</f>
        <v/>
      </c>
      <c r="AP642" s="26">
        <f>IF(AND(AK642="YES",W642="X"),"X","")</f>
        <v/>
      </c>
      <c r="AQ642" s="28">
        <f>IF(AP642="X",100%,0%)</f>
        <v/>
      </c>
      <c r="AR642" s="25">
        <f>IF(AND(T642&gt;0,L642=""),H642,"")</f>
        <v/>
      </c>
      <c r="AS642" s="25">
        <f>IF(AND(D642&gt;0,H642=0,G642=""),1,"")</f>
        <v/>
      </c>
      <c r="AT642" s="25">
        <f>IF(G642="BLOQ",1,"")</f>
        <v/>
      </c>
      <c r="AU642" s="25">
        <f>IF(L642="BLOQ",1,"")</f>
        <v/>
      </c>
      <c r="AV642" s="25">
        <f>MONTH(F642)</f>
        <v/>
      </c>
      <c r="AW642" s="65">
        <f>IF(AP642="",100%,0%)</f>
        <v/>
      </c>
      <c r="AX642" s="23" t="n"/>
      <c r="AY642" s="24">
        <f>IF(M642=0,"",M642-$AX$2)</f>
        <v/>
      </c>
      <c r="AZ642" s="66">
        <f>IF(AND(W642="",AY642&gt;0,AY642&lt;15),1,0)</f>
        <v/>
      </c>
      <c r="BA642" s="24">
        <f>IF(AND(W642="",AY642&gt;0,AY642&lt;15),T642,"")</f>
        <v/>
      </c>
      <c r="BB642" s="87">
        <f>IF(R642&lt;Q642,"X","")</f>
        <v/>
      </c>
      <c r="BC642" s="190" t="inlineStr">
        <is>
          <t>NO</t>
        </is>
      </c>
      <c r="BD642" s="190" t="inlineStr">
        <is>
          <t>NO</t>
        </is>
      </c>
    </row>
    <row r="643" ht="15" customHeight="1" s="162">
      <c r="A643" s="7" t="n">
        <v>642</v>
      </c>
      <c r="B643" t="inlineStr">
        <is>
          <t>3210202420000</t>
        </is>
      </c>
      <c r="C643" t="inlineStr">
        <is>
          <t>MARCADOR EINSCAN SE-H ADH3000 P/ESCAN 3D</t>
        </is>
      </c>
      <c r="D643" t="inlineStr">
        <is>
          <t>1101961041</t>
        </is>
      </c>
      <c r="E643" t="inlineStr">
        <is>
          <t>1</t>
        </is>
      </c>
      <c r="F643" s="163" t="n">
        <v>46048</v>
      </c>
      <c r="G643" t="inlineStr"/>
      <c r="H643" t="inlineStr"/>
      <c r="I643" t="inlineStr">
        <is>
          <t>0</t>
        </is>
      </c>
      <c r="J643" s="163" t="inlineStr"/>
      <c r="K643" s="163" t="inlineStr"/>
      <c r="L643" t="inlineStr"/>
      <c r="M643" s="163" t="inlineStr"/>
      <c r="N643" s="164" t="n">
        <v>40</v>
      </c>
      <c r="O643" s="164" t="n">
        <v>8</v>
      </c>
      <c r="P643" t="inlineStr"/>
      <c r="Q643" s="165" t="n">
        <v>2</v>
      </c>
      <c r="R643" s="165" t="n">
        <v>0</v>
      </c>
      <c r="S643" s="165" t="n">
        <v>0</v>
      </c>
      <c r="T643" s="165" t="n">
        <v>0</v>
      </c>
      <c r="U643" s="166" t="n">
        <v>0</v>
      </c>
      <c r="V643" s="166" t="n">
        <v>0</v>
      </c>
      <c r="W643" t="inlineStr"/>
      <c r="X643" t="inlineStr">
        <is>
          <t>0.00</t>
        </is>
      </c>
      <c r="Y643" t="inlineStr"/>
      <c r="Z643" t="inlineStr"/>
      <c r="AA643" t="inlineStr"/>
      <c r="AB643" t="inlineStr"/>
      <c r="AC643" t="inlineStr"/>
      <c r="AD643" s="164" t="n">
        <v>0</v>
      </c>
      <c r="AE643" s="185" t="n">
        <v>0</v>
      </c>
      <c r="AG643" s="167" t="inlineStr">
        <is>
          <t>7218|JA2578_1001</t>
        </is>
      </c>
      <c r="AH643" s="46">
        <f>IF(M643=0,"-",M643-J643)</f>
        <v/>
      </c>
      <c r="AI643" s="46">
        <f>IF(AND(S643=0,M643&gt;0,L643=0),IF(AH643&gt;=120,"VERY HIGH",IF(AH643&gt;=90,"HIGH",IF(AH643&gt;=60,"MEDIUM",IF(AH643&lt;60,"LOW")))),"-")</f>
        <v/>
      </c>
      <c r="AJ643" s="12" t="n"/>
      <c r="AK643" s="41">
        <f>IF(AND(W643="X",M643&lt;=$AJ$2),"YES","")</f>
        <v/>
      </c>
      <c r="AL643" s="38">
        <f>IF(AND(W643="X",M643&lt;=$AJ$2),S643,"")</f>
        <v/>
      </c>
      <c r="AM643" s="26">
        <f>IF(AND(W643="X",M643&gt;$AJ$2),"YES","")</f>
        <v/>
      </c>
      <c r="AN643" s="89">
        <f>IF(AND(W643="X",M643&gt;$AJ$2),S643,"")</f>
        <v/>
      </c>
      <c r="AO643" s="35">
        <f>IF(AND(W643="",M643&gt;0,$AJ$2&gt;M643,L643=""),1,0)</f>
        <v/>
      </c>
      <c r="AP643" s="26">
        <f>IF(AND(AK643="YES",W643="X"),"X","")</f>
        <v/>
      </c>
      <c r="AQ643" s="28">
        <f>IF(AP643="X",100%,0%)</f>
        <v/>
      </c>
      <c r="AR643" s="25">
        <f>IF(AND(T643&gt;0,L643=""),H643,"")</f>
        <v/>
      </c>
      <c r="AS643" s="25">
        <f>IF(AND(D643&gt;0,H643=0,G643=""),1,"")</f>
        <v/>
      </c>
      <c r="AT643" s="25">
        <f>IF(G643="BLOQ",1,"")</f>
        <v/>
      </c>
      <c r="AU643" s="25">
        <f>IF(L643="BLOQ",1,"")</f>
        <v/>
      </c>
      <c r="AV643" s="25">
        <f>MONTH(F643)</f>
        <v/>
      </c>
      <c r="AW643" s="65">
        <f>IF(AP643="",100%,0%)</f>
        <v/>
      </c>
      <c r="AX643" s="23" t="n"/>
      <c r="AY643" s="24">
        <f>IF(M643=0,"",M643-$AX$2)</f>
        <v/>
      </c>
      <c r="AZ643" s="66">
        <f>IF(AND(W643="",AY643&gt;0,AY643&lt;15),1,0)</f>
        <v/>
      </c>
      <c r="BA643" s="24">
        <f>IF(AND(W643="",AY643&gt;0,AY643&lt;15),T643,"")</f>
        <v/>
      </c>
      <c r="BB643" s="87">
        <f>IF(R643&lt;Q643,"X","")</f>
        <v/>
      </c>
      <c r="BC643" s="190" t="inlineStr">
        <is>
          <t>NO</t>
        </is>
      </c>
      <c r="BD643" s="190" t="inlineStr">
        <is>
          <t>NO</t>
        </is>
      </c>
    </row>
    <row r="644" ht="15" customHeight="1" s="162">
      <c r="A644" s="7" t="n">
        <v>643</v>
      </c>
      <c r="B644" t="inlineStr">
        <is>
          <t>1359900000500</t>
        </is>
      </c>
      <c r="C644" t="inlineStr">
        <is>
          <t>COMPRA DIRECTA ELECTRICOS/ELECTRONICOS</t>
        </is>
      </c>
      <c r="D644" t="inlineStr">
        <is>
          <t>1101962616</t>
        </is>
      </c>
      <c r="E644" t="inlineStr">
        <is>
          <t>1</t>
        </is>
      </c>
      <c r="F644" s="163" t="n">
        <v>46050</v>
      </c>
      <c r="G644" t="inlineStr"/>
      <c r="H644" t="inlineStr"/>
      <c r="I644" t="inlineStr">
        <is>
          <t>0</t>
        </is>
      </c>
      <c r="J644" s="163" t="inlineStr"/>
      <c r="K644" s="163" t="inlineStr"/>
      <c r="L644" t="inlineStr"/>
      <c r="M644" s="163" t="inlineStr"/>
      <c r="N644" s="164" t="n">
        <v>40</v>
      </c>
      <c r="O644" s="164" t="n">
        <v>8</v>
      </c>
      <c r="P644" t="inlineStr"/>
      <c r="Q644" s="165" t="n">
        <v>3</v>
      </c>
      <c r="R644" s="165" t="n">
        <v>0</v>
      </c>
      <c r="S644" s="165" t="n">
        <v>0</v>
      </c>
      <c r="T644" s="165" t="n">
        <v>0</v>
      </c>
      <c r="U644" s="166" t="n">
        <v>0</v>
      </c>
      <c r="V644" s="166" t="n">
        <v>0</v>
      </c>
      <c r="W644" t="inlineStr"/>
      <c r="X644" t="inlineStr">
        <is>
          <t>0.00</t>
        </is>
      </c>
      <c r="Y644" t="inlineStr"/>
      <c r="Z644" t="inlineStr"/>
      <c r="AA644" t="inlineStr"/>
      <c r="AB644" t="inlineStr"/>
      <c r="AC644" t="inlineStr"/>
      <c r="AD644" s="164" t="n">
        <v>0</v>
      </c>
      <c r="AE644" s="185" t="n">
        <v>0</v>
      </c>
      <c r="AG644" s="167" t="inlineStr">
        <is>
          <t>7218|JA2582_1001</t>
        </is>
      </c>
      <c r="AH644" s="46">
        <f>IF(M644=0,"-",M644-J644)</f>
        <v/>
      </c>
      <c r="AI644" s="46">
        <f>IF(AND(S644=0,M644&gt;0,L644=0),IF(AH644&gt;=120,"VERY HIGH",IF(AH644&gt;=90,"HIGH",IF(AH644&gt;=60,"MEDIUM",IF(AH644&lt;60,"LOW")))),"-")</f>
        <v/>
      </c>
      <c r="AJ644" s="12" t="n"/>
      <c r="AK644" s="41">
        <f>IF(AND(W644="X",M644&lt;=$AJ$2),"YES","")</f>
        <v/>
      </c>
      <c r="AL644" s="38">
        <f>IF(AND(W644="X",M644&lt;=$AJ$2),S644,"")</f>
        <v/>
      </c>
      <c r="AM644" s="26">
        <f>IF(AND(W644="X",M644&gt;$AJ$2),"YES","")</f>
        <v/>
      </c>
      <c r="AN644" s="89">
        <f>IF(AND(W644="X",M644&gt;$AJ$2),S644,"")</f>
        <v/>
      </c>
      <c r="AO644" s="35">
        <f>IF(AND(W644="",M644&gt;0,$AJ$2&gt;M644,L644=""),1,0)</f>
        <v/>
      </c>
      <c r="AP644" s="26">
        <f>IF(AND(AK644="YES",W644="X"),"X","")</f>
        <v/>
      </c>
      <c r="AQ644" s="28">
        <f>IF(AP644="X",100%,0%)</f>
        <v/>
      </c>
      <c r="AR644" s="25">
        <f>IF(AND(T644&gt;0,L644=""),H644,"")</f>
        <v/>
      </c>
      <c r="AS644" s="25">
        <f>IF(AND(D644&gt;0,H644=0,G644=""),1,"")</f>
        <v/>
      </c>
      <c r="AT644" s="25">
        <f>IF(G644="BLOQ",1,"")</f>
        <v/>
      </c>
      <c r="AU644" s="25">
        <f>IF(L644="BLOQ",1,"")</f>
        <v/>
      </c>
      <c r="AV644" s="25">
        <f>MONTH(F644)</f>
        <v/>
      </c>
      <c r="AW644" s="65">
        <f>IF(AP644="",100%,0%)</f>
        <v/>
      </c>
      <c r="AX644" s="23" t="n"/>
      <c r="AY644" s="24">
        <f>IF(M644=0,"",M644-$AX$2)</f>
        <v/>
      </c>
      <c r="AZ644" s="66">
        <f>IF(AND(W644="",AY644&gt;0,AY644&lt;15),1,0)</f>
        <v/>
      </c>
      <c r="BA644" s="24">
        <f>IF(AND(W644="",AY644&gt;0,AY644&lt;15),T644,"")</f>
        <v/>
      </c>
      <c r="BB644" s="87">
        <f>IF(R644&lt;Q644,"X","")</f>
        <v/>
      </c>
      <c r="BC644" s="190" t="inlineStr">
        <is>
          <t>NO</t>
        </is>
      </c>
      <c r="BD644" s="190" t="inlineStr">
        <is>
          <t>NO</t>
        </is>
      </c>
    </row>
    <row r="645" ht="15" customHeight="1" s="162">
      <c r="A645" s="7" t="n">
        <v>644</v>
      </c>
      <c r="B645" t="inlineStr">
        <is>
          <t>1204000333720</t>
        </is>
      </c>
      <c r="C645" t="inlineStr">
        <is>
          <t>CNC CIR  8-98 (3M)  PLUG MS3476L8-98P</t>
        </is>
      </c>
      <c r="D645" t="inlineStr">
        <is>
          <t>1800108782</t>
        </is>
      </c>
      <c r="E645" t="inlineStr">
        <is>
          <t>10</t>
        </is>
      </c>
      <c r="F645" s="163" t="n">
        <v>45457</v>
      </c>
      <c r="G645" t="inlineStr"/>
      <c r="H645" t="inlineStr">
        <is>
          <t>4200569250</t>
        </is>
      </c>
      <c r="I645" t="inlineStr">
        <is>
          <t>10</t>
        </is>
      </c>
      <c r="J645" s="163" t="n">
        <v>45476</v>
      </c>
      <c r="K645" s="163" t="n">
        <v>45477</v>
      </c>
      <c r="L645" t="inlineStr"/>
      <c r="M645" s="163" t="n">
        <v>45494</v>
      </c>
      <c r="N645" s="164" t="n">
        <v>56</v>
      </c>
      <c r="O645" s="164" t="n">
        <v>8</v>
      </c>
      <c r="P645" t="inlineStr">
        <is>
          <t>Liberado</t>
        </is>
      </c>
      <c r="Q645" s="165" t="n">
        <v>20</v>
      </c>
      <c r="R645" s="165" t="n">
        <v>20</v>
      </c>
      <c r="S645" s="165" t="n">
        <v>20</v>
      </c>
      <c r="T645" s="165" t="n">
        <v>0</v>
      </c>
      <c r="U645" s="166" t="n">
        <v>20</v>
      </c>
      <c r="V645" s="166" t="n">
        <v>0</v>
      </c>
      <c r="W645" t="inlineStr">
        <is>
          <t>X</t>
        </is>
      </c>
      <c r="X645" t="inlineStr">
        <is>
          <t>0.00</t>
        </is>
      </c>
      <c r="Y645" t="inlineStr"/>
      <c r="Z645" t="inlineStr">
        <is>
          <t>CONECTORES Y CABLES VAHER, S.A.</t>
        </is>
      </c>
      <c r="AA645" t="inlineStr">
        <is>
          <t>MILITARY STANDARDS</t>
        </is>
      </c>
      <c r="AB645" t="inlineStr">
        <is>
          <t>MS3476L8-98P</t>
        </is>
      </c>
      <c r="AC645" t="inlineStr"/>
      <c r="AD645" s="164" t="n">
        <v>0</v>
      </c>
      <c r="AE645" s="185" t="n">
        <v>0</v>
      </c>
      <c r="AG645" s="167" t="inlineStr">
        <is>
          <t>7218|JA2581_1001</t>
        </is>
      </c>
      <c r="AH645" s="46">
        <f>IF(M645=0,"-",M645-J645)</f>
        <v/>
      </c>
      <c r="AI645" s="46">
        <f>IF(AND(S645=0,M645&gt;0,L645=0),IF(AH645&gt;=120,"VERY HIGH",IF(AH645&gt;=90,"HIGH",IF(AH645&gt;=60,"MEDIUM",IF(AH645&lt;60,"LOW")))),"-")</f>
        <v/>
      </c>
      <c r="AJ645" s="12" t="n"/>
      <c r="AK645" s="41">
        <f>IF(AND(W645="X",M645&lt;=$AJ$2),"YES","")</f>
        <v/>
      </c>
      <c r="AL645" s="38">
        <f>IF(AND(W645="X",M645&lt;=$AJ$2),S645,"")</f>
        <v/>
      </c>
      <c r="AM645" s="26">
        <f>IF(AND(W645="X",M645&gt;$AJ$2),"YES","")</f>
        <v/>
      </c>
      <c r="AN645" s="89">
        <f>IF(AND(W645="X",M645&gt;$AJ$2),S645,"")</f>
        <v/>
      </c>
      <c r="AO645" s="35">
        <f>IF(AND(W645="",M645&gt;0,$AJ$2&gt;M645,L645=""),1,0)</f>
        <v/>
      </c>
      <c r="AP645" s="26">
        <f>IF(AND(AK645="YES",W645="X"),"X","")</f>
        <v/>
      </c>
      <c r="AQ645" s="28">
        <f>IF(AP645="X",100%,0%)</f>
        <v/>
      </c>
      <c r="AR645" s="25">
        <f>IF(AND(T645&gt;0,L645=""),H645,"")</f>
        <v/>
      </c>
      <c r="AS645" s="25">
        <f>IF(AND(D645&gt;0,H645=0,G645=""),1,"")</f>
        <v/>
      </c>
      <c r="AT645" s="25">
        <f>IF(G645="BLOQ",1,"")</f>
        <v/>
      </c>
      <c r="AU645" s="25">
        <f>IF(L645="BLOQ",1,"")</f>
        <v/>
      </c>
      <c r="AV645" s="25">
        <f>MONTH(F645)</f>
        <v/>
      </c>
      <c r="AW645" s="65">
        <f>IF(AP645="",100%,0%)</f>
        <v/>
      </c>
      <c r="AX645" s="23" t="n"/>
      <c r="AY645" s="24">
        <f>IF(M645=0,"",M645-$AX$2)</f>
        <v/>
      </c>
      <c r="AZ645" s="66">
        <f>IF(AND(W645="",AY645&gt;0,AY645&lt;15),1,0)</f>
        <v/>
      </c>
      <c r="BA645" s="24">
        <f>IF(AND(W645="",AY645&gt;0,AY645&lt;15),T645,"")</f>
        <v/>
      </c>
      <c r="BB645" s="87">
        <f>IF(R645&lt;Q645,"X","")</f>
        <v/>
      </c>
      <c r="BC645" s="190" t="inlineStr">
        <is>
          <t>NO</t>
        </is>
      </c>
      <c r="BD645" s="191" t="inlineStr">
        <is>
          <t>SI</t>
        </is>
      </c>
    </row>
    <row r="646" ht="15" customHeight="1" s="162">
      <c r="A646" s="7" t="n">
        <v>645</v>
      </c>
      <c r="B646" t="inlineStr">
        <is>
          <t>1204100333620</t>
        </is>
      </c>
      <c r="C646" t="inlineStr">
        <is>
          <t>CNC CIR  8-98  (3M) RECEPT CRIMP MS3470L</t>
        </is>
      </c>
      <c r="D646" t="inlineStr">
        <is>
          <t>1800108782</t>
        </is>
      </c>
      <c r="E646" t="inlineStr">
        <is>
          <t>20</t>
        </is>
      </c>
      <c r="F646" s="163" t="n">
        <v>45457</v>
      </c>
      <c r="G646" t="inlineStr"/>
      <c r="H646" t="inlineStr">
        <is>
          <t>4200569260</t>
        </is>
      </c>
      <c r="I646" t="inlineStr">
        <is>
          <t>10</t>
        </is>
      </c>
      <c r="J646" s="163" t="n">
        <v>45476</v>
      </c>
      <c r="K646" s="163" t="n">
        <v>45477</v>
      </c>
      <c r="L646" t="inlineStr"/>
      <c r="M646" s="163" t="n">
        <v>45503</v>
      </c>
      <c r="N646" s="164" t="n">
        <v>115</v>
      </c>
      <c r="O646" s="164" t="n">
        <v>8</v>
      </c>
      <c r="P646" t="inlineStr">
        <is>
          <t>Liberado</t>
        </is>
      </c>
      <c r="Q646" s="165" t="n">
        <v>20</v>
      </c>
      <c r="R646" s="165" t="n">
        <v>20</v>
      </c>
      <c r="S646" s="165" t="n">
        <v>40</v>
      </c>
      <c r="T646" s="165" t="n">
        <v>0</v>
      </c>
      <c r="U646" s="166" t="n">
        <v>20</v>
      </c>
      <c r="V646" s="166" t="n">
        <v>20</v>
      </c>
      <c r="W646" t="inlineStr">
        <is>
          <t>X</t>
        </is>
      </c>
      <c r="X646" t="inlineStr">
        <is>
          <t>0.00</t>
        </is>
      </c>
      <c r="Y646" t="inlineStr"/>
      <c r="Z646" t="inlineStr">
        <is>
          <t>TTI, INC.</t>
        </is>
      </c>
      <c r="AA646" t="inlineStr">
        <is>
          <t>MILITARY STANDARDS</t>
        </is>
      </c>
      <c r="AB646" t="inlineStr">
        <is>
          <t>MS3470L8-98P</t>
        </is>
      </c>
      <c r="AC646" t="inlineStr"/>
      <c r="AD646" s="164" t="n">
        <v>0</v>
      </c>
      <c r="AE646" s="185" t="n">
        <v>0</v>
      </c>
      <c r="AG646" s="167" t="inlineStr">
        <is>
          <t>7218|JA2581_1001</t>
        </is>
      </c>
      <c r="AH646" s="46">
        <f>IF(M646=0,"-",M646-J646)</f>
        <v/>
      </c>
      <c r="AI646" s="46">
        <f>IF(AND(S646=0,M646&gt;0,L646=0),IF(AH646&gt;=120,"VERY HIGH",IF(AH646&gt;=90,"HIGH",IF(AH646&gt;=60,"MEDIUM",IF(AH646&lt;60,"LOW")))),"-")</f>
        <v/>
      </c>
      <c r="AJ646" s="12" t="n"/>
      <c r="AK646" s="41">
        <f>IF(AND(W646="X",M646&lt;=$AJ$2),"YES","")</f>
        <v/>
      </c>
      <c r="AL646" s="38">
        <f>IF(AND(W646="X",M646&lt;=$AJ$2),S646,"")</f>
        <v/>
      </c>
      <c r="AM646" s="26">
        <f>IF(AND(W646="X",M646&gt;$AJ$2),"YES","")</f>
        <v/>
      </c>
      <c r="AN646" s="89">
        <f>IF(AND(W646="X",M646&gt;$AJ$2),S646,"")</f>
        <v/>
      </c>
      <c r="AO646" s="35">
        <f>IF(AND(W646="",M646&gt;0,$AJ$2&gt;M646,L646=""),1,0)</f>
        <v/>
      </c>
      <c r="AP646" s="26">
        <f>IF(AND(AK646="YES",W646="X"),"X","")</f>
        <v/>
      </c>
      <c r="AQ646" s="28">
        <f>IF(AP646="X",100%,0%)</f>
        <v/>
      </c>
      <c r="AR646" s="25">
        <f>IF(AND(T646&gt;0,L646=""),H646,"")</f>
        <v/>
      </c>
      <c r="AS646" s="25">
        <f>IF(AND(D646&gt;0,H646=0,G646=""),1,"")</f>
        <v/>
      </c>
      <c r="AT646" s="25">
        <f>IF(G646="BLOQ",1,"")</f>
        <v/>
      </c>
      <c r="AU646" s="25">
        <f>IF(L646="BLOQ",1,"")</f>
        <v/>
      </c>
      <c r="AV646" s="25">
        <f>MONTH(F646)</f>
        <v/>
      </c>
      <c r="AW646" s="65">
        <f>IF(AP646="",100%,0%)</f>
        <v/>
      </c>
      <c r="AX646" s="23" t="n"/>
      <c r="AY646" s="24">
        <f>IF(M646=0,"",M646-$AX$2)</f>
        <v/>
      </c>
      <c r="AZ646" s="66">
        <f>IF(AND(W646="",AY646&gt;0,AY646&lt;15),1,0)</f>
        <v/>
      </c>
      <c r="BA646" s="24">
        <f>IF(AND(W646="",AY646&gt;0,AY646&lt;15),T646,"")</f>
        <v/>
      </c>
      <c r="BB646" s="87">
        <f>IF(R646&lt;Q646,"X","")</f>
        <v/>
      </c>
      <c r="BC646" s="190" t="inlineStr">
        <is>
          <t>NO</t>
        </is>
      </c>
      <c r="BD646" s="191" t="inlineStr">
        <is>
          <t>SI</t>
        </is>
      </c>
    </row>
    <row r="647" ht="15" customHeight="1" s="162">
      <c r="A647" s="7" t="n">
        <v>646</v>
      </c>
      <c r="B647" t="inlineStr">
        <is>
          <t>1204101933620</t>
        </is>
      </c>
      <c r="C647" t="inlineStr">
        <is>
          <t>CNC CIR 14-19 19P (M) MS3470L14-19P</t>
        </is>
      </c>
      <c r="D647" t="inlineStr">
        <is>
          <t>1800108782</t>
        </is>
      </c>
      <c r="E647" t="inlineStr">
        <is>
          <t>30</t>
        </is>
      </c>
      <c r="F647" s="163" t="n">
        <v>45457</v>
      </c>
      <c r="G647" t="inlineStr"/>
      <c r="H647" t="inlineStr">
        <is>
          <t>4200569260</t>
        </is>
      </c>
      <c r="I647" t="inlineStr">
        <is>
          <t>20</t>
        </is>
      </c>
      <c r="J647" s="163" t="n">
        <v>45476</v>
      </c>
      <c r="K647" s="163" t="n">
        <v>45477</v>
      </c>
      <c r="L647" t="inlineStr"/>
      <c r="M647" s="163" t="n">
        <v>45503</v>
      </c>
      <c r="N647" s="164" t="n">
        <v>40</v>
      </c>
      <c r="O647" s="164" t="n">
        <v>8</v>
      </c>
      <c r="P647" t="inlineStr">
        <is>
          <t>Liberado</t>
        </is>
      </c>
      <c r="Q647" s="165" t="n">
        <v>2</v>
      </c>
      <c r="R647" s="165" t="n">
        <v>2</v>
      </c>
      <c r="S647" s="165" t="n">
        <v>2</v>
      </c>
      <c r="T647" s="165" t="n">
        <v>0</v>
      </c>
      <c r="U647" s="166" t="n">
        <v>2</v>
      </c>
      <c r="V647" s="166" t="n">
        <v>0</v>
      </c>
      <c r="W647" t="inlineStr">
        <is>
          <t>X</t>
        </is>
      </c>
      <c r="X647" t="inlineStr">
        <is>
          <t>0.00</t>
        </is>
      </c>
      <c r="Y647" t="inlineStr"/>
      <c r="Z647" t="inlineStr">
        <is>
          <t>TTI, INC.</t>
        </is>
      </c>
      <c r="AA647" t="inlineStr">
        <is>
          <t>MILITARY STANDARDS</t>
        </is>
      </c>
      <c r="AB647" t="inlineStr">
        <is>
          <t>MS3470L14-19P</t>
        </is>
      </c>
      <c r="AC647" t="inlineStr"/>
      <c r="AD647" s="164" t="n">
        <v>0</v>
      </c>
      <c r="AE647" s="185" t="n">
        <v>0</v>
      </c>
      <c r="AG647" s="167" t="inlineStr">
        <is>
          <t>7218|JA2581_1001</t>
        </is>
      </c>
      <c r="AH647" s="46">
        <f>IF(M647=0,"-",M647-J647)</f>
        <v/>
      </c>
      <c r="AI647" s="46">
        <f>IF(AND(S647=0,M647&gt;0,L647=0),IF(AH647&gt;=120,"VERY HIGH",IF(AH647&gt;=90,"HIGH",IF(AH647&gt;=60,"MEDIUM",IF(AH647&lt;60,"LOW")))),"-")</f>
        <v/>
      </c>
      <c r="AJ647" s="12" t="n"/>
      <c r="AK647" s="41">
        <f>IF(AND(W647="X",M647&lt;=$AJ$2),"YES","")</f>
        <v/>
      </c>
      <c r="AL647" s="38">
        <f>IF(AND(W647="X",M647&lt;=$AJ$2),S647,"")</f>
        <v/>
      </c>
      <c r="AM647" s="26">
        <f>IF(AND(W647="X",M647&gt;$AJ$2),"YES","")</f>
        <v/>
      </c>
      <c r="AN647" s="89">
        <f>IF(AND(W647="X",M647&gt;$AJ$2),S647,"")</f>
        <v/>
      </c>
      <c r="AO647" s="35">
        <f>IF(AND(W647="",M647&gt;0,$AJ$2&gt;M647,L647=""),1,0)</f>
        <v/>
      </c>
      <c r="AP647" s="26">
        <f>IF(AND(AK647="YES",W647="X"),"X","")</f>
        <v/>
      </c>
      <c r="AQ647" s="28">
        <f>IF(AP647="X",100%,0%)</f>
        <v/>
      </c>
      <c r="AR647" s="25">
        <f>IF(AND(T647&gt;0,L647=""),H647,"")</f>
        <v/>
      </c>
      <c r="AS647" s="25">
        <f>IF(AND(D647&gt;0,H647=0,G647=""),1,"")</f>
        <v/>
      </c>
      <c r="AT647" s="25">
        <f>IF(G647="BLOQ",1,"")</f>
        <v/>
      </c>
      <c r="AU647" s="25">
        <f>IF(L647="BLOQ",1,"")</f>
        <v/>
      </c>
      <c r="AV647" s="25">
        <f>MONTH(F647)</f>
        <v/>
      </c>
      <c r="AW647" s="65">
        <f>IF(AP647="",100%,0%)</f>
        <v/>
      </c>
      <c r="AX647" s="23" t="n"/>
      <c r="AY647" s="24">
        <f>IF(M647=0,"",M647-$AX$2)</f>
        <v/>
      </c>
      <c r="AZ647" s="66">
        <f>IF(AND(W647="",AY647&gt;0,AY647&lt;15),1,0)</f>
        <v/>
      </c>
      <c r="BA647" s="24">
        <f>IF(AND(W647="",AY647&gt;0,AY647&lt;15),T647,"")</f>
        <v/>
      </c>
      <c r="BB647" s="87">
        <f>IF(R647&lt;Q647,"X","")</f>
        <v/>
      </c>
      <c r="BC647" s="190" t="inlineStr">
        <is>
          <t>NO</t>
        </is>
      </c>
      <c r="BD647" s="191" t="inlineStr">
        <is>
          <t>SI</t>
        </is>
      </c>
    </row>
    <row r="648" ht="15" customHeight="1" s="162">
      <c r="A648" s="7" t="n">
        <v>647</v>
      </c>
      <c r="B648" t="inlineStr">
        <is>
          <t>1204200430722</t>
        </is>
      </c>
      <c r="C648" t="inlineStr">
        <is>
          <t>CNC CIR 13-4 4M PLUG CRIMP</t>
        </is>
      </c>
      <c r="D648" t="inlineStr">
        <is>
          <t>1800108782</t>
        </is>
      </c>
      <c r="E648" t="inlineStr">
        <is>
          <t>40</t>
        </is>
      </c>
      <c r="F648" s="163" t="n">
        <v>45457</v>
      </c>
      <c r="G648" t="inlineStr"/>
      <c r="H648" t="inlineStr">
        <is>
          <t>4200569022</t>
        </is>
      </c>
      <c r="I648" t="inlineStr">
        <is>
          <t>10</t>
        </is>
      </c>
      <c r="J648" s="163" t="n">
        <v>45475</v>
      </c>
      <c r="K648" s="163" t="inlineStr"/>
      <c r="L648" t="inlineStr">
        <is>
          <t>BORR</t>
        </is>
      </c>
      <c r="M648" s="163" t="n">
        <v>45488</v>
      </c>
      <c r="N648" s="164" t="n">
        <v>65</v>
      </c>
      <c r="O648" s="164" t="n">
        <v>8</v>
      </c>
      <c r="P648" t="inlineStr"/>
      <c r="Q648" s="165" t="n">
        <v>2</v>
      </c>
      <c r="R648" s="165" t="n">
        <v>2</v>
      </c>
      <c r="S648" s="165" t="n">
        <v>0</v>
      </c>
      <c r="T648" s="165" t="n">
        <v>2</v>
      </c>
      <c r="U648" s="166" t="n">
        <v>0</v>
      </c>
      <c r="V648" s="166" t="n">
        <v>0</v>
      </c>
      <c r="W648" t="inlineStr"/>
      <c r="X648" t="inlineStr">
        <is>
          <t>199.88</t>
        </is>
      </c>
      <c r="Y648" t="inlineStr"/>
      <c r="Z648" t="inlineStr">
        <is>
          <t>ICOMPPLUS ELECTRONICS S.L</t>
        </is>
      </c>
      <c r="AA648" t="inlineStr">
        <is>
          <t>MILITARY SPECS.</t>
        </is>
      </c>
      <c r="AB648" t="inlineStr">
        <is>
          <t>D38999/26ZC4PN</t>
        </is>
      </c>
      <c r="AC648" t="inlineStr"/>
      <c r="AD648" s="164" t="n">
        <v>0</v>
      </c>
      <c r="AE648" s="185" t="n">
        <v>0</v>
      </c>
      <c r="AG648" s="167" t="inlineStr">
        <is>
          <t>7218|JA2581_1001</t>
        </is>
      </c>
      <c r="AH648" s="46">
        <f>IF(M648=0,"-",M648-J648)</f>
        <v/>
      </c>
      <c r="AI648" s="46">
        <f>IF(AND(S648=0,M648&gt;0,L648=0),IF(AH648&gt;=120,"VERY HIGH",IF(AH648&gt;=90,"HIGH",IF(AH648&gt;=60,"MEDIUM",IF(AH648&lt;60,"LOW")))),"-")</f>
        <v/>
      </c>
      <c r="AJ648" s="12" t="n"/>
      <c r="AK648" s="41">
        <f>IF(AND(W648="X",M648&lt;=$AJ$2),"YES","")</f>
        <v/>
      </c>
      <c r="AL648" s="38">
        <f>IF(AND(W648="X",M648&lt;=$AJ$2),S648,"")</f>
        <v/>
      </c>
      <c r="AM648" s="26">
        <f>IF(AND(W648="X",M648&gt;$AJ$2),"YES","")</f>
        <v/>
      </c>
      <c r="AN648" s="89">
        <f>IF(AND(W648="X",M648&gt;$AJ$2),S648,"")</f>
        <v/>
      </c>
      <c r="AO648" s="35">
        <f>IF(AND(W648="",M648&gt;0,$AJ$2&gt;M648,L648=""),1,0)</f>
        <v/>
      </c>
      <c r="AP648" s="26">
        <f>IF(AND(AK648="YES",W648="X"),"X","")</f>
        <v/>
      </c>
      <c r="AQ648" s="28">
        <f>IF(AP648="X",100%,0%)</f>
        <v/>
      </c>
      <c r="AR648" s="25">
        <f>IF(AND(T648&gt;0,L648=""),H648,"")</f>
        <v/>
      </c>
      <c r="AS648" s="25">
        <f>IF(AND(D648&gt;0,H648=0,G648=""),1,"")</f>
        <v/>
      </c>
      <c r="AT648" s="25">
        <f>IF(G648="BLOQ",1,"")</f>
        <v/>
      </c>
      <c r="AU648" s="25">
        <f>IF(L648="BLOQ",1,"")</f>
        <v/>
      </c>
      <c r="AV648" s="25">
        <f>MONTH(F648)</f>
        <v/>
      </c>
      <c r="AW648" s="65">
        <f>IF(AP648="",100%,0%)</f>
        <v/>
      </c>
      <c r="AX648" s="23" t="n"/>
      <c r="AY648" s="24">
        <f>IF(M648=0,"",M648-$AX$2)</f>
        <v/>
      </c>
      <c r="AZ648" s="66">
        <f>IF(AND(W648="",AY648&gt;0,AY648&lt;15),1,0)</f>
        <v/>
      </c>
      <c r="BA648" s="24">
        <f>IF(AND(W648="",AY648&gt;0,AY648&lt;15),T648,"")</f>
        <v/>
      </c>
      <c r="BB648" s="87">
        <f>IF(R648&lt;Q648,"X","")</f>
        <v/>
      </c>
      <c r="BC648" s="190" t="inlineStr">
        <is>
          <t>NO</t>
        </is>
      </c>
      <c r="BD648" s="191" t="inlineStr">
        <is>
          <t>SI</t>
        </is>
      </c>
    </row>
    <row r="649" ht="15" customHeight="1" s="162">
      <c r="A649" s="7" t="n">
        <v>648</v>
      </c>
      <c r="B649" t="inlineStr">
        <is>
          <t>1204200430722</t>
        </is>
      </c>
      <c r="C649" t="inlineStr">
        <is>
          <t>CNC CIR 13-4 4M PLUG CRIMP</t>
        </is>
      </c>
      <c r="D649" t="inlineStr">
        <is>
          <t>1800108782</t>
        </is>
      </c>
      <c r="E649" t="inlineStr">
        <is>
          <t>40</t>
        </is>
      </c>
      <c r="F649" s="163" t="n">
        <v>45457</v>
      </c>
      <c r="G649" t="inlineStr"/>
      <c r="H649" t="inlineStr">
        <is>
          <t>4200569161</t>
        </is>
      </c>
      <c r="I649" t="inlineStr">
        <is>
          <t>20</t>
        </is>
      </c>
      <c r="J649" s="163" t="n">
        <v>45475</v>
      </c>
      <c r="K649" s="163" t="n">
        <v>45477</v>
      </c>
      <c r="L649" t="inlineStr"/>
      <c r="M649" s="163" t="n">
        <v>45488</v>
      </c>
      <c r="N649" s="164" t="n">
        <v>65</v>
      </c>
      <c r="O649" s="164" t="n">
        <v>8</v>
      </c>
      <c r="P649" t="inlineStr">
        <is>
          <t>Liberado</t>
        </is>
      </c>
      <c r="Q649" s="165" t="n">
        <v>2</v>
      </c>
      <c r="R649" s="165" t="n">
        <v>2</v>
      </c>
      <c r="S649" s="165" t="n">
        <v>2</v>
      </c>
      <c r="T649" s="165" t="n">
        <v>0</v>
      </c>
      <c r="U649" s="166" t="n">
        <v>2</v>
      </c>
      <c r="V649" s="166" t="n">
        <v>0</v>
      </c>
      <c r="W649" t="inlineStr">
        <is>
          <t>X</t>
        </is>
      </c>
      <c r="X649" t="inlineStr">
        <is>
          <t>0.00</t>
        </is>
      </c>
      <c r="Y649" t="inlineStr"/>
      <c r="Z649" t="inlineStr">
        <is>
          <t>SUMINISTROS CONECTORES PROF.,SA.</t>
        </is>
      </c>
      <c r="AA649" t="inlineStr">
        <is>
          <t>MILITARY SPECS.</t>
        </is>
      </c>
      <c r="AB649" t="inlineStr">
        <is>
          <t>D38999/26ZC4PN</t>
        </is>
      </c>
      <c r="AC649" t="inlineStr"/>
      <c r="AD649" s="164" t="n">
        <v>0</v>
      </c>
      <c r="AE649" s="185" t="n">
        <v>0</v>
      </c>
      <c r="AG649" s="167" t="inlineStr">
        <is>
          <t>7218|JA2581_1001</t>
        </is>
      </c>
      <c r="AH649" s="46">
        <f>IF(M649=0,"-",M649-J649)</f>
        <v/>
      </c>
      <c r="AI649" s="46">
        <f>IF(AND(S649=0,M649&gt;0,L649=0),IF(AH649&gt;=120,"VERY HIGH",IF(AH649&gt;=90,"HIGH",IF(AH649&gt;=60,"MEDIUM",IF(AH649&lt;60,"LOW")))),"-")</f>
        <v/>
      </c>
      <c r="AJ649" s="12" t="n"/>
      <c r="AK649" s="41">
        <f>IF(AND(W649="X",M649&lt;=$AJ$2),"YES","")</f>
        <v/>
      </c>
      <c r="AL649" s="38">
        <f>IF(AND(W649="X",M649&lt;=$AJ$2),S649,"")</f>
        <v/>
      </c>
      <c r="AM649" s="26">
        <f>IF(AND(W649="X",M649&gt;$AJ$2),"YES","")</f>
        <v/>
      </c>
      <c r="AN649" s="89">
        <f>IF(AND(W649="X",M649&gt;$AJ$2),S649,"")</f>
        <v/>
      </c>
      <c r="AO649" s="35">
        <f>IF(AND(W649="",M649&gt;0,$AJ$2&gt;M649,L649=""),1,0)</f>
        <v/>
      </c>
      <c r="AP649" s="26">
        <f>IF(AND(AK649="YES",W649="X"),"X","")</f>
        <v/>
      </c>
      <c r="AQ649" s="28">
        <f>IF(AP649="X",100%,0%)</f>
        <v/>
      </c>
      <c r="AR649" s="25">
        <f>IF(AND(T649&gt;0,L649=""),H649,"")</f>
        <v/>
      </c>
      <c r="AS649" s="25">
        <f>IF(AND(D649&gt;0,H649=0,G649=""),1,"")</f>
        <v/>
      </c>
      <c r="AT649" s="25">
        <f>IF(G649="BLOQ",1,"")</f>
        <v/>
      </c>
      <c r="AU649" s="25">
        <f>IF(L649="BLOQ",1,"")</f>
        <v/>
      </c>
      <c r="AV649" s="25">
        <f>MONTH(F649)</f>
        <v/>
      </c>
      <c r="AW649" s="65">
        <f>IF(AP649="",100%,0%)</f>
        <v/>
      </c>
      <c r="AX649" s="23" t="n"/>
      <c r="AY649" s="24">
        <f>IF(M649=0,"",M649-$AX$2)</f>
        <v/>
      </c>
      <c r="AZ649" s="66">
        <f>IF(AND(W649="",AY649&gt;0,AY649&lt;15),1,0)</f>
        <v/>
      </c>
      <c r="BA649" s="24">
        <f>IF(AND(W649="",AY649&gt;0,AY649&lt;15),T649,"")</f>
        <v/>
      </c>
      <c r="BB649" s="87">
        <f>IF(R649&lt;Q649,"X","")</f>
        <v/>
      </c>
      <c r="BC649" s="190" t="inlineStr">
        <is>
          <t>NO</t>
        </is>
      </c>
      <c r="BD649" s="191" t="inlineStr">
        <is>
          <t>SI</t>
        </is>
      </c>
    </row>
    <row r="650" ht="15" customHeight="1" s="162">
      <c r="A650" s="7" t="n">
        <v>649</v>
      </c>
      <c r="B650" t="inlineStr">
        <is>
          <t>1204200630320</t>
        </is>
      </c>
      <c r="C650" t="inlineStr">
        <is>
          <t>CNC CIR  9-35   6M PLUG D38999/26ZA35PN</t>
        </is>
      </c>
      <c r="D650" t="inlineStr">
        <is>
          <t>1800108782</t>
        </is>
      </c>
      <c r="E650" t="inlineStr">
        <is>
          <t>50</t>
        </is>
      </c>
      <c r="F650" s="163" t="n">
        <v>45457</v>
      </c>
      <c r="G650" t="inlineStr"/>
      <c r="H650" t="inlineStr">
        <is>
          <t>4200569022</t>
        </is>
      </c>
      <c r="I650" t="inlineStr">
        <is>
          <t>20</t>
        </is>
      </c>
      <c r="J650" s="163" t="n">
        <v>45475</v>
      </c>
      <c r="K650" s="163" t="inlineStr"/>
      <c r="L650" t="inlineStr">
        <is>
          <t>BORR</t>
        </is>
      </c>
      <c r="M650" s="163" t="n">
        <v>45488</v>
      </c>
      <c r="N650" s="164" t="n">
        <v>35</v>
      </c>
      <c r="O650" s="164" t="n">
        <v>8</v>
      </c>
      <c r="P650" t="inlineStr"/>
      <c r="Q650" s="165" t="n">
        <v>1</v>
      </c>
      <c r="R650" s="165" t="n">
        <v>1</v>
      </c>
      <c r="S650" s="165" t="n">
        <v>0</v>
      </c>
      <c r="T650" s="165" t="n">
        <v>1</v>
      </c>
      <c r="U650" s="166" t="n">
        <v>0</v>
      </c>
      <c r="V650" s="166" t="n">
        <v>0</v>
      </c>
      <c r="W650" t="inlineStr"/>
      <c r="X650" t="inlineStr">
        <is>
          <t>93.74</t>
        </is>
      </c>
      <c r="Y650" t="inlineStr"/>
      <c r="Z650" t="inlineStr">
        <is>
          <t>ICOMPPLUS ELECTRONICS S.L</t>
        </is>
      </c>
      <c r="AA650" t="inlineStr">
        <is>
          <t>MILITARY SPECS.</t>
        </is>
      </c>
      <c r="AB650" t="inlineStr">
        <is>
          <t>D38999/26ZA35PN</t>
        </is>
      </c>
      <c r="AC650" t="inlineStr"/>
      <c r="AD650" s="164" t="n">
        <v>0</v>
      </c>
      <c r="AE650" s="185" t="n">
        <v>0</v>
      </c>
      <c r="AG650" s="167" t="inlineStr">
        <is>
          <t>7218|JA2581_1001</t>
        </is>
      </c>
      <c r="AH650" s="46">
        <f>IF(M650=0,"-",M650-J650)</f>
        <v/>
      </c>
      <c r="AI650" s="46">
        <f>IF(AND(S650=0,M650&gt;0,L650=0),IF(AH650&gt;=120,"VERY HIGH",IF(AH650&gt;=90,"HIGH",IF(AH650&gt;=60,"MEDIUM",IF(AH650&lt;60,"LOW")))),"-")</f>
        <v/>
      </c>
      <c r="AJ650" s="12" t="n"/>
      <c r="AK650" s="41">
        <f>IF(AND(W650="X",M650&lt;=$AJ$2),"YES","")</f>
        <v/>
      </c>
      <c r="AL650" s="38">
        <f>IF(AND(W650="X",M650&lt;=$AJ$2),S650,"")</f>
        <v/>
      </c>
      <c r="AM650" s="26">
        <f>IF(AND(W650="X",M650&gt;$AJ$2),"YES","")</f>
        <v/>
      </c>
      <c r="AN650" s="89">
        <f>IF(AND(W650="X",M650&gt;$AJ$2),S650,"")</f>
        <v/>
      </c>
      <c r="AO650" s="35">
        <f>IF(AND(W650="",M650&gt;0,$AJ$2&gt;M650,L650=""),1,0)</f>
        <v/>
      </c>
      <c r="AP650" s="26">
        <f>IF(AND(AK650="YES",W650="X"),"X","")</f>
        <v/>
      </c>
      <c r="AQ650" s="28">
        <f>IF(AP650="X",100%,0%)</f>
        <v/>
      </c>
      <c r="AR650" s="25">
        <f>IF(AND(T650&gt;0,L650=""),H650,"")</f>
        <v/>
      </c>
      <c r="AS650" s="25">
        <f>IF(AND(D650&gt;0,H650=0,G650=""),1,"")</f>
        <v/>
      </c>
      <c r="AT650" s="25">
        <f>IF(G650="BLOQ",1,"")</f>
        <v/>
      </c>
      <c r="AU650" s="25">
        <f>IF(L650="BLOQ",1,"")</f>
        <v/>
      </c>
      <c r="AV650" s="25">
        <f>MONTH(F650)</f>
        <v/>
      </c>
      <c r="AW650" s="65">
        <f>IF(AP650="",100%,0%)</f>
        <v/>
      </c>
      <c r="AX650" s="23" t="n"/>
      <c r="AY650" s="24">
        <f>IF(M650=0,"",M650-$AX$2)</f>
        <v/>
      </c>
      <c r="AZ650" s="66">
        <f>IF(AND(W650="",AY650&gt;0,AY650&lt;15),1,0)</f>
        <v/>
      </c>
      <c r="BA650" s="24">
        <f>IF(AND(W650="",AY650&gt;0,AY650&lt;15),T650,"")</f>
        <v/>
      </c>
      <c r="BB650" s="87">
        <f>IF(R650&lt;Q650,"X","")</f>
        <v/>
      </c>
      <c r="BC650" s="190" t="inlineStr">
        <is>
          <t>NO</t>
        </is>
      </c>
      <c r="BD650" s="191" t="inlineStr">
        <is>
          <t>SI</t>
        </is>
      </c>
    </row>
    <row r="651" ht="15" customHeight="1" s="162">
      <c r="A651" s="7" t="n">
        <v>650</v>
      </c>
      <c r="B651" t="inlineStr">
        <is>
          <t>1204200630320</t>
        </is>
      </c>
      <c r="C651" t="inlineStr">
        <is>
          <t>CNC CIR  9-35   6M PLUG D38999/26ZA35PN</t>
        </is>
      </c>
      <c r="D651" t="inlineStr">
        <is>
          <t>1800108782</t>
        </is>
      </c>
      <c r="E651" t="inlineStr">
        <is>
          <t>50</t>
        </is>
      </c>
      <c r="F651" s="163" t="n">
        <v>45457</v>
      </c>
      <c r="G651" t="inlineStr"/>
      <c r="H651" t="inlineStr">
        <is>
          <t>4200569161</t>
        </is>
      </c>
      <c r="I651" t="inlineStr">
        <is>
          <t>30</t>
        </is>
      </c>
      <c r="J651" s="163" t="n">
        <v>45475</v>
      </c>
      <c r="K651" s="163" t="n">
        <v>45477</v>
      </c>
      <c r="L651" t="inlineStr"/>
      <c r="M651" s="163" t="n">
        <v>45488</v>
      </c>
      <c r="N651" s="164" t="n">
        <v>35</v>
      </c>
      <c r="O651" s="164" t="n">
        <v>8</v>
      </c>
      <c r="P651" t="inlineStr">
        <is>
          <t>Liberado</t>
        </is>
      </c>
      <c r="Q651" s="165" t="n">
        <v>1</v>
      </c>
      <c r="R651" s="165" t="n">
        <v>1</v>
      </c>
      <c r="S651" s="165" t="n">
        <v>1</v>
      </c>
      <c r="T651" s="165" t="n">
        <v>0</v>
      </c>
      <c r="U651" s="166" t="n">
        <v>1</v>
      </c>
      <c r="V651" s="166" t="n">
        <v>0</v>
      </c>
      <c r="W651" t="inlineStr">
        <is>
          <t>X</t>
        </is>
      </c>
      <c r="X651" t="inlineStr">
        <is>
          <t>0.00</t>
        </is>
      </c>
      <c r="Y651" t="inlineStr"/>
      <c r="Z651" t="inlineStr">
        <is>
          <t>SUMINISTROS CONECTORES PROF.,SA.</t>
        </is>
      </c>
      <c r="AA651" t="inlineStr">
        <is>
          <t>MILITARY SPECS.</t>
        </is>
      </c>
      <c r="AB651" t="inlineStr">
        <is>
          <t>D38999/26ZA35PN</t>
        </is>
      </c>
      <c r="AC651" t="inlineStr"/>
      <c r="AD651" s="164" t="n">
        <v>0</v>
      </c>
      <c r="AE651" s="185" t="n">
        <v>0</v>
      </c>
      <c r="AG651" s="167" t="inlineStr">
        <is>
          <t>7218|JA2581_1001</t>
        </is>
      </c>
      <c r="AH651" s="46">
        <f>IF(M651=0,"-",M651-J651)</f>
        <v/>
      </c>
      <c r="AI651" s="46">
        <f>IF(AND(S651=0,M651&gt;0,L651=0),IF(AH651&gt;=120,"VERY HIGH",IF(AH651&gt;=90,"HIGH",IF(AH651&gt;=60,"MEDIUM",IF(AH651&lt;60,"LOW")))),"-")</f>
        <v/>
      </c>
      <c r="AJ651" s="12" t="n"/>
      <c r="AK651" s="41">
        <f>IF(AND(W651="X",M651&lt;=$AJ$2),"YES","")</f>
        <v/>
      </c>
      <c r="AL651" s="38">
        <f>IF(AND(W651="X",M651&lt;=$AJ$2),S651,"")</f>
        <v/>
      </c>
      <c r="AM651" s="26">
        <f>IF(AND(W651="X",M651&gt;$AJ$2),"YES","")</f>
        <v/>
      </c>
      <c r="AN651" s="89">
        <f>IF(AND(W651="X",M651&gt;$AJ$2),S651,"")</f>
        <v/>
      </c>
      <c r="AO651" s="35">
        <f>IF(AND(W651="",M651&gt;0,$AJ$2&gt;M651,L651=""),1,0)</f>
        <v/>
      </c>
      <c r="AP651" s="26">
        <f>IF(AND(AK651="YES",W651="X"),"X","")</f>
        <v/>
      </c>
      <c r="AQ651" s="28">
        <f>IF(AP651="X",100%,0%)</f>
        <v/>
      </c>
      <c r="AR651" s="25">
        <f>IF(AND(T651&gt;0,L651=""),H651,"")</f>
        <v/>
      </c>
      <c r="AS651" s="25">
        <f>IF(AND(D651&gt;0,H651=0,G651=""),1,"")</f>
        <v/>
      </c>
      <c r="AT651" s="25">
        <f>IF(G651="BLOQ",1,"")</f>
        <v/>
      </c>
      <c r="AU651" s="25">
        <f>IF(L651="BLOQ",1,"")</f>
        <v/>
      </c>
      <c r="AV651" s="25">
        <f>MONTH(F651)</f>
        <v/>
      </c>
      <c r="AW651" s="65">
        <f>IF(AP651="",100%,0%)</f>
        <v/>
      </c>
      <c r="AX651" s="23" t="n"/>
      <c r="AY651" s="24">
        <f>IF(M651=0,"",M651-$AX$2)</f>
        <v/>
      </c>
      <c r="AZ651" s="66">
        <f>IF(AND(W651="",AY651&gt;0,AY651&lt;15),1,0)</f>
        <v/>
      </c>
      <c r="BA651" s="24">
        <f>IF(AND(W651="",AY651&gt;0,AY651&lt;15),T651,"")</f>
        <v/>
      </c>
      <c r="BB651" s="87">
        <f>IF(R651&lt;Q651,"X","")</f>
        <v/>
      </c>
      <c r="BC651" s="190" t="inlineStr">
        <is>
          <t>NO</t>
        </is>
      </c>
      <c r="BD651" s="191" t="inlineStr">
        <is>
          <t>SI</t>
        </is>
      </c>
    </row>
    <row r="652" ht="15" customHeight="1" s="162">
      <c r="A652" s="7" t="n">
        <v>651</v>
      </c>
      <c r="B652" t="inlineStr">
        <is>
          <t>1204201130020</t>
        </is>
      </c>
      <c r="C652" t="inlineStr">
        <is>
          <t>CNC CIR 19-11P/M PLUG RECT AL ZN/NI R-N</t>
        </is>
      </c>
      <c r="D652" t="inlineStr">
        <is>
          <t>1800108782</t>
        </is>
      </c>
      <c r="E652" t="inlineStr">
        <is>
          <t>60</t>
        </is>
      </c>
      <c r="F652" s="163" t="n">
        <v>45457</v>
      </c>
      <c r="G652" t="inlineStr"/>
      <c r="H652" t="inlineStr">
        <is>
          <t>4200569161</t>
        </is>
      </c>
      <c r="I652" t="inlineStr">
        <is>
          <t>40</t>
        </is>
      </c>
      <c r="J652" s="163" t="n">
        <v>45475</v>
      </c>
      <c r="K652" s="163" t="n">
        <v>45477</v>
      </c>
      <c r="L652" t="inlineStr"/>
      <c r="M652" s="163" t="n">
        <v>45488</v>
      </c>
      <c r="N652" s="164" t="n">
        <v>40</v>
      </c>
      <c r="O652" s="164" t="n">
        <v>8</v>
      </c>
      <c r="P652" t="inlineStr">
        <is>
          <t>Liberado</t>
        </is>
      </c>
      <c r="Q652" s="165" t="n">
        <v>1</v>
      </c>
      <c r="R652" s="165" t="n">
        <v>1</v>
      </c>
      <c r="S652" s="165" t="n">
        <v>1</v>
      </c>
      <c r="T652" s="165" t="n">
        <v>0</v>
      </c>
      <c r="U652" s="166" t="n">
        <v>1</v>
      </c>
      <c r="V652" s="166" t="n">
        <v>0</v>
      </c>
      <c r="W652" t="inlineStr">
        <is>
          <t>X</t>
        </is>
      </c>
      <c r="X652" t="inlineStr">
        <is>
          <t>0.00</t>
        </is>
      </c>
      <c r="Y652" t="inlineStr"/>
      <c r="Z652" t="inlineStr">
        <is>
          <t>SUMINISTROS CONECTORES PROF.,SA.</t>
        </is>
      </c>
      <c r="AA652" t="inlineStr">
        <is>
          <t>MILITARY SPECS.</t>
        </is>
      </c>
      <c r="AB652" t="inlineStr">
        <is>
          <t>D38999/26ZF11PN</t>
        </is>
      </c>
      <c r="AC652" t="inlineStr"/>
      <c r="AD652" s="164" t="n">
        <v>0</v>
      </c>
      <c r="AE652" s="185" t="n">
        <v>0</v>
      </c>
      <c r="AG652" s="167" t="inlineStr">
        <is>
          <t>7218|JA2581_1001</t>
        </is>
      </c>
      <c r="AH652" s="46">
        <f>IF(M652=0,"-",M652-J652)</f>
        <v/>
      </c>
      <c r="AI652" s="46">
        <f>IF(AND(S652=0,M652&gt;0,L652=0),IF(AH652&gt;=120,"VERY HIGH",IF(AH652&gt;=90,"HIGH",IF(AH652&gt;=60,"MEDIUM",IF(AH652&lt;60,"LOW")))),"-")</f>
        <v/>
      </c>
      <c r="AJ652" s="12" t="n"/>
      <c r="AK652" s="41">
        <f>IF(AND(W652="X",M652&lt;=$AJ$2),"YES","")</f>
        <v/>
      </c>
      <c r="AL652" s="38">
        <f>IF(AND(W652="X",M652&lt;=$AJ$2),S652,"")</f>
        <v/>
      </c>
      <c r="AM652" s="26">
        <f>IF(AND(W652="X",M652&gt;$AJ$2),"YES","")</f>
        <v/>
      </c>
      <c r="AN652" s="89">
        <f>IF(AND(W652="X",M652&gt;$AJ$2),S652,"")</f>
        <v/>
      </c>
      <c r="AO652" s="35">
        <f>IF(AND(W652="",M652&gt;0,$AJ$2&gt;M652,L652=""),1,0)</f>
        <v/>
      </c>
      <c r="AP652" s="26">
        <f>IF(AND(AK652="YES",W652="X"),"X","")</f>
        <v/>
      </c>
      <c r="AQ652" s="28">
        <f>IF(AP652="X",100%,0%)</f>
        <v/>
      </c>
      <c r="AR652" s="25">
        <f>IF(AND(T652&gt;0,L652=""),H652,"")</f>
        <v/>
      </c>
      <c r="AS652" s="25">
        <f>IF(AND(D652&gt;0,H652=0,G652=""),1,"")</f>
        <v/>
      </c>
      <c r="AT652" s="25">
        <f>IF(G652="BLOQ",1,"")</f>
        <v/>
      </c>
      <c r="AU652" s="25">
        <f>IF(L652="BLOQ",1,"")</f>
        <v/>
      </c>
      <c r="AV652" s="25">
        <f>MONTH(F652)</f>
        <v/>
      </c>
      <c r="AW652" s="65">
        <f>IF(AP652="",100%,0%)</f>
        <v/>
      </c>
      <c r="AX652" s="23" t="n"/>
      <c r="AY652" s="24">
        <f>IF(M652=0,"",M652-$AX$2)</f>
        <v/>
      </c>
      <c r="AZ652" s="66">
        <f>IF(AND(W652="",AY652&gt;0,AY652&lt;15),1,0)</f>
        <v/>
      </c>
      <c r="BA652" s="24">
        <f>IF(AND(W652="",AY652&gt;0,AY652&lt;15),T652,"")</f>
        <v/>
      </c>
      <c r="BB652" s="87">
        <f>IF(R652&lt;Q652,"X","")</f>
        <v/>
      </c>
      <c r="BC652" s="190" t="inlineStr">
        <is>
          <t>NO</t>
        </is>
      </c>
      <c r="BD652" s="191" t="inlineStr">
        <is>
          <t>SI</t>
        </is>
      </c>
    </row>
    <row r="653" ht="15" customHeight="1" s="162">
      <c r="A653" s="7" t="n">
        <v>652</v>
      </c>
      <c r="B653" t="inlineStr">
        <is>
          <t>1204201130020</t>
        </is>
      </c>
      <c r="C653" t="inlineStr">
        <is>
          <t>CNC CIR 19-11P/M PLUG RECT AL ZN/NI R-N</t>
        </is>
      </c>
      <c r="D653" t="inlineStr">
        <is>
          <t>1800108782</t>
        </is>
      </c>
      <c r="E653" t="inlineStr">
        <is>
          <t>60</t>
        </is>
      </c>
      <c r="F653" s="163" t="n">
        <v>45457</v>
      </c>
      <c r="G653" t="inlineStr"/>
      <c r="H653" t="inlineStr">
        <is>
          <t>4200569022</t>
        </is>
      </c>
      <c r="I653" t="inlineStr">
        <is>
          <t>30</t>
        </is>
      </c>
      <c r="J653" s="163" t="n">
        <v>45475</v>
      </c>
      <c r="K653" s="163" t="inlineStr"/>
      <c r="L653" t="inlineStr">
        <is>
          <t>BORR</t>
        </is>
      </c>
      <c r="M653" s="163" t="n">
        <v>45488</v>
      </c>
      <c r="N653" s="164" t="n">
        <v>40</v>
      </c>
      <c r="O653" s="164" t="n">
        <v>8</v>
      </c>
      <c r="P653" t="inlineStr"/>
      <c r="Q653" s="165" t="n">
        <v>1</v>
      </c>
      <c r="R653" s="165" t="n">
        <v>1</v>
      </c>
      <c r="S653" s="165" t="n">
        <v>0</v>
      </c>
      <c r="T653" s="165" t="n">
        <v>1</v>
      </c>
      <c r="U653" s="166" t="n">
        <v>0</v>
      </c>
      <c r="V653" s="166" t="n">
        <v>0</v>
      </c>
      <c r="W653" t="inlineStr"/>
      <c r="X653" t="inlineStr">
        <is>
          <t>128.62</t>
        </is>
      </c>
      <c r="Y653" t="inlineStr"/>
      <c r="Z653" t="inlineStr">
        <is>
          <t>ICOMPPLUS ELECTRONICS S.L</t>
        </is>
      </c>
      <c r="AA653" t="inlineStr">
        <is>
          <t>MILITARY SPECS.</t>
        </is>
      </c>
      <c r="AB653" t="inlineStr">
        <is>
          <t>D38999/26ZF11PN</t>
        </is>
      </c>
      <c r="AC653" t="inlineStr"/>
      <c r="AD653" s="164" t="n">
        <v>0</v>
      </c>
      <c r="AE653" s="185" t="n">
        <v>0</v>
      </c>
      <c r="AG653" s="167" t="inlineStr">
        <is>
          <t>7218|JA2581_1001</t>
        </is>
      </c>
      <c r="AH653" s="46">
        <f>IF(M653=0,"-",M653-J653)</f>
        <v/>
      </c>
      <c r="AI653" s="46">
        <f>IF(AND(S653=0,M653&gt;0,L653=0),IF(AH653&gt;=120,"VERY HIGH",IF(AH653&gt;=90,"HIGH",IF(AH653&gt;=60,"MEDIUM",IF(AH653&lt;60,"LOW")))),"-")</f>
        <v/>
      </c>
      <c r="AJ653" s="12" t="n"/>
      <c r="AK653" s="41">
        <f>IF(AND(W653="X",M653&lt;=$AJ$2),"YES","")</f>
        <v/>
      </c>
      <c r="AL653" s="38">
        <f>IF(AND(W653="X",M653&lt;=$AJ$2),S653,"")</f>
        <v/>
      </c>
      <c r="AM653" s="26">
        <f>IF(AND(W653="X",M653&gt;$AJ$2),"YES","")</f>
        <v/>
      </c>
      <c r="AN653" s="89">
        <f>IF(AND(W653="X",M653&gt;$AJ$2),S653,"")</f>
        <v/>
      </c>
      <c r="AO653" s="35">
        <f>IF(AND(W653="",M653&gt;0,$AJ$2&gt;M653,L653=""),1,0)</f>
        <v/>
      </c>
      <c r="AP653" s="26">
        <f>IF(AND(AK653="YES",W653="X"),"X","")</f>
        <v/>
      </c>
      <c r="AQ653" s="28">
        <f>IF(AP653="X",100%,0%)</f>
        <v/>
      </c>
      <c r="AR653" s="25">
        <f>IF(AND(T653&gt;0,L653=""),H653,"")</f>
        <v/>
      </c>
      <c r="AS653" s="25">
        <f>IF(AND(D653&gt;0,H653=0,G653=""),1,"")</f>
        <v/>
      </c>
      <c r="AT653" s="25">
        <f>IF(G653="BLOQ",1,"")</f>
        <v/>
      </c>
      <c r="AU653" s="25">
        <f>IF(L653="BLOQ",1,"")</f>
        <v/>
      </c>
      <c r="AV653" s="25">
        <f>MONTH(F653)</f>
        <v/>
      </c>
      <c r="AW653" s="65">
        <f>IF(AP653="",100%,0%)</f>
        <v/>
      </c>
      <c r="AX653" s="23" t="n"/>
      <c r="AY653" s="24">
        <f>IF(M653=0,"",M653-$AX$2)</f>
        <v/>
      </c>
      <c r="AZ653" s="66">
        <f>IF(AND(W653="",AY653&gt;0,AY653&lt;15),1,0)</f>
        <v/>
      </c>
      <c r="BA653" s="24">
        <f>IF(AND(W653="",AY653&gt;0,AY653&lt;15),T653,"")</f>
        <v/>
      </c>
      <c r="BB653" s="87">
        <f>IF(R653&lt;Q653,"X","")</f>
        <v/>
      </c>
      <c r="BC653" s="190" t="inlineStr">
        <is>
          <t>NO</t>
        </is>
      </c>
      <c r="BD653" s="191" t="inlineStr">
        <is>
          <t>SI</t>
        </is>
      </c>
    </row>
    <row r="654" ht="15" customHeight="1" s="162">
      <c r="A654" s="7" t="n">
        <v>653</v>
      </c>
      <c r="B654" t="inlineStr">
        <is>
          <t>1204201930820</t>
        </is>
      </c>
      <c r="C654" t="inlineStr">
        <is>
          <t>CNC CIR 15-19 19M PLUG RECT ZN/NI ROT-N</t>
        </is>
      </c>
      <c r="D654" t="inlineStr">
        <is>
          <t>1800108782</t>
        </is>
      </c>
      <c r="E654" t="inlineStr">
        <is>
          <t>70</t>
        </is>
      </c>
      <c r="F654" s="163" t="n">
        <v>45457</v>
      </c>
      <c r="G654" t="inlineStr"/>
      <c r="H654" t="inlineStr">
        <is>
          <t>4200569161</t>
        </is>
      </c>
      <c r="I654" t="inlineStr">
        <is>
          <t>50</t>
        </is>
      </c>
      <c r="J654" s="163" t="n">
        <v>45475</v>
      </c>
      <c r="K654" s="163" t="n">
        <v>45477</v>
      </c>
      <c r="L654" t="inlineStr"/>
      <c r="M654" s="163" t="n">
        <v>45488</v>
      </c>
      <c r="N654" s="164" t="n">
        <v>40</v>
      </c>
      <c r="O654" s="164" t="n">
        <v>8</v>
      </c>
      <c r="P654" t="inlineStr">
        <is>
          <t>Liberado</t>
        </is>
      </c>
      <c r="Q654" s="165" t="n">
        <v>1</v>
      </c>
      <c r="R654" s="165" t="n">
        <v>1</v>
      </c>
      <c r="S654" s="165" t="n">
        <v>1</v>
      </c>
      <c r="T654" s="165" t="n">
        <v>0</v>
      </c>
      <c r="U654" s="166" t="n">
        <v>1</v>
      </c>
      <c r="V654" s="166" t="n">
        <v>0</v>
      </c>
      <c r="W654" t="inlineStr">
        <is>
          <t>X</t>
        </is>
      </c>
      <c r="X654" t="inlineStr">
        <is>
          <t>0.00</t>
        </is>
      </c>
      <c r="Y654" t="inlineStr"/>
      <c r="Z654" t="inlineStr">
        <is>
          <t>SUMINISTROS CONECTORES PROF.,SA.</t>
        </is>
      </c>
      <c r="AA654" t="inlineStr">
        <is>
          <t>MILITARY SPECS.</t>
        </is>
      </c>
      <c r="AB654" t="inlineStr">
        <is>
          <t>D38999/26ZD19PN</t>
        </is>
      </c>
      <c r="AC654" t="inlineStr"/>
      <c r="AD654" s="164" t="n">
        <v>0</v>
      </c>
      <c r="AE654" s="185" t="n">
        <v>0</v>
      </c>
      <c r="AG654" s="167" t="inlineStr">
        <is>
          <t>7218|JA2581_1001</t>
        </is>
      </c>
      <c r="AH654" s="46">
        <f>IF(M654=0,"-",M654-J654)</f>
        <v/>
      </c>
      <c r="AI654" s="46">
        <f>IF(AND(S654=0,M654&gt;0,L654=0),IF(AH654&gt;=120,"VERY HIGH",IF(AH654&gt;=90,"HIGH",IF(AH654&gt;=60,"MEDIUM",IF(AH654&lt;60,"LOW")))),"-")</f>
        <v/>
      </c>
      <c r="AJ654" s="12" t="n"/>
      <c r="AK654" s="41">
        <f>IF(AND(W654="X",M654&lt;=$AJ$2),"YES","")</f>
        <v/>
      </c>
      <c r="AL654" s="38">
        <f>IF(AND(W654="X",M654&lt;=$AJ$2),S654,"")</f>
        <v/>
      </c>
      <c r="AM654" s="26">
        <f>IF(AND(W654="X",M654&gt;$AJ$2),"YES","")</f>
        <v/>
      </c>
      <c r="AN654" s="89">
        <f>IF(AND(W654="X",M654&gt;$AJ$2),S654,"")</f>
        <v/>
      </c>
      <c r="AO654" s="35">
        <f>IF(AND(W654="",M654&gt;0,$AJ$2&gt;M654,L654=""),1,0)</f>
        <v/>
      </c>
      <c r="AP654" s="26">
        <f>IF(AND(AK654="YES",W654="X"),"X","")</f>
        <v/>
      </c>
      <c r="AQ654" s="28">
        <f>IF(AP654="X",100%,0%)</f>
        <v/>
      </c>
      <c r="AR654" s="25">
        <f>IF(AND(T654&gt;0,L654=""),H654,"")</f>
        <v/>
      </c>
      <c r="AS654" s="25">
        <f>IF(AND(D654&gt;0,H654=0,G654=""),1,"")</f>
        <v/>
      </c>
      <c r="AT654" s="25">
        <f>IF(G654="BLOQ",1,"")</f>
        <v/>
      </c>
      <c r="AU654" s="25">
        <f>IF(L654="BLOQ",1,"")</f>
        <v/>
      </c>
      <c r="AV654" s="25">
        <f>MONTH(F654)</f>
        <v/>
      </c>
      <c r="AW654" s="65">
        <f>IF(AP654="",100%,0%)</f>
        <v/>
      </c>
      <c r="AX654" s="23" t="n"/>
      <c r="AY654" s="24">
        <f>IF(M654=0,"",M654-$AX$2)</f>
        <v/>
      </c>
      <c r="AZ654" s="66">
        <f>IF(AND(W654="",AY654&gt;0,AY654&lt;15),1,0)</f>
        <v/>
      </c>
      <c r="BA654" s="24">
        <f>IF(AND(W654="",AY654&gt;0,AY654&lt;15),T654,"")</f>
        <v/>
      </c>
      <c r="BB654" s="87">
        <f>IF(R654&lt;Q654,"X","")</f>
        <v/>
      </c>
      <c r="BC654" s="190" t="inlineStr">
        <is>
          <t>NO</t>
        </is>
      </c>
      <c r="BD654" s="191" t="inlineStr">
        <is>
          <t>SI</t>
        </is>
      </c>
    </row>
    <row r="655" ht="15" customHeight="1" s="162">
      <c r="A655" s="7" t="n">
        <v>654</v>
      </c>
      <c r="B655" t="inlineStr">
        <is>
          <t>1204201930820</t>
        </is>
      </c>
      <c r="C655" t="inlineStr">
        <is>
          <t>CNC CIR 15-19 19M PLUG RECT ZN/NI ROT-N</t>
        </is>
      </c>
      <c r="D655" t="inlineStr">
        <is>
          <t>1800108782</t>
        </is>
      </c>
      <c r="E655" t="inlineStr">
        <is>
          <t>70</t>
        </is>
      </c>
      <c r="F655" s="163" t="n">
        <v>45457</v>
      </c>
      <c r="G655" t="inlineStr"/>
      <c r="H655" t="inlineStr">
        <is>
          <t>4200569022</t>
        </is>
      </c>
      <c r="I655" t="inlineStr">
        <is>
          <t>40</t>
        </is>
      </c>
      <c r="J655" s="163" t="n">
        <v>45475</v>
      </c>
      <c r="K655" s="163" t="inlineStr"/>
      <c r="L655" t="inlineStr">
        <is>
          <t>BORR</t>
        </is>
      </c>
      <c r="M655" s="163" t="n">
        <v>45488</v>
      </c>
      <c r="N655" s="164" t="n">
        <v>40</v>
      </c>
      <c r="O655" s="164" t="n">
        <v>8</v>
      </c>
      <c r="P655" t="inlineStr"/>
      <c r="Q655" s="165" t="n">
        <v>1</v>
      </c>
      <c r="R655" s="165" t="n">
        <v>1</v>
      </c>
      <c r="S655" s="165" t="n">
        <v>0</v>
      </c>
      <c r="T655" s="165" t="n">
        <v>1</v>
      </c>
      <c r="U655" s="166" t="n">
        <v>0</v>
      </c>
      <c r="V655" s="166" t="n">
        <v>0</v>
      </c>
      <c r="W655" t="inlineStr"/>
      <c r="X655" t="inlineStr">
        <is>
          <t>89.76</t>
        </is>
      </c>
      <c r="Y655" t="inlineStr"/>
      <c r="Z655" t="inlineStr">
        <is>
          <t>ICOMPPLUS ELECTRONICS S.L</t>
        </is>
      </c>
      <c r="AA655" t="inlineStr">
        <is>
          <t>MILITARY SPECS.</t>
        </is>
      </c>
      <c r="AB655" t="inlineStr">
        <is>
          <t>D38999/26ZD19PN</t>
        </is>
      </c>
      <c r="AC655" t="inlineStr"/>
      <c r="AD655" s="164" t="n">
        <v>0</v>
      </c>
      <c r="AE655" s="185" t="n">
        <v>0</v>
      </c>
      <c r="AG655" s="167" t="inlineStr">
        <is>
          <t>7218|JA2581_1001</t>
        </is>
      </c>
      <c r="AH655" s="46">
        <f>IF(M655=0,"-",M655-J655)</f>
        <v/>
      </c>
      <c r="AI655" s="46">
        <f>IF(AND(S655=0,M655&gt;0,L655=0),IF(AH655&gt;=120,"VERY HIGH",IF(AH655&gt;=90,"HIGH",IF(AH655&gt;=60,"MEDIUM",IF(AH655&lt;60,"LOW")))),"-")</f>
        <v/>
      </c>
      <c r="AJ655" s="12" t="n"/>
      <c r="AK655" s="41">
        <f>IF(AND(W655="X",M655&lt;=$AJ$2),"YES","")</f>
        <v/>
      </c>
      <c r="AL655" s="38">
        <f>IF(AND(W655="X",M655&lt;=$AJ$2),S655,"")</f>
        <v/>
      </c>
      <c r="AM655" s="26">
        <f>IF(AND(W655="X",M655&gt;$AJ$2),"YES","")</f>
        <v/>
      </c>
      <c r="AN655" s="89">
        <f>IF(AND(W655="X",M655&gt;$AJ$2),S655,"")</f>
        <v/>
      </c>
      <c r="AO655" s="35">
        <f>IF(AND(W655="",M655&gt;0,$AJ$2&gt;M655,L655=""),1,0)</f>
        <v/>
      </c>
      <c r="AP655" s="26">
        <f>IF(AND(AK655="YES",W655="X"),"X","")</f>
        <v/>
      </c>
      <c r="AQ655" s="28">
        <f>IF(AP655="X",100%,0%)</f>
        <v/>
      </c>
      <c r="AR655" s="25">
        <f>IF(AND(T655&gt;0,L655=""),H655,"")</f>
        <v/>
      </c>
      <c r="AS655" s="25">
        <f>IF(AND(D655&gt;0,H655=0,G655=""),1,"")</f>
        <v/>
      </c>
      <c r="AT655" s="25">
        <f>IF(G655="BLOQ",1,"")</f>
        <v/>
      </c>
      <c r="AU655" s="25">
        <f>IF(L655="BLOQ",1,"")</f>
        <v/>
      </c>
      <c r="AV655" s="25">
        <f>MONTH(F655)</f>
        <v/>
      </c>
      <c r="AW655" s="65">
        <f>IF(AP655="",100%,0%)</f>
        <v/>
      </c>
      <c r="AX655" s="23" t="n"/>
      <c r="AY655" s="24">
        <f>IF(M655=0,"",M655-$AX$2)</f>
        <v/>
      </c>
      <c r="AZ655" s="66">
        <f>IF(AND(W655="",AY655&gt;0,AY655&lt;15),1,0)</f>
        <v/>
      </c>
      <c r="BA655" s="24">
        <f>IF(AND(W655="",AY655&gt;0,AY655&lt;15),T655,"")</f>
        <v/>
      </c>
      <c r="BB655" s="87">
        <f>IF(R655&lt;Q655,"X","")</f>
        <v/>
      </c>
      <c r="BC655" s="190" t="inlineStr">
        <is>
          <t>NO</t>
        </is>
      </c>
      <c r="BD655" s="191" t="inlineStr">
        <is>
          <t>SI</t>
        </is>
      </c>
    </row>
    <row r="656" ht="15" customHeight="1" s="162">
      <c r="A656" s="7" t="n">
        <v>655</v>
      </c>
      <c r="B656" t="inlineStr">
        <is>
          <t>1204204130820</t>
        </is>
      </c>
      <c r="C656" t="inlineStr">
        <is>
          <t>CNC CIR 21-41 41M PLUG RECT ZN/NI ROT-N</t>
        </is>
      </c>
      <c r="D656" t="inlineStr">
        <is>
          <t>1800108782</t>
        </is>
      </c>
      <c r="E656" t="inlineStr">
        <is>
          <t>80</t>
        </is>
      </c>
      <c r="F656" s="163" t="n">
        <v>45457</v>
      </c>
      <c r="G656" t="inlineStr"/>
      <c r="H656" t="inlineStr">
        <is>
          <t>4200569022</t>
        </is>
      </c>
      <c r="I656" t="inlineStr">
        <is>
          <t>50</t>
        </is>
      </c>
      <c r="J656" s="163" t="n">
        <v>45475</v>
      </c>
      <c r="K656" s="163" t="inlineStr"/>
      <c r="L656" t="inlineStr">
        <is>
          <t>BORR</t>
        </is>
      </c>
      <c r="M656" s="163" t="n">
        <v>45488</v>
      </c>
      <c r="N656" s="164" t="n">
        <v>40</v>
      </c>
      <c r="O656" s="164" t="n">
        <v>8</v>
      </c>
      <c r="P656" t="inlineStr"/>
      <c r="Q656" s="165" t="n">
        <v>14</v>
      </c>
      <c r="R656" s="165" t="n">
        <v>14</v>
      </c>
      <c r="S656" s="165" t="n">
        <v>0</v>
      </c>
      <c r="T656" s="165" t="n">
        <v>14</v>
      </c>
      <c r="U656" s="166" t="n">
        <v>0</v>
      </c>
      <c r="V656" s="166" t="n">
        <v>0</v>
      </c>
      <c r="W656" t="inlineStr"/>
      <c r="X656" t="inlineStr">
        <is>
          <t>938.28</t>
        </is>
      </c>
      <c r="Y656" t="inlineStr"/>
      <c r="Z656" t="inlineStr">
        <is>
          <t>ICOMPPLUS ELECTRONICS S.L</t>
        </is>
      </c>
      <c r="AA656" t="inlineStr">
        <is>
          <t>MILITARY SPECS.</t>
        </is>
      </c>
      <c r="AB656" t="inlineStr">
        <is>
          <t>D38999/26ZG41PN</t>
        </is>
      </c>
      <c r="AC656" t="inlineStr"/>
      <c r="AD656" s="164" t="n">
        <v>0</v>
      </c>
      <c r="AE656" s="185" t="n">
        <v>0</v>
      </c>
      <c r="AG656" s="167" t="inlineStr">
        <is>
          <t>7218|JA2581_1001</t>
        </is>
      </c>
      <c r="AH656" s="46">
        <f>IF(M656=0,"-",M656-J656)</f>
        <v/>
      </c>
      <c r="AI656" s="46">
        <f>IF(AND(S656=0,M656&gt;0,L656=0),IF(AH656&gt;=120,"VERY HIGH",IF(AH656&gt;=90,"HIGH",IF(AH656&gt;=60,"MEDIUM",IF(AH656&lt;60,"LOW")))),"-")</f>
        <v/>
      </c>
      <c r="AJ656" s="12" t="n"/>
      <c r="AK656" s="41">
        <f>IF(AND(W656="X",M656&lt;=$AJ$2),"YES","")</f>
        <v/>
      </c>
      <c r="AL656" s="38">
        <f>IF(AND(W656="X",M656&lt;=$AJ$2),S656,"")</f>
        <v/>
      </c>
      <c r="AM656" s="26">
        <f>IF(AND(W656="X",M656&gt;$AJ$2),"YES","")</f>
        <v/>
      </c>
      <c r="AN656" s="89">
        <f>IF(AND(W656="X",M656&gt;$AJ$2),S656,"")</f>
        <v/>
      </c>
      <c r="AO656" s="35">
        <f>IF(AND(W656="",M656&gt;0,$AJ$2&gt;M656,L656=""),1,0)</f>
        <v/>
      </c>
      <c r="AP656" s="26">
        <f>IF(AND(AK656="YES",W656="X"),"X","")</f>
        <v/>
      </c>
      <c r="AQ656" s="28">
        <f>IF(AP656="X",100%,0%)</f>
        <v/>
      </c>
      <c r="AR656" s="25">
        <f>IF(AND(T656&gt;0,L656=""),H656,"")</f>
        <v/>
      </c>
      <c r="AS656" s="25">
        <f>IF(AND(D656&gt;0,H656=0,G656=""),1,"")</f>
        <v/>
      </c>
      <c r="AT656" s="25">
        <f>IF(G656="BLOQ",1,"")</f>
        <v/>
      </c>
      <c r="AU656" s="25">
        <f>IF(L656="BLOQ",1,"")</f>
        <v/>
      </c>
      <c r="AV656" s="25">
        <f>MONTH(F656)</f>
        <v/>
      </c>
      <c r="AW656" s="65">
        <f>IF(AP656="",100%,0%)</f>
        <v/>
      </c>
      <c r="AX656" s="23" t="n"/>
      <c r="AY656" s="24">
        <f>IF(M656=0,"",M656-$AX$2)</f>
        <v/>
      </c>
      <c r="AZ656" s="66">
        <f>IF(AND(W656="",AY656&gt;0,AY656&lt;15),1,0)</f>
        <v/>
      </c>
      <c r="BA656" s="24">
        <f>IF(AND(W656="",AY656&gt;0,AY656&lt;15),T656,"")</f>
        <v/>
      </c>
      <c r="BB656" s="87">
        <f>IF(R656&lt;Q656,"X","")</f>
        <v/>
      </c>
      <c r="BC656" s="190" t="inlineStr">
        <is>
          <t>NO</t>
        </is>
      </c>
      <c r="BD656" s="191" t="inlineStr">
        <is>
          <t>SI</t>
        </is>
      </c>
    </row>
    <row r="657" ht="15" customHeight="1" s="162">
      <c r="A657" s="7" t="n">
        <v>656</v>
      </c>
      <c r="B657" t="inlineStr">
        <is>
          <t>1204204130820</t>
        </is>
      </c>
      <c r="C657" t="inlineStr">
        <is>
          <t>CNC CIR 21-41 41M PLUG RECT ZN/NI ROT-N</t>
        </is>
      </c>
      <c r="D657" t="inlineStr">
        <is>
          <t>1800108782</t>
        </is>
      </c>
      <c r="E657" t="inlineStr">
        <is>
          <t>80</t>
        </is>
      </c>
      <c r="F657" s="163" t="n">
        <v>45457</v>
      </c>
      <c r="G657" t="inlineStr"/>
      <c r="H657" t="inlineStr">
        <is>
          <t>4200569165</t>
        </is>
      </c>
      <c r="I657" t="inlineStr">
        <is>
          <t>10</t>
        </is>
      </c>
      <c r="J657" s="163" t="n">
        <v>45475</v>
      </c>
      <c r="K657" s="163" t="n">
        <v>45483</v>
      </c>
      <c r="L657" t="inlineStr"/>
      <c r="M657" s="163" t="n">
        <v>45488</v>
      </c>
      <c r="N657" s="164" t="n">
        <v>40</v>
      </c>
      <c r="O657" s="164" t="n">
        <v>8</v>
      </c>
      <c r="P657" t="inlineStr">
        <is>
          <t>Liberado</t>
        </is>
      </c>
      <c r="Q657" s="165" t="n">
        <v>14</v>
      </c>
      <c r="R657" s="165" t="n">
        <v>14</v>
      </c>
      <c r="S657" s="165" t="n">
        <v>14</v>
      </c>
      <c r="T657" s="165" t="n">
        <v>0</v>
      </c>
      <c r="U657" s="166" t="n">
        <v>14</v>
      </c>
      <c r="V657" s="166" t="n">
        <v>0</v>
      </c>
      <c r="W657" t="inlineStr">
        <is>
          <t>X</t>
        </is>
      </c>
      <c r="X657" t="inlineStr">
        <is>
          <t>0.00</t>
        </is>
      </c>
      <c r="Y657" t="inlineStr"/>
      <c r="Z657" t="inlineStr">
        <is>
          <t>CONECTORES Y CABLES VAHER, S.A.</t>
        </is>
      </c>
      <c r="AA657" t="inlineStr">
        <is>
          <t>MILITARY SPECS.</t>
        </is>
      </c>
      <c r="AB657" t="inlineStr">
        <is>
          <t>D38999/26ZG41PN</t>
        </is>
      </c>
      <c r="AC657" t="inlineStr"/>
      <c r="AD657" s="164" t="n">
        <v>0</v>
      </c>
      <c r="AE657" s="185" t="n">
        <v>0</v>
      </c>
      <c r="AG657" s="167" t="inlineStr">
        <is>
          <t>7218|JA2581_1001</t>
        </is>
      </c>
      <c r="AH657" s="46">
        <f>IF(M657=0,"-",M657-J657)</f>
        <v/>
      </c>
      <c r="AI657" s="46">
        <f>IF(AND(S657=0,M657&gt;0,L657=0),IF(AH657&gt;=120,"VERY HIGH",IF(AH657&gt;=90,"HIGH",IF(AH657&gt;=60,"MEDIUM",IF(AH657&lt;60,"LOW")))),"-")</f>
        <v/>
      </c>
      <c r="AJ657" s="12" t="n"/>
      <c r="AK657" s="41">
        <f>IF(AND(W657="X",M657&lt;=$AJ$2),"YES","")</f>
        <v/>
      </c>
      <c r="AL657" s="38">
        <f>IF(AND(W657="X",M657&lt;=$AJ$2),S657,"")</f>
        <v/>
      </c>
      <c r="AM657" s="26">
        <f>IF(AND(W657="X",M657&gt;$AJ$2),"YES","")</f>
        <v/>
      </c>
      <c r="AN657" s="89">
        <f>IF(AND(W657="X",M657&gt;$AJ$2),S657,"")</f>
        <v/>
      </c>
      <c r="AO657" s="35">
        <f>IF(AND(W657="",M657&gt;0,$AJ$2&gt;M657,L657=""),1,0)</f>
        <v/>
      </c>
      <c r="AP657" s="26">
        <f>IF(AND(AK657="YES",W657="X"),"X","")</f>
        <v/>
      </c>
      <c r="AQ657" s="28">
        <f>IF(AP657="X",100%,0%)</f>
        <v/>
      </c>
      <c r="AR657" s="25">
        <f>IF(AND(T657&gt;0,L657=""),H657,"")</f>
        <v/>
      </c>
      <c r="AS657" s="25">
        <f>IF(AND(D657&gt;0,H657=0,G657=""),1,"")</f>
        <v/>
      </c>
      <c r="AT657" s="25">
        <f>IF(G657="BLOQ",1,"")</f>
        <v/>
      </c>
      <c r="AU657" s="25">
        <f>IF(L657="BLOQ",1,"")</f>
        <v/>
      </c>
      <c r="AV657" s="25">
        <f>MONTH(F657)</f>
        <v/>
      </c>
      <c r="AW657" s="65">
        <f>IF(AP657="",100%,0%)</f>
        <v/>
      </c>
      <c r="AX657" s="23" t="n"/>
      <c r="AY657" s="24">
        <f>IF(M657=0,"",M657-$AX$2)</f>
        <v/>
      </c>
      <c r="AZ657" s="66">
        <f>IF(AND(W657="",AY657&gt;0,AY657&lt;15),1,0)</f>
        <v/>
      </c>
      <c r="BA657" s="24">
        <f>IF(AND(W657="",AY657&gt;0,AY657&lt;15),T657,"")</f>
        <v/>
      </c>
      <c r="BB657" s="87">
        <f>IF(R657&lt;Q657,"X","")</f>
        <v/>
      </c>
      <c r="BC657" s="190" t="inlineStr">
        <is>
          <t>NO</t>
        </is>
      </c>
      <c r="BD657" s="191" t="inlineStr">
        <is>
          <t>SI</t>
        </is>
      </c>
    </row>
    <row r="658" ht="15" customHeight="1" s="162">
      <c r="A658" s="7" t="n">
        <v>657</v>
      </c>
      <c r="B658" t="inlineStr">
        <is>
          <t>1204204131820</t>
        </is>
      </c>
      <c r="C658" t="inlineStr">
        <is>
          <t>CNC CIR 21-41 41M PLUG RECT ZN/NI ROT-A</t>
        </is>
      </c>
      <c r="D658" t="inlineStr">
        <is>
          <t>1800108782</t>
        </is>
      </c>
      <c r="E658" t="inlineStr">
        <is>
          <t>90</t>
        </is>
      </c>
      <c r="F658" s="163" t="n">
        <v>45457</v>
      </c>
      <c r="G658" t="inlineStr"/>
      <c r="H658" t="inlineStr">
        <is>
          <t>4200569022</t>
        </is>
      </c>
      <c r="I658" t="inlineStr">
        <is>
          <t>60</t>
        </is>
      </c>
      <c r="J658" s="163" t="n">
        <v>45475</v>
      </c>
      <c r="K658" s="163" t="inlineStr"/>
      <c r="L658" t="inlineStr">
        <is>
          <t>BORR</t>
        </is>
      </c>
      <c r="M658" s="163" t="n">
        <v>45488</v>
      </c>
      <c r="N658" s="164" t="n">
        <v>40</v>
      </c>
      <c r="O658" s="164" t="n">
        <v>8</v>
      </c>
      <c r="P658" t="inlineStr"/>
      <c r="Q658" s="165" t="n">
        <v>3</v>
      </c>
      <c r="R658" s="165" t="n">
        <v>3</v>
      </c>
      <c r="S658" s="165" t="n">
        <v>0</v>
      </c>
      <c r="T658" s="165" t="n">
        <v>3</v>
      </c>
      <c r="U658" s="166" t="n">
        <v>0</v>
      </c>
      <c r="V658" s="166" t="n">
        <v>0</v>
      </c>
      <c r="W658" t="inlineStr"/>
      <c r="X658" t="inlineStr">
        <is>
          <t>486.00</t>
        </is>
      </c>
      <c r="Y658" t="inlineStr"/>
      <c r="Z658" t="inlineStr">
        <is>
          <t>ICOMPPLUS ELECTRONICS S.L</t>
        </is>
      </c>
      <c r="AA658" t="inlineStr">
        <is>
          <t>MILITARY SPECS.</t>
        </is>
      </c>
      <c r="AB658" t="inlineStr">
        <is>
          <t>D38999/26ZG41PA</t>
        </is>
      </c>
      <c r="AC658" t="inlineStr"/>
      <c r="AD658" s="164" t="n">
        <v>0</v>
      </c>
      <c r="AE658" s="185" t="n">
        <v>0</v>
      </c>
      <c r="AG658" s="167" t="inlineStr">
        <is>
          <t>7218|JA2581_1001</t>
        </is>
      </c>
      <c r="AH658" s="46">
        <f>IF(M658=0,"-",M658-J658)</f>
        <v/>
      </c>
      <c r="AI658" s="46">
        <f>IF(AND(S658=0,M658&gt;0,L658=0),IF(AH658&gt;=120,"VERY HIGH",IF(AH658&gt;=90,"HIGH",IF(AH658&gt;=60,"MEDIUM",IF(AH658&lt;60,"LOW")))),"-")</f>
        <v/>
      </c>
      <c r="AJ658" s="12" t="n"/>
      <c r="AK658" s="41">
        <f>IF(AND(W658="X",M658&lt;=$AJ$2),"YES","")</f>
        <v/>
      </c>
      <c r="AL658" s="38">
        <f>IF(AND(W658="X",M658&lt;=$AJ$2),S658,"")</f>
        <v/>
      </c>
      <c r="AM658" s="26">
        <f>IF(AND(W658="X",M658&gt;$AJ$2),"YES","")</f>
        <v/>
      </c>
      <c r="AN658" s="89">
        <f>IF(AND(W658="X",M658&gt;$AJ$2),S658,"")</f>
        <v/>
      </c>
      <c r="AO658" s="35">
        <f>IF(AND(W658="",M658&gt;0,$AJ$2&gt;M658,L658=""),1,0)</f>
        <v/>
      </c>
      <c r="AP658" s="26">
        <f>IF(AND(AK658="YES",W658="X"),"X","")</f>
        <v/>
      </c>
      <c r="AQ658" s="28">
        <f>IF(AP658="X",100%,0%)</f>
        <v/>
      </c>
      <c r="AR658" s="25">
        <f>IF(AND(T658&gt;0,L658=""),H658,"")</f>
        <v/>
      </c>
      <c r="AS658" s="25">
        <f>IF(AND(D658&gt;0,H658=0,G658=""),1,"")</f>
        <v/>
      </c>
      <c r="AT658" s="25">
        <f>IF(G658="BLOQ",1,"")</f>
        <v/>
      </c>
      <c r="AU658" s="25">
        <f>IF(L658="BLOQ",1,"")</f>
        <v/>
      </c>
      <c r="AV658" s="25">
        <f>MONTH(F658)</f>
        <v/>
      </c>
      <c r="AW658" s="65">
        <f>IF(AP658="",100%,0%)</f>
        <v/>
      </c>
      <c r="AX658" s="23" t="n"/>
      <c r="AY658" s="24">
        <f>IF(M658=0,"",M658-$AX$2)</f>
        <v/>
      </c>
      <c r="AZ658" s="66">
        <f>IF(AND(W658="",AY658&gt;0,AY658&lt;15),1,0)</f>
        <v/>
      </c>
      <c r="BA658" s="24">
        <f>IF(AND(W658="",AY658&gt;0,AY658&lt;15),T658,"")</f>
        <v/>
      </c>
      <c r="BB658" s="87">
        <f>IF(R658&lt;Q658,"X","")</f>
        <v/>
      </c>
      <c r="BC658" s="190" t="inlineStr">
        <is>
          <t>NO</t>
        </is>
      </c>
      <c r="BD658" s="191" t="inlineStr">
        <is>
          <t>SI</t>
        </is>
      </c>
    </row>
    <row r="659" ht="15" customHeight="1" s="162">
      <c r="A659" s="7" t="n">
        <v>658</v>
      </c>
      <c r="B659" t="inlineStr">
        <is>
          <t>1204204131820</t>
        </is>
      </c>
      <c r="C659" t="inlineStr">
        <is>
          <t>CNC CIR 21-41 41M PLUG RECT ZN/NI ROT-A</t>
        </is>
      </c>
      <c r="D659" t="inlineStr">
        <is>
          <t>1800108782</t>
        </is>
      </c>
      <c r="E659" t="inlineStr">
        <is>
          <t>90</t>
        </is>
      </c>
      <c r="F659" s="163" t="n">
        <v>45457</v>
      </c>
      <c r="G659" t="inlineStr"/>
      <c r="H659" t="inlineStr">
        <is>
          <t>4200569161</t>
        </is>
      </c>
      <c r="I659" t="inlineStr">
        <is>
          <t>60</t>
        </is>
      </c>
      <c r="J659" s="163" t="n">
        <v>45475</v>
      </c>
      <c r="K659" s="163" t="n">
        <v>45477</v>
      </c>
      <c r="L659" t="inlineStr"/>
      <c r="M659" s="163" t="n">
        <v>45488</v>
      </c>
      <c r="N659" s="164" t="n">
        <v>40</v>
      </c>
      <c r="O659" s="164" t="n">
        <v>8</v>
      </c>
      <c r="P659" t="inlineStr">
        <is>
          <t>Liberado</t>
        </is>
      </c>
      <c r="Q659" s="165" t="n">
        <v>3</v>
      </c>
      <c r="R659" s="165" t="n">
        <v>3</v>
      </c>
      <c r="S659" s="165" t="n">
        <v>3</v>
      </c>
      <c r="T659" s="165" t="n">
        <v>0</v>
      </c>
      <c r="U659" s="166" t="n">
        <v>3</v>
      </c>
      <c r="V659" s="166" t="n">
        <v>0</v>
      </c>
      <c r="W659" t="inlineStr">
        <is>
          <t>X</t>
        </is>
      </c>
      <c r="X659" t="inlineStr">
        <is>
          <t>0.00</t>
        </is>
      </c>
      <c r="Y659" t="inlineStr"/>
      <c r="Z659" t="inlineStr">
        <is>
          <t>SUMINISTROS CONECTORES PROF.,SA.</t>
        </is>
      </c>
      <c r="AA659" t="inlineStr">
        <is>
          <t>MILITARY SPECS.</t>
        </is>
      </c>
      <c r="AB659" t="inlineStr">
        <is>
          <t>D38999/26ZG41PA</t>
        </is>
      </c>
      <c r="AC659" t="inlineStr"/>
      <c r="AD659" s="164" t="n">
        <v>0</v>
      </c>
      <c r="AE659" s="185" t="n">
        <v>0</v>
      </c>
      <c r="AG659" s="167" t="inlineStr">
        <is>
          <t>7218|JA2581_1001</t>
        </is>
      </c>
      <c r="AH659" s="46">
        <f>IF(M659=0,"-",M659-J659)</f>
        <v/>
      </c>
      <c r="AI659" s="46">
        <f>IF(AND(S659=0,M659&gt;0,L659=0),IF(AH659&gt;=120,"VERY HIGH",IF(AH659&gt;=90,"HIGH",IF(AH659&gt;=60,"MEDIUM",IF(AH659&lt;60,"LOW")))),"-")</f>
        <v/>
      </c>
      <c r="AJ659" s="12" t="n"/>
      <c r="AK659" s="41">
        <f>IF(AND(W659="X",M659&lt;=$AJ$2),"YES","")</f>
        <v/>
      </c>
      <c r="AL659" s="38">
        <f>IF(AND(W659="X",M659&lt;=$AJ$2),S659,"")</f>
        <v/>
      </c>
      <c r="AM659" s="26">
        <f>IF(AND(W659="X",M659&gt;$AJ$2),"YES","")</f>
        <v/>
      </c>
      <c r="AN659" s="89">
        <f>IF(AND(W659="X",M659&gt;$AJ$2),S659,"")</f>
        <v/>
      </c>
      <c r="AO659" s="35">
        <f>IF(AND(W659="",M659&gt;0,$AJ$2&gt;M659,L659=""),1,0)</f>
        <v/>
      </c>
      <c r="AP659" s="26">
        <f>IF(AND(AK659="YES",W659="X"),"X","")</f>
        <v/>
      </c>
      <c r="AQ659" s="28">
        <f>IF(AP659="X",100%,0%)</f>
        <v/>
      </c>
      <c r="AR659" s="25">
        <f>IF(AND(T659&gt;0,L659=""),H659,"")</f>
        <v/>
      </c>
      <c r="AS659" s="25">
        <f>IF(AND(D659&gt;0,H659=0,G659=""),1,"")</f>
        <v/>
      </c>
      <c r="AT659" s="25">
        <f>IF(G659="BLOQ",1,"")</f>
        <v/>
      </c>
      <c r="AU659" s="25">
        <f>IF(L659="BLOQ",1,"")</f>
        <v/>
      </c>
      <c r="AV659" s="25">
        <f>MONTH(F659)</f>
        <v/>
      </c>
      <c r="AW659" s="65">
        <f>IF(AP659="",100%,0%)</f>
        <v/>
      </c>
      <c r="AX659" s="23" t="n"/>
      <c r="AY659" s="24">
        <f>IF(M659=0,"",M659-$AX$2)</f>
        <v/>
      </c>
      <c r="AZ659" s="66">
        <f>IF(AND(W659="",AY659&gt;0,AY659&lt;15),1,0)</f>
        <v/>
      </c>
      <c r="BA659" s="24">
        <f>IF(AND(W659="",AY659&gt;0,AY659&lt;15),T659,"")</f>
        <v/>
      </c>
      <c r="BB659" s="87">
        <f>IF(R659&lt;Q659,"X","")</f>
        <v/>
      </c>
      <c r="BC659" s="190" t="inlineStr">
        <is>
          <t>NO</t>
        </is>
      </c>
      <c r="BD659" s="191" t="inlineStr">
        <is>
          <t>SI</t>
        </is>
      </c>
    </row>
    <row r="660" ht="15" customHeight="1" s="162">
      <c r="A660" s="7" t="n">
        <v>659</v>
      </c>
      <c r="B660" t="inlineStr">
        <is>
          <t>1204205530021</t>
        </is>
      </c>
      <c r="C660" t="inlineStr">
        <is>
          <t>CNC CIR 23-55P/M PLUG RECT AL ZN/NI R-A</t>
        </is>
      </c>
      <c r="D660" t="inlineStr">
        <is>
          <t>1800108782</t>
        </is>
      </c>
      <c r="E660" t="inlineStr">
        <is>
          <t>100</t>
        </is>
      </c>
      <c r="F660" s="163" t="n">
        <v>45457</v>
      </c>
      <c r="G660" t="inlineStr"/>
      <c r="H660" t="inlineStr">
        <is>
          <t>4200569022</t>
        </is>
      </c>
      <c r="I660" t="inlineStr">
        <is>
          <t>70</t>
        </is>
      </c>
      <c r="J660" s="163" t="n">
        <v>45475</v>
      </c>
      <c r="K660" s="163" t="inlineStr"/>
      <c r="L660" t="inlineStr">
        <is>
          <t>BORR</t>
        </is>
      </c>
      <c r="M660" s="163" t="n">
        <v>45488</v>
      </c>
      <c r="N660" s="164" t="n">
        <v>40</v>
      </c>
      <c r="O660" s="164" t="n">
        <v>8</v>
      </c>
      <c r="P660" t="inlineStr"/>
      <c r="Q660" s="165" t="n">
        <v>2</v>
      </c>
      <c r="R660" s="165" t="n">
        <v>2</v>
      </c>
      <c r="S660" s="165" t="n">
        <v>0</v>
      </c>
      <c r="T660" s="165" t="n">
        <v>2</v>
      </c>
      <c r="U660" s="166" t="n">
        <v>0</v>
      </c>
      <c r="V660" s="166" t="n">
        <v>0</v>
      </c>
      <c r="W660" t="inlineStr"/>
      <c r="X660" t="inlineStr">
        <is>
          <t>295.46</t>
        </is>
      </c>
      <c r="Y660" t="inlineStr"/>
      <c r="Z660" t="inlineStr">
        <is>
          <t>ICOMPPLUS ELECTRONICS S.L</t>
        </is>
      </c>
      <c r="AA660" t="inlineStr">
        <is>
          <t>MILITARY SPECS.</t>
        </is>
      </c>
      <c r="AB660" t="inlineStr">
        <is>
          <t>D38999/26ZH55PA</t>
        </is>
      </c>
      <c r="AC660" t="inlineStr"/>
      <c r="AD660" s="164" t="n">
        <v>0</v>
      </c>
      <c r="AE660" s="185" t="n">
        <v>0</v>
      </c>
      <c r="AG660" s="167" t="inlineStr">
        <is>
          <t>7218|JA2581_1001</t>
        </is>
      </c>
      <c r="AH660" s="46">
        <f>IF(M660=0,"-",M660-J660)</f>
        <v/>
      </c>
      <c r="AI660" s="46">
        <f>IF(AND(S660=0,M660&gt;0,L660=0),IF(AH660&gt;=120,"VERY HIGH",IF(AH660&gt;=90,"HIGH",IF(AH660&gt;=60,"MEDIUM",IF(AH660&lt;60,"LOW")))),"-")</f>
        <v/>
      </c>
      <c r="AJ660" s="12" t="n"/>
      <c r="AK660" s="41">
        <f>IF(AND(W660="X",M660&lt;=$AJ$2),"YES","")</f>
        <v/>
      </c>
      <c r="AL660" s="38">
        <f>IF(AND(W660="X",M660&lt;=$AJ$2),S660,"")</f>
        <v/>
      </c>
      <c r="AM660" s="26">
        <f>IF(AND(W660="X",M660&gt;$AJ$2),"YES","")</f>
        <v/>
      </c>
      <c r="AN660" s="89">
        <f>IF(AND(W660="X",M660&gt;$AJ$2),S660,"")</f>
        <v/>
      </c>
      <c r="AO660" s="35">
        <f>IF(AND(W660="",M660&gt;0,$AJ$2&gt;M660,L660=""),1,0)</f>
        <v/>
      </c>
      <c r="AP660" s="26">
        <f>IF(AND(AK660="YES",W660="X"),"X","")</f>
        <v/>
      </c>
      <c r="AQ660" s="28">
        <f>IF(AP660="X",100%,0%)</f>
        <v/>
      </c>
      <c r="AR660" s="25">
        <f>IF(AND(T660&gt;0,L660=""),H660,"")</f>
        <v/>
      </c>
      <c r="AS660" s="25">
        <f>IF(AND(D660&gt;0,H660=0,G660=""),1,"")</f>
        <v/>
      </c>
      <c r="AT660" s="25">
        <f>IF(G660="BLOQ",1,"")</f>
        <v/>
      </c>
      <c r="AU660" s="25">
        <f>IF(L660="BLOQ",1,"")</f>
        <v/>
      </c>
      <c r="AV660" s="25">
        <f>MONTH(F660)</f>
        <v/>
      </c>
      <c r="AW660" s="65">
        <f>IF(AP660="",100%,0%)</f>
        <v/>
      </c>
      <c r="AX660" s="23" t="n"/>
      <c r="AY660" s="24">
        <f>IF(M660=0,"",M660-$AX$2)</f>
        <v/>
      </c>
      <c r="AZ660" s="66">
        <f>IF(AND(W660="",AY660&gt;0,AY660&lt;15),1,0)</f>
        <v/>
      </c>
      <c r="BA660" s="24">
        <f>IF(AND(W660="",AY660&gt;0,AY660&lt;15),T660,"")</f>
        <v/>
      </c>
      <c r="BB660" s="87">
        <f>IF(R660&lt;Q660,"X","")</f>
        <v/>
      </c>
      <c r="BC660" s="190" t="inlineStr">
        <is>
          <t>NO</t>
        </is>
      </c>
      <c r="BD660" s="191" t="inlineStr">
        <is>
          <t>SI</t>
        </is>
      </c>
    </row>
    <row r="661" ht="15" customHeight="1" s="162">
      <c r="A661" s="7" t="n">
        <v>660</v>
      </c>
      <c r="B661" t="inlineStr">
        <is>
          <t>1204205530021</t>
        </is>
      </c>
      <c r="C661" t="inlineStr">
        <is>
          <t>CNC CIR 23-55P/M PLUG RECT AL ZN/NI R-A</t>
        </is>
      </c>
      <c r="D661" t="inlineStr">
        <is>
          <t>1800108782</t>
        </is>
      </c>
      <c r="E661" t="inlineStr">
        <is>
          <t>100</t>
        </is>
      </c>
      <c r="F661" s="163" t="n">
        <v>45457</v>
      </c>
      <c r="G661" t="inlineStr"/>
      <c r="H661" t="inlineStr">
        <is>
          <t>4200569161</t>
        </is>
      </c>
      <c r="I661" t="inlineStr">
        <is>
          <t>70</t>
        </is>
      </c>
      <c r="J661" s="163" t="n">
        <v>45475</v>
      </c>
      <c r="K661" s="163" t="n">
        <v>45477</v>
      </c>
      <c r="L661" t="inlineStr"/>
      <c r="M661" s="163" t="n">
        <v>45488</v>
      </c>
      <c r="N661" s="164" t="n">
        <v>40</v>
      </c>
      <c r="O661" s="164" t="n">
        <v>8</v>
      </c>
      <c r="P661" t="inlineStr">
        <is>
          <t>Liberado</t>
        </is>
      </c>
      <c r="Q661" s="165" t="n">
        <v>2</v>
      </c>
      <c r="R661" s="165" t="n">
        <v>2</v>
      </c>
      <c r="S661" s="165" t="n">
        <v>2</v>
      </c>
      <c r="T661" s="165" t="n">
        <v>0</v>
      </c>
      <c r="U661" s="166" t="n">
        <v>2</v>
      </c>
      <c r="V661" s="166" t="n">
        <v>0</v>
      </c>
      <c r="W661" t="inlineStr">
        <is>
          <t>X</t>
        </is>
      </c>
      <c r="X661" t="inlineStr">
        <is>
          <t>0.00</t>
        </is>
      </c>
      <c r="Y661" t="inlineStr"/>
      <c r="Z661" t="inlineStr">
        <is>
          <t>SUMINISTROS CONECTORES PROF.,SA.</t>
        </is>
      </c>
      <c r="AA661" t="inlineStr">
        <is>
          <t>MILITARY SPECS.</t>
        </is>
      </c>
      <c r="AB661" t="inlineStr">
        <is>
          <t>D38999/26ZH55PA</t>
        </is>
      </c>
      <c r="AC661" t="inlineStr"/>
      <c r="AD661" s="164" t="n">
        <v>0</v>
      </c>
      <c r="AE661" s="185" t="n">
        <v>0</v>
      </c>
      <c r="AG661" s="167" t="inlineStr">
        <is>
          <t>7218|JA2581_1001</t>
        </is>
      </c>
      <c r="AH661" s="46">
        <f>IF(M661=0,"-",M661-J661)</f>
        <v/>
      </c>
      <c r="AI661" s="46">
        <f>IF(AND(S661=0,M661&gt;0,L661=0),IF(AH661&gt;=120,"VERY HIGH",IF(AH661&gt;=90,"HIGH",IF(AH661&gt;=60,"MEDIUM",IF(AH661&lt;60,"LOW")))),"-")</f>
        <v/>
      </c>
      <c r="AJ661" s="12" t="n"/>
      <c r="AK661" s="41">
        <f>IF(AND(W661="X",M661&lt;=$AJ$2),"YES","")</f>
        <v/>
      </c>
      <c r="AL661" s="38">
        <f>IF(AND(W661="X",M661&lt;=$AJ$2),S661,"")</f>
        <v/>
      </c>
      <c r="AM661" s="26">
        <f>IF(AND(W661="X",M661&gt;$AJ$2),"YES","")</f>
        <v/>
      </c>
      <c r="AN661" s="89">
        <f>IF(AND(W661="X",M661&gt;$AJ$2),S661,"")</f>
        <v/>
      </c>
      <c r="AO661" s="35">
        <f>IF(AND(W661="",M661&gt;0,$AJ$2&gt;M661,L661=""),1,0)</f>
        <v/>
      </c>
      <c r="AP661" s="26">
        <f>IF(AND(AK661="YES",W661="X"),"X","")</f>
        <v/>
      </c>
      <c r="AQ661" s="28">
        <f>IF(AP661="X",100%,0%)</f>
        <v/>
      </c>
      <c r="AR661" s="25">
        <f>IF(AND(T661&gt;0,L661=""),H661,"")</f>
        <v/>
      </c>
      <c r="AS661" s="25">
        <f>IF(AND(D661&gt;0,H661=0,G661=""),1,"")</f>
        <v/>
      </c>
      <c r="AT661" s="25">
        <f>IF(G661="BLOQ",1,"")</f>
        <v/>
      </c>
      <c r="AU661" s="25">
        <f>IF(L661="BLOQ",1,"")</f>
        <v/>
      </c>
      <c r="AV661" s="25">
        <f>MONTH(F661)</f>
        <v/>
      </c>
      <c r="AW661" s="65">
        <f>IF(AP661="",100%,0%)</f>
        <v/>
      </c>
      <c r="AX661" s="23" t="n"/>
      <c r="AY661" s="24">
        <f>IF(M661=0,"",M661-$AX$2)</f>
        <v/>
      </c>
      <c r="AZ661" s="66">
        <f>IF(AND(W661="",AY661&gt;0,AY661&lt;15),1,0)</f>
        <v/>
      </c>
      <c r="BA661" s="24">
        <f>IF(AND(W661="",AY661&gt;0,AY661&lt;15),T661,"")</f>
        <v/>
      </c>
      <c r="BB661" s="87">
        <f>IF(R661&lt;Q661,"X","")</f>
        <v/>
      </c>
      <c r="BC661" s="190" t="inlineStr">
        <is>
          <t>NO</t>
        </is>
      </c>
      <c r="BD661" s="191" t="inlineStr">
        <is>
          <t>SI</t>
        </is>
      </c>
    </row>
    <row r="662" ht="15" customHeight="1" s="162">
      <c r="A662" s="7" t="n">
        <v>661</v>
      </c>
      <c r="B662" t="inlineStr">
        <is>
          <t>1204205530820</t>
        </is>
      </c>
      <c r="C662" t="inlineStr">
        <is>
          <t>CNC CIR 23-55 55M PLUG RECT ZN/NI ROT-N</t>
        </is>
      </c>
      <c r="D662" t="inlineStr">
        <is>
          <t>1800108782</t>
        </is>
      </c>
      <c r="E662" t="inlineStr">
        <is>
          <t>110</t>
        </is>
      </c>
      <c r="F662" s="163" t="n">
        <v>45457</v>
      </c>
      <c r="G662" t="inlineStr"/>
      <c r="H662" t="inlineStr">
        <is>
          <t>4200569022</t>
        </is>
      </c>
      <c r="I662" t="inlineStr">
        <is>
          <t>80</t>
        </is>
      </c>
      <c r="J662" s="163" t="n">
        <v>45475</v>
      </c>
      <c r="K662" s="163" t="inlineStr"/>
      <c r="L662" t="inlineStr">
        <is>
          <t>BORR</t>
        </is>
      </c>
      <c r="M662" s="163" t="n">
        <v>45488</v>
      </c>
      <c r="N662" s="164" t="n">
        <v>40</v>
      </c>
      <c r="O662" s="164" t="n">
        <v>8</v>
      </c>
      <c r="P662" t="inlineStr"/>
      <c r="Q662" s="165" t="n">
        <v>16</v>
      </c>
      <c r="R662" s="165" t="n">
        <v>16</v>
      </c>
      <c r="S662" s="165" t="n">
        <v>0</v>
      </c>
      <c r="T662" s="165" t="n">
        <v>16</v>
      </c>
      <c r="U662" s="166" t="n">
        <v>0</v>
      </c>
      <c r="V662" s="166" t="n">
        <v>0</v>
      </c>
      <c r="W662" t="inlineStr"/>
      <c r="X662" t="inlineStr">
        <is>
          <t>1300.80</t>
        </is>
      </c>
      <c r="Y662" t="inlineStr"/>
      <c r="Z662" t="inlineStr">
        <is>
          <t>ICOMPPLUS ELECTRONICS S.L</t>
        </is>
      </c>
      <c r="AA662" t="inlineStr">
        <is>
          <t>MILITARY SPECS.</t>
        </is>
      </c>
      <c r="AB662" t="inlineStr">
        <is>
          <t>D38999/26ZH55PN</t>
        </is>
      </c>
      <c r="AC662" t="inlineStr"/>
      <c r="AD662" s="164" t="n">
        <v>0</v>
      </c>
      <c r="AE662" s="185" t="n">
        <v>0</v>
      </c>
      <c r="AG662" s="167" t="inlineStr">
        <is>
          <t>7218|JA2581_1001</t>
        </is>
      </c>
      <c r="AH662" s="46">
        <f>IF(M662=0,"-",M662-J662)</f>
        <v/>
      </c>
      <c r="AI662" s="46">
        <f>IF(AND(S662=0,M662&gt;0,L662=0),IF(AH662&gt;=120,"VERY HIGH",IF(AH662&gt;=90,"HIGH",IF(AH662&gt;=60,"MEDIUM",IF(AH662&lt;60,"LOW")))),"-")</f>
        <v/>
      </c>
      <c r="AJ662" s="12" t="n"/>
      <c r="AK662" s="41">
        <f>IF(AND(W662="X",M662&lt;=$AJ$2),"YES","")</f>
        <v/>
      </c>
      <c r="AL662" s="38">
        <f>IF(AND(W662="X",M662&lt;=$AJ$2),S662,"")</f>
        <v/>
      </c>
      <c r="AM662" s="26">
        <f>IF(AND(W662="X",M662&gt;$AJ$2),"YES","")</f>
        <v/>
      </c>
      <c r="AN662" s="89">
        <f>IF(AND(W662="X",M662&gt;$AJ$2),S662,"")</f>
        <v/>
      </c>
      <c r="AO662" s="35">
        <f>IF(AND(W662="",M662&gt;0,$AJ$2&gt;M662,L662=""),1,0)</f>
        <v/>
      </c>
      <c r="AP662" s="26">
        <f>IF(AND(AK662="YES",W662="X"),"X","")</f>
        <v/>
      </c>
      <c r="AQ662" s="28">
        <f>IF(AP662="X",100%,0%)</f>
        <v/>
      </c>
      <c r="AR662" s="25">
        <f>IF(AND(T662&gt;0,L662=""),H662,"")</f>
        <v/>
      </c>
      <c r="AS662" s="25">
        <f>IF(AND(D662&gt;0,H662=0,G662=""),1,"")</f>
        <v/>
      </c>
      <c r="AT662" s="25">
        <f>IF(G662="BLOQ",1,"")</f>
        <v/>
      </c>
      <c r="AU662" s="25">
        <f>IF(L662="BLOQ",1,"")</f>
        <v/>
      </c>
      <c r="AV662" s="25">
        <f>MONTH(F662)</f>
        <v/>
      </c>
      <c r="AW662" s="65">
        <f>IF(AP662="",100%,0%)</f>
        <v/>
      </c>
      <c r="AX662" s="23" t="n"/>
      <c r="AY662" s="24">
        <f>IF(M662=0,"",M662-$AX$2)</f>
        <v/>
      </c>
      <c r="AZ662" s="66">
        <f>IF(AND(W662="",AY662&gt;0,AY662&lt;15),1,0)</f>
        <v/>
      </c>
      <c r="BA662" s="24">
        <f>IF(AND(W662="",AY662&gt;0,AY662&lt;15),T662,"")</f>
        <v/>
      </c>
      <c r="BB662" s="87">
        <f>IF(R662&lt;Q662,"X","")</f>
        <v/>
      </c>
      <c r="BC662" s="190" t="inlineStr">
        <is>
          <t>NO</t>
        </is>
      </c>
      <c r="BD662" s="191" t="inlineStr">
        <is>
          <t>SI</t>
        </is>
      </c>
    </row>
    <row r="663" ht="15" customHeight="1" s="162">
      <c r="A663" s="7" t="n">
        <v>662</v>
      </c>
      <c r="B663" t="inlineStr">
        <is>
          <t>1204205530820</t>
        </is>
      </c>
      <c r="C663" t="inlineStr">
        <is>
          <t>CNC CIR 23-55 55M PLUG RECT ZN/NI ROT-N</t>
        </is>
      </c>
      <c r="D663" t="inlineStr">
        <is>
          <t>1800108782</t>
        </is>
      </c>
      <c r="E663" t="inlineStr">
        <is>
          <t>110</t>
        </is>
      </c>
      <c r="F663" s="163" t="n">
        <v>45457</v>
      </c>
      <c r="G663" t="inlineStr"/>
      <c r="H663" t="inlineStr">
        <is>
          <t>4200569168</t>
        </is>
      </c>
      <c r="I663" t="inlineStr">
        <is>
          <t>10</t>
        </is>
      </c>
      <c r="J663" s="163" t="n">
        <v>45475</v>
      </c>
      <c r="K663" s="163" t="n">
        <v>45477</v>
      </c>
      <c r="L663" t="inlineStr"/>
      <c r="M663" s="163" t="n">
        <v>45488</v>
      </c>
      <c r="N663" s="164" t="n">
        <v>40</v>
      </c>
      <c r="O663" s="164" t="n">
        <v>8</v>
      </c>
      <c r="P663" t="inlineStr">
        <is>
          <t>Liberado</t>
        </is>
      </c>
      <c r="Q663" s="165" t="n">
        <v>16</v>
      </c>
      <c r="R663" s="165" t="n">
        <v>16</v>
      </c>
      <c r="S663" s="165" t="n">
        <v>16</v>
      </c>
      <c r="T663" s="165" t="n">
        <v>0</v>
      </c>
      <c r="U663" s="166" t="n">
        <v>16</v>
      </c>
      <c r="V663" s="166" t="n">
        <v>0</v>
      </c>
      <c r="W663" t="inlineStr">
        <is>
          <t>X</t>
        </is>
      </c>
      <c r="X663" t="inlineStr">
        <is>
          <t>0.00</t>
        </is>
      </c>
      <c r="Y663" t="inlineStr"/>
      <c r="Z663" t="inlineStr">
        <is>
          <t>ICOMPPLUS ELECTRONICS S.L</t>
        </is>
      </c>
      <c r="AA663" t="inlineStr">
        <is>
          <t>MILITARY SPECS.</t>
        </is>
      </c>
      <c r="AB663" t="inlineStr">
        <is>
          <t>D38999/26ZH55PN</t>
        </is>
      </c>
      <c r="AC663" t="inlineStr"/>
      <c r="AD663" s="164" t="n">
        <v>0</v>
      </c>
      <c r="AE663" s="185" t="n">
        <v>0</v>
      </c>
      <c r="AG663" s="167" t="inlineStr">
        <is>
          <t>7218|JA2581_1001</t>
        </is>
      </c>
      <c r="AH663" s="46">
        <f>IF(M663=0,"-",M663-J663)</f>
        <v/>
      </c>
      <c r="AI663" s="46">
        <f>IF(AND(S663=0,M663&gt;0,L663=0),IF(AH663&gt;=120,"VERY HIGH",IF(AH663&gt;=90,"HIGH",IF(AH663&gt;=60,"MEDIUM",IF(AH663&lt;60,"LOW")))),"-")</f>
        <v/>
      </c>
      <c r="AJ663" s="12" t="n"/>
      <c r="AK663" s="41">
        <f>IF(AND(W663="X",M663&lt;=$AJ$2),"YES","")</f>
        <v/>
      </c>
      <c r="AL663" s="38">
        <f>IF(AND(W663="X",M663&lt;=$AJ$2),S663,"")</f>
        <v/>
      </c>
      <c r="AM663" s="26">
        <f>IF(AND(W663="X",M663&gt;$AJ$2),"YES","")</f>
        <v/>
      </c>
      <c r="AN663" s="89">
        <f>IF(AND(W663="X",M663&gt;$AJ$2),S663,"")</f>
        <v/>
      </c>
      <c r="AO663" s="35">
        <f>IF(AND(W663="",M663&gt;0,$AJ$2&gt;M663,L663=""),1,0)</f>
        <v/>
      </c>
      <c r="AP663" s="26">
        <f>IF(AND(AK663="YES",W663="X"),"X","")</f>
        <v/>
      </c>
      <c r="AQ663" s="28">
        <f>IF(AP663="X",100%,0%)</f>
        <v/>
      </c>
      <c r="AR663" s="25">
        <f>IF(AND(T663&gt;0,L663=""),H663,"")</f>
        <v/>
      </c>
      <c r="AS663" s="25">
        <f>IF(AND(D663&gt;0,H663=0,G663=""),1,"")</f>
        <v/>
      </c>
      <c r="AT663" s="25">
        <f>IF(G663="BLOQ",1,"")</f>
        <v/>
      </c>
      <c r="AU663" s="25">
        <f>IF(L663="BLOQ",1,"")</f>
        <v/>
      </c>
      <c r="AV663" s="25">
        <f>MONTH(F663)</f>
        <v/>
      </c>
      <c r="AW663" s="65">
        <f>IF(AP663="",100%,0%)</f>
        <v/>
      </c>
      <c r="AX663" s="23" t="n"/>
      <c r="AY663" s="24">
        <f>IF(M663=0,"",M663-$AX$2)</f>
        <v/>
      </c>
      <c r="AZ663" s="66">
        <f>IF(AND(W663="",AY663&gt;0,AY663&lt;15),1,0)</f>
        <v/>
      </c>
      <c r="BA663" s="24">
        <f>IF(AND(W663="",AY663&gt;0,AY663&lt;15),T663,"")</f>
        <v/>
      </c>
      <c r="BB663" s="87">
        <f>IF(R663&lt;Q663,"X","")</f>
        <v/>
      </c>
      <c r="BC663" s="190" t="inlineStr">
        <is>
          <t>NO</t>
        </is>
      </c>
      <c r="BD663" s="191" t="inlineStr">
        <is>
          <t>SI</t>
        </is>
      </c>
    </row>
    <row r="664" ht="15" customHeight="1" s="162">
      <c r="A664" s="7" t="n">
        <v>663</v>
      </c>
      <c r="B664" t="inlineStr">
        <is>
          <t>1204206631820</t>
        </is>
      </c>
      <c r="C664" t="inlineStr">
        <is>
          <t>CNC CIR 19-35 66M STRAIGHT PLUG D38999 A</t>
        </is>
      </c>
      <c r="D664" t="inlineStr">
        <is>
          <t>1800108782</t>
        </is>
      </c>
      <c r="E664" t="inlineStr">
        <is>
          <t>120</t>
        </is>
      </c>
      <c r="F664" s="163" t="n">
        <v>45457</v>
      </c>
      <c r="G664" t="inlineStr"/>
      <c r="H664" t="inlineStr">
        <is>
          <t>4200569168</t>
        </is>
      </c>
      <c r="I664" t="inlineStr">
        <is>
          <t>20</t>
        </is>
      </c>
      <c r="J664" s="163" t="n">
        <v>45475</v>
      </c>
      <c r="K664" s="163" t="n">
        <v>45477</v>
      </c>
      <c r="L664" t="inlineStr"/>
      <c r="M664" s="163" t="n">
        <v>45488</v>
      </c>
      <c r="N664" s="164" t="n">
        <v>75</v>
      </c>
      <c r="O664" s="164" t="n">
        <v>8</v>
      </c>
      <c r="P664" t="inlineStr">
        <is>
          <t>Liberado</t>
        </is>
      </c>
      <c r="Q664" s="165" t="n">
        <v>2</v>
      </c>
      <c r="R664" s="165" t="n">
        <v>2</v>
      </c>
      <c r="S664" s="165" t="n">
        <v>2</v>
      </c>
      <c r="T664" s="165" t="n">
        <v>0</v>
      </c>
      <c r="U664" s="166" t="n">
        <v>2</v>
      </c>
      <c r="V664" s="166" t="n">
        <v>0</v>
      </c>
      <c r="W664" t="inlineStr">
        <is>
          <t>X</t>
        </is>
      </c>
      <c r="X664" t="inlineStr">
        <is>
          <t>0.00</t>
        </is>
      </c>
      <c r="Y664" t="inlineStr"/>
      <c r="Z664" t="inlineStr">
        <is>
          <t>ICOMPPLUS ELECTRONICS S.L</t>
        </is>
      </c>
      <c r="AA664" t="inlineStr">
        <is>
          <t>MILITARY SPECS.</t>
        </is>
      </c>
      <c r="AB664" t="inlineStr">
        <is>
          <t>D38999/26ZF35PA</t>
        </is>
      </c>
      <c r="AC664" t="inlineStr"/>
      <c r="AD664" s="164" t="n">
        <v>0</v>
      </c>
      <c r="AE664" s="185" t="n">
        <v>0</v>
      </c>
      <c r="AG664" s="167" t="inlineStr">
        <is>
          <t>7218|JA2581_1001</t>
        </is>
      </c>
      <c r="AH664" s="46">
        <f>IF(M664=0,"-",M664-J664)</f>
        <v/>
      </c>
      <c r="AI664" s="46">
        <f>IF(AND(S664=0,M664&gt;0,L664=0),IF(AH664&gt;=120,"VERY HIGH",IF(AH664&gt;=90,"HIGH",IF(AH664&gt;=60,"MEDIUM",IF(AH664&lt;60,"LOW")))),"-")</f>
        <v/>
      </c>
      <c r="AJ664" s="12" t="n"/>
      <c r="AK664" s="41">
        <f>IF(AND(W664="X",M664&lt;=$AJ$2),"YES","")</f>
        <v/>
      </c>
      <c r="AL664" s="38">
        <f>IF(AND(W664="X",M664&lt;=$AJ$2),S664,"")</f>
        <v/>
      </c>
      <c r="AM664" s="26">
        <f>IF(AND(W664="X",M664&gt;$AJ$2),"YES","")</f>
        <v/>
      </c>
      <c r="AN664" s="89">
        <f>IF(AND(W664="X",M664&gt;$AJ$2),S664,"")</f>
        <v/>
      </c>
      <c r="AO664" s="35">
        <f>IF(AND(W664="",M664&gt;0,$AJ$2&gt;M664,L664=""),1,0)</f>
        <v/>
      </c>
      <c r="AP664" s="26">
        <f>IF(AND(AK664="YES",W664="X"),"X","")</f>
        <v/>
      </c>
      <c r="AQ664" s="28">
        <f>IF(AP664="X",100%,0%)</f>
        <v/>
      </c>
      <c r="AR664" s="25">
        <f>IF(AND(T664&gt;0,L664=""),H664,"")</f>
        <v/>
      </c>
      <c r="AS664" s="25">
        <f>IF(AND(D664&gt;0,H664=0,G664=""),1,"")</f>
        <v/>
      </c>
      <c r="AT664" s="25">
        <f>IF(G664="BLOQ",1,"")</f>
        <v/>
      </c>
      <c r="AU664" s="25">
        <f>IF(L664="BLOQ",1,"")</f>
        <v/>
      </c>
      <c r="AV664" s="25">
        <f>MONTH(F664)</f>
        <v/>
      </c>
      <c r="AW664" s="65">
        <f>IF(AP664="",100%,0%)</f>
        <v/>
      </c>
      <c r="AX664" s="23" t="n"/>
      <c r="AY664" s="24">
        <f>IF(M664=0,"",M664-$AX$2)</f>
        <v/>
      </c>
      <c r="AZ664" s="66">
        <f>IF(AND(W664="",AY664&gt;0,AY664&lt;15),1,0)</f>
        <v/>
      </c>
      <c r="BA664" s="24">
        <f>IF(AND(W664="",AY664&gt;0,AY664&lt;15),T664,"")</f>
        <v/>
      </c>
      <c r="BB664" s="87">
        <f>IF(R664&lt;Q664,"X","")</f>
        <v/>
      </c>
      <c r="BC664" s="190" t="inlineStr">
        <is>
          <t>NO</t>
        </is>
      </c>
      <c r="BD664" s="191" t="inlineStr">
        <is>
          <t>SI</t>
        </is>
      </c>
    </row>
    <row r="665" ht="15" customHeight="1" s="162">
      <c r="A665" s="7" t="n">
        <v>664</v>
      </c>
      <c r="B665" t="inlineStr">
        <is>
          <t>1204206631820</t>
        </is>
      </c>
      <c r="C665" t="inlineStr">
        <is>
          <t>CNC CIR 19-35 66M STRAIGHT PLUG D38999 A</t>
        </is>
      </c>
      <c r="D665" t="inlineStr">
        <is>
          <t>1800108782</t>
        </is>
      </c>
      <c r="E665" t="inlineStr">
        <is>
          <t>120</t>
        </is>
      </c>
      <c r="F665" s="163" t="n">
        <v>45457</v>
      </c>
      <c r="G665" t="inlineStr"/>
      <c r="H665" t="inlineStr">
        <is>
          <t>4200569022</t>
        </is>
      </c>
      <c r="I665" t="inlineStr">
        <is>
          <t>90</t>
        </is>
      </c>
      <c r="J665" s="163" t="n">
        <v>45475</v>
      </c>
      <c r="K665" s="163" t="inlineStr"/>
      <c r="L665" t="inlineStr">
        <is>
          <t>BORR</t>
        </is>
      </c>
      <c r="M665" s="163" t="n">
        <v>45488</v>
      </c>
      <c r="N665" s="164" t="n">
        <v>75</v>
      </c>
      <c r="O665" s="164" t="n">
        <v>8</v>
      </c>
      <c r="P665" t="inlineStr"/>
      <c r="Q665" s="165" t="n">
        <v>2</v>
      </c>
      <c r="R665" s="165" t="n">
        <v>2</v>
      </c>
      <c r="S665" s="165" t="n">
        <v>0</v>
      </c>
      <c r="T665" s="165" t="n">
        <v>2</v>
      </c>
      <c r="U665" s="166" t="n">
        <v>0</v>
      </c>
      <c r="V665" s="166" t="n">
        <v>0</v>
      </c>
      <c r="W665" t="inlineStr"/>
      <c r="X665" t="inlineStr">
        <is>
          <t>219.74</t>
        </is>
      </c>
      <c r="Y665" t="inlineStr"/>
      <c r="Z665" t="inlineStr">
        <is>
          <t>ICOMPPLUS ELECTRONICS S.L</t>
        </is>
      </c>
      <c r="AA665" t="inlineStr">
        <is>
          <t>MILITARY SPECS.</t>
        </is>
      </c>
      <c r="AB665" t="inlineStr">
        <is>
          <t>D38999/26ZF35PA</t>
        </is>
      </c>
      <c r="AC665" t="inlineStr"/>
      <c r="AD665" s="164" t="n">
        <v>0</v>
      </c>
      <c r="AE665" s="185" t="n">
        <v>0</v>
      </c>
      <c r="AG665" s="167" t="inlineStr">
        <is>
          <t>7218|JA2581_1001</t>
        </is>
      </c>
      <c r="AH665" s="46">
        <f>IF(M665=0,"-",M665-J665)</f>
        <v/>
      </c>
      <c r="AI665" s="46">
        <f>IF(AND(S665=0,M665&gt;0,L665=0),IF(AH665&gt;=120,"VERY HIGH",IF(AH665&gt;=90,"HIGH",IF(AH665&gt;=60,"MEDIUM",IF(AH665&lt;60,"LOW")))),"-")</f>
        <v/>
      </c>
      <c r="AJ665" s="12" t="n"/>
      <c r="AK665" s="41">
        <f>IF(AND(W665="X",M665&lt;=$AJ$2),"YES","")</f>
        <v/>
      </c>
      <c r="AL665" s="38">
        <f>IF(AND(W665="X",M665&lt;=$AJ$2),S665,"")</f>
        <v/>
      </c>
      <c r="AM665" s="26">
        <f>IF(AND(W665="X",M665&gt;$AJ$2),"YES","")</f>
        <v/>
      </c>
      <c r="AN665" s="89">
        <f>IF(AND(W665="X",M665&gt;$AJ$2),S665,"")</f>
        <v/>
      </c>
      <c r="AO665" s="35">
        <f>IF(AND(W665="",M665&gt;0,$AJ$2&gt;M665,L665=""),1,0)</f>
        <v/>
      </c>
      <c r="AP665" s="26">
        <f>IF(AND(AK665="YES",W665="X"),"X","")</f>
        <v/>
      </c>
      <c r="AQ665" s="28">
        <f>IF(AP665="X",100%,0%)</f>
        <v/>
      </c>
      <c r="AR665" s="25">
        <f>IF(AND(T665&gt;0,L665=""),H665,"")</f>
        <v/>
      </c>
      <c r="AS665" s="25">
        <f>IF(AND(D665&gt;0,H665=0,G665=""),1,"")</f>
        <v/>
      </c>
      <c r="AT665" s="25">
        <f>IF(G665="BLOQ",1,"")</f>
        <v/>
      </c>
      <c r="AU665" s="25">
        <f>IF(L665="BLOQ",1,"")</f>
        <v/>
      </c>
      <c r="AV665" s="25">
        <f>MONTH(F665)</f>
        <v/>
      </c>
      <c r="AW665" s="65">
        <f>IF(AP665="",100%,0%)</f>
        <v/>
      </c>
      <c r="AX665" s="23" t="n"/>
      <c r="AY665" s="24">
        <f>IF(M665=0,"",M665-$AX$2)</f>
        <v/>
      </c>
      <c r="AZ665" s="66">
        <f>IF(AND(W665="",AY665&gt;0,AY665&lt;15),1,0)</f>
        <v/>
      </c>
      <c r="BA665" s="24">
        <f>IF(AND(W665="",AY665&gt;0,AY665&lt;15),T665,"")</f>
        <v/>
      </c>
      <c r="BB665" s="87">
        <f>IF(R665&lt;Q665,"X","")</f>
        <v/>
      </c>
      <c r="BC665" s="190" t="inlineStr">
        <is>
          <t>NO</t>
        </is>
      </c>
      <c r="BD665" s="191" t="inlineStr">
        <is>
          <t>SI</t>
        </is>
      </c>
    </row>
    <row r="666" ht="15" customHeight="1" s="162">
      <c r="A666" s="7" t="n">
        <v>665</v>
      </c>
      <c r="B666" t="inlineStr">
        <is>
          <t>1204300430820</t>
        </is>
      </c>
      <c r="C666" t="inlineStr">
        <is>
          <t>CNC CIR 13-4 4M RECPT WALL ZN/NI ROT-N</t>
        </is>
      </c>
      <c r="D666" t="inlineStr">
        <is>
          <t>1800108782</t>
        </is>
      </c>
      <c r="E666" t="inlineStr">
        <is>
          <t>130</t>
        </is>
      </c>
      <c r="F666" s="163" t="n">
        <v>45457</v>
      </c>
      <c r="G666" t="inlineStr"/>
      <c r="H666" t="inlineStr">
        <is>
          <t>4200569168</t>
        </is>
      </c>
      <c r="I666" t="inlineStr">
        <is>
          <t>30</t>
        </is>
      </c>
      <c r="J666" s="163" t="n">
        <v>45475</v>
      </c>
      <c r="K666" s="163" t="n">
        <v>45477</v>
      </c>
      <c r="L666" t="inlineStr"/>
      <c r="M666" s="163" t="n">
        <v>45488</v>
      </c>
      <c r="N666" s="164" t="n">
        <v>40</v>
      </c>
      <c r="O666" s="164" t="n">
        <v>8</v>
      </c>
      <c r="P666" t="inlineStr">
        <is>
          <t>Liberado</t>
        </is>
      </c>
      <c r="Q666" s="165" t="n">
        <v>9</v>
      </c>
      <c r="R666" s="165" t="n">
        <v>9</v>
      </c>
      <c r="S666" s="165" t="n">
        <v>9</v>
      </c>
      <c r="T666" s="165" t="n">
        <v>0</v>
      </c>
      <c r="U666" s="166" t="n">
        <v>9</v>
      </c>
      <c r="V666" s="166" t="n">
        <v>0</v>
      </c>
      <c r="W666" t="inlineStr">
        <is>
          <t>X</t>
        </is>
      </c>
      <c r="X666" t="inlineStr">
        <is>
          <t>0.00</t>
        </is>
      </c>
      <c r="Y666" t="inlineStr"/>
      <c r="Z666" t="inlineStr">
        <is>
          <t>ICOMPPLUS ELECTRONICS S.L</t>
        </is>
      </c>
      <c r="AA666" t="inlineStr">
        <is>
          <t>MILITARY SPECS.</t>
        </is>
      </c>
      <c r="AB666" t="inlineStr">
        <is>
          <t>D38999/20ZC4PN</t>
        </is>
      </c>
      <c r="AC666" t="inlineStr"/>
      <c r="AD666" s="164" t="n">
        <v>0</v>
      </c>
      <c r="AE666" s="185" t="n">
        <v>0</v>
      </c>
      <c r="AG666" s="167" t="inlineStr">
        <is>
          <t>7218|JA2581_1001</t>
        </is>
      </c>
      <c r="AH666" s="46">
        <f>IF(M666=0,"-",M666-J666)</f>
        <v/>
      </c>
      <c r="AI666" s="46">
        <f>IF(AND(S666=0,M666&gt;0,L666=0),IF(AH666&gt;=120,"VERY HIGH",IF(AH666&gt;=90,"HIGH",IF(AH666&gt;=60,"MEDIUM",IF(AH666&lt;60,"LOW")))),"-")</f>
        <v/>
      </c>
      <c r="AJ666" s="12" t="n"/>
      <c r="AK666" s="41">
        <f>IF(AND(W666="X",M666&lt;=$AJ$2),"YES","")</f>
        <v/>
      </c>
      <c r="AL666" s="38">
        <f>IF(AND(W666="X",M666&lt;=$AJ$2),S666,"")</f>
        <v/>
      </c>
      <c r="AM666" s="26">
        <f>IF(AND(W666="X",M666&gt;$AJ$2),"YES","")</f>
        <v/>
      </c>
      <c r="AN666" s="89">
        <f>IF(AND(W666="X",M666&gt;$AJ$2),S666,"")</f>
        <v/>
      </c>
      <c r="AO666" s="35">
        <f>IF(AND(W666="",M666&gt;0,$AJ$2&gt;M666,L666=""),1,0)</f>
        <v/>
      </c>
      <c r="AP666" s="26">
        <f>IF(AND(AK666="YES",W666="X"),"X","")</f>
        <v/>
      </c>
      <c r="AQ666" s="28">
        <f>IF(AP666="X",100%,0%)</f>
        <v/>
      </c>
      <c r="AR666" s="25">
        <f>IF(AND(T666&gt;0,L666=""),H666,"")</f>
        <v/>
      </c>
      <c r="AS666" s="25">
        <f>IF(AND(D666&gt;0,H666=0,G666=""),1,"")</f>
        <v/>
      </c>
      <c r="AT666" s="25">
        <f>IF(G666="BLOQ",1,"")</f>
        <v/>
      </c>
      <c r="AU666" s="25">
        <f>IF(L666="BLOQ",1,"")</f>
        <v/>
      </c>
      <c r="AV666" s="25">
        <f>MONTH(F666)</f>
        <v/>
      </c>
      <c r="AW666" s="65">
        <f>IF(AP666="",100%,0%)</f>
        <v/>
      </c>
      <c r="AX666" s="23" t="n"/>
      <c r="AY666" s="24">
        <f>IF(M666=0,"",M666-$AX$2)</f>
        <v/>
      </c>
      <c r="AZ666" s="66">
        <f>IF(AND(W666="",AY666&gt;0,AY666&lt;15),1,0)</f>
        <v/>
      </c>
      <c r="BA666" s="24">
        <f>IF(AND(W666="",AY666&gt;0,AY666&lt;15),T666,"")</f>
        <v/>
      </c>
      <c r="BB666" s="87">
        <f>IF(R666&lt;Q666,"X","")</f>
        <v/>
      </c>
      <c r="BC666" s="190" t="inlineStr">
        <is>
          <t>NO</t>
        </is>
      </c>
      <c r="BD666" s="191" t="inlineStr">
        <is>
          <t>SI</t>
        </is>
      </c>
    </row>
    <row r="667" ht="15" customHeight="1" s="162">
      <c r="A667" s="7" t="n">
        <v>666</v>
      </c>
      <c r="B667" t="inlineStr">
        <is>
          <t>1204300430820</t>
        </is>
      </c>
      <c r="C667" t="inlineStr">
        <is>
          <t>CNC CIR 13-4 4M RECPT WALL ZN/NI ROT-N</t>
        </is>
      </c>
      <c r="D667" t="inlineStr">
        <is>
          <t>1800108782</t>
        </is>
      </c>
      <c r="E667" t="inlineStr">
        <is>
          <t>130</t>
        </is>
      </c>
      <c r="F667" s="163" t="n">
        <v>45457</v>
      </c>
      <c r="G667" t="inlineStr"/>
      <c r="H667" t="inlineStr">
        <is>
          <t>4200569022</t>
        </is>
      </c>
      <c r="I667" t="inlineStr">
        <is>
          <t>100</t>
        </is>
      </c>
      <c r="J667" s="163" t="n">
        <v>45475</v>
      </c>
      <c r="K667" s="163" t="inlineStr"/>
      <c r="L667" t="inlineStr">
        <is>
          <t>BORR</t>
        </is>
      </c>
      <c r="M667" s="163" t="n">
        <v>45488</v>
      </c>
      <c r="N667" s="164" t="n">
        <v>40</v>
      </c>
      <c r="O667" s="164" t="n">
        <v>8</v>
      </c>
      <c r="P667" t="inlineStr"/>
      <c r="Q667" s="165" t="n">
        <v>9</v>
      </c>
      <c r="R667" s="165" t="n">
        <v>9</v>
      </c>
      <c r="S667" s="165" t="n">
        <v>0</v>
      </c>
      <c r="T667" s="165" t="n">
        <v>9</v>
      </c>
      <c r="U667" s="166" t="n">
        <v>0</v>
      </c>
      <c r="V667" s="166" t="n">
        <v>0</v>
      </c>
      <c r="W667" t="inlineStr"/>
      <c r="X667" t="inlineStr">
        <is>
          <t>532.62</t>
        </is>
      </c>
      <c r="Y667" t="inlineStr"/>
      <c r="Z667" t="inlineStr">
        <is>
          <t>ICOMPPLUS ELECTRONICS S.L</t>
        </is>
      </c>
      <c r="AA667" t="inlineStr">
        <is>
          <t>MILITARY SPECS.</t>
        </is>
      </c>
      <c r="AB667" t="inlineStr">
        <is>
          <t>D38999/20ZC4PN</t>
        </is>
      </c>
      <c r="AC667" t="inlineStr"/>
      <c r="AD667" s="164" t="n">
        <v>0</v>
      </c>
      <c r="AE667" s="185" t="n">
        <v>0</v>
      </c>
      <c r="AG667" s="167" t="inlineStr">
        <is>
          <t>7218|JA2581_1001</t>
        </is>
      </c>
      <c r="AH667" s="46">
        <f>IF(M667=0,"-",M667-J667)</f>
        <v/>
      </c>
      <c r="AI667" s="46">
        <f>IF(AND(S667=0,M667&gt;0,L667=0),IF(AH667&gt;=120,"VERY HIGH",IF(AH667&gt;=90,"HIGH",IF(AH667&gt;=60,"MEDIUM",IF(AH667&lt;60,"LOW")))),"-")</f>
        <v/>
      </c>
      <c r="AJ667" s="12" t="n"/>
      <c r="AK667" s="41">
        <f>IF(AND(W667="X",M667&lt;=$AJ$2),"YES","")</f>
        <v/>
      </c>
      <c r="AL667" s="38">
        <f>IF(AND(W667="X",M667&lt;=$AJ$2),S667,"")</f>
        <v/>
      </c>
      <c r="AM667" s="26">
        <f>IF(AND(W667="X",M667&gt;$AJ$2),"YES","")</f>
        <v/>
      </c>
      <c r="AN667" s="89">
        <f>IF(AND(W667="X",M667&gt;$AJ$2),S667,"")</f>
        <v/>
      </c>
      <c r="AO667" s="35">
        <f>IF(AND(W667="",M667&gt;0,$AJ$2&gt;M667,L667=""),1,0)</f>
        <v/>
      </c>
      <c r="AP667" s="26">
        <f>IF(AND(AK667="YES",W667="X"),"X","")</f>
        <v/>
      </c>
      <c r="AQ667" s="28">
        <f>IF(AP667="X",100%,0%)</f>
        <v/>
      </c>
      <c r="AR667" s="25">
        <f>IF(AND(T667&gt;0,L667=""),H667,"")</f>
        <v/>
      </c>
      <c r="AS667" s="25">
        <f>IF(AND(D667&gt;0,H667=0,G667=""),1,"")</f>
        <v/>
      </c>
      <c r="AT667" s="25">
        <f>IF(G667="BLOQ",1,"")</f>
        <v/>
      </c>
      <c r="AU667" s="25">
        <f>IF(L667="BLOQ",1,"")</f>
        <v/>
      </c>
      <c r="AV667" s="25">
        <f>MONTH(F667)</f>
        <v/>
      </c>
      <c r="AW667" s="65">
        <f>IF(AP667="",100%,0%)</f>
        <v/>
      </c>
      <c r="AX667" s="23" t="n"/>
      <c r="AY667" s="24">
        <f>IF(M667=0,"",M667-$AX$2)</f>
        <v/>
      </c>
      <c r="AZ667" s="66">
        <f>IF(AND(W667="",AY667&gt;0,AY667&lt;15),1,0)</f>
        <v/>
      </c>
      <c r="BA667" s="24">
        <f>IF(AND(W667="",AY667&gt;0,AY667&lt;15),T667,"")</f>
        <v/>
      </c>
      <c r="BB667" s="87">
        <f>IF(R667&lt;Q667,"X","")</f>
        <v/>
      </c>
      <c r="BC667" s="190" t="inlineStr">
        <is>
          <t>NO</t>
        </is>
      </c>
      <c r="BD667" s="191" t="inlineStr">
        <is>
          <t>SI</t>
        </is>
      </c>
    </row>
    <row r="668" ht="15" customHeight="1" s="162">
      <c r="A668" s="7" t="n">
        <v>667</v>
      </c>
      <c r="B668" t="inlineStr">
        <is>
          <t>1204300431820</t>
        </is>
      </c>
      <c r="C668" t="inlineStr">
        <is>
          <t>CNC CIR 13-4 4M RECPT WALL ZN/NI ROT-A</t>
        </is>
      </c>
      <c r="D668" t="inlineStr">
        <is>
          <t>1800108782</t>
        </is>
      </c>
      <c r="E668" t="inlineStr">
        <is>
          <t>140</t>
        </is>
      </c>
      <c r="F668" s="163" t="n">
        <v>45457</v>
      </c>
      <c r="G668" t="inlineStr"/>
      <c r="H668" t="inlineStr">
        <is>
          <t>4200569161</t>
        </is>
      </c>
      <c r="I668" t="inlineStr">
        <is>
          <t>80</t>
        </is>
      </c>
      <c r="J668" s="163" t="n">
        <v>45475</v>
      </c>
      <c r="K668" s="163" t="n">
        <v>45477</v>
      </c>
      <c r="L668" t="inlineStr"/>
      <c r="M668" s="163" t="n">
        <v>45488</v>
      </c>
      <c r="N668" s="164" t="n">
        <v>40</v>
      </c>
      <c r="O668" s="164" t="n">
        <v>8</v>
      </c>
      <c r="P668" t="inlineStr">
        <is>
          <t>Liberado</t>
        </is>
      </c>
      <c r="Q668" s="165" t="n">
        <v>3</v>
      </c>
      <c r="R668" s="165" t="n">
        <v>3</v>
      </c>
      <c r="S668" s="165" t="n">
        <v>3</v>
      </c>
      <c r="T668" s="165" t="n">
        <v>0</v>
      </c>
      <c r="U668" s="166" t="n">
        <v>3</v>
      </c>
      <c r="V668" s="166" t="n">
        <v>0</v>
      </c>
      <c r="W668" t="inlineStr">
        <is>
          <t>X</t>
        </is>
      </c>
      <c r="X668" t="inlineStr">
        <is>
          <t>0.00</t>
        </is>
      </c>
      <c r="Y668" t="inlineStr"/>
      <c r="Z668" t="inlineStr">
        <is>
          <t>SUMINISTROS CONECTORES PROF.,SA.</t>
        </is>
      </c>
      <c r="AA668" t="inlineStr">
        <is>
          <t>MILITARY SPECS.</t>
        </is>
      </c>
      <c r="AB668" t="inlineStr">
        <is>
          <t>D38999/20ZC4PA</t>
        </is>
      </c>
      <c r="AC668" t="inlineStr"/>
      <c r="AD668" s="164" t="n">
        <v>0</v>
      </c>
      <c r="AE668" s="185" t="n">
        <v>0</v>
      </c>
      <c r="AG668" s="167" t="inlineStr">
        <is>
          <t>7218|JA2581_1001</t>
        </is>
      </c>
      <c r="AH668" s="46">
        <f>IF(M668=0,"-",M668-J668)</f>
        <v/>
      </c>
      <c r="AI668" s="46">
        <f>IF(AND(S668=0,M668&gt;0,L668=0),IF(AH668&gt;=120,"VERY HIGH",IF(AH668&gt;=90,"HIGH",IF(AH668&gt;=60,"MEDIUM",IF(AH668&lt;60,"LOW")))),"-")</f>
        <v/>
      </c>
      <c r="AJ668" s="12" t="n"/>
      <c r="AK668" s="41">
        <f>IF(AND(W668="X",M668&lt;=$AJ$2),"YES","")</f>
        <v/>
      </c>
      <c r="AL668" s="38">
        <f>IF(AND(W668="X",M668&lt;=$AJ$2),S668,"")</f>
        <v/>
      </c>
      <c r="AM668" s="26">
        <f>IF(AND(W668="X",M668&gt;$AJ$2),"YES","")</f>
        <v/>
      </c>
      <c r="AN668" s="89">
        <f>IF(AND(W668="X",M668&gt;$AJ$2),S668,"")</f>
        <v/>
      </c>
      <c r="AO668" s="35">
        <f>IF(AND(W668="",M668&gt;0,$AJ$2&gt;M668,L668=""),1,0)</f>
        <v/>
      </c>
      <c r="AP668" s="26">
        <f>IF(AND(AK668="YES",W668="X"),"X","")</f>
        <v/>
      </c>
      <c r="AQ668" s="28">
        <f>IF(AP668="X",100%,0%)</f>
        <v/>
      </c>
      <c r="AR668" s="25">
        <f>IF(AND(T668&gt;0,L668=""),H668,"")</f>
        <v/>
      </c>
      <c r="AS668" s="25">
        <f>IF(AND(D668&gt;0,H668=0,G668=""),1,"")</f>
        <v/>
      </c>
      <c r="AT668" s="25">
        <f>IF(G668="BLOQ",1,"")</f>
        <v/>
      </c>
      <c r="AU668" s="25">
        <f>IF(L668="BLOQ",1,"")</f>
        <v/>
      </c>
      <c r="AV668" s="25">
        <f>MONTH(F668)</f>
        <v/>
      </c>
      <c r="AW668" s="65">
        <f>IF(AP668="",100%,0%)</f>
        <v/>
      </c>
      <c r="AX668" s="23" t="n"/>
      <c r="AY668" s="24">
        <f>IF(M668=0,"",M668-$AX$2)</f>
        <v/>
      </c>
      <c r="AZ668" s="66">
        <f>IF(AND(W668="",AY668&gt;0,AY668&lt;15),1,0)</f>
        <v/>
      </c>
      <c r="BA668" s="24">
        <f>IF(AND(W668="",AY668&gt;0,AY668&lt;15),T668,"")</f>
        <v/>
      </c>
      <c r="BB668" s="87">
        <f>IF(R668&lt;Q668,"X","")</f>
        <v/>
      </c>
      <c r="BC668" s="190" t="inlineStr">
        <is>
          <t>NO</t>
        </is>
      </c>
      <c r="BD668" s="191" t="inlineStr">
        <is>
          <t>SI</t>
        </is>
      </c>
    </row>
    <row r="669" ht="15" customHeight="1" s="162">
      <c r="A669" s="7" t="n">
        <v>668</v>
      </c>
      <c r="B669" t="inlineStr">
        <is>
          <t>1204300431820</t>
        </is>
      </c>
      <c r="C669" t="inlineStr">
        <is>
          <t>CNC CIR 13-4 4M RECPT WALL ZN/NI ROT-A</t>
        </is>
      </c>
      <c r="D669" t="inlineStr">
        <is>
          <t>1800108782</t>
        </is>
      </c>
      <c r="E669" t="inlineStr">
        <is>
          <t>140</t>
        </is>
      </c>
      <c r="F669" s="163" t="n">
        <v>45457</v>
      </c>
      <c r="G669" t="inlineStr"/>
      <c r="H669" t="inlineStr">
        <is>
          <t>4200569022</t>
        </is>
      </c>
      <c r="I669" t="inlineStr">
        <is>
          <t>110</t>
        </is>
      </c>
      <c r="J669" s="163" t="n">
        <v>45475</v>
      </c>
      <c r="K669" s="163" t="inlineStr"/>
      <c r="L669" t="inlineStr">
        <is>
          <t>BORR</t>
        </is>
      </c>
      <c r="M669" s="163" t="n">
        <v>45488</v>
      </c>
      <c r="N669" s="164" t="n">
        <v>40</v>
      </c>
      <c r="O669" s="164" t="n">
        <v>8</v>
      </c>
      <c r="P669" t="inlineStr"/>
      <c r="Q669" s="165" t="n">
        <v>3</v>
      </c>
      <c r="R669" s="165" t="n">
        <v>3</v>
      </c>
      <c r="S669" s="165" t="n">
        <v>0</v>
      </c>
      <c r="T669" s="165" t="n">
        <v>3</v>
      </c>
      <c r="U669" s="166" t="n">
        <v>0</v>
      </c>
      <c r="V669" s="166" t="n">
        <v>0</v>
      </c>
      <c r="W669" t="inlineStr"/>
      <c r="X669" t="inlineStr">
        <is>
          <t>291.75</t>
        </is>
      </c>
      <c r="Y669" t="inlineStr"/>
      <c r="Z669" t="inlineStr">
        <is>
          <t>ICOMPPLUS ELECTRONICS S.L</t>
        </is>
      </c>
      <c r="AA669" t="inlineStr">
        <is>
          <t>MILITARY SPECS.</t>
        </is>
      </c>
      <c r="AB669" t="inlineStr">
        <is>
          <t>D38999/20ZC4PA</t>
        </is>
      </c>
      <c r="AC669" t="inlineStr"/>
      <c r="AD669" s="164" t="n">
        <v>0</v>
      </c>
      <c r="AE669" s="185" t="n">
        <v>0</v>
      </c>
      <c r="AG669" s="167" t="inlineStr">
        <is>
          <t>7218|JA2581_1001</t>
        </is>
      </c>
      <c r="AH669" s="46">
        <f>IF(M669=0,"-",M669-J669)</f>
        <v/>
      </c>
      <c r="AI669" s="46">
        <f>IF(AND(S669=0,M669&gt;0,L669=0),IF(AH669&gt;=120,"VERY HIGH",IF(AH669&gt;=90,"HIGH",IF(AH669&gt;=60,"MEDIUM",IF(AH669&lt;60,"LOW")))),"-")</f>
        <v/>
      </c>
      <c r="AJ669" s="12" t="n"/>
      <c r="AK669" s="41">
        <f>IF(AND(W669="X",M669&lt;=$AJ$2),"YES","")</f>
        <v/>
      </c>
      <c r="AL669" s="38">
        <f>IF(AND(W669="X",M669&lt;=$AJ$2),S669,"")</f>
        <v/>
      </c>
      <c r="AM669" s="26">
        <f>IF(AND(W669="X",M669&gt;$AJ$2),"YES","")</f>
        <v/>
      </c>
      <c r="AN669" s="89">
        <f>IF(AND(W669="X",M669&gt;$AJ$2),S669,"")</f>
        <v/>
      </c>
      <c r="AO669" s="35">
        <f>IF(AND(W669="",M669&gt;0,$AJ$2&gt;M669,L669=""),1,0)</f>
        <v/>
      </c>
      <c r="AP669" s="26">
        <f>IF(AND(AK669="YES",W669="X"),"X","")</f>
        <v/>
      </c>
      <c r="AQ669" s="28">
        <f>IF(AP669="X",100%,0%)</f>
        <v/>
      </c>
      <c r="AR669" s="25">
        <f>IF(AND(T669&gt;0,L669=""),H669,"")</f>
        <v/>
      </c>
      <c r="AS669" s="25">
        <f>IF(AND(D669&gt;0,H669=0,G669=""),1,"")</f>
        <v/>
      </c>
      <c r="AT669" s="25">
        <f>IF(G669="BLOQ",1,"")</f>
        <v/>
      </c>
      <c r="AU669" s="25">
        <f>IF(L669="BLOQ",1,"")</f>
        <v/>
      </c>
      <c r="AV669" s="25">
        <f>MONTH(F669)</f>
        <v/>
      </c>
      <c r="AW669" s="65">
        <f>IF(AP669="",100%,0%)</f>
        <v/>
      </c>
      <c r="AX669" s="23" t="n"/>
      <c r="AY669" s="24">
        <f>IF(M669=0,"",M669-$AX$2)</f>
        <v/>
      </c>
      <c r="AZ669" s="66">
        <f>IF(AND(W669="",AY669&gt;0,AY669&lt;15),1,0)</f>
        <v/>
      </c>
      <c r="BA669" s="24">
        <f>IF(AND(W669="",AY669&gt;0,AY669&lt;15),T669,"")</f>
        <v/>
      </c>
      <c r="BB669" s="87">
        <f>IF(R669&lt;Q669,"X","")</f>
        <v/>
      </c>
      <c r="BC669" s="190" t="inlineStr">
        <is>
          <t>NO</t>
        </is>
      </c>
      <c r="BD669" s="191" t="inlineStr">
        <is>
          <t>SI</t>
        </is>
      </c>
    </row>
    <row r="670" ht="15" customHeight="1" s="162">
      <c r="A670" s="7" t="n">
        <v>669</v>
      </c>
      <c r="B670" t="inlineStr">
        <is>
          <t>1204300730820</t>
        </is>
      </c>
      <c r="C670" t="inlineStr">
        <is>
          <t>CNC CIR 11-99 7M RECPT WALL ZN/NI ROT-N</t>
        </is>
      </c>
      <c r="D670" t="inlineStr">
        <is>
          <t>1800108782</t>
        </is>
      </c>
      <c r="E670" t="inlineStr">
        <is>
          <t>150</t>
        </is>
      </c>
      <c r="F670" s="163" t="n">
        <v>45457</v>
      </c>
      <c r="G670" t="inlineStr"/>
      <c r="H670" t="inlineStr">
        <is>
          <t>4200569161</t>
        </is>
      </c>
      <c r="I670" t="inlineStr">
        <is>
          <t>90</t>
        </is>
      </c>
      <c r="J670" s="163" t="n">
        <v>45475</v>
      </c>
      <c r="K670" s="163" t="n">
        <v>45477</v>
      </c>
      <c r="L670" t="inlineStr"/>
      <c r="M670" s="163" t="n">
        <v>45488</v>
      </c>
      <c r="N670" s="164" t="n">
        <v>40</v>
      </c>
      <c r="O670" s="164" t="n">
        <v>8</v>
      </c>
      <c r="P670" t="inlineStr">
        <is>
          <t>Liberado</t>
        </is>
      </c>
      <c r="Q670" s="165" t="n">
        <v>1</v>
      </c>
      <c r="R670" s="165" t="n">
        <v>1</v>
      </c>
      <c r="S670" s="165" t="n">
        <v>1</v>
      </c>
      <c r="T670" s="165" t="n">
        <v>0</v>
      </c>
      <c r="U670" s="166" t="n">
        <v>1</v>
      </c>
      <c r="V670" s="166" t="n">
        <v>0</v>
      </c>
      <c r="W670" t="inlineStr">
        <is>
          <t>X</t>
        </is>
      </c>
      <c r="X670" t="inlineStr">
        <is>
          <t>0.00</t>
        </is>
      </c>
      <c r="Y670" t="inlineStr"/>
      <c r="Z670" t="inlineStr">
        <is>
          <t>SUMINISTROS CONECTORES PROF.,SA.</t>
        </is>
      </c>
      <c r="AA670" t="inlineStr">
        <is>
          <t>MILITARY SPECS.</t>
        </is>
      </c>
      <c r="AB670" t="inlineStr">
        <is>
          <t>D38999/20ZB99PN</t>
        </is>
      </c>
      <c r="AC670" t="inlineStr"/>
      <c r="AD670" s="164" t="n">
        <v>0</v>
      </c>
      <c r="AE670" s="185" t="n">
        <v>0</v>
      </c>
      <c r="AG670" s="167" t="inlineStr">
        <is>
          <t>7218|JA2581_1001</t>
        </is>
      </c>
      <c r="AH670" s="46">
        <f>IF(M670=0,"-",M670-J670)</f>
        <v/>
      </c>
      <c r="AI670" s="46">
        <f>IF(AND(S670=0,M670&gt;0,L670=0),IF(AH670&gt;=120,"VERY HIGH",IF(AH670&gt;=90,"HIGH",IF(AH670&gt;=60,"MEDIUM",IF(AH670&lt;60,"LOW")))),"-")</f>
        <v/>
      </c>
      <c r="AJ670" s="12" t="n"/>
      <c r="AK670" s="41">
        <f>IF(AND(W670="X",M670&lt;=$AJ$2),"YES","")</f>
        <v/>
      </c>
      <c r="AL670" s="38">
        <f>IF(AND(W670="X",M670&lt;=$AJ$2),S670,"")</f>
        <v/>
      </c>
      <c r="AM670" s="26">
        <f>IF(AND(W670="X",M670&gt;$AJ$2),"YES","")</f>
        <v/>
      </c>
      <c r="AN670" s="89">
        <f>IF(AND(W670="X",M670&gt;$AJ$2),S670,"")</f>
        <v/>
      </c>
      <c r="AO670" s="35">
        <f>IF(AND(W670="",M670&gt;0,$AJ$2&gt;M670,L670=""),1,0)</f>
        <v/>
      </c>
      <c r="AP670" s="26">
        <f>IF(AND(AK670="YES",W670="X"),"X","")</f>
        <v/>
      </c>
      <c r="AQ670" s="28">
        <f>IF(AP670="X",100%,0%)</f>
        <v/>
      </c>
      <c r="AR670" s="25">
        <f>IF(AND(T670&gt;0,L670=""),H670,"")</f>
        <v/>
      </c>
      <c r="AS670" s="25">
        <f>IF(AND(D670&gt;0,H670=0,G670=""),1,"")</f>
        <v/>
      </c>
      <c r="AT670" s="25">
        <f>IF(G670="BLOQ",1,"")</f>
        <v/>
      </c>
      <c r="AU670" s="25">
        <f>IF(L670="BLOQ",1,"")</f>
        <v/>
      </c>
      <c r="AV670" s="25">
        <f>MONTH(F670)</f>
        <v/>
      </c>
      <c r="AW670" s="65">
        <f>IF(AP670="",100%,0%)</f>
        <v/>
      </c>
      <c r="AX670" s="23" t="n"/>
      <c r="AY670" s="24">
        <f>IF(M670=0,"",M670-$AX$2)</f>
        <v/>
      </c>
      <c r="AZ670" s="66">
        <f>IF(AND(W670="",AY670&gt;0,AY670&lt;15),1,0)</f>
        <v/>
      </c>
      <c r="BA670" s="24">
        <f>IF(AND(W670="",AY670&gt;0,AY670&lt;15),T670,"")</f>
        <v/>
      </c>
      <c r="BB670" s="87">
        <f>IF(R670&lt;Q670,"X","")</f>
        <v/>
      </c>
      <c r="BC670" s="190" t="inlineStr">
        <is>
          <t>NO</t>
        </is>
      </c>
      <c r="BD670" s="191" t="inlineStr">
        <is>
          <t>SI</t>
        </is>
      </c>
    </row>
    <row r="671" ht="15" customHeight="1" s="162">
      <c r="A671" s="7" t="n">
        <v>670</v>
      </c>
      <c r="B671" t="inlineStr">
        <is>
          <t>1204300730820</t>
        </is>
      </c>
      <c r="C671" t="inlineStr">
        <is>
          <t>CNC CIR 11-99 7M RECPT WALL ZN/NI ROT-N</t>
        </is>
      </c>
      <c r="D671" t="inlineStr">
        <is>
          <t>1800108782</t>
        </is>
      </c>
      <c r="E671" t="inlineStr">
        <is>
          <t>150</t>
        </is>
      </c>
      <c r="F671" s="163" t="n">
        <v>45457</v>
      </c>
      <c r="G671" t="inlineStr"/>
      <c r="H671" t="inlineStr">
        <is>
          <t>4200569022</t>
        </is>
      </c>
      <c r="I671" t="inlineStr">
        <is>
          <t>120</t>
        </is>
      </c>
      <c r="J671" s="163" t="n">
        <v>45475</v>
      </c>
      <c r="K671" s="163" t="inlineStr"/>
      <c r="L671" t="inlineStr">
        <is>
          <t>BORR</t>
        </is>
      </c>
      <c r="M671" s="163" t="n">
        <v>45488</v>
      </c>
      <c r="N671" s="164" t="n">
        <v>40</v>
      </c>
      <c r="O671" s="164" t="n">
        <v>8</v>
      </c>
      <c r="P671" t="inlineStr"/>
      <c r="Q671" s="165" t="n">
        <v>1</v>
      </c>
      <c r="R671" s="165" t="n">
        <v>1</v>
      </c>
      <c r="S671" s="165" t="n">
        <v>0</v>
      </c>
      <c r="T671" s="165" t="n">
        <v>1</v>
      </c>
      <c r="U671" s="166" t="n">
        <v>0</v>
      </c>
      <c r="V671" s="166" t="n">
        <v>0</v>
      </c>
      <c r="W671" t="inlineStr"/>
      <c r="X671" t="inlineStr">
        <is>
          <t>62.87</t>
        </is>
      </c>
      <c r="Y671" t="inlineStr"/>
      <c r="Z671" t="inlineStr">
        <is>
          <t>ICOMPPLUS ELECTRONICS S.L</t>
        </is>
      </c>
      <c r="AA671" t="inlineStr">
        <is>
          <t>MILITARY SPECS.</t>
        </is>
      </c>
      <c r="AB671" t="inlineStr">
        <is>
          <t>D38999/20ZB99PN</t>
        </is>
      </c>
      <c r="AC671" t="inlineStr"/>
      <c r="AD671" s="164" t="n">
        <v>0</v>
      </c>
      <c r="AE671" s="185" t="n">
        <v>0</v>
      </c>
      <c r="AG671" s="167" t="inlineStr">
        <is>
          <t>7218|JA2581_1001</t>
        </is>
      </c>
      <c r="AH671" s="46">
        <f>IF(M671=0,"-",M671-J671)</f>
        <v/>
      </c>
      <c r="AI671" s="46">
        <f>IF(AND(S671=0,M671&gt;0,L671=0),IF(AH671&gt;=120,"VERY HIGH",IF(AH671&gt;=90,"HIGH",IF(AH671&gt;=60,"MEDIUM",IF(AH671&lt;60,"LOW")))),"-")</f>
        <v/>
      </c>
      <c r="AJ671" s="12" t="n"/>
      <c r="AK671" s="41">
        <f>IF(AND(W671="X",M671&lt;=$AJ$2),"YES","")</f>
        <v/>
      </c>
      <c r="AL671" s="38">
        <f>IF(AND(W671="X",M671&lt;=$AJ$2),S671,"")</f>
        <v/>
      </c>
      <c r="AM671" s="26">
        <f>IF(AND(W671="X",M671&gt;$AJ$2),"YES","")</f>
        <v/>
      </c>
      <c r="AN671" s="89">
        <f>IF(AND(W671="X",M671&gt;$AJ$2),S671,"")</f>
        <v/>
      </c>
      <c r="AO671" s="35">
        <f>IF(AND(W671="",M671&gt;0,$AJ$2&gt;M671,L671=""),1,0)</f>
        <v/>
      </c>
      <c r="AP671" s="26">
        <f>IF(AND(AK671="YES",W671="X"),"X","")</f>
        <v/>
      </c>
      <c r="AQ671" s="28">
        <f>IF(AP671="X",100%,0%)</f>
        <v/>
      </c>
      <c r="AR671" s="25">
        <f>IF(AND(T671&gt;0,L671=""),H671,"")</f>
        <v/>
      </c>
      <c r="AS671" s="25">
        <f>IF(AND(D671&gt;0,H671=0,G671=""),1,"")</f>
        <v/>
      </c>
      <c r="AT671" s="25">
        <f>IF(G671="BLOQ",1,"")</f>
        <v/>
      </c>
      <c r="AU671" s="25">
        <f>IF(L671="BLOQ",1,"")</f>
        <v/>
      </c>
      <c r="AV671" s="25">
        <f>MONTH(F671)</f>
        <v/>
      </c>
      <c r="AW671" s="65">
        <f>IF(AP671="",100%,0%)</f>
        <v/>
      </c>
      <c r="AX671" s="23" t="n"/>
      <c r="AY671" s="24">
        <f>IF(M671=0,"",M671-$AX$2)</f>
        <v/>
      </c>
      <c r="AZ671" s="66">
        <f>IF(AND(W671="",AY671&gt;0,AY671&lt;15),1,0)</f>
        <v/>
      </c>
      <c r="BA671" s="24">
        <f>IF(AND(W671="",AY671&gt;0,AY671&lt;15),T671,"")</f>
        <v/>
      </c>
      <c r="BB671" s="87">
        <f>IF(R671&lt;Q671,"X","")</f>
        <v/>
      </c>
      <c r="BC671" s="190" t="inlineStr">
        <is>
          <t>NO</t>
        </is>
      </c>
      <c r="BD671" s="191" t="inlineStr">
        <is>
          <t>SI</t>
        </is>
      </c>
    </row>
    <row r="672" ht="15" customHeight="1" s="162">
      <c r="A672" s="7" t="n">
        <v>671</v>
      </c>
      <c r="B672" t="inlineStr">
        <is>
          <t>1204301130020</t>
        </is>
      </c>
      <c r="C672" t="inlineStr">
        <is>
          <t>CNC CIR 21-11 11P(M) RECEP CRIMP PANEL</t>
        </is>
      </c>
      <c r="D672" t="inlineStr">
        <is>
          <t>1800108782</t>
        </is>
      </c>
      <c r="E672" t="inlineStr">
        <is>
          <t>160</t>
        </is>
      </c>
      <c r="F672" s="163" t="n">
        <v>45457</v>
      </c>
      <c r="G672" t="inlineStr"/>
      <c r="H672" t="inlineStr">
        <is>
          <t>4200569022</t>
        </is>
      </c>
      <c r="I672" t="inlineStr">
        <is>
          <t>130</t>
        </is>
      </c>
      <c r="J672" s="163" t="n">
        <v>45475</v>
      </c>
      <c r="K672" s="163" t="inlineStr"/>
      <c r="L672" t="inlineStr">
        <is>
          <t>BORR</t>
        </is>
      </c>
      <c r="M672" s="163" t="n">
        <v>45488</v>
      </c>
      <c r="N672" s="164" t="n">
        <v>30</v>
      </c>
      <c r="O672" s="164" t="n">
        <v>8</v>
      </c>
      <c r="P672" t="inlineStr"/>
      <c r="Q672" s="165" t="n">
        <v>1</v>
      </c>
      <c r="R672" s="165" t="n">
        <v>1</v>
      </c>
      <c r="S672" s="165" t="n">
        <v>0</v>
      </c>
      <c r="T672" s="165" t="n">
        <v>1</v>
      </c>
      <c r="U672" s="166" t="n">
        <v>0</v>
      </c>
      <c r="V672" s="166" t="n">
        <v>0</v>
      </c>
      <c r="W672" t="inlineStr"/>
      <c r="X672" t="inlineStr">
        <is>
          <t>154.69</t>
        </is>
      </c>
      <c r="Y672" t="inlineStr"/>
      <c r="Z672" t="inlineStr">
        <is>
          <t>ICOMPPLUS ELECTRONICS S.L</t>
        </is>
      </c>
      <c r="AA672" t="inlineStr">
        <is>
          <t>MILITARY SPECS.</t>
        </is>
      </c>
      <c r="AB672" t="inlineStr">
        <is>
          <t>D38999/26ZG11PN</t>
        </is>
      </c>
      <c r="AC672" t="inlineStr"/>
      <c r="AD672" s="164" t="n">
        <v>0</v>
      </c>
      <c r="AE672" s="185" t="n">
        <v>0</v>
      </c>
      <c r="AG672" s="167" t="inlineStr">
        <is>
          <t>7218|JA2581_1001</t>
        </is>
      </c>
      <c r="AH672" s="46">
        <f>IF(M672=0,"-",M672-J672)</f>
        <v/>
      </c>
      <c r="AI672" s="46">
        <f>IF(AND(S672=0,M672&gt;0,L672=0),IF(AH672&gt;=120,"VERY HIGH",IF(AH672&gt;=90,"HIGH",IF(AH672&gt;=60,"MEDIUM",IF(AH672&lt;60,"LOW")))),"-")</f>
        <v/>
      </c>
      <c r="AJ672" s="12" t="n"/>
      <c r="AK672" s="41">
        <f>IF(AND(W672="X",M672&lt;=$AJ$2),"YES","")</f>
        <v/>
      </c>
      <c r="AL672" s="38">
        <f>IF(AND(W672="X",M672&lt;=$AJ$2),S672,"")</f>
        <v/>
      </c>
      <c r="AM672" s="26">
        <f>IF(AND(W672="X",M672&gt;$AJ$2),"YES","")</f>
        <v/>
      </c>
      <c r="AN672" s="89">
        <f>IF(AND(W672="X",M672&gt;$AJ$2),S672,"")</f>
        <v/>
      </c>
      <c r="AO672" s="35">
        <f>IF(AND(W672="",M672&gt;0,$AJ$2&gt;M672,L672=""),1,0)</f>
        <v/>
      </c>
      <c r="AP672" s="26">
        <f>IF(AND(AK672="YES",W672="X"),"X","")</f>
        <v/>
      </c>
      <c r="AQ672" s="28">
        <f>IF(AP672="X",100%,0%)</f>
        <v/>
      </c>
      <c r="AR672" s="25">
        <f>IF(AND(T672&gt;0,L672=""),H672,"")</f>
        <v/>
      </c>
      <c r="AS672" s="25">
        <f>IF(AND(D672&gt;0,H672=0,G672=""),1,"")</f>
        <v/>
      </c>
      <c r="AT672" s="25">
        <f>IF(G672="BLOQ",1,"")</f>
        <v/>
      </c>
      <c r="AU672" s="25">
        <f>IF(L672="BLOQ",1,"")</f>
        <v/>
      </c>
      <c r="AV672" s="25">
        <f>MONTH(F672)</f>
        <v/>
      </c>
      <c r="AW672" s="65">
        <f>IF(AP672="",100%,0%)</f>
        <v/>
      </c>
      <c r="AX672" s="23" t="n"/>
      <c r="AY672" s="24">
        <f>IF(M672=0,"",M672-$AX$2)</f>
        <v/>
      </c>
      <c r="AZ672" s="66">
        <f>IF(AND(W672="",AY672&gt;0,AY672&lt;15),1,0)</f>
        <v/>
      </c>
      <c r="BA672" s="24">
        <f>IF(AND(W672="",AY672&gt;0,AY672&lt;15),T672,"")</f>
        <v/>
      </c>
      <c r="BB672" s="87">
        <f>IF(R672&lt;Q672,"X","")</f>
        <v/>
      </c>
      <c r="BC672" s="190" t="inlineStr">
        <is>
          <t>NO</t>
        </is>
      </c>
      <c r="BD672" s="191" t="inlineStr">
        <is>
          <t>SI</t>
        </is>
      </c>
    </row>
    <row r="673" ht="15" customHeight="1" s="162">
      <c r="A673" s="7" t="n">
        <v>672</v>
      </c>
      <c r="B673" t="inlineStr">
        <is>
          <t>1204301130020</t>
        </is>
      </c>
      <c r="C673" t="inlineStr">
        <is>
          <t>CNC CIR 21-11 11P(M) RECEP CRIMP PANEL</t>
        </is>
      </c>
      <c r="D673" t="inlineStr">
        <is>
          <t>1800108782</t>
        </is>
      </c>
      <c r="E673" t="inlineStr">
        <is>
          <t>160</t>
        </is>
      </c>
      <c r="F673" s="163" t="n">
        <v>45457</v>
      </c>
      <c r="G673" t="inlineStr"/>
      <c r="H673" t="inlineStr">
        <is>
          <t>4200569161</t>
        </is>
      </c>
      <c r="I673" t="inlineStr">
        <is>
          <t>100</t>
        </is>
      </c>
      <c r="J673" s="163" t="n">
        <v>45475</v>
      </c>
      <c r="K673" s="163" t="n">
        <v>45477</v>
      </c>
      <c r="L673" t="inlineStr"/>
      <c r="M673" s="163" t="n">
        <v>45488</v>
      </c>
      <c r="N673" s="164" t="n">
        <v>30</v>
      </c>
      <c r="O673" s="164" t="n">
        <v>8</v>
      </c>
      <c r="P673" t="inlineStr">
        <is>
          <t>Liberado</t>
        </is>
      </c>
      <c r="Q673" s="165" t="n">
        <v>1</v>
      </c>
      <c r="R673" s="165" t="n">
        <v>1</v>
      </c>
      <c r="S673" s="165" t="n">
        <v>1</v>
      </c>
      <c r="T673" s="165" t="n">
        <v>0</v>
      </c>
      <c r="U673" s="166" t="n">
        <v>1</v>
      </c>
      <c r="V673" s="166" t="n">
        <v>0</v>
      </c>
      <c r="W673" t="inlineStr">
        <is>
          <t>X</t>
        </is>
      </c>
      <c r="X673" t="inlineStr">
        <is>
          <t>0.00</t>
        </is>
      </c>
      <c r="Y673" t="inlineStr"/>
      <c r="Z673" t="inlineStr">
        <is>
          <t>SUMINISTROS CONECTORES PROF.,SA.</t>
        </is>
      </c>
      <c r="AA673" t="inlineStr">
        <is>
          <t>MILITARY SPECS.</t>
        </is>
      </c>
      <c r="AB673" t="inlineStr">
        <is>
          <t>D38999/26ZG11PN</t>
        </is>
      </c>
      <c r="AC673" t="inlineStr"/>
      <c r="AD673" s="164" t="n">
        <v>0</v>
      </c>
      <c r="AE673" s="185" t="n">
        <v>0</v>
      </c>
      <c r="AG673" s="167" t="inlineStr">
        <is>
          <t>7218|JA2581_1001</t>
        </is>
      </c>
      <c r="AH673" s="46">
        <f>IF(M673=0,"-",M673-J673)</f>
        <v/>
      </c>
      <c r="AI673" s="46">
        <f>IF(AND(S673=0,M673&gt;0,L673=0),IF(AH673&gt;=120,"VERY HIGH",IF(AH673&gt;=90,"HIGH",IF(AH673&gt;=60,"MEDIUM",IF(AH673&lt;60,"LOW")))),"-")</f>
        <v/>
      </c>
      <c r="AJ673" s="12" t="n"/>
      <c r="AK673" s="41">
        <f>IF(AND(W673="X",M673&lt;=$AJ$2),"YES","")</f>
        <v/>
      </c>
      <c r="AL673" s="38">
        <f>IF(AND(W673="X",M673&lt;=$AJ$2),S673,"")</f>
        <v/>
      </c>
      <c r="AM673" s="26">
        <f>IF(AND(W673="X",M673&gt;$AJ$2),"YES","")</f>
        <v/>
      </c>
      <c r="AN673" s="89">
        <f>IF(AND(W673="X",M673&gt;$AJ$2),S673,"")</f>
        <v/>
      </c>
      <c r="AO673" s="35">
        <f>IF(AND(W673="",M673&gt;0,$AJ$2&gt;M673,L673=""),1,0)</f>
        <v/>
      </c>
      <c r="AP673" s="26">
        <f>IF(AND(AK673="YES",W673="X"),"X","")</f>
        <v/>
      </c>
      <c r="AQ673" s="28">
        <f>IF(AP673="X",100%,0%)</f>
        <v/>
      </c>
      <c r="AR673" s="25">
        <f>IF(AND(T673&gt;0,L673=""),H673,"")</f>
        <v/>
      </c>
      <c r="AS673" s="25">
        <f>IF(AND(D673&gt;0,H673=0,G673=""),1,"")</f>
        <v/>
      </c>
      <c r="AT673" s="25">
        <f>IF(G673="BLOQ",1,"")</f>
        <v/>
      </c>
      <c r="AU673" s="25">
        <f>IF(L673="BLOQ",1,"")</f>
        <v/>
      </c>
      <c r="AV673" s="25">
        <f>MONTH(F673)</f>
        <v/>
      </c>
      <c r="AW673" s="65">
        <f>IF(AP673="",100%,0%)</f>
        <v/>
      </c>
      <c r="AX673" s="23" t="n"/>
      <c r="AY673" s="24">
        <f>IF(M673=0,"",M673-$AX$2)</f>
        <v/>
      </c>
      <c r="AZ673" s="66">
        <f>IF(AND(W673="",AY673&gt;0,AY673&lt;15),1,0)</f>
        <v/>
      </c>
      <c r="BA673" s="24">
        <f>IF(AND(W673="",AY673&gt;0,AY673&lt;15),T673,"")</f>
        <v/>
      </c>
      <c r="BB673" s="87">
        <f>IF(R673&lt;Q673,"X","")</f>
        <v/>
      </c>
      <c r="BC673" s="190" t="inlineStr">
        <is>
          <t>NO</t>
        </is>
      </c>
      <c r="BD673" s="191" t="inlineStr">
        <is>
          <t>SI</t>
        </is>
      </c>
    </row>
    <row r="674" ht="15" customHeight="1" s="162">
      <c r="A674" s="7" t="n">
        <v>673</v>
      </c>
      <c r="B674" t="inlineStr">
        <is>
          <t>1204301130021</t>
        </is>
      </c>
      <c r="C674" t="inlineStr">
        <is>
          <t>CNC CIR 19-11P/M RCPT RECT AL ZN/NI R-N</t>
        </is>
      </c>
      <c r="D674" t="inlineStr">
        <is>
          <t>1800108782</t>
        </is>
      </c>
      <c r="E674" t="inlineStr">
        <is>
          <t>170</t>
        </is>
      </c>
      <c r="F674" s="163" t="n">
        <v>45457</v>
      </c>
      <c r="G674" t="inlineStr"/>
      <c r="H674" t="inlineStr">
        <is>
          <t>4200569022</t>
        </is>
      </c>
      <c r="I674" t="inlineStr">
        <is>
          <t>140</t>
        </is>
      </c>
      <c r="J674" s="163" t="n">
        <v>45475</v>
      </c>
      <c r="K674" s="163" t="inlineStr"/>
      <c r="L674" t="inlineStr">
        <is>
          <t>BORR</t>
        </is>
      </c>
      <c r="M674" s="163" t="n">
        <v>45488</v>
      </c>
      <c r="N674" s="164" t="n">
        <v>40</v>
      </c>
      <c r="O674" s="164" t="n">
        <v>8</v>
      </c>
      <c r="P674" t="inlineStr"/>
      <c r="Q674" s="165" t="n">
        <v>1</v>
      </c>
      <c r="R674" s="165" t="n">
        <v>1</v>
      </c>
      <c r="S674" s="165" t="n">
        <v>0</v>
      </c>
      <c r="T674" s="165" t="n">
        <v>1</v>
      </c>
      <c r="U674" s="166" t="n">
        <v>0</v>
      </c>
      <c r="V674" s="166" t="n">
        <v>0</v>
      </c>
      <c r="W674" t="inlineStr"/>
      <c r="X674" t="inlineStr">
        <is>
          <t>139.94</t>
        </is>
      </c>
      <c r="Y674" t="inlineStr"/>
      <c r="Z674" t="inlineStr">
        <is>
          <t>ICOMPPLUS ELECTRONICS S.L</t>
        </is>
      </c>
      <c r="AA674" t="inlineStr">
        <is>
          <t>MILITARY SPECS.</t>
        </is>
      </c>
      <c r="AB674" t="inlineStr">
        <is>
          <t>D38999/20ZF11PN</t>
        </is>
      </c>
      <c r="AC674" t="inlineStr"/>
      <c r="AD674" s="164" t="n">
        <v>0</v>
      </c>
      <c r="AE674" s="185" t="n">
        <v>0</v>
      </c>
      <c r="AG674" s="167" t="inlineStr">
        <is>
          <t>7218|JA2581_1001</t>
        </is>
      </c>
      <c r="AH674" s="46">
        <f>IF(M674=0,"-",M674-J674)</f>
        <v/>
      </c>
      <c r="AI674" s="46">
        <f>IF(AND(S674=0,M674&gt;0,L674=0),IF(AH674&gt;=120,"VERY HIGH",IF(AH674&gt;=90,"HIGH",IF(AH674&gt;=60,"MEDIUM",IF(AH674&lt;60,"LOW")))),"-")</f>
        <v/>
      </c>
      <c r="AJ674" s="12" t="n"/>
      <c r="AK674" s="41">
        <f>IF(AND(W674="X",M674&lt;=$AJ$2),"YES","")</f>
        <v/>
      </c>
      <c r="AL674" s="38">
        <f>IF(AND(W674="X",M674&lt;=$AJ$2),S674,"")</f>
        <v/>
      </c>
      <c r="AM674" s="26">
        <f>IF(AND(W674="X",M674&gt;$AJ$2),"YES","")</f>
        <v/>
      </c>
      <c r="AN674" s="89">
        <f>IF(AND(W674="X",M674&gt;$AJ$2),S674,"")</f>
        <v/>
      </c>
      <c r="AO674" s="35">
        <f>IF(AND(W674="",M674&gt;0,$AJ$2&gt;M674,L674=""),1,0)</f>
        <v/>
      </c>
      <c r="AP674" s="26">
        <f>IF(AND(AK674="YES",W674="X"),"X","")</f>
        <v/>
      </c>
      <c r="AQ674" s="28">
        <f>IF(AP674="X",100%,0%)</f>
        <v/>
      </c>
      <c r="AR674" s="25">
        <f>IF(AND(T674&gt;0,L674=""),H674,"")</f>
        <v/>
      </c>
      <c r="AS674" s="25">
        <f>IF(AND(D674&gt;0,H674=0,G674=""),1,"")</f>
        <v/>
      </c>
      <c r="AT674" s="25">
        <f>IF(G674="BLOQ",1,"")</f>
        <v/>
      </c>
      <c r="AU674" s="25">
        <f>IF(L674="BLOQ",1,"")</f>
        <v/>
      </c>
      <c r="AV674" s="25">
        <f>MONTH(F674)</f>
        <v/>
      </c>
      <c r="AW674" s="65">
        <f>IF(AP674="",100%,0%)</f>
        <v/>
      </c>
      <c r="AX674" s="23" t="n"/>
      <c r="AY674" s="24">
        <f>IF(M674=0,"",M674-$AX$2)</f>
        <v/>
      </c>
      <c r="AZ674" s="66">
        <f>IF(AND(W674="",AY674&gt;0,AY674&lt;15),1,0)</f>
        <v/>
      </c>
      <c r="BA674" s="24">
        <f>IF(AND(W674="",AY674&gt;0,AY674&lt;15),T674,"")</f>
        <v/>
      </c>
      <c r="BB674" s="87">
        <f>IF(R674&lt;Q674,"X","")</f>
        <v/>
      </c>
      <c r="BC674" s="190" t="inlineStr">
        <is>
          <t>NO</t>
        </is>
      </c>
      <c r="BD674" s="191" t="inlineStr">
        <is>
          <t>SI</t>
        </is>
      </c>
    </row>
    <row r="675" ht="15" customHeight="1" s="162">
      <c r="A675" s="7" t="n">
        <v>674</v>
      </c>
      <c r="B675" t="inlineStr">
        <is>
          <t>1204301130021</t>
        </is>
      </c>
      <c r="C675" t="inlineStr">
        <is>
          <t>CNC CIR 19-11P/M RCPT RECT AL ZN/NI R-N</t>
        </is>
      </c>
      <c r="D675" t="inlineStr">
        <is>
          <t>1800108782</t>
        </is>
      </c>
      <c r="E675" t="inlineStr">
        <is>
          <t>170</t>
        </is>
      </c>
      <c r="F675" s="163" t="n">
        <v>45457</v>
      </c>
      <c r="G675" t="inlineStr"/>
      <c r="H675" t="inlineStr">
        <is>
          <t>4200569161</t>
        </is>
      </c>
      <c r="I675" t="inlineStr">
        <is>
          <t>110</t>
        </is>
      </c>
      <c r="J675" s="163" t="n">
        <v>45475</v>
      </c>
      <c r="K675" s="163" t="n">
        <v>45477</v>
      </c>
      <c r="L675" t="inlineStr"/>
      <c r="M675" s="163" t="n">
        <v>45488</v>
      </c>
      <c r="N675" s="164" t="n">
        <v>40</v>
      </c>
      <c r="O675" s="164" t="n">
        <v>8</v>
      </c>
      <c r="P675" t="inlineStr">
        <is>
          <t>Liberado</t>
        </is>
      </c>
      <c r="Q675" s="165" t="n">
        <v>1</v>
      </c>
      <c r="R675" s="165" t="n">
        <v>1</v>
      </c>
      <c r="S675" s="165" t="n">
        <v>1</v>
      </c>
      <c r="T675" s="165" t="n">
        <v>0</v>
      </c>
      <c r="U675" s="166" t="n">
        <v>1</v>
      </c>
      <c r="V675" s="166" t="n">
        <v>0</v>
      </c>
      <c r="W675" t="inlineStr">
        <is>
          <t>X</t>
        </is>
      </c>
      <c r="X675" t="inlineStr">
        <is>
          <t>0.00</t>
        </is>
      </c>
      <c r="Y675" t="inlineStr"/>
      <c r="Z675" t="inlineStr">
        <is>
          <t>SUMINISTROS CONECTORES PROF.,SA.</t>
        </is>
      </c>
      <c r="AA675" t="inlineStr">
        <is>
          <t>MILITARY SPECS.</t>
        </is>
      </c>
      <c r="AB675" t="inlineStr">
        <is>
          <t>D38999/20ZF11PN</t>
        </is>
      </c>
      <c r="AC675" t="inlineStr"/>
      <c r="AD675" s="164" t="n">
        <v>0</v>
      </c>
      <c r="AE675" s="185" t="n">
        <v>0</v>
      </c>
      <c r="AG675" s="167" t="inlineStr">
        <is>
          <t>7218|JA2581_1001</t>
        </is>
      </c>
      <c r="AH675" s="46">
        <f>IF(M675=0,"-",M675-J675)</f>
        <v/>
      </c>
      <c r="AI675" s="46">
        <f>IF(AND(S675=0,M675&gt;0,L675=0),IF(AH675&gt;=120,"VERY HIGH",IF(AH675&gt;=90,"HIGH",IF(AH675&gt;=60,"MEDIUM",IF(AH675&lt;60,"LOW")))),"-")</f>
        <v/>
      </c>
      <c r="AJ675" s="12" t="n"/>
      <c r="AK675" s="41">
        <f>IF(AND(W675="X",M675&lt;=$AJ$2),"YES","")</f>
        <v/>
      </c>
      <c r="AL675" s="38">
        <f>IF(AND(W675="X",M675&lt;=$AJ$2),S675,"")</f>
        <v/>
      </c>
      <c r="AM675" s="26">
        <f>IF(AND(W675="X",M675&gt;$AJ$2),"YES","")</f>
        <v/>
      </c>
      <c r="AN675" s="89">
        <f>IF(AND(W675="X",M675&gt;$AJ$2),S675,"")</f>
        <v/>
      </c>
      <c r="AO675" s="35">
        <f>IF(AND(W675="",M675&gt;0,$AJ$2&gt;M675,L675=""),1,0)</f>
        <v/>
      </c>
      <c r="AP675" s="26">
        <f>IF(AND(AK675="YES",W675="X"),"X","")</f>
        <v/>
      </c>
      <c r="AQ675" s="28">
        <f>IF(AP675="X",100%,0%)</f>
        <v/>
      </c>
      <c r="AR675" s="25">
        <f>IF(AND(T675&gt;0,L675=""),H675,"")</f>
        <v/>
      </c>
      <c r="AS675" s="25">
        <f>IF(AND(D675&gt;0,H675=0,G675=""),1,"")</f>
        <v/>
      </c>
      <c r="AT675" s="25">
        <f>IF(G675="BLOQ",1,"")</f>
        <v/>
      </c>
      <c r="AU675" s="25">
        <f>IF(L675="BLOQ",1,"")</f>
        <v/>
      </c>
      <c r="AV675" s="25">
        <f>MONTH(F675)</f>
        <v/>
      </c>
      <c r="AW675" s="65">
        <f>IF(AP675="",100%,0%)</f>
        <v/>
      </c>
      <c r="AX675" s="23" t="n"/>
      <c r="AY675" s="24">
        <f>IF(M675=0,"",M675-$AX$2)</f>
        <v/>
      </c>
      <c r="AZ675" s="66">
        <f>IF(AND(W675="",AY675&gt;0,AY675&lt;15),1,0)</f>
        <v/>
      </c>
      <c r="BA675" s="24">
        <f>IF(AND(W675="",AY675&gt;0,AY675&lt;15),T675,"")</f>
        <v/>
      </c>
      <c r="BB675" s="87">
        <f>IF(R675&lt;Q675,"X","")</f>
        <v/>
      </c>
      <c r="BC675" s="190" t="inlineStr">
        <is>
          <t>NO</t>
        </is>
      </c>
      <c r="BD675" s="191" t="inlineStr">
        <is>
          <t>SI</t>
        </is>
      </c>
    </row>
    <row r="676" ht="15" customHeight="1" s="162">
      <c r="A676" s="7" t="n">
        <v>675</v>
      </c>
      <c r="B676" t="inlineStr">
        <is>
          <t>1204301130620</t>
        </is>
      </c>
      <c r="C676" t="inlineStr">
        <is>
          <t>CNC CIR 21-11 11M RECEP WALL CRIMP ROT-N</t>
        </is>
      </c>
      <c r="D676" t="inlineStr">
        <is>
          <t>1800108782</t>
        </is>
      </c>
      <c r="E676" t="inlineStr">
        <is>
          <t>180</t>
        </is>
      </c>
      <c r="F676" s="163" t="n">
        <v>45457</v>
      </c>
      <c r="G676" t="inlineStr"/>
      <c r="H676" t="inlineStr">
        <is>
          <t>4200569161</t>
        </is>
      </c>
      <c r="I676" t="inlineStr">
        <is>
          <t>120</t>
        </is>
      </c>
      <c r="J676" s="163" t="n">
        <v>45475</v>
      </c>
      <c r="K676" s="163" t="n">
        <v>45477</v>
      </c>
      <c r="L676" t="inlineStr"/>
      <c r="M676" s="163" t="n">
        <v>45488</v>
      </c>
      <c r="N676" s="164" t="n">
        <v>40</v>
      </c>
      <c r="O676" s="164" t="n">
        <v>8</v>
      </c>
      <c r="P676" t="inlineStr">
        <is>
          <t>Liberado</t>
        </is>
      </c>
      <c r="Q676" s="165" t="n">
        <v>1</v>
      </c>
      <c r="R676" s="165" t="n">
        <v>1</v>
      </c>
      <c r="S676" s="165" t="n">
        <v>1</v>
      </c>
      <c r="T676" s="165" t="n">
        <v>0</v>
      </c>
      <c r="U676" s="166" t="n">
        <v>1</v>
      </c>
      <c r="V676" s="166" t="n">
        <v>0</v>
      </c>
      <c r="W676" t="inlineStr">
        <is>
          <t>X</t>
        </is>
      </c>
      <c r="X676" t="inlineStr">
        <is>
          <t>0.00</t>
        </is>
      </c>
      <c r="Y676" t="inlineStr"/>
      <c r="Z676" t="inlineStr">
        <is>
          <t>SUMINISTROS CONECTORES PROF.,SA.</t>
        </is>
      </c>
      <c r="AA676" t="inlineStr">
        <is>
          <t>MILITARY SPECS.</t>
        </is>
      </c>
      <c r="AB676" t="inlineStr">
        <is>
          <t>D38999/20ZG11PN</t>
        </is>
      </c>
      <c r="AC676" t="inlineStr"/>
      <c r="AD676" s="164" t="n">
        <v>0</v>
      </c>
      <c r="AE676" s="185" t="n">
        <v>0</v>
      </c>
      <c r="AG676" s="167" t="inlineStr">
        <is>
          <t>7218|JA2581_1001</t>
        </is>
      </c>
      <c r="AH676" s="46">
        <f>IF(M676=0,"-",M676-J676)</f>
        <v/>
      </c>
      <c r="AI676" s="46">
        <f>IF(AND(S676=0,M676&gt;0,L676=0),IF(AH676&gt;=120,"VERY HIGH",IF(AH676&gt;=90,"HIGH",IF(AH676&gt;=60,"MEDIUM",IF(AH676&lt;60,"LOW")))),"-")</f>
        <v/>
      </c>
      <c r="AJ676" s="12" t="n"/>
      <c r="AK676" s="41">
        <f>IF(AND(W676="X",M676&lt;=$AJ$2),"YES","")</f>
        <v/>
      </c>
      <c r="AL676" s="38">
        <f>IF(AND(W676="X",M676&lt;=$AJ$2),S676,"")</f>
        <v/>
      </c>
      <c r="AM676" s="26">
        <f>IF(AND(W676="X",M676&gt;$AJ$2),"YES","")</f>
        <v/>
      </c>
      <c r="AN676" s="89">
        <f>IF(AND(W676="X",M676&gt;$AJ$2),S676,"")</f>
        <v/>
      </c>
      <c r="AO676" s="35">
        <f>IF(AND(W676="",M676&gt;0,$AJ$2&gt;M676,L676=""),1,0)</f>
        <v/>
      </c>
      <c r="AP676" s="26">
        <f>IF(AND(AK676="YES",W676="X"),"X","")</f>
        <v/>
      </c>
      <c r="AQ676" s="28">
        <f>IF(AP676="X",100%,0%)</f>
        <v/>
      </c>
      <c r="AR676" s="25">
        <f>IF(AND(T676&gt;0,L676=""),H676,"")</f>
        <v/>
      </c>
      <c r="AS676" s="25">
        <f>IF(AND(D676&gt;0,H676=0,G676=""),1,"")</f>
        <v/>
      </c>
      <c r="AT676" s="25">
        <f>IF(G676="BLOQ",1,"")</f>
        <v/>
      </c>
      <c r="AU676" s="25">
        <f>IF(L676="BLOQ",1,"")</f>
        <v/>
      </c>
      <c r="AV676" s="25">
        <f>MONTH(F676)</f>
        <v/>
      </c>
      <c r="AW676" s="65">
        <f>IF(AP676="",100%,0%)</f>
        <v/>
      </c>
      <c r="AX676" s="23" t="n"/>
      <c r="AY676" s="24">
        <f>IF(M676=0,"",M676-$AX$2)</f>
        <v/>
      </c>
      <c r="AZ676" s="66">
        <f>IF(AND(W676="",AY676&gt;0,AY676&lt;15),1,0)</f>
        <v/>
      </c>
      <c r="BA676" s="24">
        <f>IF(AND(W676="",AY676&gt;0,AY676&lt;15),T676,"")</f>
        <v/>
      </c>
      <c r="BB676" s="87">
        <f>IF(R676&lt;Q676,"X","")</f>
        <v/>
      </c>
      <c r="BC676" s="190" t="inlineStr">
        <is>
          <t>NO</t>
        </is>
      </c>
      <c r="BD676" s="190" t="inlineStr">
        <is>
          <t>NO</t>
        </is>
      </c>
    </row>
    <row r="677" ht="15" customHeight="1" s="162">
      <c r="A677" s="7" t="n">
        <v>676</v>
      </c>
      <c r="B677" t="inlineStr">
        <is>
          <t>1204301130620</t>
        </is>
      </c>
      <c r="C677" t="inlineStr">
        <is>
          <t>CNC CIR 21-11 11M RECEP WALL CRIMP ROT-N</t>
        </is>
      </c>
      <c r="D677" t="inlineStr">
        <is>
          <t>1800108782</t>
        </is>
      </c>
      <c r="E677" t="inlineStr">
        <is>
          <t>180</t>
        </is>
      </c>
      <c r="F677" s="163" t="n">
        <v>45457</v>
      </c>
      <c r="G677" t="inlineStr"/>
      <c r="H677" t="inlineStr">
        <is>
          <t>4200569022</t>
        </is>
      </c>
      <c r="I677" t="inlineStr">
        <is>
          <t>150</t>
        </is>
      </c>
      <c r="J677" s="163" t="n">
        <v>45475</v>
      </c>
      <c r="K677" s="163" t="inlineStr"/>
      <c r="L677" t="inlineStr">
        <is>
          <t>BORR</t>
        </is>
      </c>
      <c r="M677" s="163" t="n">
        <v>45488</v>
      </c>
      <c r="N677" s="164" t="n">
        <v>40</v>
      </c>
      <c r="O677" s="164" t="n">
        <v>8</v>
      </c>
      <c r="P677" t="inlineStr"/>
      <c r="Q677" s="165" t="n">
        <v>1</v>
      </c>
      <c r="R677" s="165" t="n">
        <v>1</v>
      </c>
      <c r="S677" s="165" t="n">
        <v>0</v>
      </c>
      <c r="T677" s="165" t="n">
        <v>1</v>
      </c>
      <c r="U677" s="166" t="n">
        <v>0</v>
      </c>
      <c r="V677" s="166" t="n">
        <v>0</v>
      </c>
      <c r="W677" t="inlineStr"/>
      <c r="X677" t="inlineStr">
        <is>
          <t>229.70</t>
        </is>
      </c>
      <c r="Y677" t="inlineStr"/>
      <c r="Z677" t="inlineStr">
        <is>
          <t>ICOMPPLUS ELECTRONICS S.L</t>
        </is>
      </c>
      <c r="AA677" t="inlineStr">
        <is>
          <t>MILITARY SPECS.</t>
        </is>
      </c>
      <c r="AB677" t="inlineStr">
        <is>
          <t>D38999/20ZG11PN</t>
        </is>
      </c>
      <c r="AC677" t="inlineStr"/>
      <c r="AD677" s="164" t="n">
        <v>0</v>
      </c>
      <c r="AE677" s="185" t="n">
        <v>0</v>
      </c>
      <c r="AG677" s="167" t="inlineStr">
        <is>
          <t>7218|JA2581_1001</t>
        </is>
      </c>
      <c r="AH677" s="46">
        <f>IF(M677=0,"-",M677-J677)</f>
        <v/>
      </c>
      <c r="AI677" s="46">
        <f>IF(AND(S677=0,M677&gt;0,L677=0),IF(AH677&gt;=120,"VERY HIGH",IF(AH677&gt;=90,"HIGH",IF(AH677&gt;=60,"MEDIUM",IF(AH677&lt;60,"LOW")))),"-")</f>
        <v/>
      </c>
      <c r="AJ677" s="12" t="n"/>
      <c r="AK677" s="41">
        <f>IF(AND(W677="X",M677&lt;=$AJ$2),"YES","")</f>
        <v/>
      </c>
      <c r="AL677" s="38">
        <f>IF(AND(W677="X",M677&lt;=$AJ$2),S677,"")</f>
        <v/>
      </c>
      <c r="AM677" s="26">
        <f>IF(AND(W677="X",M677&gt;$AJ$2),"YES","")</f>
        <v/>
      </c>
      <c r="AN677" s="89">
        <f>IF(AND(W677="X",M677&gt;$AJ$2),S677,"")</f>
        <v/>
      </c>
      <c r="AO677" s="35">
        <f>IF(AND(W677="",M677&gt;0,$AJ$2&gt;M677,L677=""),1,0)</f>
        <v/>
      </c>
      <c r="AP677" s="26">
        <f>IF(AND(AK677="YES",W677="X"),"X","")</f>
        <v/>
      </c>
      <c r="AQ677" s="28">
        <f>IF(AP677="X",100%,0%)</f>
        <v/>
      </c>
      <c r="AR677" s="25">
        <f>IF(AND(T677&gt;0,L677=""),H677,"")</f>
        <v/>
      </c>
      <c r="AS677" s="25">
        <f>IF(AND(D677&gt;0,H677=0,G677=""),1,"")</f>
        <v/>
      </c>
      <c r="AT677" s="25">
        <f>IF(G677="BLOQ",1,"")</f>
        <v/>
      </c>
      <c r="AU677" s="25">
        <f>IF(L677="BLOQ",1,"")</f>
        <v/>
      </c>
      <c r="AV677" s="25">
        <f>MONTH(F677)</f>
        <v/>
      </c>
      <c r="AW677" s="65">
        <f>IF(AP677="",100%,0%)</f>
        <v/>
      </c>
      <c r="AX677" s="23" t="n"/>
      <c r="AY677" s="24">
        <f>IF(M677=0,"",M677-$AX$2)</f>
        <v/>
      </c>
      <c r="AZ677" s="66">
        <f>IF(AND(W677="",AY677&gt;0,AY677&lt;15),1,0)</f>
        <v/>
      </c>
      <c r="BA677" s="24">
        <f>IF(AND(W677="",AY677&gt;0,AY677&lt;15),T677,"")</f>
        <v/>
      </c>
      <c r="BB677" s="87">
        <f>IF(R677&lt;Q677,"X","")</f>
        <v/>
      </c>
      <c r="BC677" s="190" t="inlineStr">
        <is>
          <t>NO</t>
        </is>
      </c>
      <c r="BD677" s="190" t="inlineStr">
        <is>
          <t>NO</t>
        </is>
      </c>
    </row>
    <row r="678" ht="15" customHeight="1" s="162">
      <c r="A678" s="7" t="n">
        <v>677</v>
      </c>
      <c r="B678" t="inlineStr">
        <is>
          <t>1204301930821</t>
        </is>
      </c>
      <c r="C678" t="inlineStr">
        <is>
          <t>CNC CIR 15-19 19M RECPT WALL ZN/NI ROT-N</t>
        </is>
      </c>
      <c r="D678" t="inlineStr">
        <is>
          <t>1800108782</t>
        </is>
      </c>
      <c r="E678" t="inlineStr">
        <is>
          <t>190</t>
        </is>
      </c>
      <c r="F678" s="163" t="n">
        <v>45457</v>
      </c>
      <c r="G678" t="inlineStr"/>
      <c r="H678" t="inlineStr">
        <is>
          <t>4200569161</t>
        </is>
      </c>
      <c r="I678" t="inlineStr">
        <is>
          <t>130</t>
        </is>
      </c>
      <c r="J678" s="163" t="n">
        <v>45475</v>
      </c>
      <c r="K678" s="163" t="n">
        <v>45477</v>
      </c>
      <c r="L678" t="inlineStr"/>
      <c r="M678" s="163" t="n">
        <v>45488</v>
      </c>
      <c r="N678" s="164" t="n">
        <v>40</v>
      </c>
      <c r="O678" s="164" t="n">
        <v>8</v>
      </c>
      <c r="P678" t="inlineStr">
        <is>
          <t>Liberado</t>
        </is>
      </c>
      <c r="Q678" s="165" t="n">
        <v>1</v>
      </c>
      <c r="R678" s="165" t="n">
        <v>1</v>
      </c>
      <c r="S678" s="165" t="n">
        <v>1</v>
      </c>
      <c r="T678" s="165" t="n">
        <v>0</v>
      </c>
      <c r="U678" s="166" t="n">
        <v>1</v>
      </c>
      <c r="V678" s="166" t="n">
        <v>0</v>
      </c>
      <c r="W678" t="inlineStr">
        <is>
          <t>X</t>
        </is>
      </c>
      <c r="X678" t="inlineStr">
        <is>
          <t>0.00</t>
        </is>
      </c>
      <c r="Y678" t="inlineStr"/>
      <c r="Z678" t="inlineStr">
        <is>
          <t>SUMINISTROS CONECTORES PROF.,SA.</t>
        </is>
      </c>
      <c r="AA678" t="inlineStr">
        <is>
          <t>MILITARY SPECS.</t>
        </is>
      </c>
      <c r="AB678" t="inlineStr">
        <is>
          <t>D38999/20ZD19PN</t>
        </is>
      </c>
      <c r="AC678" t="inlineStr"/>
      <c r="AD678" s="164" t="n">
        <v>0</v>
      </c>
      <c r="AE678" s="185" t="n">
        <v>0</v>
      </c>
      <c r="AG678" s="167" t="inlineStr">
        <is>
          <t>7218|JA2581_1001</t>
        </is>
      </c>
      <c r="AH678" s="46">
        <f>IF(M678=0,"-",M678-J678)</f>
        <v/>
      </c>
      <c r="AI678" s="46">
        <f>IF(AND(S678=0,M678&gt;0,L678=0),IF(AH678&gt;=120,"VERY HIGH",IF(AH678&gt;=90,"HIGH",IF(AH678&gt;=60,"MEDIUM",IF(AH678&lt;60,"LOW")))),"-")</f>
        <v/>
      </c>
      <c r="AJ678" s="12" t="n"/>
      <c r="AK678" s="41">
        <f>IF(AND(W678="X",M678&lt;=$AJ$2),"YES","")</f>
        <v/>
      </c>
      <c r="AL678" s="38">
        <f>IF(AND(W678="X",M678&lt;=$AJ$2),S678,"")</f>
        <v/>
      </c>
      <c r="AM678" s="26">
        <f>IF(AND(W678="X",M678&gt;$AJ$2),"YES","")</f>
        <v/>
      </c>
      <c r="AN678" s="89">
        <f>IF(AND(W678="X",M678&gt;$AJ$2),S678,"")</f>
        <v/>
      </c>
      <c r="AO678" s="35">
        <f>IF(AND(W678="",M678&gt;0,$AJ$2&gt;M678,L678=""),1,0)</f>
        <v/>
      </c>
      <c r="AP678" s="26">
        <f>IF(AND(AK678="YES",W678="X"),"X","")</f>
        <v/>
      </c>
      <c r="AQ678" s="28">
        <f>IF(AP678="X",100%,0%)</f>
        <v/>
      </c>
      <c r="AR678" s="25">
        <f>IF(AND(T678&gt;0,L678=""),H678,"")</f>
        <v/>
      </c>
      <c r="AS678" s="25">
        <f>IF(AND(D678&gt;0,H678=0,G678=""),1,"")</f>
        <v/>
      </c>
      <c r="AT678" s="25">
        <f>IF(G678="BLOQ",1,"")</f>
        <v/>
      </c>
      <c r="AU678" s="25">
        <f>IF(L678="BLOQ",1,"")</f>
        <v/>
      </c>
      <c r="AV678" s="25">
        <f>MONTH(F678)</f>
        <v/>
      </c>
      <c r="AW678" s="65">
        <f>IF(AP678="",100%,0%)</f>
        <v/>
      </c>
      <c r="AX678" s="23" t="n"/>
      <c r="AY678" s="24">
        <f>IF(M678=0,"",M678-$AX$2)</f>
        <v/>
      </c>
      <c r="AZ678" s="66">
        <f>IF(AND(W678="",AY678&gt;0,AY678&lt;15),1,0)</f>
        <v/>
      </c>
      <c r="BA678" s="24">
        <f>IF(AND(W678="",AY678&gt;0,AY678&lt;15),T678,"")</f>
        <v/>
      </c>
      <c r="BB678" s="87">
        <f>IF(R678&lt;Q678,"X","")</f>
        <v/>
      </c>
      <c r="BC678" s="190" t="inlineStr">
        <is>
          <t>NO</t>
        </is>
      </c>
      <c r="BD678" s="191" t="inlineStr">
        <is>
          <t>SI</t>
        </is>
      </c>
    </row>
    <row r="679" ht="15" customHeight="1" s="162">
      <c r="A679" s="7" t="n">
        <v>678</v>
      </c>
      <c r="B679" t="inlineStr">
        <is>
          <t>1204301930821</t>
        </is>
      </c>
      <c r="C679" t="inlineStr">
        <is>
          <t>CNC CIR 15-19 19M RECPT WALL ZN/NI ROT-N</t>
        </is>
      </c>
      <c r="D679" t="inlineStr">
        <is>
          <t>1800108782</t>
        </is>
      </c>
      <c r="E679" t="inlineStr">
        <is>
          <t>190</t>
        </is>
      </c>
      <c r="F679" s="163" t="n">
        <v>45457</v>
      </c>
      <c r="G679" t="inlineStr"/>
      <c r="H679" t="inlineStr">
        <is>
          <t>4200569022</t>
        </is>
      </c>
      <c r="I679" t="inlineStr">
        <is>
          <t>160</t>
        </is>
      </c>
      <c r="J679" s="163" t="n">
        <v>45475</v>
      </c>
      <c r="K679" s="163" t="inlineStr"/>
      <c r="L679" t="inlineStr">
        <is>
          <t>BORR</t>
        </is>
      </c>
      <c r="M679" s="163" t="n">
        <v>45488</v>
      </c>
      <c r="N679" s="164" t="n">
        <v>40</v>
      </c>
      <c r="O679" s="164" t="n">
        <v>8</v>
      </c>
      <c r="P679" t="inlineStr"/>
      <c r="Q679" s="165" t="n">
        <v>1</v>
      </c>
      <c r="R679" s="165" t="n">
        <v>1</v>
      </c>
      <c r="S679" s="165" t="n">
        <v>0</v>
      </c>
      <c r="T679" s="165" t="n">
        <v>1</v>
      </c>
      <c r="U679" s="166" t="n">
        <v>0</v>
      </c>
      <c r="V679" s="166" t="n">
        <v>0</v>
      </c>
      <c r="W679" t="inlineStr"/>
      <c r="X679" t="inlineStr">
        <is>
          <t>79.95</t>
        </is>
      </c>
      <c r="Y679" t="inlineStr"/>
      <c r="Z679" t="inlineStr">
        <is>
          <t>ICOMPPLUS ELECTRONICS S.L</t>
        </is>
      </c>
      <c r="AA679" t="inlineStr">
        <is>
          <t>MILITARY SPECS.</t>
        </is>
      </c>
      <c r="AB679" t="inlineStr">
        <is>
          <t>D38999/20ZD19PN</t>
        </is>
      </c>
      <c r="AC679" t="inlineStr"/>
      <c r="AD679" s="164" t="n">
        <v>0</v>
      </c>
      <c r="AE679" s="185" t="n">
        <v>0</v>
      </c>
      <c r="AG679" s="167" t="inlineStr">
        <is>
          <t>7218|JA2581_1001</t>
        </is>
      </c>
      <c r="AH679" s="46">
        <f>IF(M679=0,"-",M679-J679)</f>
        <v/>
      </c>
      <c r="AI679" s="46">
        <f>IF(AND(S679=0,M679&gt;0,L679=0),IF(AH679&gt;=120,"VERY HIGH",IF(AH679&gt;=90,"HIGH",IF(AH679&gt;=60,"MEDIUM",IF(AH679&lt;60,"LOW")))),"-")</f>
        <v/>
      </c>
      <c r="AJ679" s="12" t="n"/>
      <c r="AK679" s="41">
        <f>IF(AND(W679="X",M679&lt;=$AJ$2),"YES","")</f>
        <v/>
      </c>
      <c r="AL679" s="38">
        <f>IF(AND(W679="X",M679&lt;=$AJ$2),S679,"")</f>
        <v/>
      </c>
      <c r="AM679" s="26">
        <f>IF(AND(W679="X",M679&gt;$AJ$2),"YES","")</f>
        <v/>
      </c>
      <c r="AN679" s="89">
        <f>IF(AND(W679="X",M679&gt;$AJ$2),S679,"")</f>
        <v/>
      </c>
      <c r="AO679" s="35">
        <f>IF(AND(W679="",M679&gt;0,$AJ$2&gt;M679,L679=""),1,0)</f>
        <v/>
      </c>
      <c r="AP679" s="26">
        <f>IF(AND(AK679="YES",W679="X"),"X","")</f>
        <v/>
      </c>
      <c r="AQ679" s="28">
        <f>IF(AP679="X",100%,0%)</f>
        <v/>
      </c>
      <c r="AR679" s="25">
        <f>IF(AND(T679&gt;0,L679=""),H679,"")</f>
        <v/>
      </c>
      <c r="AS679" s="25">
        <f>IF(AND(D679&gt;0,H679=0,G679=""),1,"")</f>
        <v/>
      </c>
      <c r="AT679" s="25">
        <f>IF(G679="BLOQ",1,"")</f>
        <v/>
      </c>
      <c r="AU679" s="25">
        <f>IF(L679="BLOQ",1,"")</f>
        <v/>
      </c>
      <c r="AV679" s="25">
        <f>MONTH(F679)</f>
        <v/>
      </c>
      <c r="AW679" s="65">
        <f>IF(AP679="",100%,0%)</f>
        <v/>
      </c>
      <c r="AX679" s="23" t="n"/>
      <c r="AY679" s="24">
        <f>IF(M679=0,"",M679-$AX$2)</f>
        <v/>
      </c>
      <c r="AZ679" s="66">
        <f>IF(AND(W679="",AY679&gt;0,AY679&lt;15),1,0)</f>
        <v/>
      </c>
      <c r="BA679" s="24">
        <f>IF(AND(W679="",AY679&gt;0,AY679&lt;15),T679,"")</f>
        <v/>
      </c>
      <c r="BB679" s="87">
        <f>IF(R679&lt;Q679,"X","")</f>
        <v/>
      </c>
      <c r="BC679" s="190" t="inlineStr">
        <is>
          <t>NO</t>
        </is>
      </c>
      <c r="BD679" s="191" t="inlineStr">
        <is>
          <t>SI</t>
        </is>
      </c>
    </row>
    <row r="680" ht="15" customHeight="1" s="162">
      <c r="A680" s="7" t="n">
        <v>679</v>
      </c>
      <c r="B680" t="inlineStr">
        <is>
          <t>1204301931820</t>
        </is>
      </c>
      <c r="C680" t="inlineStr">
        <is>
          <t>CNC CIR 15-19 19M RECPT WALL ZN/NI ROT-A</t>
        </is>
      </c>
      <c r="D680" t="inlineStr">
        <is>
          <t>1800108782</t>
        </is>
      </c>
      <c r="E680" t="inlineStr">
        <is>
          <t>200</t>
        </is>
      </c>
      <c r="F680" s="163" t="n">
        <v>45457</v>
      </c>
      <c r="G680" t="inlineStr"/>
      <c r="H680" t="inlineStr">
        <is>
          <t>4200569022</t>
        </is>
      </c>
      <c r="I680" t="inlineStr">
        <is>
          <t>170</t>
        </is>
      </c>
      <c r="J680" s="163" t="n">
        <v>45475</v>
      </c>
      <c r="K680" s="163" t="inlineStr"/>
      <c r="L680" t="inlineStr">
        <is>
          <t>BORR</t>
        </is>
      </c>
      <c r="M680" s="163" t="n">
        <v>45488</v>
      </c>
      <c r="N680" s="164" t="n">
        <v>40</v>
      </c>
      <c r="O680" s="164" t="n">
        <v>8</v>
      </c>
      <c r="P680" t="inlineStr"/>
      <c r="Q680" s="165" t="n">
        <v>1</v>
      </c>
      <c r="R680" s="165" t="n">
        <v>1</v>
      </c>
      <c r="S680" s="165" t="n">
        <v>0</v>
      </c>
      <c r="T680" s="165" t="n">
        <v>1</v>
      </c>
      <c r="U680" s="166" t="n">
        <v>0</v>
      </c>
      <c r="V680" s="166" t="n">
        <v>0</v>
      </c>
      <c r="W680" t="inlineStr"/>
      <c r="X680" t="inlineStr">
        <is>
          <t>94.21</t>
        </is>
      </c>
      <c r="Y680" t="inlineStr"/>
      <c r="Z680" t="inlineStr">
        <is>
          <t>ICOMPPLUS ELECTRONICS S.L</t>
        </is>
      </c>
      <c r="AA680" t="inlineStr">
        <is>
          <t>MILITARY SPECS.</t>
        </is>
      </c>
      <c r="AB680" t="inlineStr">
        <is>
          <t>D38999/20ZD19PA</t>
        </is>
      </c>
      <c r="AC680" t="inlineStr"/>
      <c r="AD680" s="164" t="n">
        <v>0</v>
      </c>
      <c r="AE680" s="185" t="n">
        <v>0</v>
      </c>
      <c r="AG680" s="167" t="inlineStr">
        <is>
          <t>7218|JA2581_1001</t>
        </is>
      </c>
      <c r="AH680" s="46">
        <f>IF(M680=0,"-",M680-J680)</f>
        <v/>
      </c>
      <c r="AI680" s="46">
        <f>IF(AND(S680=0,M680&gt;0,L680=0),IF(AH680&gt;=120,"VERY HIGH",IF(AH680&gt;=90,"HIGH",IF(AH680&gt;=60,"MEDIUM",IF(AH680&lt;60,"LOW")))),"-")</f>
        <v/>
      </c>
      <c r="AJ680" s="12" t="n"/>
      <c r="AK680" s="41">
        <f>IF(AND(W680="X",M680&lt;=$AJ$2),"YES","")</f>
        <v/>
      </c>
      <c r="AL680" s="38">
        <f>IF(AND(W680="X",M680&lt;=$AJ$2),S680,"")</f>
        <v/>
      </c>
      <c r="AM680" s="26">
        <f>IF(AND(W680="X",M680&gt;$AJ$2),"YES","")</f>
        <v/>
      </c>
      <c r="AN680" s="89">
        <f>IF(AND(W680="X",M680&gt;$AJ$2),S680,"")</f>
        <v/>
      </c>
      <c r="AO680" s="35">
        <f>IF(AND(W680="",M680&gt;0,$AJ$2&gt;M680,L680=""),1,0)</f>
        <v/>
      </c>
      <c r="AP680" s="26">
        <f>IF(AND(AK680="YES",W680="X"),"X","")</f>
        <v/>
      </c>
      <c r="AQ680" s="28">
        <f>IF(AP680="X",100%,0%)</f>
        <v/>
      </c>
      <c r="AR680" s="25">
        <f>IF(AND(T680&gt;0,L680=""),H680,"")</f>
        <v/>
      </c>
      <c r="AS680" s="25">
        <f>IF(AND(D680&gt;0,H680=0,G680=""),1,"")</f>
        <v/>
      </c>
      <c r="AT680" s="25">
        <f>IF(G680="BLOQ",1,"")</f>
        <v/>
      </c>
      <c r="AU680" s="25">
        <f>IF(L680="BLOQ",1,"")</f>
        <v/>
      </c>
      <c r="AV680" s="25">
        <f>MONTH(F680)</f>
        <v/>
      </c>
      <c r="AW680" s="65">
        <f>IF(AP680="",100%,0%)</f>
        <v/>
      </c>
      <c r="AX680" s="23" t="n"/>
      <c r="AY680" s="24">
        <f>IF(M680=0,"",M680-$AX$2)</f>
        <v/>
      </c>
      <c r="AZ680" s="66">
        <f>IF(AND(W680="",AY680&gt;0,AY680&lt;15),1,0)</f>
        <v/>
      </c>
      <c r="BA680" s="24">
        <f>IF(AND(W680="",AY680&gt;0,AY680&lt;15),T680,"")</f>
        <v/>
      </c>
      <c r="BB680" s="87">
        <f>IF(R680&lt;Q680,"X","")</f>
        <v/>
      </c>
      <c r="BC680" s="190" t="inlineStr">
        <is>
          <t>NO</t>
        </is>
      </c>
      <c r="BD680" s="191" t="inlineStr">
        <is>
          <t>SI</t>
        </is>
      </c>
    </row>
    <row r="681" ht="15" customHeight="1" s="162">
      <c r="A681" s="7" t="n">
        <v>680</v>
      </c>
      <c r="B681" t="inlineStr">
        <is>
          <t>1204301931820</t>
        </is>
      </c>
      <c r="C681" t="inlineStr">
        <is>
          <t>CNC CIR 15-19 19M RECPT WALL ZN/NI ROT-A</t>
        </is>
      </c>
      <c r="D681" t="inlineStr">
        <is>
          <t>1800108782</t>
        </is>
      </c>
      <c r="E681" t="inlineStr">
        <is>
          <t>200</t>
        </is>
      </c>
      <c r="F681" s="163" t="n">
        <v>45457</v>
      </c>
      <c r="G681" t="inlineStr"/>
      <c r="H681" t="inlineStr">
        <is>
          <t>4200569161</t>
        </is>
      </c>
      <c r="I681" t="inlineStr">
        <is>
          <t>140</t>
        </is>
      </c>
      <c r="J681" s="163" t="n">
        <v>45475</v>
      </c>
      <c r="K681" s="163" t="n">
        <v>45477</v>
      </c>
      <c r="L681" t="inlineStr"/>
      <c r="M681" s="163" t="n">
        <v>45488</v>
      </c>
      <c r="N681" s="164" t="n">
        <v>40</v>
      </c>
      <c r="O681" s="164" t="n">
        <v>8</v>
      </c>
      <c r="P681" t="inlineStr">
        <is>
          <t>Liberado</t>
        </is>
      </c>
      <c r="Q681" s="165" t="n">
        <v>1</v>
      </c>
      <c r="R681" s="165" t="n">
        <v>1</v>
      </c>
      <c r="S681" s="165" t="n">
        <v>1</v>
      </c>
      <c r="T681" s="165" t="n">
        <v>0</v>
      </c>
      <c r="U681" s="166" t="n">
        <v>1</v>
      </c>
      <c r="V681" s="166" t="n">
        <v>0</v>
      </c>
      <c r="W681" t="inlineStr">
        <is>
          <t>X</t>
        </is>
      </c>
      <c r="X681" t="inlineStr">
        <is>
          <t>0.00</t>
        </is>
      </c>
      <c r="Y681" t="inlineStr"/>
      <c r="Z681" t="inlineStr">
        <is>
          <t>SUMINISTROS CONECTORES PROF.,SA.</t>
        </is>
      </c>
      <c r="AA681" t="inlineStr">
        <is>
          <t>MILITARY SPECS.</t>
        </is>
      </c>
      <c r="AB681" t="inlineStr">
        <is>
          <t>D38999/20ZD19PA</t>
        </is>
      </c>
      <c r="AC681" t="inlineStr"/>
      <c r="AD681" s="164" t="n">
        <v>0</v>
      </c>
      <c r="AE681" s="185" t="n">
        <v>0</v>
      </c>
      <c r="AG681" s="167" t="inlineStr">
        <is>
          <t>7218|JA2581_1001</t>
        </is>
      </c>
      <c r="AH681" s="46">
        <f>IF(M681=0,"-",M681-J681)</f>
        <v/>
      </c>
      <c r="AI681" s="46">
        <f>IF(AND(S681=0,M681&gt;0,L681=0),IF(AH681&gt;=120,"VERY HIGH",IF(AH681&gt;=90,"HIGH",IF(AH681&gt;=60,"MEDIUM",IF(AH681&lt;60,"LOW")))),"-")</f>
        <v/>
      </c>
      <c r="AJ681" s="12" t="n"/>
      <c r="AK681" s="41">
        <f>IF(AND(W681="X",M681&lt;=$AJ$2),"YES","")</f>
        <v/>
      </c>
      <c r="AL681" s="38">
        <f>IF(AND(W681="X",M681&lt;=$AJ$2),S681,"")</f>
        <v/>
      </c>
      <c r="AM681" s="26">
        <f>IF(AND(W681="X",M681&gt;$AJ$2),"YES","")</f>
        <v/>
      </c>
      <c r="AN681" s="89">
        <f>IF(AND(W681="X",M681&gt;$AJ$2),S681,"")</f>
        <v/>
      </c>
      <c r="AO681" s="35">
        <f>IF(AND(W681="",M681&gt;0,$AJ$2&gt;M681,L681=""),1,0)</f>
        <v/>
      </c>
      <c r="AP681" s="26">
        <f>IF(AND(AK681="YES",W681="X"),"X","")</f>
        <v/>
      </c>
      <c r="AQ681" s="28">
        <f>IF(AP681="X",100%,0%)</f>
        <v/>
      </c>
      <c r="AR681" s="25">
        <f>IF(AND(T681&gt;0,L681=""),H681,"")</f>
        <v/>
      </c>
      <c r="AS681" s="25">
        <f>IF(AND(D681&gt;0,H681=0,G681=""),1,"")</f>
        <v/>
      </c>
      <c r="AT681" s="25">
        <f>IF(G681="BLOQ",1,"")</f>
        <v/>
      </c>
      <c r="AU681" s="25">
        <f>IF(L681="BLOQ",1,"")</f>
        <v/>
      </c>
      <c r="AV681" s="25">
        <f>MONTH(F681)</f>
        <v/>
      </c>
      <c r="AW681" s="65">
        <f>IF(AP681="",100%,0%)</f>
        <v/>
      </c>
      <c r="AX681" s="23" t="n"/>
      <c r="AY681" s="24">
        <f>IF(M681=0,"",M681-$AX$2)</f>
        <v/>
      </c>
      <c r="AZ681" s="66">
        <f>IF(AND(W681="",AY681&gt;0,AY681&lt;15),1,0)</f>
        <v/>
      </c>
      <c r="BA681" s="24">
        <f>IF(AND(W681="",AY681&gt;0,AY681&lt;15),T681,"")</f>
        <v/>
      </c>
      <c r="BB681" s="87">
        <f>IF(R681&lt;Q681,"X","")</f>
        <v/>
      </c>
      <c r="BC681" s="190" t="inlineStr">
        <is>
          <t>NO</t>
        </is>
      </c>
      <c r="BD681" s="191" t="inlineStr">
        <is>
          <t>SI</t>
        </is>
      </c>
    </row>
    <row r="682" ht="15" customHeight="1" s="162">
      <c r="A682" s="7" t="n">
        <v>681</v>
      </c>
      <c r="B682" t="inlineStr">
        <is>
          <t>1204304130820</t>
        </is>
      </c>
      <c r="C682" t="inlineStr">
        <is>
          <t>CNC CIR 21-41 41M RECPT WALL ZN/NI ROT-N</t>
        </is>
      </c>
      <c r="D682" t="inlineStr">
        <is>
          <t>1800108782</t>
        </is>
      </c>
      <c r="E682" t="inlineStr">
        <is>
          <t>210</t>
        </is>
      </c>
      <c r="F682" s="163" t="n">
        <v>45457</v>
      </c>
      <c r="G682" t="inlineStr"/>
      <c r="H682" t="inlineStr">
        <is>
          <t>4200569022</t>
        </is>
      </c>
      <c r="I682" t="inlineStr">
        <is>
          <t>180</t>
        </is>
      </c>
      <c r="J682" s="163" t="n">
        <v>45475</v>
      </c>
      <c r="K682" s="163" t="inlineStr"/>
      <c r="L682" t="inlineStr">
        <is>
          <t>BORR</t>
        </is>
      </c>
      <c r="M682" s="163" t="n">
        <v>45488</v>
      </c>
      <c r="N682" s="164" t="n">
        <v>40</v>
      </c>
      <c r="O682" s="164" t="n">
        <v>8</v>
      </c>
      <c r="P682" t="inlineStr"/>
      <c r="Q682" s="165" t="n">
        <v>4</v>
      </c>
      <c r="R682" s="165" t="n">
        <v>4</v>
      </c>
      <c r="S682" s="165" t="n">
        <v>0</v>
      </c>
      <c r="T682" s="165" t="n">
        <v>4</v>
      </c>
      <c r="U682" s="166" t="n">
        <v>0</v>
      </c>
      <c r="V682" s="166" t="n">
        <v>0</v>
      </c>
      <c r="W682" t="inlineStr"/>
      <c r="X682" t="inlineStr">
        <is>
          <t>379.24</t>
        </is>
      </c>
      <c r="Y682" t="inlineStr"/>
      <c r="Z682" t="inlineStr">
        <is>
          <t>ICOMPPLUS ELECTRONICS S.L</t>
        </is>
      </c>
      <c r="AA682" t="inlineStr">
        <is>
          <t>MILITARY SPECS.</t>
        </is>
      </c>
      <c r="AB682" t="inlineStr">
        <is>
          <t>D38999/20ZG41PN</t>
        </is>
      </c>
      <c r="AC682" t="inlineStr"/>
      <c r="AD682" s="164" t="n">
        <v>0</v>
      </c>
      <c r="AE682" s="185" t="n">
        <v>0</v>
      </c>
      <c r="AG682" s="167" t="inlineStr">
        <is>
          <t>7218|JA2581_1001</t>
        </is>
      </c>
      <c r="AH682" s="46">
        <f>IF(M682=0,"-",M682-J682)</f>
        <v/>
      </c>
      <c r="AI682" s="46">
        <f>IF(AND(S682=0,M682&gt;0,L682=0),IF(AH682&gt;=120,"VERY HIGH",IF(AH682&gt;=90,"HIGH",IF(AH682&gt;=60,"MEDIUM",IF(AH682&lt;60,"LOW")))),"-")</f>
        <v/>
      </c>
      <c r="AJ682" s="12" t="n"/>
      <c r="AK682" s="41">
        <f>IF(AND(W682="X",M682&lt;=$AJ$2),"YES","")</f>
        <v/>
      </c>
      <c r="AL682" s="38">
        <f>IF(AND(W682="X",M682&lt;=$AJ$2),S682,"")</f>
        <v/>
      </c>
      <c r="AM682" s="26">
        <f>IF(AND(W682="X",M682&gt;$AJ$2),"YES","")</f>
        <v/>
      </c>
      <c r="AN682" s="89">
        <f>IF(AND(W682="X",M682&gt;$AJ$2),S682,"")</f>
        <v/>
      </c>
      <c r="AO682" s="35">
        <f>IF(AND(W682="",M682&gt;0,$AJ$2&gt;M682,L682=""),1,0)</f>
        <v/>
      </c>
      <c r="AP682" s="26">
        <f>IF(AND(AK682="YES",W682="X"),"X","")</f>
        <v/>
      </c>
      <c r="AQ682" s="28">
        <f>IF(AP682="X",100%,0%)</f>
        <v/>
      </c>
      <c r="AR682" s="25">
        <f>IF(AND(T682&gt;0,L682=""),H682,"")</f>
        <v/>
      </c>
      <c r="AS682" s="25">
        <f>IF(AND(D682&gt;0,H682=0,G682=""),1,"")</f>
        <v/>
      </c>
      <c r="AT682" s="25">
        <f>IF(G682="BLOQ",1,"")</f>
        <v/>
      </c>
      <c r="AU682" s="25">
        <f>IF(L682="BLOQ",1,"")</f>
        <v/>
      </c>
      <c r="AV682" s="25">
        <f>MONTH(F682)</f>
        <v/>
      </c>
      <c r="AW682" s="65">
        <f>IF(AP682="",100%,0%)</f>
        <v/>
      </c>
      <c r="AX682" s="23" t="n"/>
      <c r="AY682" s="24">
        <f>IF(M682=0,"",M682-$AX$2)</f>
        <v/>
      </c>
      <c r="AZ682" s="66">
        <f>IF(AND(W682="",AY682&gt;0,AY682&lt;15),1,0)</f>
        <v/>
      </c>
      <c r="BA682" s="24">
        <f>IF(AND(W682="",AY682&gt;0,AY682&lt;15),T682,"")</f>
        <v/>
      </c>
      <c r="BB682" s="87">
        <f>IF(R682&lt;Q682,"X","")</f>
        <v/>
      </c>
      <c r="BC682" s="190" t="inlineStr">
        <is>
          <t>NO</t>
        </is>
      </c>
      <c r="BD682" s="191" t="inlineStr">
        <is>
          <t>SI</t>
        </is>
      </c>
    </row>
    <row r="683" ht="15" customHeight="1" s="162">
      <c r="A683" s="7" t="n">
        <v>682</v>
      </c>
      <c r="B683" t="inlineStr">
        <is>
          <t>1204304130820</t>
        </is>
      </c>
      <c r="C683" t="inlineStr">
        <is>
          <t>CNC CIR 21-41 41M RECPT WALL ZN/NI ROT-N</t>
        </is>
      </c>
      <c r="D683" t="inlineStr">
        <is>
          <t>1800108782</t>
        </is>
      </c>
      <c r="E683" t="inlineStr">
        <is>
          <t>210</t>
        </is>
      </c>
      <c r="F683" s="163" t="n">
        <v>45457</v>
      </c>
      <c r="G683" t="inlineStr"/>
      <c r="H683" t="inlineStr">
        <is>
          <t>4200569161</t>
        </is>
      </c>
      <c r="I683" t="inlineStr">
        <is>
          <t>150</t>
        </is>
      </c>
      <c r="J683" s="163" t="n">
        <v>45475</v>
      </c>
      <c r="K683" s="163" t="n">
        <v>45477</v>
      </c>
      <c r="L683" t="inlineStr"/>
      <c r="M683" s="163" t="n">
        <v>45488</v>
      </c>
      <c r="N683" s="164" t="n">
        <v>40</v>
      </c>
      <c r="O683" s="164" t="n">
        <v>8</v>
      </c>
      <c r="P683" t="inlineStr">
        <is>
          <t>Liberado</t>
        </is>
      </c>
      <c r="Q683" s="165" t="n">
        <v>4</v>
      </c>
      <c r="R683" s="165" t="n">
        <v>4</v>
      </c>
      <c r="S683" s="165" t="n">
        <v>4</v>
      </c>
      <c r="T683" s="165" t="n">
        <v>0</v>
      </c>
      <c r="U683" s="166" t="n">
        <v>4</v>
      </c>
      <c r="V683" s="166" t="n">
        <v>0</v>
      </c>
      <c r="W683" t="inlineStr">
        <is>
          <t>X</t>
        </is>
      </c>
      <c r="X683" t="inlineStr">
        <is>
          <t>0.00</t>
        </is>
      </c>
      <c r="Y683" t="inlineStr"/>
      <c r="Z683" t="inlineStr">
        <is>
          <t>SUMINISTROS CONECTORES PROF.,SA.</t>
        </is>
      </c>
      <c r="AA683" t="inlineStr">
        <is>
          <t>MILITARY SPECS.</t>
        </is>
      </c>
      <c r="AB683" t="inlineStr">
        <is>
          <t>D38999/20ZG41PN</t>
        </is>
      </c>
      <c r="AC683" t="inlineStr"/>
      <c r="AD683" s="164" t="n">
        <v>0</v>
      </c>
      <c r="AE683" s="185" t="n">
        <v>0</v>
      </c>
      <c r="AG683" s="167" t="inlineStr">
        <is>
          <t>7218|JA2581_1001</t>
        </is>
      </c>
      <c r="AH683" s="46">
        <f>IF(M683=0,"-",M683-J683)</f>
        <v/>
      </c>
      <c r="AI683" s="46">
        <f>IF(AND(S683=0,M683&gt;0,L683=0),IF(AH683&gt;=120,"VERY HIGH",IF(AH683&gt;=90,"HIGH",IF(AH683&gt;=60,"MEDIUM",IF(AH683&lt;60,"LOW")))),"-")</f>
        <v/>
      </c>
      <c r="AJ683" s="12" t="n"/>
      <c r="AK683" s="41">
        <f>IF(AND(W683="X",M683&lt;=$AJ$2),"YES","")</f>
        <v/>
      </c>
      <c r="AL683" s="38">
        <f>IF(AND(W683="X",M683&lt;=$AJ$2),S683,"")</f>
        <v/>
      </c>
      <c r="AM683" s="26">
        <f>IF(AND(W683="X",M683&gt;$AJ$2),"YES","")</f>
        <v/>
      </c>
      <c r="AN683" s="89">
        <f>IF(AND(W683="X",M683&gt;$AJ$2),S683,"")</f>
        <v/>
      </c>
      <c r="AO683" s="35">
        <f>IF(AND(W683="",M683&gt;0,$AJ$2&gt;M683,L683=""),1,0)</f>
        <v/>
      </c>
      <c r="AP683" s="26">
        <f>IF(AND(AK683="YES",W683="X"),"X","")</f>
        <v/>
      </c>
      <c r="AQ683" s="28">
        <f>IF(AP683="X",100%,0%)</f>
        <v/>
      </c>
      <c r="AR683" s="25">
        <f>IF(AND(T683&gt;0,L683=""),H683,"")</f>
        <v/>
      </c>
      <c r="AS683" s="25">
        <f>IF(AND(D683&gt;0,H683=0,G683=""),1,"")</f>
        <v/>
      </c>
      <c r="AT683" s="25">
        <f>IF(G683="BLOQ",1,"")</f>
        <v/>
      </c>
      <c r="AU683" s="25">
        <f>IF(L683="BLOQ",1,"")</f>
        <v/>
      </c>
      <c r="AV683" s="25">
        <f>MONTH(F683)</f>
        <v/>
      </c>
      <c r="AW683" s="65">
        <f>IF(AP683="",100%,0%)</f>
        <v/>
      </c>
      <c r="AX683" s="23" t="n"/>
      <c r="AY683" s="24">
        <f>IF(M683=0,"",M683-$AX$2)</f>
        <v/>
      </c>
      <c r="AZ683" s="66">
        <f>IF(AND(W683="",AY683&gt;0,AY683&lt;15),1,0)</f>
        <v/>
      </c>
      <c r="BA683" s="24">
        <f>IF(AND(W683="",AY683&gt;0,AY683&lt;15),T683,"")</f>
        <v/>
      </c>
      <c r="BB683" s="87">
        <f>IF(R683&lt;Q683,"X","")</f>
        <v/>
      </c>
      <c r="BC683" s="190" t="inlineStr">
        <is>
          <t>NO</t>
        </is>
      </c>
      <c r="BD683" s="191" t="inlineStr">
        <is>
          <t>SI</t>
        </is>
      </c>
    </row>
    <row r="684" ht="15" customHeight="1" s="162">
      <c r="A684" s="7" t="n">
        <v>683</v>
      </c>
      <c r="B684" t="inlineStr">
        <is>
          <t>1204305530022</t>
        </is>
      </c>
      <c r="C684" t="inlineStr">
        <is>
          <t>CNC CIR 23-55P/M RCPT RECT AL ZN/NI R-A</t>
        </is>
      </c>
      <c r="D684" t="inlineStr">
        <is>
          <t>1800108782</t>
        </is>
      </c>
      <c r="E684" t="inlineStr">
        <is>
          <t>220</t>
        </is>
      </c>
      <c r="F684" s="163" t="n">
        <v>45457</v>
      </c>
      <c r="G684" t="inlineStr"/>
      <c r="H684" t="inlineStr">
        <is>
          <t>4200569165</t>
        </is>
      </c>
      <c r="I684" t="inlineStr">
        <is>
          <t>20</t>
        </is>
      </c>
      <c r="J684" s="163" t="n">
        <v>45475</v>
      </c>
      <c r="K684" s="163" t="n">
        <v>45483</v>
      </c>
      <c r="L684" t="inlineStr"/>
      <c r="M684" s="163" t="n">
        <v>45488</v>
      </c>
      <c r="N684" s="164" t="n">
        <v>40</v>
      </c>
      <c r="O684" s="164" t="n">
        <v>8</v>
      </c>
      <c r="P684" t="inlineStr">
        <is>
          <t>Liberado</t>
        </is>
      </c>
      <c r="Q684" s="165" t="n">
        <v>2</v>
      </c>
      <c r="R684" s="165" t="n">
        <v>2</v>
      </c>
      <c r="S684" s="165" t="n">
        <v>2</v>
      </c>
      <c r="T684" s="165" t="n">
        <v>0</v>
      </c>
      <c r="U684" s="166" t="n">
        <v>2</v>
      </c>
      <c r="V684" s="166" t="n">
        <v>0</v>
      </c>
      <c r="W684" t="inlineStr">
        <is>
          <t>X</t>
        </is>
      </c>
      <c r="X684" t="inlineStr">
        <is>
          <t>0.00</t>
        </is>
      </c>
      <c r="Y684" t="inlineStr"/>
      <c r="Z684" t="inlineStr">
        <is>
          <t>CONECTORES Y CABLES VAHER, S.A.</t>
        </is>
      </c>
      <c r="AA684" t="inlineStr">
        <is>
          <t>MILITARY SPECS.</t>
        </is>
      </c>
      <c r="AB684" t="inlineStr">
        <is>
          <t>D38999/20ZH55PA</t>
        </is>
      </c>
      <c r="AC684" t="inlineStr"/>
      <c r="AD684" s="164" t="n">
        <v>0</v>
      </c>
      <c r="AE684" s="185" t="n">
        <v>0</v>
      </c>
      <c r="AG684" s="167" t="inlineStr">
        <is>
          <t>7218|JA2581_1001</t>
        </is>
      </c>
      <c r="AH684" s="46">
        <f>IF(M684=0,"-",M684-J684)</f>
        <v/>
      </c>
      <c r="AI684" s="46">
        <f>IF(AND(S684=0,M684&gt;0,L684=0),IF(AH684&gt;=120,"VERY HIGH",IF(AH684&gt;=90,"HIGH",IF(AH684&gt;=60,"MEDIUM",IF(AH684&lt;60,"LOW")))),"-")</f>
        <v/>
      </c>
      <c r="AJ684" s="12" t="n"/>
      <c r="AK684" s="41">
        <f>IF(AND(W684="X",M684&lt;=$AJ$2),"YES","")</f>
        <v/>
      </c>
      <c r="AL684" s="38">
        <f>IF(AND(W684="X",M684&lt;=$AJ$2),S684,"")</f>
        <v/>
      </c>
      <c r="AM684" s="26">
        <f>IF(AND(W684="X",M684&gt;$AJ$2),"YES","")</f>
        <v/>
      </c>
      <c r="AN684" s="89">
        <f>IF(AND(W684="X",M684&gt;$AJ$2),S684,"")</f>
        <v/>
      </c>
      <c r="AO684" s="35">
        <f>IF(AND(W684="",M684&gt;0,$AJ$2&gt;M684,L684=""),1,0)</f>
        <v/>
      </c>
      <c r="AP684" s="26">
        <f>IF(AND(AK684="YES",W684="X"),"X","")</f>
        <v/>
      </c>
      <c r="AQ684" s="28">
        <f>IF(AP684="X",100%,0%)</f>
        <v/>
      </c>
      <c r="AR684" s="25">
        <f>IF(AND(T684&gt;0,L684=""),H684,"")</f>
        <v/>
      </c>
      <c r="AS684" s="25">
        <f>IF(AND(D684&gt;0,H684=0,G684=""),1,"")</f>
        <v/>
      </c>
      <c r="AT684" s="25">
        <f>IF(G684="BLOQ",1,"")</f>
        <v/>
      </c>
      <c r="AU684" s="25">
        <f>IF(L684="BLOQ",1,"")</f>
        <v/>
      </c>
      <c r="AV684" s="25">
        <f>MONTH(F684)</f>
        <v/>
      </c>
      <c r="AW684" s="65">
        <f>IF(AP684="",100%,0%)</f>
        <v/>
      </c>
      <c r="AX684" s="23" t="n"/>
      <c r="AY684" s="24">
        <f>IF(M684=0,"",M684-$AX$2)</f>
        <v/>
      </c>
      <c r="AZ684" s="66">
        <f>IF(AND(W684="",AY684&gt;0,AY684&lt;15),1,0)</f>
        <v/>
      </c>
      <c r="BA684" s="24">
        <f>IF(AND(W684="",AY684&gt;0,AY684&lt;15),T684,"")</f>
        <v/>
      </c>
      <c r="BB684" s="87">
        <f>IF(R684&lt;Q684,"X","")</f>
        <v/>
      </c>
      <c r="BC684" s="190" t="inlineStr">
        <is>
          <t>NO</t>
        </is>
      </c>
      <c r="BD684" s="191" t="inlineStr">
        <is>
          <t>SI</t>
        </is>
      </c>
    </row>
    <row r="685" ht="15" customHeight="1" s="162">
      <c r="A685" s="7" t="n">
        <v>684</v>
      </c>
      <c r="B685" t="inlineStr">
        <is>
          <t>1204305530022</t>
        </is>
      </c>
      <c r="C685" t="inlineStr">
        <is>
          <t>CNC CIR 23-55P/M RCPT RECT AL ZN/NI R-A</t>
        </is>
      </c>
      <c r="D685" t="inlineStr">
        <is>
          <t>1800108782</t>
        </is>
      </c>
      <c r="E685" t="inlineStr">
        <is>
          <t>220</t>
        </is>
      </c>
      <c r="F685" s="163" t="n">
        <v>45457</v>
      </c>
      <c r="G685" t="inlineStr"/>
      <c r="H685" t="inlineStr">
        <is>
          <t>4200569022</t>
        </is>
      </c>
      <c r="I685" t="inlineStr">
        <is>
          <t>190</t>
        </is>
      </c>
      <c r="J685" s="163" t="n">
        <v>45475</v>
      </c>
      <c r="K685" s="163" t="inlineStr"/>
      <c r="L685" t="inlineStr">
        <is>
          <t>BORR</t>
        </is>
      </c>
      <c r="M685" s="163" t="n">
        <v>45488</v>
      </c>
      <c r="N685" s="164" t="n">
        <v>40</v>
      </c>
      <c r="O685" s="164" t="n">
        <v>8</v>
      </c>
      <c r="P685" t="inlineStr"/>
      <c r="Q685" s="165" t="n">
        <v>2</v>
      </c>
      <c r="R685" s="165" t="n">
        <v>2</v>
      </c>
      <c r="S685" s="165" t="n">
        <v>0</v>
      </c>
      <c r="T685" s="165" t="n">
        <v>2</v>
      </c>
      <c r="U685" s="166" t="n">
        <v>0</v>
      </c>
      <c r="V685" s="166" t="n">
        <v>0</v>
      </c>
      <c r="W685" t="inlineStr"/>
      <c r="X685" t="inlineStr">
        <is>
          <t>547.08</t>
        </is>
      </c>
      <c r="Y685" t="inlineStr"/>
      <c r="Z685" t="inlineStr">
        <is>
          <t>ICOMPPLUS ELECTRONICS S.L</t>
        </is>
      </c>
      <c r="AA685" t="inlineStr">
        <is>
          <t>MILITARY SPECS.</t>
        </is>
      </c>
      <c r="AB685" t="inlineStr">
        <is>
          <t>D38999/20ZH55PA</t>
        </is>
      </c>
      <c r="AC685" t="inlineStr"/>
      <c r="AD685" s="164" t="n">
        <v>0</v>
      </c>
      <c r="AE685" s="185" t="n">
        <v>0</v>
      </c>
      <c r="AG685" s="167" t="inlineStr">
        <is>
          <t>7218|JA2581_1001</t>
        </is>
      </c>
      <c r="AH685" s="46">
        <f>IF(M685=0,"-",M685-J685)</f>
        <v/>
      </c>
      <c r="AI685" s="46">
        <f>IF(AND(S685=0,M685&gt;0,L685=0),IF(AH685&gt;=120,"VERY HIGH",IF(AH685&gt;=90,"HIGH",IF(AH685&gt;=60,"MEDIUM",IF(AH685&lt;60,"LOW")))),"-")</f>
        <v/>
      </c>
      <c r="AJ685" s="12" t="n"/>
      <c r="AK685" s="41">
        <f>IF(AND(W685="X",M685&lt;=$AJ$2),"YES","")</f>
        <v/>
      </c>
      <c r="AL685" s="38">
        <f>IF(AND(W685="X",M685&lt;=$AJ$2),S685,"")</f>
        <v/>
      </c>
      <c r="AM685" s="26">
        <f>IF(AND(W685="X",M685&gt;$AJ$2),"YES","")</f>
        <v/>
      </c>
      <c r="AN685" s="89">
        <f>IF(AND(W685="X",M685&gt;$AJ$2),S685,"")</f>
        <v/>
      </c>
      <c r="AO685" s="35">
        <f>IF(AND(W685="",M685&gt;0,$AJ$2&gt;M685,L685=""),1,0)</f>
        <v/>
      </c>
      <c r="AP685" s="26">
        <f>IF(AND(AK685="YES",W685="X"),"X","")</f>
        <v/>
      </c>
      <c r="AQ685" s="28">
        <f>IF(AP685="X",100%,0%)</f>
        <v/>
      </c>
      <c r="AR685" s="25">
        <f>IF(AND(T685&gt;0,L685=""),H685,"")</f>
        <v/>
      </c>
      <c r="AS685" s="25">
        <f>IF(AND(D685&gt;0,H685=0,G685=""),1,"")</f>
        <v/>
      </c>
      <c r="AT685" s="25">
        <f>IF(G685="BLOQ",1,"")</f>
        <v/>
      </c>
      <c r="AU685" s="25">
        <f>IF(L685="BLOQ",1,"")</f>
        <v/>
      </c>
      <c r="AV685" s="25">
        <f>MONTH(F685)</f>
        <v/>
      </c>
      <c r="AW685" s="65">
        <f>IF(AP685="",100%,0%)</f>
        <v/>
      </c>
      <c r="AX685" s="23" t="n"/>
      <c r="AY685" s="24">
        <f>IF(M685=0,"",M685-$AX$2)</f>
        <v/>
      </c>
      <c r="AZ685" s="66">
        <f>IF(AND(W685="",AY685&gt;0,AY685&lt;15),1,0)</f>
        <v/>
      </c>
      <c r="BA685" s="24">
        <f>IF(AND(W685="",AY685&gt;0,AY685&lt;15),T685,"")</f>
        <v/>
      </c>
      <c r="BB685" s="87">
        <f>IF(R685&lt;Q685,"X","")</f>
        <v/>
      </c>
      <c r="BC685" s="190" t="inlineStr">
        <is>
          <t>NO</t>
        </is>
      </c>
      <c r="BD685" s="191" t="inlineStr">
        <is>
          <t>SI</t>
        </is>
      </c>
    </row>
    <row r="686" ht="15" customHeight="1" s="162">
      <c r="A686" s="7" t="n">
        <v>685</v>
      </c>
      <c r="B686" t="inlineStr">
        <is>
          <t>1204305530820</t>
        </is>
      </c>
      <c r="C686" t="inlineStr">
        <is>
          <t>CNC CIR 23-55 55M RECPT WALL ZN/NI ROT-N</t>
        </is>
      </c>
      <c r="D686" t="inlineStr">
        <is>
          <t>1800108782</t>
        </is>
      </c>
      <c r="E686" t="inlineStr">
        <is>
          <t>230</t>
        </is>
      </c>
      <c r="F686" s="163" t="n">
        <v>45457</v>
      </c>
      <c r="G686" t="inlineStr"/>
      <c r="H686" t="inlineStr">
        <is>
          <t>4200569165</t>
        </is>
      </c>
      <c r="I686" t="inlineStr">
        <is>
          <t>30</t>
        </is>
      </c>
      <c r="J686" s="163" t="n">
        <v>45475</v>
      </c>
      <c r="K686" s="163" t="n">
        <v>45483</v>
      </c>
      <c r="L686" t="inlineStr"/>
      <c r="M686" s="163" t="n">
        <v>45488</v>
      </c>
      <c r="N686" s="164" t="n">
        <v>40</v>
      </c>
      <c r="O686" s="164" t="n">
        <v>8</v>
      </c>
      <c r="P686" t="inlineStr">
        <is>
          <t>Liberado</t>
        </is>
      </c>
      <c r="Q686" s="165" t="n">
        <v>1</v>
      </c>
      <c r="R686" s="165" t="n">
        <v>1</v>
      </c>
      <c r="S686" s="165" t="n">
        <v>1</v>
      </c>
      <c r="T686" s="165" t="n">
        <v>0</v>
      </c>
      <c r="U686" s="166" t="n">
        <v>1</v>
      </c>
      <c r="V686" s="166" t="n">
        <v>0</v>
      </c>
      <c r="W686" t="inlineStr">
        <is>
          <t>X</t>
        </is>
      </c>
      <c r="X686" t="inlineStr">
        <is>
          <t>0.00</t>
        </is>
      </c>
      <c r="Y686" t="inlineStr"/>
      <c r="Z686" t="inlineStr">
        <is>
          <t>CONECTORES Y CABLES VAHER, S.A.</t>
        </is>
      </c>
      <c r="AA686" t="inlineStr">
        <is>
          <t>MILITARY SPECS.</t>
        </is>
      </c>
      <c r="AB686" t="inlineStr">
        <is>
          <t>D38999/20ZH55PN</t>
        </is>
      </c>
      <c r="AC686" t="inlineStr"/>
      <c r="AD686" s="164" t="n">
        <v>0</v>
      </c>
      <c r="AE686" s="185" t="n">
        <v>0</v>
      </c>
      <c r="AG686" s="167" t="inlineStr">
        <is>
          <t>7218|JA2581_1001</t>
        </is>
      </c>
      <c r="AH686" s="46">
        <f>IF(M686=0,"-",M686-J686)</f>
        <v/>
      </c>
      <c r="AI686" s="46">
        <f>IF(AND(S686=0,M686&gt;0,L686=0),IF(AH686&gt;=120,"VERY HIGH",IF(AH686&gt;=90,"HIGH",IF(AH686&gt;=60,"MEDIUM",IF(AH686&lt;60,"LOW")))),"-")</f>
        <v/>
      </c>
      <c r="AJ686" s="12" t="n"/>
      <c r="AK686" s="41">
        <f>IF(AND(W686="X",M686&lt;=$AJ$2),"YES","")</f>
        <v/>
      </c>
      <c r="AL686" s="38">
        <f>IF(AND(W686="X",M686&lt;=$AJ$2),S686,"")</f>
        <v/>
      </c>
      <c r="AM686" s="26">
        <f>IF(AND(W686="X",M686&gt;$AJ$2),"YES","")</f>
        <v/>
      </c>
      <c r="AN686" s="89">
        <f>IF(AND(W686="X",M686&gt;$AJ$2),S686,"")</f>
        <v/>
      </c>
      <c r="AO686" s="35">
        <f>IF(AND(W686="",M686&gt;0,$AJ$2&gt;M686,L686=""),1,0)</f>
        <v/>
      </c>
      <c r="AP686" s="26">
        <f>IF(AND(AK686="YES",W686="X"),"X","")</f>
        <v/>
      </c>
      <c r="AQ686" s="28">
        <f>IF(AP686="X",100%,0%)</f>
        <v/>
      </c>
      <c r="AR686" s="25">
        <f>IF(AND(T686&gt;0,L686=""),H686,"")</f>
        <v/>
      </c>
      <c r="AS686" s="25">
        <f>IF(AND(D686&gt;0,H686=0,G686=""),1,"")</f>
        <v/>
      </c>
      <c r="AT686" s="25">
        <f>IF(G686="BLOQ",1,"")</f>
        <v/>
      </c>
      <c r="AU686" s="25">
        <f>IF(L686="BLOQ",1,"")</f>
        <v/>
      </c>
      <c r="AV686" s="25">
        <f>MONTH(F686)</f>
        <v/>
      </c>
      <c r="AW686" s="65">
        <f>IF(AP686="",100%,0%)</f>
        <v/>
      </c>
      <c r="AX686" s="23" t="n"/>
      <c r="AY686" s="24">
        <f>IF(M686=0,"",M686-$AX$2)</f>
        <v/>
      </c>
      <c r="AZ686" s="66">
        <f>IF(AND(W686="",AY686&gt;0,AY686&lt;15),1,0)</f>
        <v/>
      </c>
      <c r="BA686" s="24">
        <f>IF(AND(W686="",AY686&gt;0,AY686&lt;15),T686,"")</f>
        <v/>
      </c>
      <c r="BB686" s="87">
        <f>IF(R686&lt;Q686,"X","")</f>
        <v/>
      </c>
      <c r="BC686" s="190" t="inlineStr">
        <is>
          <t>NO</t>
        </is>
      </c>
      <c r="BD686" s="191" t="inlineStr">
        <is>
          <t>SI</t>
        </is>
      </c>
    </row>
    <row r="687" ht="15" customHeight="1" s="162">
      <c r="A687" s="7" t="n">
        <v>686</v>
      </c>
      <c r="B687" t="inlineStr">
        <is>
          <t>1204305530820</t>
        </is>
      </c>
      <c r="C687" t="inlineStr">
        <is>
          <t>CNC CIR 23-55 55M RECPT WALL ZN/NI ROT-N</t>
        </is>
      </c>
      <c r="D687" t="inlineStr">
        <is>
          <t>1800108782</t>
        </is>
      </c>
      <c r="E687" t="inlineStr">
        <is>
          <t>230</t>
        </is>
      </c>
      <c r="F687" s="163" t="n">
        <v>45457</v>
      </c>
      <c r="G687" t="inlineStr"/>
      <c r="H687" t="inlineStr">
        <is>
          <t>4200569022</t>
        </is>
      </c>
      <c r="I687" t="inlineStr">
        <is>
          <t>200</t>
        </is>
      </c>
      <c r="J687" s="163" t="n">
        <v>45475</v>
      </c>
      <c r="K687" s="163" t="inlineStr"/>
      <c r="L687" t="inlineStr">
        <is>
          <t>BORR</t>
        </is>
      </c>
      <c r="M687" s="163" t="n">
        <v>45488</v>
      </c>
      <c r="N687" s="164" t="n">
        <v>40</v>
      </c>
      <c r="O687" s="164" t="n">
        <v>8</v>
      </c>
      <c r="P687" t="inlineStr"/>
      <c r="Q687" s="165" t="n">
        <v>1</v>
      </c>
      <c r="R687" s="165" t="n">
        <v>1</v>
      </c>
      <c r="S687" s="165" t="n">
        <v>0</v>
      </c>
      <c r="T687" s="165" t="n">
        <v>1</v>
      </c>
      <c r="U687" s="166" t="n">
        <v>0</v>
      </c>
      <c r="V687" s="166" t="n">
        <v>0</v>
      </c>
      <c r="W687" t="inlineStr"/>
      <c r="X687" t="inlineStr">
        <is>
          <t>151.88</t>
        </is>
      </c>
      <c r="Y687" t="inlineStr"/>
      <c r="Z687" t="inlineStr">
        <is>
          <t>ICOMPPLUS ELECTRONICS S.L</t>
        </is>
      </c>
      <c r="AA687" t="inlineStr">
        <is>
          <t>MILITARY SPECS.</t>
        </is>
      </c>
      <c r="AB687" t="inlineStr">
        <is>
          <t>D38999/20ZH55PN</t>
        </is>
      </c>
      <c r="AC687" t="inlineStr"/>
      <c r="AD687" s="164" t="n">
        <v>0</v>
      </c>
      <c r="AE687" s="185" t="n">
        <v>0</v>
      </c>
      <c r="AG687" s="167" t="inlineStr">
        <is>
          <t>7218|JA2581_1001</t>
        </is>
      </c>
      <c r="AH687" s="46">
        <f>IF(M687=0,"-",M687-J687)</f>
        <v/>
      </c>
      <c r="AI687" s="46">
        <f>IF(AND(S687=0,M687&gt;0,L687=0),IF(AH687&gt;=120,"VERY HIGH",IF(AH687&gt;=90,"HIGH",IF(AH687&gt;=60,"MEDIUM",IF(AH687&lt;60,"LOW")))),"-")</f>
        <v/>
      </c>
      <c r="AJ687" s="12" t="n"/>
      <c r="AK687" s="41">
        <f>IF(AND(W687="X",M687&lt;=$AJ$2),"YES","")</f>
        <v/>
      </c>
      <c r="AL687" s="38">
        <f>IF(AND(W687="X",M687&lt;=$AJ$2),S687,"")</f>
        <v/>
      </c>
      <c r="AM687" s="26">
        <f>IF(AND(W687="X",M687&gt;$AJ$2),"YES","")</f>
        <v/>
      </c>
      <c r="AN687" s="89">
        <f>IF(AND(W687="X",M687&gt;$AJ$2),S687,"")</f>
        <v/>
      </c>
      <c r="AO687" s="35">
        <f>IF(AND(W687="",M687&gt;0,$AJ$2&gt;M687,L687=""),1,0)</f>
        <v/>
      </c>
      <c r="AP687" s="26">
        <f>IF(AND(AK687="YES",W687="X"),"X","")</f>
        <v/>
      </c>
      <c r="AQ687" s="28">
        <f>IF(AP687="X",100%,0%)</f>
        <v/>
      </c>
      <c r="AR687" s="25">
        <f>IF(AND(T687&gt;0,L687=""),H687,"")</f>
        <v/>
      </c>
      <c r="AS687" s="25">
        <f>IF(AND(D687&gt;0,H687=0,G687=""),1,"")</f>
        <v/>
      </c>
      <c r="AT687" s="25">
        <f>IF(G687="BLOQ",1,"")</f>
        <v/>
      </c>
      <c r="AU687" s="25">
        <f>IF(L687="BLOQ",1,"")</f>
        <v/>
      </c>
      <c r="AV687" s="25">
        <f>MONTH(F687)</f>
        <v/>
      </c>
      <c r="AW687" s="65">
        <f>IF(AP687="",100%,0%)</f>
        <v/>
      </c>
      <c r="AX687" s="23" t="n"/>
      <c r="AY687" s="24">
        <f>IF(M687=0,"",M687-$AX$2)</f>
        <v/>
      </c>
      <c r="AZ687" s="66">
        <f>IF(AND(W687="",AY687&gt;0,AY687&lt;15),1,0)</f>
        <v/>
      </c>
      <c r="BA687" s="24">
        <f>IF(AND(W687="",AY687&gt;0,AY687&lt;15),T687,"")</f>
        <v/>
      </c>
      <c r="BB687" s="87">
        <f>IF(R687&lt;Q687,"X","")</f>
        <v/>
      </c>
      <c r="BC687" s="190" t="inlineStr">
        <is>
          <t>NO</t>
        </is>
      </c>
      <c r="BD687" s="191" t="inlineStr">
        <is>
          <t>SI</t>
        </is>
      </c>
    </row>
    <row r="688" ht="15" customHeight="1" s="162">
      <c r="A688" s="7" t="n">
        <v>687</v>
      </c>
      <c r="B688" t="inlineStr">
        <is>
          <t>1209990030120</t>
        </is>
      </c>
      <c r="C688" t="inlineStr">
        <is>
          <t>CONTACTO MACHO M39029/4-111</t>
        </is>
      </c>
      <c r="D688" t="inlineStr">
        <is>
          <t>1800108782</t>
        </is>
      </c>
      <c r="E688" t="inlineStr">
        <is>
          <t>240</t>
        </is>
      </c>
      <c r="F688" s="163" t="n">
        <v>45457</v>
      </c>
      <c r="G688" t="inlineStr"/>
      <c r="H688" t="inlineStr">
        <is>
          <t>4200569159</t>
        </is>
      </c>
      <c r="I688" t="inlineStr">
        <is>
          <t>170</t>
        </is>
      </c>
      <c r="J688" s="163" t="n">
        <v>45475</v>
      </c>
      <c r="K688" s="163" t="n">
        <v>45477</v>
      </c>
      <c r="L688" t="inlineStr"/>
      <c r="M688" s="163" t="n">
        <v>45488</v>
      </c>
      <c r="N688" s="164" t="n">
        <v>30</v>
      </c>
      <c r="O688" s="164" t="n">
        <v>8</v>
      </c>
      <c r="P688" t="inlineStr">
        <is>
          <t>Liberado</t>
        </is>
      </c>
      <c r="Q688" s="165" t="n">
        <v>200</v>
      </c>
      <c r="R688" s="165" t="n">
        <v>200</v>
      </c>
      <c r="S688" s="165" t="n">
        <v>200</v>
      </c>
      <c r="T688" s="165" t="n">
        <v>0</v>
      </c>
      <c r="U688" s="166" t="n">
        <v>200</v>
      </c>
      <c r="V688" s="166" t="n">
        <v>0</v>
      </c>
      <c r="W688" t="inlineStr">
        <is>
          <t>X</t>
        </is>
      </c>
      <c r="X688" t="inlineStr">
        <is>
          <t>0.00</t>
        </is>
      </c>
      <c r="Y688" t="inlineStr"/>
      <c r="Z688" t="inlineStr">
        <is>
          <t>Electro Enterprises New York</t>
        </is>
      </c>
      <c r="AA688" t="inlineStr">
        <is>
          <t>MILITARY SPECS.</t>
        </is>
      </c>
      <c r="AB688" t="inlineStr">
        <is>
          <t>M39029/4-111</t>
        </is>
      </c>
      <c r="AC688" t="inlineStr"/>
      <c r="AD688" s="164" t="n">
        <v>0</v>
      </c>
      <c r="AE688" s="185" t="n">
        <v>0</v>
      </c>
      <c r="AG688" s="167" t="inlineStr">
        <is>
          <t>7218|JA2581_1001</t>
        </is>
      </c>
      <c r="AH688" s="46">
        <f>IF(M688=0,"-",M688-J688)</f>
        <v/>
      </c>
      <c r="AI688" s="46">
        <f>IF(AND(S688=0,M688&gt;0,L688=0),IF(AH688&gt;=120,"VERY HIGH",IF(AH688&gt;=90,"HIGH",IF(AH688&gt;=60,"MEDIUM",IF(AH688&lt;60,"LOW")))),"-")</f>
        <v/>
      </c>
      <c r="AJ688" s="12" t="n"/>
      <c r="AK688" s="41">
        <f>IF(AND(W688="X",M688&lt;=$AJ$2),"YES","")</f>
        <v/>
      </c>
      <c r="AL688" s="38">
        <f>IF(AND(W688="X",M688&lt;=$AJ$2),S688,"")</f>
        <v/>
      </c>
      <c r="AM688" s="26">
        <f>IF(AND(W688="X",M688&gt;$AJ$2),"YES","")</f>
        <v/>
      </c>
      <c r="AN688" s="89">
        <f>IF(AND(W688="X",M688&gt;$AJ$2),S688,"")</f>
        <v/>
      </c>
      <c r="AO688" s="35">
        <f>IF(AND(W688="",M688&gt;0,$AJ$2&gt;M688,L688=""),1,0)</f>
        <v/>
      </c>
      <c r="AP688" s="26">
        <f>IF(AND(AK688="YES",W688="X"),"X","")</f>
        <v/>
      </c>
      <c r="AQ688" s="28">
        <f>IF(AP688="X",100%,0%)</f>
        <v/>
      </c>
      <c r="AR688" s="25">
        <f>IF(AND(T688&gt;0,L688=""),H688,"")</f>
        <v/>
      </c>
      <c r="AS688" s="25">
        <f>IF(AND(D688&gt;0,H688=0,G688=""),1,"")</f>
        <v/>
      </c>
      <c r="AT688" s="25">
        <f>IF(G688="BLOQ",1,"")</f>
        <v/>
      </c>
      <c r="AU688" s="25">
        <f>IF(L688="BLOQ",1,"")</f>
        <v/>
      </c>
      <c r="AV688" s="25">
        <f>MONTH(F688)</f>
        <v/>
      </c>
      <c r="AW688" s="65">
        <f>IF(AP688="",100%,0%)</f>
        <v/>
      </c>
      <c r="AX688" s="23" t="n"/>
      <c r="AY688" s="24">
        <f>IF(M688=0,"",M688-$AX$2)</f>
        <v/>
      </c>
      <c r="AZ688" s="66">
        <f>IF(AND(W688="",AY688&gt;0,AY688&lt;15),1,0)</f>
        <v/>
      </c>
      <c r="BA688" s="24">
        <f>IF(AND(W688="",AY688&gt;0,AY688&lt;15),T688,"")</f>
        <v/>
      </c>
      <c r="BB688" s="87">
        <f>IF(R688&lt;Q688,"X","")</f>
        <v/>
      </c>
      <c r="BC688" s="190" t="inlineStr">
        <is>
          <t>NO</t>
        </is>
      </c>
      <c r="BD688" s="191" t="inlineStr">
        <is>
          <t>SI</t>
        </is>
      </c>
    </row>
    <row r="689" ht="15" customHeight="1" s="162">
      <c r="A689" s="7" t="n">
        <v>688</v>
      </c>
      <c r="B689" t="inlineStr">
        <is>
          <t>1212090200020</t>
        </is>
      </c>
      <c r="C689" t="inlineStr">
        <is>
          <t>PIN H CRIMP CNC SUB-D #20 AWG20-24(0,2-0</t>
        </is>
      </c>
      <c r="D689" t="inlineStr">
        <is>
          <t>1800108782</t>
        </is>
      </c>
      <c r="E689" t="inlineStr">
        <is>
          <t>250</t>
        </is>
      </c>
      <c r="F689" s="163" t="n">
        <v>45457</v>
      </c>
      <c r="G689" t="inlineStr"/>
      <c r="H689" t="inlineStr">
        <is>
          <t>4200569159</t>
        </is>
      </c>
      <c r="I689" t="inlineStr">
        <is>
          <t>180</t>
        </is>
      </c>
      <c r="J689" s="163" t="n">
        <v>45475</v>
      </c>
      <c r="K689" s="163" t="n">
        <v>45477</v>
      </c>
      <c r="L689" t="inlineStr"/>
      <c r="M689" s="163" t="n">
        <v>45488</v>
      </c>
      <c r="N689" s="164" t="n">
        <v>50</v>
      </c>
      <c r="O689" s="164" t="n">
        <v>8</v>
      </c>
      <c r="P689" t="inlineStr">
        <is>
          <t>Liberado</t>
        </is>
      </c>
      <c r="Q689" s="165" t="n">
        <v>100</v>
      </c>
      <c r="R689" s="165" t="n">
        <v>100</v>
      </c>
      <c r="S689" s="165" t="n">
        <v>100</v>
      </c>
      <c r="T689" s="165" t="n">
        <v>0</v>
      </c>
      <c r="U689" s="166" t="n">
        <v>100</v>
      </c>
      <c r="V689" s="166" t="n">
        <v>0</v>
      </c>
      <c r="W689" t="inlineStr">
        <is>
          <t>X</t>
        </is>
      </c>
      <c r="X689" t="inlineStr">
        <is>
          <t>0.00</t>
        </is>
      </c>
      <c r="Y689" t="inlineStr"/>
      <c r="Z689" t="inlineStr">
        <is>
          <t>Electro Enterprises New York</t>
        </is>
      </c>
      <c r="AA689" t="inlineStr">
        <is>
          <t>MILITARY SPECS.</t>
        </is>
      </c>
      <c r="AB689" t="inlineStr">
        <is>
          <t>M39029/63-368</t>
        </is>
      </c>
      <c r="AC689" t="inlineStr"/>
      <c r="AD689" s="164" t="n">
        <v>0</v>
      </c>
      <c r="AE689" s="185" t="n">
        <v>0</v>
      </c>
      <c r="AG689" s="167" t="inlineStr">
        <is>
          <t>7218|JA2581_1001</t>
        </is>
      </c>
      <c r="AH689" s="47">
        <f>IF(M689=0,"-",M689-J689)</f>
        <v/>
      </c>
      <c r="AI689" s="46">
        <f>IF(AND(S689=0,M689&gt;0,L689=0),IF(AH689&gt;=120,"VERY HIGH",IF(AH689&gt;=90,"HIGH",IF(AH689&gt;=60,"MEDIUM",IF(AH689&lt;60,"LOW")))),"-")</f>
        <v/>
      </c>
      <c r="AJ689" s="12" t="n"/>
      <c r="AK689" s="53">
        <f>IF(AND(W689="X",M689&lt;=$AJ$2),"YES","")</f>
        <v/>
      </c>
      <c r="AL689" s="54">
        <f>IF(AND(W689="X",M689&lt;=$AJ$2),S689,"")</f>
        <v/>
      </c>
      <c r="AM689" s="35" t="n"/>
      <c r="AN689" s="35">
        <f>IF(AND(W689="X",M689&gt;$AJ$2),S689,"")</f>
        <v/>
      </c>
      <c r="AO689" s="35">
        <f>IF(AND(W689="",M689&gt;0,$AJ$2&gt;M689,L689=""),1,0)</f>
        <v/>
      </c>
      <c r="AP689" s="35">
        <f>IF(AND(AK689="YES",W689="X"),"X","")</f>
        <v/>
      </c>
      <c r="AQ689" s="55">
        <f>IF(AP689="X",100%,0%)</f>
        <v/>
      </c>
      <c r="AR689" s="25">
        <f>IF(AND(T689&gt;0,L689=""),H689,"")</f>
        <v/>
      </c>
      <c r="AS689" s="25">
        <f>IF(AND(D689&gt;0,H689=0,G689=""),1,"")</f>
        <v/>
      </c>
      <c r="AT689" s="25">
        <f>IF(G689="BLOQ",1,"")</f>
        <v/>
      </c>
      <c r="AU689" s="25">
        <f>IF(L689="BLOQ",1,"")</f>
        <v/>
      </c>
      <c r="AV689" s="25">
        <f>MONTH(F689)</f>
        <v/>
      </c>
      <c r="AW689" s="65">
        <f>IF(AP689="",100%,0%)</f>
        <v/>
      </c>
      <c r="AX689" s="56" t="n"/>
      <c r="AY689" s="24">
        <f>IF(M689=0,"",M689-$AX$2)</f>
        <v/>
      </c>
      <c r="AZ689" s="66">
        <f>IF(AND(W689="",AY689&gt;0,AY689&lt;15),1,0)</f>
        <v/>
      </c>
      <c r="BA689" s="24">
        <f>IF(AND(W689="",AY689&gt;0,AY689&lt;15),T689,"")</f>
        <v/>
      </c>
      <c r="BB689" s="87">
        <f>IF(R689&lt;Q689,"X","")</f>
        <v/>
      </c>
      <c r="BC689" s="190" t="inlineStr">
        <is>
          <t>NO</t>
        </is>
      </c>
      <c r="BD689" s="191" t="inlineStr">
        <is>
          <t>SI</t>
        </is>
      </c>
    </row>
    <row r="690" ht="15" customHeight="1" s="162">
      <c r="A690" s="7" t="n">
        <v>689</v>
      </c>
      <c r="B690" t="inlineStr">
        <is>
          <t>1214000333721</t>
        </is>
      </c>
      <c r="C690" t="inlineStr">
        <is>
          <t>CNC CIR  8-98  (3H)  MS3476L8-98S</t>
        </is>
      </c>
      <c r="D690" t="inlineStr">
        <is>
          <t>1800108782</t>
        </is>
      </c>
      <c r="E690" t="inlineStr">
        <is>
          <t>260</t>
        </is>
      </c>
      <c r="F690" s="163" t="n">
        <v>45457</v>
      </c>
      <c r="G690" t="inlineStr"/>
      <c r="H690" t="inlineStr">
        <is>
          <t>4200569250</t>
        </is>
      </c>
      <c r="I690" t="inlineStr">
        <is>
          <t>20</t>
        </is>
      </c>
      <c r="J690" s="163" t="n">
        <v>45476</v>
      </c>
      <c r="K690" s="163" t="n">
        <v>45477</v>
      </c>
      <c r="L690" t="inlineStr"/>
      <c r="M690" s="163" t="n">
        <v>45494</v>
      </c>
      <c r="N690" s="164" t="n">
        <v>45</v>
      </c>
      <c r="O690" s="164" t="n">
        <v>8</v>
      </c>
      <c r="P690" t="inlineStr">
        <is>
          <t>Liberado</t>
        </is>
      </c>
      <c r="Q690" s="165" t="n">
        <v>20</v>
      </c>
      <c r="R690" s="165" t="n">
        <v>20</v>
      </c>
      <c r="S690" s="165" t="n">
        <v>20</v>
      </c>
      <c r="T690" s="165" t="n">
        <v>0</v>
      </c>
      <c r="U690" s="166" t="n">
        <v>20</v>
      </c>
      <c r="V690" s="166" t="n">
        <v>0</v>
      </c>
      <c r="W690" t="inlineStr">
        <is>
          <t>X</t>
        </is>
      </c>
      <c r="X690" t="inlineStr">
        <is>
          <t>0.00</t>
        </is>
      </c>
      <c r="Y690" t="inlineStr"/>
      <c r="Z690" t="inlineStr">
        <is>
          <t>CONECTORES Y CABLES VAHER, S.A.</t>
        </is>
      </c>
      <c r="AA690" t="inlineStr">
        <is>
          <t>MILITARY STANDARDS</t>
        </is>
      </c>
      <c r="AB690" t="inlineStr">
        <is>
          <t>MS3476L8-98S</t>
        </is>
      </c>
      <c r="AC690" t="inlineStr"/>
      <c r="AD690" s="164" t="n">
        <v>0</v>
      </c>
      <c r="AE690" s="185" t="n">
        <v>0</v>
      </c>
      <c r="AG690" s="167" t="inlineStr">
        <is>
          <t>7218|JA2581_1001</t>
        </is>
      </c>
      <c r="AH690" s="47">
        <f>IF(M690=0,"-",M690-J690)</f>
        <v/>
      </c>
      <c r="AI690" s="46">
        <f>IF(AND(S690=0,M690&gt;0,L690=0),IF(AH690&gt;=120,"VERY HIGH",IF(AH690&gt;=90,"HIGH",IF(AH690&gt;=60,"MEDIUM",IF(AH690&lt;60,"LOW")))),"-")</f>
        <v/>
      </c>
      <c r="AJ690" s="12" t="n"/>
      <c r="AK690" s="53">
        <f>IF(AND(W690="X",M690&lt;=$AJ$2),"YES","")</f>
        <v/>
      </c>
      <c r="AL690" s="54">
        <f>IF(AND(W690="X",M690&lt;=$AJ$2),S690,"")</f>
        <v/>
      </c>
      <c r="AM690" s="35" t="n"/>
      <c r="AN690" s="35">
        <f>IF(AND(W690="X",M690&gt;$AJ$2),S690,"")</f>
        <v/>
      </c>
      <c r="AO690" s="35">
        <f>IF(AND(W690="",M690&gt;0,$AJ$2&gt;M690,L690=""),1,0)</f>
        <v/>
      </c>
      <c r="AP690" s="35">
        <f>IF(AND(AK690="YES",W690="X"),"X","")</f>
        <v/>
      </c>
      <c r="AQ690" s="55">
        <f>IF(AP690="X",100%,0%)</f>
        <v/>
      </c>
      <c r="AR690" s="25">
        <f>IF(AND(T690&gt;0,L690=""),H690,"")</f>
        <v/>
      </c>
      <c r="AS690" s="25">
        <f>IF(AND(D690&gt;0,H690=0,G690=""),1,"")</f>
        <v/>
      </c>
      <c r="AT690" s="25">
        <f>IF(G690="BLOQ",1,"")</f>
        <v/>
      </c>
      <c r="AU690" s="25">
        <f>IF(L690="BLOQ",1,"")</f>
        <v/>
      </c>
      <c r="AV690" s="25">
        <f>MONTH(F690)</f>
        <v/>
      </c>
      <c r="AW690" s="65">
        <f>IF(AP690="",100%,0%)</f>
        <v/>
      </c>
      <c r="AX690" s="56" t="n"/>
      <c r="AY690" s="24">
        <f>IF(M690=0,"",M690-$AX$2)</f>
        <v/>
      </c>
      <c r="AZ690" s="66">
        <f>IF(AND(W690="",AY690&gt;0,AY690&lt;15),1,0)</f>
        <v/>
      </c>
      <c r="BA690" s="24">
        <f>IF(AND(W690="",AY690&gt;0,AY690&lt;15),T690,"")</f>
        <v/>
      </c>
      <c r="BB690" s="87">
        <f>IF(R690&lt;Q690,"X","")</f>
        <v/>
      </c>
      <c r="BC690" s="190" t="inlineStr">
        <is>
          <t>NO</t>
        </is>
      </c>
      <c r="BD690" s="191" t="inlineStr">
        <is>
          <t>SI</t>
        </is>
      </c>
    </row>
    <row r="691" ht="15" customHeight="1" s="162">
      <c r="A691" s="7" t="n">
        <v>690</v>
      </c>
      <c r="B691" t="inlineStr">
        <is>
          <t>1214001933721</t>
        </is>
      </c>
      <c r="C691" t="inlineStr">
        <is>
          <t>CNC CIR AER 14-19 (19H) MS3476L14-19S</t>
        </is>
      </c>
      <c r="D691" t="inlineStr">
        <is>
          <t>1800108782</t>
        </is>
      </c>
      <c r="E691" t="inlineStr">
        <is>
          <t>270</t>
        </is>
      </c>
      <c r="F691" s="163" t="n">
        <v>45457</v>
      </c>
      <c r="G691" t="inlineStr"/>
      <c r="H691" t="inlineStr">
        <is>
          <t>4200569250</t>
        </is>
      </c>
      <c r="I691" t="inlineStr">
        <is>
          <t>30</t>
        </is>
      </c>
      <c r="J691" s="163" t="n">
        <v>45476</v>
      </c>
      <c r="K691" s="163" t="n">
        <v>45477</v>
      </c>
      <c r="L691" t="inlineStr"/>
      <c r="M691" s="163" t="n">
        <v>45494</v>
      </c>
      <c r="N691" s="164" t="n">
        <v>35</v>
      </c>
      <c r="O691" s="164" t="n">
        <v>8</v>
      </c>
      <c r="P691" t="inlineStr">
        <is>
          <t>Liberado</t>
        </is>
      </c>
      <c r="Q691" s="165" t="n">
        <v>1</v>
      </c>
      <c r="R691" s="165" t="n">
        <v>1</v>
      </c>
      <c r="S691" s="165" t="n">
        <v>1</v>
      </c>
      <c r="T691" s="165" t="n">
        <v>0</v>
      </c>
      <c r="U691" s="166" t="n">
        <v>1</v>
      </c>
      <c r="V691" s="166" t="n">
        <v>0</v>
      </c>
      <c r="W691" t="inlineStr">
        <is>
          <t>X</t>
        </is>
      </c>
      <c r="X691" t="inlineStr">
        <is>
          <t>0.00</t>
        </is>
      </c>
      <c r="Y691" t="inlineStr"/>
      <c r="Z691" t="inlineStr">
        <is>
          <t>CONECTORES Y CABLES VAHER, S.A.</t>
        </is>
      </c>
      <c r="AA691" t="inlineStr">
        <is>
          <t>MILITARY STANDARDS</t>
        </is>
      </c>
      <c r="AB691" t="inlineStr">
        <is>
          <t>MS3476L14-19S</t>
        </is>
      </c>
      <c r="AC691" t="inlineStr"/>
      <c r="AD691" s="164" t="n">
        <v>0</v>
      </c>
      <c r="AE691" s="185" t="n">
        <v>0</v>
      </c>
      <c r="AG691" s="167" t="inlineStr">
        <is>
          <t>7218|JA2581_1001</t>
        </is>
      </c>
      <c r="AH691" s="47">
        <f>IF(M691=0,"-",M691-J691)</f>
        <v/>
      </c>
      <c r="AI691" s="46">
        <f>IF(AND(S691=0,M691&gt;0,L691=0),IF(AH691&gt;=120,"VERY HIGH",IF(AH691&gt;=90,"HIGH",IF(AH691&gt;=60,"MEDIUM",IF(AH691&lt;60,"LOW")))),"-")</f>
        <v/>
      </c>
      <c r="AJ691" s="12" t="n"/>
      <c r="AK691" s="53">
        <f>IF(AND(W691="X",M691&lt;=$AJ$2),"YES","")</f>
        <v/>
      </c>
      <c r="AL691" s="54">
        <f>IF(AND(W691="X",M691&lt;=$AJ$2),S691,"")</f>
        <v/>
      </c>
      <c r="AM691" s="35" t="n"/>
      <c r="AN691" s="35">
        <f>IF(AND(W691="X",M691&gt;$AJ$2),S691,"")</f>
        <v/>
      </c>
      <c r="AO691" s="35">
        <f>IF(AND(W691="",M691&gt;0,$AJ$2&gt;M691,L691=""),1,0)</f>
        <v/>
      </c>
      <c r="AP691" s="35">
        <f>IF(AND(AK691="YES",W691="X"),"X","")</f>
        <v/>
      </c>
      <c r="AQ691" s="55">
        <f>IF(AP691="X",100%,0%)</f>
        <v/>
      </c>
      <c r="AR691" s="25">
        <f>IF(AND(T691&gt;0,L691=""),H691,"")</f>
        <v/>
      </c>
      <c r="AS691" s="25">
        <f>IF(AND(D691&gt;0,H691=0,G691=""),1,"")</f>
        <v/>
      </c>
      <c r="AT691" s="25">
        <f>IF(G691="BLOQ",1,"")</f>
        <v/>
      </c>
      <c r="AU691" s="25">
        <f>IF(L691="BLOQ",1,"")</f>
        <v/>
      </c>
      <c r="AV691" s="25">
        <f>MONTH(F691)</f>
        <v/>
      </c>
      <c r="AW691" s="65">
        <f>IF(AP691="",100%,0%)</f>
        <v/>
      </c>
      <c r="AX691" s="56" t="n"/>
      <c r="AY691" s="24">
        <f>IF(M691=0,"",M691-$AX$2)</f>
        <v/>
      </c>
      <c r="AZ691" s="66">
        <f>IF(AND(W691="",AY691&gt;0,AY691&lt;15),1,0)</f>
        <v/>
      </c>
      <c r="BA691" s="24">
        <f>IF(AND(W691="",AY691&gt;0,AY691&lt;15),T691,"")</f>
        <v/>
      </c>
      <c r="BB691" s="87">
        <f>IF(R691&lt;Q691,"X","")</f>
        <v/>
      </c>
      <c r="BC691" s="190" t="inlineStr">
        <is>
          <t>NO</t>
        </is>
      </c>
      <c r="BD691" s="191" t="inlineStr">
        <is>
          <t>SI</t>
        </is>
      </c>
    </row>
    <row r="692" ht="15" customHeight="1" s="162">
      <c r="A692" s="7" t="n">
        <v>691</v>
      </c>
      <c r="B692" t="inlineStr">
        <is>
          <t>1214001933722</t>
        </is>
      </c>
      <c r="C692" t="inlineStr">
        <is>
          <t>CNC CIR  14-19  (19H)  MS3476L14-19SW</t>
        </is>
      </c>
      <c r="D692" t="inlineStr">
        <is>
          <t>1800108782</t>
        </is>
      </c>
      <c r="E692" t="inlineStr">
        <is>
          <t>280</t>
        </is>
      </c>
      <c r="F692" s="163" t="n">
        <v>45457</v>
      </c>
      <c r="G692" t="inlineStr"/>
      <c r="H692" t="inlineStr">
        <is>
          <t>4200569250</t>
        </is>
      </c>
      <c r="I692" t="inlineStr">
        <is>
          <t>40</t>
        </is>
      </c>
      <c r="J692" s="163" t="n">
        <v>45476</v>
      </c>
      <c r="K692" s="163" t="n">
        <v>45477</v>
      </c>
      <c r="L692" t="inlineStr"/>
      <c r="M692" s="163" t="n">
        <v>45494</v>
      </c>
      <c r="N692" s="164" t="n">
        <v>56</v>
      </c>
      <c r="O692" s="164" t="n">
        <v>8</v>
      </c>
      <c r="P692" t="inlineStr">
        <is>
          <t>Liberado</t>
        </is>
      </c>
      <c r="Q692" s="165" t="n">
        <v>1</v>
      </c>
      <c r="R692" s="165" t="n">
        <v>1</v>
      </c>
      <c r="S692" s="165" t="n">
        <v>1</v>
      </c>
      <c r="T692" s="165" t="n">
        <v>0</v>
      </c>
      <c r="U692" s="166" t="n">
        <v>1</v>
      </c>
      <c r="V692" s="166" t="n">
        <v>0</v>
      </c>
      <c r="W692" t="inlineStr">
        <is>
          <t>X</t>
        </is>
      </c>
      <c r="X692" t="inlineStr">
        <is>
          <t>0.00</t>
        </is>
      </c>
      <c r="Y692" t="inlineStr"/>
      <c r="Z692" t="inlineStr">
        <is>
          <t>CONECTORES Y CABLES VAHER, S.A.</t>
        </is>
      </c>
      <c r="AA692" t="inlineStr">
        <is>
          <t>MILITARY STANDARDS</t>
        </is>
      </c>
      <c r="AB692" t="inlineStr">
        <is>
          <t>MS3476L14-19SW</t>
        </is>
      </c>
      <c r="AC692" t="inlineStr"/>
      <c r="AD692" s="164" t="n">
        <v>0</v>
      </c>
      <c r="AE692" s="185" t="n">
        <v>0</v>
      </c>
      <c r="AG692" s="167" t="inlineStr">
        <is>
          <t>7218|JA2581_1001</t>
        </is>
      </c>
      <c r="AH692" s="47">
        <f>IF(M692=0,"-",M692-J692)</f>
        <v/>
      </c>
      <c r="AI692" s="46">
        <f>IF(AND(S692=0,M692&gt;0,L692=0),IF(AH692&gt;=120,"VERY HIGH",IF(AH692&gt;=90,"HIGH",IF(AH692&gt;=60,"MEDIUM",IF(AH692&lt;60,"LOW")))),"-")</f>
        <v/>
      </c>
      <c r="AJ692" s="12" t="n"/>
      <c r="AK692" s="53">
        <f>IF(AND(W692="X",M692&lt;=$AJ$2),"YES","")</f>
        <v/>
      </c>
      <c r="AL692" s="54">
        <f>IF(AND(W692="X",M692&lt;=$AJ$2),S692,"")</f>
        <v/>
      </c>
      <c r="AM692" s="35" t="n"/>
      <c r="AN692" s="35">
        <f>IF(AND(W692="X",M692&gt;$AJ$2),S692,"")</f>
        <v/>
      </c>
      <c r="AO692" s="35">
        <f>IF(AND(W692="",M692&gt;0,$AJ$2&gt;M692,L692=""),1,0)</f>
        <v/>
      </c>
      <c r="AP692" s="35">
        <f>IF(AND(AK692="YES",W692="X"),"X","")</f>
        <v/>
      </c>
      <c r="AQ692" s="55">
        <f>IF(AP692="X",100%,0%)</f>
        <v/>
      </c>
      <c r="AR692" s="25">
        <f>IF(AND(T692&gt;0,L692=""),H692,"")</f>
        <v/>
      </c>
      <c r="AS692" s="25">
        <f>IF(AND(D692&gt;0,H692=0,G692=""),1,"")</f>
        <v/>
      </c>
      <c r="AT692" s="25">
        <f>IF(G692="BLOQ",1,"")</f>
        <v/>
      </c>
      <c r="AU692" s="25">
        <f>IF(L692="BLOQ",1,"")</f>
        <v/>
      </c>
      <c r="AV692" s="25">
        <f>MONTH(F692)</f>
        <v/>
      </c>
      <c r="AW692" s="65">
        <f>IF(AP692="",100%,0%)</f>
        <v/>
      </c>
      <c r="AX692" s="56" t="n"/>
      <c r="AY692" s="24">
        <f>IF(M692=0,"",M692-$AX$2)</f>
        <v/>
      </c>
      <c r="AZ692" s="66">
        <f>IF(AND(W692="",AY692&gt;0,AY692&lt;15),1,0)</f>
        <v/>
      </c>
      <c r="BA692" s="24">
        <f>IF(AND(W692="",AY692&gt;0,AY692&lt;15),T692,"")</f>
        <v/>
      </c>
      <c r="BB692" s="87">
        <f>IF(R692&lt;Q692,"X","")</f>
        <v/>
      </c>
      <c r="BC692" s="190" t="inlineStr">
        <is>
          <t>NO</t>
        </is>
      </c>
      <c r="BD692" s="191" t="inlineStr">
        <is>
          <t>SI</t>
        </is>
      </c>
    </row>
    <row r="693" ht="15" customHeight="1" s="162">
      <c r="A693" s="7" t="n">
        <v>692</v>
      </c>
      <c r="B693" t="inlineStr">
        <is>
          <t>1214001933723</t>
        </is>
      </c>
      <c r="C693" t="inlineStr">
        <is>
          <t>CNC CIR 14-19 19P (H) PLUG MS3476L14-19S</t>
        </is>
      </c>
      <c r="D693" t="inlineStr">
        <is>
          <t>1800108782</t>
        </is>
      </c>
      <c r="E693" t="inlineStr">
        <is>
          <t>290</t>
        </is>
      </c>
      <c r="F693" s="163" t="n">
        <v>45457</v>
      </c>
      <c r="G693" t="inlineStr"/>
      <c r="H693" t="inlineStr">
        <is>
          <t>4200568992</t>
        </is>
      </c>
      <c r="I693" t="inlineStr">
        <is>
          <t>70</t>
        </is>
      </c>
      <c r="J693" s="163" t="n">
        <v>45474</v>
      </c>
      <c r="K693" s="163" t="n">
        <v>45478</v>
      </c>
      <c r="L693" t="inlineStr"/>
      <c r="M693" s="163" t="n">
        <v>45495</v>
      </c>
      <c r="N693" s="164" t="n">
        <v>40</v>
      </c>
      <c r="O693" s="164" t="n">
        <v>8</v>
      </c>
      <c r="P693" t="inlineStr">
        <is>
          <t>Liberado</t>
        </is>
      </c>
      <c r="Q693" s="165" t="n">
        <v>3</v>
      </c>
      <c r="R693" s="165" t="n">
        <v>3</v>
      </c>
      <c r="S693" s="165" t="n">
        <v>3</v>
      </c>
      <c r="T693" s="165" t="n">
        <v>0</v>
      </c>
      <c r="U693" s="166" t="n">
        <v>3</v>
      </c>
      <c r="V693" s="166" t="n">
        <v>0</v>
      </c>
      <c r="W693" t="inlineStr">
        <is>
          <t>X</t>
        </is>
      </c>
      <c r="X693" t="inlineStr">
        <is>
          <t>0.00</t>
        </is>
      </c>
      <c r="Y693" t="inlineStr"/>
      <c r="Z693" t="inlineStr">
        <is>
          <t>SUMINISTROS CONECTORES PROF.,SA.</t>
        </is>
      </c>
      <c r="AA693" t="inlineStr">
        <is>
          <t>MILITARY STANDARDS</t>
        </is>
      </c>
      <c r="AB693" t="inlineStr">
        <is>
          <t>MS3476L14-19SX</t>
        </is>
      </c>
      <c r="AC693" t="inlineStr"/>
      <c r="AD693" s="164" t="n">
        <v>0</v>
      </c>
      <c r="AE693" s="185" t="n">
        <v>0</v>
      </c>
      <c r="AG693" s="167" t="inlineStr">
        <is>
          <t>7218|JA2581_1001</t>
        </is>
      </c>
      <c r="AH693" s="47">
        <f>IF(M693=0,"-",M693-J693)</f>
        <v/>
      </c>
      <c r="AI693" s="46">
        <f>IF(AND(S693=0,M693&gt;0,L693=0),IF(AH693&gt;=120,"VERY HIGH",IF(AH693&gt;=90,"HIGH",IF(AH693&gt;=60,"MEDIUM",IF(AH693&lt;60,"LOW")))),"-")</f>
        <v/>
      </c>
      <c r="AJ693" s="12" t="n"/>
      <c r="AK693" s="53">
        <f>IF(AND(W693="X",M693&lt;=$AJ$2),"YES","")</f>
        <v/>
      </c>
      <c r="AL693" s="54">
        <f>IF(AND(W693="X",M693&lt;=$AJ$2),S693,"")</f>
        <v/>
      </c>
      <c r="AM693" s="35" t="n"/>
      <c r="AN693" s="35">
        <f>IF(AND(W693="X",M693&gt;$AJ$2),S693,"")</f>
        <v/>
      </c>
      <c r="AO693" s="35">
        <f>IF(AND(W693="",M693&gt;0,$AJ$2&gt;M693,L693=""),1,0)</f>
        <v/>
      </c>
      <c r="AP693" s="35">
        <f>IF(AND(AK693="YES",W693="X"),"X","")</f>
        <v/>
      </c>
      <c r="AQ693" s="55">
        <f>IF(AP693="X",100%,0%)</f>
        <v/>
      </c>
      <c r="AR693" s="25">
        <f>IF(AND(T693&gt;0,L693=""),H693,"")</f>
        <v/>
      </c>
      <c r="AS693" s="25">
        <f>IF(AND(D693&gt;0,H693=0,G693=""),1,"")</f>
        <v/>
      </c>
      <c r="AT693" s="25">
        <f>IF(G693="BLOQ",1,"")</f>
        <v/>
      </c>
      <c r="AU693" s="25">
        <f>IF(L693="BLOQ",1,"")</f>
        <v/>
      </c>
      <c r="AV693" s="25">
        <f>MONTH(F693)</f>
        <v/>
      </c>
      <c r="AW693" s="65">
        <f>IF(AP693="",100%,0%)</f>
        <v/>
      </c>
      <c r="AX693" s="56" t="n"/>
      <c r="AY693" s="24">
        <f>IF(M693=0,"",M693-$AX$2)</f>
        <v/>
      </c>
      <c r="AZ693" s="66">
        <f>IF(AND(W693="",AY693&gt;0,AY693&lt;15),1,0)</f>
        <v/>
      </c>
      <c r="BA693" s="24">
        <f>IF(AND(W693="",AY693&gt;0,AY693&lt;15),T693,"")</f>
        <v/>
      </c>
      <c r="BB693" s="87">
        <f>IF(R693&lt;Q693,"X","")</f>
        <v/>
      </c>
      <c r="BC693" s="190" t="inlineStr">
        <is>
          <t>NO</t>
        </is>
      </c>
      <c r="BD693" s="191" t="inlineStr">
        <is>
          <t>SI</t>
        </is>
      </c>
    </row>
    <row r="694" ht="15" customHeight="1" s="162">
      <c r="A694" s="7" t="n">
        <v>693</v>
      </c>
      <c r="B694" t="inlineStr">
        <is>
          <t>1214002432621</t>
        </is>
      </c>
      <c r="C694" t="inlineStr">
        <is>
          <t>CNC CIR 16-24  24/H PLUG M83723/75R16247</t>
        </is>
      </c>
      <c r="D694" t="inlineStr">
        <is>
          <t>1800108782</t>
        </is>
      </c>
      <c r="E694" t="inlineStr">
        <is>
          <t>300</t>
        </is>
      </c>
      <c r="F694" s="163" t="n">
        <v>45457</v>
      </c>
      <c r="G694" t="inlineStr"/>
      <c r="H694" t="inlineStr">
        <is>
          <t>4200569168</t>
        </is>
      </c>
      <c r="I694" t="inlineStr">
        <is>
          <t>40</t>
        </is>
      </c>
      <c r="J694" s="163" t="n">
        <v>45475</v>
      </c>
      <c r="K694" s="163" t="n">
        <v>45477</v>
      </c>
      <c r="L694" t="inlineStr"/>
      <c r="M694" s="163" t="n">
        <v>45488</v>
      </c>
      <c r="N694" s="164" t="n">
        <v>56</v>
      </c>
      <c r="O694" s="164" t="n">
        <v>8</v>
      </c>
      <c r="P694" t="inlineStr">
        <is>
          <t>Liberado</t>
        </is>
      </c>
      <c r="Q694" s="165" t="n">
        <v>1</v>
      </c>
      <c r="R694" s="165" t="n">
        <v>1</v>
      </c>
      <c r="S694" s="165" t="n">
        <v>1</v>
      </c>
      <c r="T694" s="165" t="n">
        <v>0</v>
      </c>
      <c r="U694" s="166" t="n">
        <v>1</v>
      </c>
      <c r="V694" s="166" t="n">
        <v>0</v>
      </c>
      <c r="W694" t="inlineStr">
        <is>
          <t>X</t>
        </is>
      </c>
      <c r="X694" t="inlineStr">
        <is>
          <t>0.00</t>
        </is>
      </c>
      <c r="Y694" t="inlineStr"/>
      <c r="Z694" t="inlineStr">
        <is>
          <t>ICOMPPLUS ELECTRONICS S.L</t>
        </is>
      </c>
      <c r="AA694" t="inlineStr">
        <is>
          <t>MILITARY SPECS.</t>
        </is>
      </c>
      <c r="AB694" t="inlineStr">
        <is>
          <t>M83723/75R16247</t>
        </is>
      </c>
      <c r="AC694" t="inlineStr"/>
      <c r="AD694" s="164" t="n">
        <v>0</v>
      </c>
      <c r="AE694" s="185" t="n">
        <v>0</v>
      </c>
      <c r="AG694" s="167" t="inlineStr">
        <is>
          <t>7218|JA2581_1001</t>
        </is>
      </c>
      <c r="AH694" s="47">
        <f>IF(M694=0,"-",M694-J694)</f>
        <v/>
      </c>
      <c r="AI694" s="46">
        <f>IF(AND(S694=0,M694&gt;0,L694=0),IF(AH694&gt;=120,"VERY HIGH",IF(AH694&gt;=90,"HIGH",IF(AH694&gt;=60,"MEDIUM",IF(AH694&lt;60,"LOW")))),"-")</f>
        <v/>
      </c>
      <c r="AJ694" s="12" t="n"/>
      <c r="AK694" s="53">
        <f>IF(AND(W694="X",M694&lt;=$AJ$2),"YES","")</f>
        <v/>
      </c>
      <c r="AL694" s="54">
        <f>IF(AND(W694="X",M694&lt;=$AJ$2),S694,"")</f>
        <v/>
      </c>
      <c r="AM694" s="35" t="n"/>
      <c r="AN694" s="35">
        <f>IF(AND(W694="X",M694&gt;$AJ$2),S694,"")</f>
        <v/>
      </c>
      <c r="AO694" s="35">
        <f>IF(AND(W694="",M694&gt;0,$AJ$2&gt;M694,L694=""),1,0)</f>
        <v/>
      </c>
      <c r="AP694" s="35">
        <f>IF(AND(AK694="YES",W694="X"),"X","")</f>
        <v/>
      </c>
      <c r="AQ694" s="55">
        <f>IF(AP694="X",100%,0%)</f>
        <v/>
      </c>
      <c r="AR694" s="25">
        <f>IF(AND(T694&gt;0,L694=""),H694,"")</f>
        <v/>
      </c>
      <c r="AS694" s="25">
        <f>IF(AND(D694&gt;0,H694=0,G694=""),1,"")</f>
        <v/>
      </c>
      <c r="AT694" s="25">
        <f>IF(G694="BLOQ",1,"")</f>
        <v/>
      </c>
      <c r="AU694" s="25">
        <f>IF(L694="BLOQ",1,"")</f>
        <v/>
      </c>
      <c r="AV694" s="25">
        <f>MONTH(F694)</f>
        <v/>
      </c>
      <c r="AW694" s="65">
        <f>IF(AP694="",100%,0%)</f>
        <v/>
      </c>
      <c r="AX694" s="56" t="n"/>
      <c r="AY694" s="24">
        <f>IF(M694=0,"",M694-$AX$2)</f>
        <v/>
      </c>
      <c r="AZ694" s="66">
        <f>IF(AND(W694="",AY694&gt;0,AY694&lt;15),1,0)</f>
        <v/>
      </c>
      <c r="BA694" s="24">
        <f>IF(AND(W694="",AY694&gt;0,AY694&lt;15),T694,"")</f>
        <v/>
      </c>
      <c r="BB694" s="87">
        <f>IF(R694&lt;Q694,"X","")</f>
        <v/>
      </c>
      <c r="BC694" s="190" t="inlineStr">
        <is>
          <t>NO</t>
        </is>
      </c>
      <c r="BD694" s="191" t="inlineStr">
        <is>
          <t>SI</t>
        </is>
      </c>
    </row>
    <row r="695" ht="15" customHeight="1" s="162">
      <c r="A695" s="7" t="n">
        <v>694</v>
      </c>
      <c r="B695" t="inlineStr">
        <is>
          <t>1214002432621</t>
        </is>
      </c>
      <c r="C695" t="inlineStr">
        <is>
          <t>CNC CIR 16-24  24/H PLUG M83723/75R16247</t>
        </is>
      </c>
      <c r="D695" t="inlineStr">
        <is>
          <t>1800108782</t>
        </is>
      </c>
      <c r="E695" t="inlineStr">
        <is>
          <t>300</t>
        </is>
      </c>
      <c r="F695" s="163" t="n">
        <v>45457</v>
      </c>
      <c r="G695" t="inlineStr"/>
      <c r="H695" t="inlineStr">
        <is>
          <t>4200569022</t>
        </is>
      </c>
      <c r="I695" t="inlineStr">
        <is>
          <t>210</t>
        </is>
      </c>
      <c r="J695" s="163" t="n">
        <v>45475</v>
      </c>
      <c r="K695" s="163" t="inlineStr"/>
      <c r="L695" t="inlineStr">
        <is>
          <t>BORR</t>
        </is>
      </c>
      <c r="M695" s="163" t="n">
        <v>45488</v>
      </c>
      <c r="N695" s="164" t="n">
        <v>56</v>
      </c>
      <c r="O695" s="164" t="n">
        <v>8</v>
      </c>
      <c r="P695" t="inlineStr"/>
      <c r="Q695" s="165" t="n">
        <v>1</v>
      </c>
      <c r="R695" s="165" t="n">
        <v>1</v>
      </c>
      <c r="S695" s="165" t="n">
        <v>0</v>
      </c>
      <c r="T695" s="165" t="n">
        <v>1</v>
      </c>
      <c r="U695" s="166" t="n">
        <v>0</v>
      </c>
      <c r="V695" s="166" t="n">
        <v>0</v>
      </c>
      <c r="W695" t="inlineStr"/>
      <c r="X695" t="inlineStr">
        <is>
          <t>237.88</t>
        </is>
      </c>
      <c r="Y695" t="inlineStr"/>
      <c r="Z695" t="inlineStr">
        <is>
          <t>ICOMPPLUS ELECTRONICS S.L</t>
        </is>
      </c>
      <c r="AA695" t="inlineStr">
        <is>
          <t>MILITARY SPECS.</t>
        </is>
      </c>
      <c r="AB695" t="inlineStr">
        <is>
          <t>M83723/75R16247</t>
        </is>
      </c>
      <c r="AC695" t="inlineStr"/>
      <c r="AD695" s="164" t="n">
        <v>0</v>
      </c>
      <c r="AE695" s="185" t="n">
        <v>0</v>
      </c>
      <c r="AG695" s="167" t="inlineStr">
        <is>
          <t>7218|JA2581_1001</t>
        </is>
      </c>
      <c r="AH695" s="47">
        <f>IF(M695=0,"-",M695-J695)</f>
        <v/>
      </c>
      <c r="AI695" s="46">
        <f>IF(AND(S695=0,M695&gt;0,L695=0),IF(AH695&gt;=120,"VERY HIGH",IF(AH695&gt;=90,"HIGH",IF(AH695&gt;=60,"MEDIUM",IF(AH695&lt;60,"LOW")))),"-")</f>
        <v/>
      </c>
      <c r="AJ695" s="12" t="n"/>
      <c r="AK695" s="53">
        <f>IF(AND(W695="X",M695&lt;=$AJ$2),"YES","")</f>
        <v/>
      </c>
      <c r="AL695" s="54">
        <f>IF(AND(W695="X",M695&lt;=$AJ$2),S695,"")</f>
        <v/>
      </c>
      <c r="AM695" s="35" t="n"/>
      <c r="AN695" s="35">
        <f>IF(AND(W695="X",M695&gt;$AJ$2),S695,"")</f>
        <v/>
      </c>
      <c r="AO695" s="35">
        <f>IF(AND(W695="",M695&gt;0,$AJ$2&gt;M695,L695=""),1,0)</f>
        <v/>
      </c>
      <c r="AP695" s="35">
        <f>IF(AND(AK695="YES",W695="X"),"X","")</f>
        <v/>
      </c>
      <c r="AQ695" s="55">
        <f>IF(AP695="X",100%,0%)</f>
        <v/>
      </c>
      <c r="AR695" s="25">
        <f>IF(AND(T695&gt;0,L695=""),H695,"")</f>
        <v/>
      </c>
      <c r="AS695" s="25">
        <f>IF(AND(D695&gt;0,H695=0,G695=""),1,"")</f>
        <v/>
      </c>
      <c r="AT695" s="25">
        <f>IF(G695="BLOQ",1,"")</f>
        <v/>
      </c>
      <c r="AU695" s="25">
        <f>IF(L695="BLOQ",1,"")</f>
        <v/>
      </c>
      <c r="AV695" s="25">
        <f>MONTH(F695)</f>
        <v/>
      </c>
      <c r="AW695" s="65">
        <f>IF(AP695="",100%,0%)</f>
        <v/>
      </c>
      <c r="AX695" s="56" t="n"/>
      <c r="AY695" s="24">
        <f>IF(M695=0,"",M695-$AX$2)</f>
        <v/>
      </c>
      <c r="AZ695" s="66">
        <f>IF(AND(W695="",AY695&gt;0,AY695&lt;15),1,0)</f>
        <v/>
      </c>
      <c r="BA695" s="24">
        <f>IF(AND(W695="",AY695&gt;0,AY695&lt;15),T695,"")</f>
        <v/>
      </c>
      <c r="BB695" s="87">
        <f>IF(R695&lt;Q695,"X","")</f>
        <v/>
      </c>
      <c r="BC695" s="190" t="inlineStr">
        <is>
          <t>NO</t>
        </is>
      </c>
      <c r="BD695" s="191" t="inlineStr">
        <is>
          <t>SI</t>
        </is>
      </c>
    </row>
    <row r="696" ht="15" customHeight="1" s="162">
      <c r="A696" s="7" t="n">
        <v>695</v>
      </c>
      <c r="B696" t="inlineStr">
        <is>
          <t>1214002432622</t>
        </is>
      </c>
      <c r="C696" t="inlineStr">
        <is>
          <t>CNC CIR 16-24  24/H PLUG M83723/75R16248</t>
        </is>
      </c>
      <c r="D696" t="inlineStr">
        <is>
          <t>1800108782</t>
        </is>
      </c>
      <c r="E696" t="inlineStr">
        <is>
          <t>310</t>
        </is>
      </c>
      <c r="F696" s="163" t="n">
        <v>45457</v>
      </c>
      <c r="G696" t="inlineStr"/>
      <c r="H696" t="inlineStr">
        <is>
          <t>4200569022</t>
        </is>
      </c>
      <c r="I696" t="inlineStr">
        <is>
          <t>220</t>
        </is>
      </c>
      <c r="J696" s="163" t="n">
        <v>45475</v>
      </c>
      <c r="K696" s="163" t="inlineStr"/>
      <c r="L696" t="inlineStr">
        <is>
          <t>BORR</t>
        </is>
      </c>
      <c r="M696" s="163" t="n">
        <v>45488</v>
      </c>
      <c r="N696" s="164" t="n">
        <v>56</v>
      </c>
      <c r="O696" s="164" t="n">
        <v>8</v>
      </c>
      <c r="P696" t="inlineStr"/>
      <c r="Q696" s="165" t="n">
        <v>1</v>
      </c>
      <c r="R696" s="165" t="n">
        <v>1</v>
      </c>
      <c r="S696" s="165" t="n">
        <v>0</v>
      </c>
      <c r="T696" s="165" t="n">
        <v>1</v>
      </c>
      <c r="U696" s="166" t="n">
        <v>0</v>
      </c>
      <c r="V696" s="166" t="n">
        <v>0</v>
      </c>
      <c r="W696" t="inlineStr"/>
      <c r="X696" t="inlineStr">
        <is>
          <t>241.74</t>
        </is>
      </c>
      <c r="Y696" t="inlineStr"/>
      <c r="Z696" t="inlineStr">
        <is>
          <t>ICOMPPLUS ELECTRONICS S.L</t>
        </is>
      </c>
      <c r="AA696" t="inlineStr">
        <is>
          <t>MILITARY SPECS.</t>
        </is>
      </c>
      <c r="AB696" t="inlineStr">
        <is>
          <t>M83723/75R16248</t>
        </is>
      </c>
      <c r="AC696" t="inlineStr"/>
      <c r="AD696" s="164" t="n">
        <v>0</v>
      </c>
      <c r="AE696" s="185" t="n">
        <v>0</v>
      </c>
      <c r="AG696" s="167" t="inlineStr">
        <is>
          <t>7218|JA2581_1001</t>
        </is>
      </c>
      <c r="AH696" s="47">
        <f>IF(M696=0,"-",M696-J696)</f>
        <v/>
      </c>
      <c r="AI696" s="46">
        <f>IF(AND(S696=0,M696&gt;0,L696=0),IF(AH696&gt;=120,"VERY HIGH",IF(AH696&gt;=90,"HIGH",IF(AH696&gt;=60,"MEDIUM",IF(AH696&lt;60,"LOW")))),"-")</f>
        <v/>
      </c>
      <c r="AJ696" s="12" t="n"/>
      <c r="AK696" s="53">
        <f>IF(AND(W696="X",M696&lt;=$AJ$2),"YES","")</f>
        <v/>
      </c>
      <c r="AL696" s="54">
        <f>IF(AND(W696="X",M696&lt;=$AJ$2),S696,"")</f>
        <v/>
      </c>
      <c r="AM696" s="35" t="n"/>
      <c r="AN696" s="35">
        <f>IF(AND(W696="X",M696&gt;$AJ$2),S696,"")</f>
        <v/>
      </c>
      <c r="AO696" s="35">
        <f>IF(AND(W696="",M696&gt;0,$AJ$2&gt;M696,L696=""),1,0)</f>
        <v/>
      </c>
      <c r="AP696" s="35">
        <f>IF(AND(AK696="YES",W696="X"),"X","")</f>
        <v/>
      </c>
      <c r="AQ696" s="55">
        <f>IF(AP696="X",100%,0%)</f>
        <v/>
      </c>
      <c r="AR696" s="25">
        <f>IF(AND(T696&gt;0,L696=""),H696,"")</f>
        <v/>
      </c>
      <c r="AS696" s="25">
        <f>IF(AND(D696&gt;0,H696=0,G696=""),1,"")</f>
        <v/>
      </c>
      <c r="AT696" s="25">
        <f>IF(G696="BLOQ",1,"")</f>
        <v/>
      </c>
      <c r="AU696" s="25">
        <f>IF(L696="BLOQ",1,"")</f>
        <v/>
      </c>
      <c r="AV696" s="25">
        <f>MONTH(F696)</f>
        <v/>
      </c>
      <c r="AW696" s="65">
        <f>IF(AP696="",100%,0%)</f>
        <v/>
      </c>
      <c r="AX696" s="56" t="n"/>
      <c r="AY696" s="24">
        <f>IF(M696=0,"",M696-$AX$2)</f>
        <v/>
      </c>
      <c r="AZ696" s="66">
        <f>IF(AND(W696="",AY696&gt;0,AY696&lt;15),1,0)</f>
        <v/>
      </c>
      <c r="BA696" s="24">
        <f>IF(AND(W696="",AY696&gt;0,AY696&lt;15),T696,"")</f>
        <v/>
      </c>
      <c r="BB696" s="87">
        <f>IF(R696&lt;Q696,"X","")</f>
        <v/>
      </c>
      <c r="BC696" s="190" t="inlineStr">
        <is>
          <t>NO</t>
        </is>
      </c>
      <c r="BD696" s="191" t="inlineStr">
        <is>
          <t>SI</t>
        </is>
      </c>
    </row>
    <row r="697" ht="15" customHeight="1" s="162">
      <c r="A697" s="7" t="n">
        <v>696</v>
      </c>
      <c r="B697" t="inlineStr">
        <is>
          <t>1214002432622</t>
        </is>
      </c>
      <c r="C697" t="inlineStr">
        <is>
          <t>CNC CIR 16-24  24/H PLUG M83723/75R16248</t>
        </is>
      </c>
      <c r="D697" t="inlineStr">
        <is>
          <t>1800108782</t>
        </is>
      </c>
      <c r="E697" t="inlineStr">
        <is>
          <t>310</t>
        </is>
      </c>
      <c r="F697" s="163" t="n">
        <v>45457</v>
      </c>
      <c r="G697" t="inlineStr"/>
      <c r="H697" t="inlineStr">
        <is>
          <t>4200569168</t>
        </is>
      </c>
      <c r="I697" t="inlineStr">
        <is>
          <t>50</t>
        </is>
      </c>
      <c r="J697" s="163" t="n">
        <v>45475</v>
      </c>
      <c r="K697" s="163" t="n">
        <v>45477</v>
      </c>
      <c r="L697" t="inlineStr"/>
      <c r="M697" s="163" t="n">
        <v>45488</v>
      </c>
      <c r="N697" s="164" t="n">
        <v>56</v>
      </c>
      <c r="O697" s="164" t="n">
        <v>8</v>
      </c>
      <c r="P697" t="inlineStr">
        <is>
          <t>Liberado</t>
        </is>
      </c>
      <c r="Q697" s="165" t="n">
        <v>1</v>
      </c>
      <c r="R697" s="165" t="n">
        <v>1</v>
      </c>
      <c r="S697" s="165" t="n">
        <v>1</v>
      </c>
      <c r="T697" s="165" t="n">
        <v>0</v>
      </c>
      <c r="U697" s="166" t="n">
        <v>1</v>
      </c>
      <c r="V697" s="166" t="n">
        <v>0</v>
      </c>
      <c r="W697" t="inlineStr">
        <is>
          <t>X</t>
        </is>
      </c>
      <c r="X697" t="inlineStr">
        <is>
          <t>0.00</t>
        </is>
      </c>
      <c r="Y697" t="inlineStr"/>
      <c r="Z697" t="inlineStr">
        <is>
          <t>ICOMPPLUS ELECTRONICS S.L</t>
        </is>
      </c>
      <c r="AA697" t="inlineStr">
        <is>
          <t>MILITARY SPECS.</t>
        </is>
      </c>
      <c r="AB697" t="inlineStr">
        <is>
          <t>M83723/75R16248</t>
        </is>
      </c>
      <c r="AC697" t="inlineStr"/>
      <c r="AD697" s="164" t="n">
        <v>0</v>
      </c>
      <c r="AE697" s="185" t="n">
        <v>0</v>
      </c>
      <c r="AG697" s="167" t="inlineStr">
        <is>
          <t>7218|JA2581_1001</t>
        </is>
      </c>
      <c r="AH697" s="47">
        <f>IF(M697=0,"-",M697-J697)</f>
        <v/>
      </c>
      <c r="AI697" s="46">
        <f>IF(AND(S697=0,M697&gt;0,L697=0),IF(AH697&gt;=120,"VERY HIGH",IF(AH697&gt;=90,"HIGH",IF(AH697&gt;=60,"MEDIUM",IF(AH697&lt;60,"LOW")))),"-")</f>
        <v/>
      </c>
      <c r="AJ697" s="12" t="n"/>
      <c r="AK697" s="53">
        <f>IF(AND(W697="X",M697&lt;=$AJ$2),"YES","")</f>
        <v/>
      </c>
      <c r="AL697" s="54">
        <f>IF(AND(W697="X",M697&lt;=$AJ$2),S697,"")</f>
        <v/>
      </c>
      <c r="AM697" s="35" t="n"/>
      <c r="AN697" s="35">
        <f>IF(AND(W697="X",M697&gt;$AJ$2),S697,"")</f>
        <v/>
      </c>
      <c r="AO697" s="35">
        <f>IF(AND(W697="",M697&gt;0,$AJ$2&gt;M697,L697=""),1,0)</f>
        <v/>
      </c>
      <c r="AP697" s="35">
        <f>IF(AND(AK697="YES",W697="X"),"X","")</f>
        <v/>
      </c>
      <c r="AQ697" s="55">
        <f>IF(AP697="X",100%,0%)</f>
        <v/>
      </c>
      <c r="AR697" s="25">
        <f>IF(AND(T697&gt;0,L697=""),H697,"")</f>
        <v/>
      </c>
      <c r="AS697" s="25">
        <f>IF(AND(D697&gt;0,H697=0,G697=""),1,"")</f>
        <v/>
      </c>
      <c r="AT697" s="25">
        <f>IF(G697="BLOQ",1,"")</f>
        <v/>
      </c>
      <c r="AU697" s="25">
        <f>IF(L697="BLOQ",1,"")</f>
        <v/>
      </c>
      <c r="AV697" s="25">
        <f>MONTH(F697)</f>
        <v/>
      </c>
      <c r="AW697" s="65">
        <f>IF(AP697="",100%,0%)</f>
        <v/>
      </c>
      <c r="AX697" s="56" t="n"/>
      <c r="AY697" s="24">
        <f>IF(M697=0,"",M697-$AX$2)</f>
        <v/>
      </c>
      <c r="AZ697" s="66">
        <f>IF(AND(W697="",AY697&gt;0,AY697&lt;15),1,0)</f>
        <v/>
      </c>
      <c r="BA697" s="24">
        <f>IF(AND(W697="",AY697&gt;0,AY697&lt;15),T697,"")</f>
        <v/>
      </c>
      <c r="BB697" s="87">
        <f>IF(R697&lt;Q697,"X","")</f>
        <v/>
      </c>
      <c r="BC697" s="190" t="inlineStr">
        <is>
          <t>NO</t>
        </is>
      </c>
      <c r="BD697" s="191" t="inlineStr">
        <is>
          <t>SI</t>
        </is>
      </c>
    </row>
    <row r="698" ht="15" customHeight="1" s="162">
      <c r="A698" s="7" t="n">
        <v>697</v>
      </c>
      <c r="B698" t="inlineStr">
        <is>
          <t>1214002633727</t>
        </is>
      </c>
      <c r="C698" t="inlineStr">
        <is>
          <t>CNC CIR 16-26  26P/H PLUG MS3476L16-26S</t>
        </is>
      </c>
      <c r="D698" t="inlineStr">
        <is>
          <t>1800108782</t>
        </is>
      </c>
      <c r="E698" t="inlineStr">
        <is>
          <t>320</t>
        </is>
      </c>
      <c r="F698" s="163" t="n">
        <v>45457</v>
      </c>
      <c r="G698" t="inlineStr"/>
      <c r="H698" t="inlineStr">
        <is>
          <t>4200569250</t>
        </is>
      </c>
      <c r="I698" t="inlineStr">
        <is>
          <t>50</t>
        </is>
      </c>
      <c r="J698" s="163" t="n">
        <v>45476</v>
      </c>
      <c r="K698" s="163" t="n">
        <v>45477</v>
      </c>
      <c r="L698" t="inlineStr"/>
      <c r="M698" s="163" t="n">
        <v>45494</v>
      </c>
      <c r="N698" s="164" t="n">
        <v>40</v>
      </c>
      <c r="O698" s="164" t="n">
        <v>8</v>
      </c>
      <c r="P698" t="inlineStr">
        <is>
          <t>Liberado</t>
        </is>
      </c>
      <c r="Q698" s="165" t="n">
        <v>5</v>
      </c>
      <c r="R698" s="165" t="n">
        <v>5</v>
      </c>
      <c r="S698" s="165" t="n">
        <v>5</v>
      </c>
      <c r="T698" s="165" t="n">
        <v>0</v>
      </c>
      <c r="U698" s="166" t="n">
        <v>5</v>
      </c>
      <c r="V698" s="166" t="n">
        <v>0</v>
      </c>
      <c r="W698" t="inlineStr">
        <is>
          <t>X</t>
        </is>
      </c>
      <c r="X698" t="inlineStr">
        <is>
          <t>0.00</t>
        </is>
      </c>
      <c r="Y698" t="inlineStr"/>
      <c r="Z698" t="inlineStr">
        <is>
          <t>CONECTORES Y CABLES VAHER, S.A.</t>
        </is>
      </c>
      <c r="AA698" t="inlineStr">
        <is>
          <t>MILITARY STANDARDS</t>
        </is>
      </c>
      <c r="AB698" t="inlineStr">
        <is>
          <t>MS3476L16-26S</t>
        </is>
      </c>
      <c r="AC698" t="inlineStr"/>
      <c r="AD698" s="164" t="n">
        <v>0</v>
      </c>
      <c r="AE698" s="185" t="n">
        <v>0</v>
      </c>
      <c r="AG698" s="167" t="inlineStr">
        <is>
          <t>7218|JA2581_1001</t>
        </is>
      </c>
      <c r="AH698" s="47">
        <f>IF(M698=0,"-",M698-J698)</f>
        <v/>
      </c>
      <c r="AI698" s="46">
        <f>IF(AND(S698=0,M698&gt;0,L698=0),IF(AH698&gt;=120,"VERY HIGH",IF(AH698&gt;=90,"HIGH",IF(AH698&gt;=60,"MEDIUM",IF(AH698&lt;60,"LOW")))),"-")</f>
        <v/>
      </c>
      <c r="AJ698" s="12" t="n"/>
      <c r="AK698" s="53">
        <f>IF(AND(W698="X",M698&lt;=$AJ$2),"YES","")</f>
        <v/>
      </c>
      <c r="AL698" s="54">
        <f>IF(AND(W698="X",M698&lt;=$AJ$2),S698,"")</f>
        <v/>
      </c>
      <c r="AM698" s="35" t="n"/>
      <c r="AN698" s="35">
        <f>IF(AND(W698="X",M698&gt;$AJ$2),S698,"")</f>
        <v/>
      </c>
      <c r="AO698" s="35">
        <f>IF(AND(W698="",M698&gt;0,$AJ$2&gt;M698,L698=""),1,0)</f>
        <v/>
      </c>
      <c r="AP698" s="35">
        <f>IF(AND(AK698="YES",W698="X"),"X","")</f>
        <v/>
      </c>
      <c r="AQ698" s="55">
        <f>IF(AP698="X",100%,0%)</f>
        <v/>
      </c>
      <c r="AR698" s="25">
        <f>IF(AND(T698&gt;0,L698=""),H698,"")</f>
        <v/>
      </c>
      <c r="AS698" s="25">
        <f>IF(AND(D698&gt;0,H698=0,G698=""),1,"")</f>
        <v/>
      </c>
      <c r="AT698" s="25">
        <f>IF(G698="BLOQ",1,"")</f>
        <v/>
      </c>
      <c r="AU698" s="25">
        <f>IF(L698="BLOQ",1,"")</f>
        <v/>
      </c>
      <c r="AV698" s="25">
        <f>MONTH(F698)</f>
        <v/>
      </c>
      <c r="AW698" s="65">
        <f>IF(AP698="",100%,0%)</f>
        <v/>
      </c>
      <c r="AX698" s="56" t="n"/>
      <c r="AY698" s="24">
        <f>IF(M698=0,"",M698-$AX$2)</f>
        <v/>
      </c>
      <c r="AZ698" s="66">
        <f>IF(AND(W698="",AY698&gt;0,AY698&lt;15),1,0)</f>
        <v/>
      </c>
      <c r="BA698" s="24">
        <f>IF(AND(W698="",AY698&gt;0,AY698&lt;15),T698,"")</f>
        <v/>
      </c>
      <c r="BB698" s="87">
        <f>IF(R698&lt;Q698,"X","")</f>
        <v/>
      </c>
      <c r="BC698" s="190" t="inlineStr">
        <is>
          <t>NO</t>
        </is>
      </c>
      <c r="BD698" s="191" t="inlineStr">
        <is>
          <t>SI</t>
        </is>
      </c>
    </row>
    <row r="699" ht="15" customHeight="1" s="162">
      <c r="A699" s="7" t="n">
        <v>698</v>
      </c>
      <c r="B699" t="inlineStr">
        <is>
          <t>1214002633742</t>
        </is>
      </c>
      <c r="C699" t="inlineStr">
        <is>
          <t>CNC CIR  16-26  (26H)  MS3476L16-26SY</t>
        </is>
      </c>
      <c r="D699" t="inlineStr">
        <is>
          <t>1800108782</t>
        </is>
      </c>
      <c r="E699" t="inlineStr">
        <is>
          <t>330</t>
        </is>
      </c>
      <c r="F699" s="163" t="n">
        <v>45457</v>
      </c>
      <c r="G699" t="inlineStr"/>
      <c r="H699" t="inlineStr">
        <is>
          <t>4200569250</t>
        </is>
      </c>
      <c r="I699" t="inlineStr">
        <is>
          <t>60</t>
        </is>
      </c>
      <c r="J699" s="163" t="n">
        <v>45476</v>
      </c>
      <c r="K699" s="163" t="n">
        <v>45477</v>
      </c>
      <c r="L699" t="inlineStr"/>
      <c r="M699" s="163" t="n">
        <v>45494</v>
      </c>
      <c r="N699" s="164" t="n">
        <v>56</v>
      </c>
      <c r="O699" s="164" t="n">
        <v>8</v>
      </c>
      <c r="P699" t="inlineStr">
        <is>
          <t>Liberado</t>
        </is>
      </c>
      <c r="Q699" s="165" t="n">
        <v>4</v>
      </c>
      <c r="R699" s="165" t="n">
        <v>4</v>
      </c>
      <c r="S699" s="165" t="n">
        <v>4</v>
      </c>
      <c r="T699" s="165" t="n">
        <v>0</v>
      </c>
      <c r="U699" s="166" t="n">
        <v>4</v>
      </c>
      <c r="V699" s="166" t="n">
        <v>0</v>
      </c>
      <c r="W699" t="inlineStr">
        <is>
          <t>X</t>
        </is>
      </c>
      <c r="X699" t="inlineStr">
        <is>
          <t>0.00</t>
        </is>
      </c>
      <c r="Y699" t="inlineStr"/>
      <c r="Z699" t="inlineStr">
        <is>
          <t>CONECTORES Y CABLES VAHER, S.A.</t>
        </is>
      </c>
      <c r="AA699" t="inlineStr">
        <is>
          <t>MILITARY STANDARDS</t>
        </is>
      </c>
      <c r="AB699" t="inlineStr">
        <is>
          <t>MS3476L16-26SY</t>
        </is>
      </c>
      <c r="AC699" t="inlineStr"/>
      <c r="AD699" s="164" t="n">
        <v>0</v>
      </c>
      <c r="AE699" s="185" t="n">
        <v>0</v>
      </c>
      <c r="AG699" s="167" t="inlineStr">
        <is>
          <t>7218|JA2581_1001</t>
        </is>
      </c>
      <c r="AH699" s="47">
        <f>IF(M699=0,"-",M699-J699)</f>
        <v/>
      </c>
      <c r="AI699" s="46">
        <f>IF(AND(S699=0,M699&gt;0,L699=0),IF(AH699&gt;=120,"VERY HIGH",IF(AH699&gt;=90,"HIGH",IF(AH699&gt;=60,"MEDIUM",IF(AH699&lt;60,"LOW")))),"-")</f>
        <v/>
      </c>
      <c r="AJ699" s="12" t="n"/>
      <c r="AK699" s="53">
        <f>IF(AND(W699="X",M699&lt;=$AJ$2),"YES","")</f>
        <v/>
      </c>
      <c r="AL699" s="54">
        <f>IF(AND(W699="X",M699&lt;=$AJ$2),S699,"")</f>
        <v/>
      </c>
      <c r="AM699" s="35" t="n"/>
      <c r="AN699" s="35">
        <f>IF(AND(W699="X",M699&gt;$AJ$2),S699,"")</f>
        <v/>
      </c>
      <c r="AO699" s="35">
        <f>IF(AND(W699="",M699&gt;0,$AJ$2&gt;M699,L699=""),1,0)</f>
        <v/>
      </c>
      <c r="AP699" s="35">
        <f>IF(AND(AK699="YES",W699="X"),"X","")</f>
        <v/>
      </c>
      <c r="AQ699" s="55">
        <f>IF(AP699="X",100%,0%)</f>
        <v/>
      </c>
      <c r="AR699" s="25">
        <f>IF(AND(T699&gt;0,L699=""),H699,"")</f>
        <v/>
      </c>
      <c r="AS699" s="25">
        <f>IF(AND(D699&gt;0,H699=0,G699=""),1,"")</f>
        <v/>
      </c>
      <c r="AT699" s="25">
        <f>IF(G699="BLOQ",1,"")</f>
        <v/>
      </c>
      <c r="AU699" s="25">
        <f>IF(L699="BLOQ",1,"")</f>
        <v/>
      </c>
      <c r="AV699" s="25">
        <f>MONTH(F699)</f>
        <v/>
      </c>
      <c r="AW699" s="65">
        <f>IF(AP699="",100%,0%)</f>
        <v/>
      </c>
      <c r="AX699" s="56" t="n"/>
      <c r="AY699" s="24">
        <f>IF(M699=0,"",M699-$AX$2)</f>
        <v/>
      </c>
      <c r="AZ699" s="66">
        <f>IF(AND(W699="",AY699&gt;0,AY699&lt;15),1,0)</f>
        <v/>
      </c>
      <c r="BA699" s="24">
        <f>IF(AND(W699="",AY699&gt;0,AY699&lt;15),T699,"")</f>
        <v/>
      </c>
      <c r="BB699" s="87">
        <f>IF(R699&lt;Q699,"X","")</f>
        <v/>
      </c>
      <c r="BC699" s="190" t="inlineStr">
        <is>
          <t>NO</t>
        </is>
      </c>
      <c r="BD699" s="191" t="inlineStr">
        <is>
          <t>SI</t>
        </is>
      </c>
    </row>
    <row r="700" ht="15" customHeight="1" s="162">
      <c r="A700" s="7" t="n">
        <v>699</v>
      </c>
      <c r="B700" t="inlineStr">
        <is>
          <t>1214002633762</t>
        </is>
      </c>
      <c r="C700" t="inlineStr">
        <is>
          <t>CNC CIR  16-26  (26H)  MS3476L16-26SW</t>
        </is>
      </c>
      <c r="D700" t="inlineStr">
        <is>
          <t>1800108782</t>
        </is>
      </c>
      <c r="E700" t="inlineStr">
        <is>
          <t>340</t>
        </is>
      </c>
      <c r="F700" s="163" t="n">
        <v>45457</v>
      </c>
      <c r="G700" t="inlineStr"/>
      <c r="H700" t="inlineStr">
        <is>
          <t>4200569250</t>
        </is>
      </c>
      <c r="I700" t="inlineStr">
        <is>
          <t>70</t>
        </is>
      </c>
      <c r="J700" s="163" t="n">
        <v>45476</v>
      </c>
      <c r="K700" s="163" t="n">
        <v>45477</v>
      </c>
      <c r="L700" t="inlineStr"/>
      <c r="M700" s="163" t="n">
        <v>45494</v>
      </c>
      <c r="N700" s="164" t="n">
        <v>56</v>
      </c>
      <c r="O700" s="164" t="n">
        <v>8</v>
      </c>
      <c r="P700" t="inlineStr">
        <is>
          <t>Liberado</t>
        </is>
      </c>
      <c r="Q700" s="165" t="n">
        <v>1</v>
      </c>
      <c r="R700" s="165" t="n">
        <v>1</v>
      </c>
      <c r="S700" s="165" t="n">
        <v>1</v>
      </c>
      <c r="T700" s="165" t="n">
        <v>0</v>
      </c>
      <c r="U700" s="166" t="n">
        <v>1</v>
      </c>
      <c r="V700" s="166" t="n">
        <v>0</v>
      </c>
      <c r="W700" t="inlineStr">
        <is>
          <t>X</t>
        </is>
      </c>
      <c r="X700" t="inlineStr">
        <is>
          <t>0.00</t>
        </is>
      </c>
      <c r="Y700" t="inlineStr"/>
      <c r="Z700" t="inlineStr">
        <is>
          <t>CONECTORES Y CABLES VAHER, S.A.</t>
        </is>
      </c>
      <c r="AA700" t="inlineStr">
        <is>
          <t>MILITARY STANDARDS</t>
        </is>
      </c>
      <c r="AB700" t="inlineStr">
        <is>
          <t>MS3476L16-26SW</t>
        </is>
      </c>
      <c r="AC700" t="inlineStr"/>
      <c r="AD700" s="164" t="n">
        <v>0</v>
      </c>
      <c r="AE700" s="185" t="n">
        <v>0</v>
      </c>
      <c r="AG700" s="167" t="inlineStr">
        <is>
          <t>7218|JA2581_1001</t>
        </is>
      </c>
      <c r="AH700" s="47">
        <f>IF(M700=0,"-",M700-J700)</f>
        <v/>
      </c>
      <c r="AI700" s="46">
        <f>IF(AND(S700=0,M700&gt;0,L700=0),IF(AH700&gt;=120,"VERY HIGH",IF(AH700&gt;=90,"HIGH",IF(AH700&gt;=60,"MEDIUM",IF(AH700&lt;60,"LOW")))),"-")</f>
        <v/>
      </c>
      <c r="AJ700" s="12" t="n"/>
      <c r="AK700" s="53">
        <f>IF(AND(W700="X",M700&lt;=$AJ$2),"YES","")</f>
        <v/>
      </c>
      <c r="AL700" s="54">
        <f>IF(AND(W700="X",M700&lt;=$AJ$2),S700,"")</f>
        <v/>
      </c>
      <c r="AM700" s="35" t="n"/>
      <c r="AN700" s="35">
        <f>IF(AND(W700="X",M700&gt;$AJ$2),S700,"")</f>
        <v/>
      </c>
      <c r="AO700" s="35">
        <f>IF(AND(W700="",M700&gt;0,$AJ$2&gt;M700,L700=""),1,0)</f>
        <v/>
      </c>
      <c r="AP700" s="35">
        <f>IF(AND(AK700="YES",W700="X"),"X","")</f>
        <v/>
      </c>
      <c r="AQ700" s="55">
        <f>IF(AP700="X",100%,0%)</f>
        <v/>
      </c>
      <c r="AR700" s="25">
        <f>IF(AND(T700&gt;0,L700=""),H700,"")</f>
        <v/>
      </c>
      <c r="AS700" s="25">
        <f>IF(AND(D700&gt;0,H700=0,G700=""),1,"")</f>
        <v/>
      </c>
      <c r="AT700" s="25">
        <f>IF(G700="BLOQ",1,"")</f>
        <v/>
      </c>
      <c r="AU700" s="25">
        <f>IF(L700="BLOQ",1,"")</f>
        <v/>
      </c>
      <c r="AV700" s="25">
        <f>MONTH(F700)</f>
        <v/>
      </c>
      <c r="AW700" s="65">
        <f>IF(AP700="",100%,0%)</f>
        <v/>
      </c>
      <c r="AX700" s="56" t="n"/>
      <c r="AY700" s="24">
        <f>IF(M700=0,"",M700-$AX$2)</f>
        <v/>
      </c>
      <c r="AZ700" s="66">
        <f>IF(AND(W700="",AY700&gt;0,AY700&lt;15),1,0)</f>
        <v/>
      </c>
      <c r="BA700" s="24">
        <f>IF(AND(W700="",AY700&gt;0,AY700&lt;15),T700,"")</f>
        <v/>
      </c>
      <c r="BB700" s="87">
        <f>IF(R700&lt;Q700,"X","")</f>
        <v/>
      </c>
      <c r="BC700" s="190" t="inlineStr">
        <is>
          <t>NO</t>
        </is>
      </c>
      <c r="BD700" s="191" t="inlineStr">
        <is>
          <t>SI</t>
        </is>
      </c>
    </row>
    <row r="701" ht="15" customHeight="1" s="162">
      <c r="A701" s="7" t="n">
        <v>700</v>
      </c>
      <c r="B701" t="inlineStr">
        <is>
          <t>1214003233721</t>
        </is>
      </c>
      <c r="C701" t="inlineStr">
        <is>
          <t>CNC CIR 18-32 32S (H) MS3476L18-32SN</t>
        </is>
      </c>
      <c r="D701" t="inlineStr">
        <is>
          <t>1800108782</t>
        </is>
      </c>
      <c r="E701" t="inlineStr">
        <is>
          <t>350</t>
        </is>
      </c>
      <c r="F701" s="163" t="n">
        <v>45457</v>
      </c>
      <c r="G701" t="inlineStr"/>
      <c r="H701" t="inlineStr">
        <is>
          <t>4200568992</t>
        </is>
      </c>
      <c r="I701" t="inlineStr">
        <is>
          <t>80</t>
        </is>
      </c>
      <c r="J701" s="163" t="n">
        <v>45474</v>
      </c>
      <c r="K701" s="163" t="n">
        <v>45478</v>
      </c>
      <c r="L701" t="inlineStr"/>
      <c r="M701" s="163" t="n">
        <v>45495</v>
      </c>
      <c r="N701" s="164" t="n">
        <v>125</v>
      </c>
      <c r="O701" s="164" t="n">
        <v>8</v>
      </c>
      <c r="P701" t="inlineStr">
        <is>
          <t>Liberado</t>
        </is>
      </c>
      <c r="Q701" s="165" t="n">
        <v>2</v>
      </c>
      <c r="R701" s="165" t="n">
        <v>2</v>
      </c>
      <c r="S701" s="165" t="n">
        <v>2</v>
      </c>
      <c r="T701" s="165" t="n">
        <v>0</v>
      </c>
      <c r="U701" s="166" t="n">
        <v>2</v>
      </c>
      <c r="V701" s="166" t="n">
        <v>0</v>
      </c>
      <c r="W701" t="inlineStr">
        <is>
          <t>X</t>
        </is>
      </c>
      <c r="X701" t="inlineStr">
        <is>
          <t>0.00</t>
        </is>
      </c>
      <c r="Y701" t="inlineStr"/>
      <c r="Z701" t="inlineStr">
        <is>
          <t>SUMINISTROS CONECTORES PROF.,SA.</t>
        </is>
      </c>
      <c r="AA701" t="inlineStr">
        <is>
          <t>MILITARY STANDARDS</t>
        </is>
      </c>
      <c r="AB701" t="inlineStr">
        <is>
          <t>MS3476L18-32SN</t>
        </is>
      </c>
      <c r="AC701" t="inlineStr"/>
      <c r="AD701" s="164" t="n">
        <v>0</v>
      </c>
      <c r="AE701" s="185" t="n">
        <v>0</v>
      </c>
      <c r="AG701" s="167" t="inlineStr">
        <is>
          <t>7218|JA2581_1001</t>
        </is>
      </c>
      <c r="AH701" s="47">
        <f>IF(M701=0,"-",M701-J701)</f>
        <v/>
      </c>
      <c r="AI701" s="46">
        <f>IF(AND(S701=0,M701&gt;0,L701=0),IF(AH701&gt;=120,"VERY HIGH",IF(AH701&gt;=90,"HIGH",IF(AH701&gt;=60,"MEDIUM",IF(AH701&lt;60,"LOW")))),"-")</f>
        <v/>
      </c>
      <c r="AJ701" s="12" t="n"/>
      <c r="AK701" s="53">
        <f>IF(AND(W701="X",M701&lt;=$AJ$2),"YES","")</f>
        <v/>
      </c>
      <c r="AL701" s="54">
        <f>IF(AND(W701="X",M701&lt;=$AJ$2),S701,"")</f>
        <v/>
      </c>
      <c r="AM701" s="35" t="n"/>
      <c r="AN701" s="35">
        <f>IF(AND(W701="X",M701&gt;$AJ$2),S701,"")</f>
        <v/>
      </c>
      <c r="AO701" s="35">
        <f>IF(AND(W701="",M701&gt;0,$AJ$2&gt;M701,L701=""),1,0)</f>
        <v/>
      </c>
      <c r="AP701" s="35">
        <f>IF(AND(AK701="YES",W701="X"),"X","")</f>
        <v/>
      </c>
      <c r="AQ701" s="55">
        <f>IF(AP701="X",100%,0%)</f>
        <v/>
      </c>
      <c r="AR701" s="25">
        <f>IF(AND(T701&gt;0,L701=""),H701,"")</f>
        <v/>
      </c>
      <c r="AS701" s="25">
        <f>IF(AND(D701&gt;0,H701=0,G701=""),1,"")</f>
        <v/>
      </c>
      <c r="AT701" s="25">
        <f>IF(G701="BLOQ",1,"")</f>
        <v/>
      </c>
      <c r="AU701" s="25">
        <f>IF(L701="BLOQ",1,"")</f>
        <v/>
      </c>
      <c r="AV701" s="25">
        <f>MONTH(F701)</f>
        <v/>
      </c>
      <c r="AW701" s="65">
        <f>IF(AP701="",100%,0%)</f>
        <v/>
      </c>
      <c r="AX701" s="56" t="n"/>
      <c r="AY701" s="24">
        <f>IF(M701=0,"",M701-$AX$2)</f>
        <v/>
      </c>
      <c r="AZ701" s="66">
        <f>IF(AND(W701="",AY701&gt;0,AY701&lt;15),1,0)</f>
        <v/>
      </c>
      <c r="BA701" s="24">
        <f>IF(AND(W701="",AY701&gt;0,AY701&lt;15),T701,"")</f>
        <v/>
      </c>
      <c r="BB701" s="87">
        <f>IF(R701&lt;Q701,"X","")</f>
        <v/>
      </c>
      <c r="BC701" s="190" t="inlineStr">
        <is>
          <t>NO</t>
        </is>
      </c>
      <c r="BD701" s="191" t="inlineStr">
        <is>
          <t>SI</t>
        </is>
      </c>
    </row>
    <row r="702" ht="15" customHeight="1" s="162">
      <c r="A702" s="7" t="n">
        <v>701</v>
      </c>
      <c r="B702" t="inlineStr">
        <is>
          <t>1214003233761</t>
        </is>
      </c>
      <c r="C702" t="inlineStr">
        <is>
          <t>CNC CIR  18-32  (32H)  MS3476L18-32SW</t>
        </is>
      </c>
      <c r="D702" t="inlineStr">
        <is>
          <t>1800108782</t>
        </is>
      </c>
      <c r="E702" t="inlineStr">
        <is>
          <t>360</t>
        </is>
      </c>
      <c r="F702" s="163" t="n">
        <v>45457</v>
      </c>
      <c r="G702" t="inlineStr"/>
      <c r="H702" t="inlineStr">
        <is>
          <t>4200568992</t>
        </is>
      </c>
      <c r="I702" t="inlineStr">
        <is>
          <t>90</t>
        </is>
      </c>
      <c r="J702" s="163" t="n">
        <v>45474</v>
      </c>
      <c r="K702" s="163" t="n">
        <v>45478</v>
      </c>
      <c r="L702" t="inlineStr"/>
      <c r="M702" s="163" t="n">
        <v>45495</v>
      </c>
      <c r="N702" s="164" t="n">
        <v>40</v>
      </c>
      <c r="O702" s="164" t="n">
        <v>8</v>
      </c>
      <c r="P702" t="inlineStr">
        <is>
          <t>Liberado</t>
        </is>
      </c>
      <c r="Q702" s="165" t="n">
        <v>2</v>
      </c>
      <c r="R702" s="165" t="n">
        <v>2</v>
      </c>
      <c r="S702" s="165" t="n">
        <v>2</v>
      </c>
      <c r="T702" s="165" t="n">
        <v>0</v>
      </c>
      <c r="U702" s="166" t="n">
        <v>2</v>
      </c>
      <c r="V702" s="166" t="n">
        <v>0</v>
      </c>
      <c r="W702" t="inlineStr">
        <is>
          <t>X</t>
        </is>
      </c>
      <c r="X702" t="inlineStr">
        <is>
          <t>0.00</t>
        </is>
      </c>
      <c r="Y702" t="inlineStr"/>
      <c r="Z702" t="inlineStr">
        <is>
          <t>SUMINISTROS CONECTORES PROF.,SA.</t>
        </is>
      </c>
      <c r="AA702" t="inlineStr">
        <is>
          <t>MILITARY STANDARDS</t>
        </is>
      </c>
      <c r="AB702" t="inlineStr">
        <is>
          <t>MS3476L18-32SW</t>
        </is>
      </c>
      <c r="AC702" t="inlineStr"/>
      <c r="AD702" s="164" t="n">
        <v>0</v>
      </c>
      <c r="AE702" s="185" t="n">
        <v>0</v>
      </c>
      <c r="AG702" s="167" t="inlineStr">
        <is>
          <t>7218|JA2581_1001</t>
        </is>
      </c>
      <c r="AH702" s="47">
        <f>IF(M702=0,"-",M702-J702)</f>
        <v/>
      </c>
      <c r="AI702" s="46">
        <f>IF(AND(S702=0,M702&gt;0,L702=0),IF(AH702&gt;=120,"VERY HIGH",IF(AH702&gt;=90,"HIGH",IF(AH702&gt;=60,"MEDIUM",IF(AH702&lt;60,"LOW")))),"-")</f>
        <v/>
      </c>
      <c r="AJ702" s="12" t="n"/>
      <c r="AK702" s="53">
        <f>IF(AND(W702="X",M702&lt;=$AJ$2),"YES","")</f>
        <v/>
      </c>
      <c r="AL702" s="54">
        <f>IF(AND(W702="X",M702&lt;=$AJ$2),S702,"")</f>
        <v/>
      </c>
      <c r="AM702" s="35" t="n"/>
      <c r="AN702" s="35">
        <f>IF(AND(W702="X",M702&gt;$AJ$2),S702,"")</f>
        <v/>
      </c>
      <c r="AO702" s="35">
        <f>IF(AND(W702="",M702&gt;0,$AJ$2&gt;M702,L702=""),1,0)</f>
        <v/>
      </c>
      <c r="AP702" s="35">
        <f>IF(AND(AK702="YES",W702="X"),"X","")</f>
        <v/>
      </c>
      <c r="AQ702" s="55">
        <f>IF(AP702="X",100%,0%)</f>
        <v/>
      </c>
      <c r="AR702" s="25">
        <f>IF(AND(T702&gt;0,L702=""),H702,"")</f>
        <v/>
      </c>
      <c r="AS702" s="25">
        <f>IF(AND(D702&gt;0,H702=0,G702=""),1,"")</f>
        <v/>
      </c>
      <c r="AT702" s="25">
        <f>IF(G702="BLOQ",1,"")</f>
        <v/>
      </c>
      <c r="AU702" s="25">
        <f>IF(L702="BLOQ",1,"")</f>
        <v/>
      </c>
      <c r="AV702" s="25">
        <f>MONTH(F702)</f>
        <v/>
      </c>
      <c r="AW702" s="65">
        <f>IF(AP702="",100%,0%)</f>
        <v/>
      </c>
      <c r="AX702" s="56" t="n"/>
      <c r="AY702" s="24">
        <f>IF(M702=0,"",M702-$AX$2)</f>
        <v/>
      </c>
      <c r="AZ702" s="66">
        <f>IF(AND(W702="",AY702&gt;0,AY702&lt;15),1,0)</f>
        <v/>
      </c>
      <c r="BA702" s="24">
        <f>IF(AND(W702="",AY702&gt;0,AY702&lt;15),T702,"")</f>
        <v/>
      </c>
      <c r="BB702" s="87">
        <f>IF(R702&lt;Q702,"X","")</f>
        <v/>
      </c>
      <c r="BC702" s="190" t="inlineStr">
        <is>
          <t>NO</t>
        </is>
      </c>
      <c r="BD702" s="191" t="inlineStr">
        <is>
          <t>SI</t>
        </is>
      </c>
    </row>
    <row r="703" ht="15" customHeight="1" s="162">
      <c r="A703" s="7" t="n">
        <v>702</v>
      </c>
      <c r="B703" t="inlineStr">
        <is>
          <t>1214004130021</t>
        </is>
      </c>
      <c r="C703" t="inlineStr">
        <is>
          <t>CNC CIR 20-41S/H PLUG RECT ELECT-NI R-Y</t>
        </is>
      </c>
      <c r="D703" t="inlineStr">
        <is>
          <t>1800108782</t>
        </is>
      </c>
      <c r="E703" t="inlineStr">
        <is>
          <t>370</t>
        </is>
      </c>
      <c r="F703" s="163" t="n">
        <v>45457</v>
      </c>
      <c r="G703" t="inlineStr"/>
      <c r="H703" t="inlineStr">
        <is>
          <t>4200569161</t>
        </is>
      </c>
      <c r="I703" t="inlineStr">
        <is>
          <t>180</t>
        </is>
      </c>
      <c r="J703" s="163" t="n">
        <v>45475</v>
      </c>
      <c r="K703" s="163" t="n">
        <v>45477</v>
      </c>
      <c r="L703" t="inlineStr"/>
      <c r="M703" s="163" t="n">
        <v>45488</v>
      </c>
      <c r="N703" s="164" t="n">
        <v>40</v>
      </c>
      <c r="O703" s="164" t="n">
        <v>8</v>
      </c>
      <c r="P703" t="inlineStr">
        <is>
          <t>Liberado</t>
        </is>
      </c>
      <c r="Q703" s="165" t="n">
        <v>1</v>
      </c>
      <c r="R703" s="165" t="n">
        <v>1</v>
      </c>
      <c r="S703" s="165" t="n">
        <v>1</v>
      </c>
      <c r="T703" s="165" t="n">
        <v>0</v>
      </c>
      <c r="U703" s="166" t="n">
        <v>1</v>
      </c>
      <c r="V703" s="166" t="n">
        <v>0</v>
      </c>
      <c r="W703" t="inlineStr">
        <is>
          <t>X</t>
        </is>
      </c>
      <c r="X703" t="inlineStr">
        <is>
          <t>0.00</t>
        </is>
      </c>
      <c r="Y703" t="inlineStr"/>
      <c r="Z703" t="inlineStr">
        <is>
          <t>SUMINISTROS CONECTORES PROF.,SA.</t>
        </is>
      </c>
      <c r="AA703" t="inlineStr">
        <is>
          <t>MILITARY SPECS.</t>
        </is>
      </c>
      <c r="AB703" t="inlineStr">
        <is>
          <t>MS3476L20-41SY</t>
        </is>
      </c>
      <c r="AC703" t="inlineStr"/>
      <c r="AD703" s="164" t="n">
        <v>0</v>
      </c>
      <c r="AE703" s="185" t="n">
        <v>0</v>
      </c>
      <c r="AG703" s="167" t="inlineStr">
        <is>
          <t>7218|JA2581_1001</t>
        </is>
      </c>
      <c r="AH703" s="47">
        <f>IF(M703=0,"-",M703-J703)</f>
        <v/>
      </c>
      <c r="AI703" s="46">
        <f>IF(AND(S703=0,M703&gt;0,L703=0),IF(AH703&gt;=120,"VERY HIGH",IF(AH703&gt;=90,"HIGH",IF(AH703&gt;=60,"MEDIUM",IF(AH703&lt;60,"LOW")))),"-")</f>
        <v/>
      </c>
      <c r="AJ703" s="12" t="n"/>
      <c r="AK703" s="53">
        <f>IF(AND(W703="X",M703&lt;=$AJ$2),"YES","")</f>
        <v/>
      </c>
      <c r="AL703" s="54">
        <f>IF(AND(W703="X",M703&lt;=$AJ$2),S703,"")</f>
        <v/>
      </c>
      <c r="AM703" s="35" t="n"/>
      <c r="AN703" s="35">
        <f>IF(AND(W703="X",M703&gt;$AJ$2),S703,"")</f>
        <v/>
      </c>
      <c r="AO703" s="35">
        <f>IF(AND(W703="",M703&gt;0,$AJ$2&gt;M703,L703=""),1,0)</f>
        <v/>
      </c>
      <c r="AP703" s="35">
        <f>IF(AND(AK703="YES",W703="X"),"X","")</f>
        <v/>
      </c>
      <c r="AQ703" s="55">
        <f>IF(AP703="X",100%,0%)</f>
        <v/>
      </c>
      <c r="AR703" s="25">
        <f>IF(AND(T703&gt;0,L703=""),H703,"")</f>
        <v/>
      </c>
      <c r="AS703" s="25">
        <f>IF(AND(D703&gt;0,H703=0,G703=""),1,"")</f>
        <v/>
      </c>
      <c r="AT703" s="25">
        <f>IF(G703="BLOQ",1,"")</f>
        <v/>
      </c>
      <c r="AU703" s="25">
        <f>IF(L703="BLOQ",1,"")</f>
        <v/>
      </c>
      <c r="AV703" s="25">
        <f>MONTH(F703)</f>
        <v/>
      </c>
      <c r="AW703" s="65">
        <f>IF(AP703="",100%,0%)</f>
        <v/>
      </c>
      <c r="AX703" s="56" t="n"/>
      <c r="AY703" s="24">
        <f>IF(M703=0,"",M703-$AX$2)</f>
        <v/>
      </c>
      <c r="AZ703" s="66">
        <f>IF(AND(W703="",AY703&gt;0,AY703&lt;15),1,0)</f>
        <v/>
      </c>
      <c r="BA703" s="24">
        <f>IF(AND(W703="",AY703&gt;0,AY703&lt;15),T703,"")</f>
        <v/>
      </c>
      <c r="BB703" s="87">
        <f>IF(R703&lt;Q703,"X","")</f>
        <v/>
      </c>
      <c r="BC703" s="190" t="inlineStr">
        <is>
          <t>NO</t>
        </is>
      </c>
      <c r="BD703" s="191" t="inlineStr">
        <is>
          <t>SI</t>
        </is>
      </c>
    </row>
    <row r="704" ht="15" customHeight="1" s="162">
      <c r="A704" s="7" t="n">
        <v>703</v>
      </c>
      <c r="B704" t="inlineStr">
        <is>
          <t>1214004130021</t>
        </is>
      </c>
      <c r="C704" t="inlineStr">
        <is>
          <t>CNC CIR 20-41S/H PLUG RECT ELECT-NI R-Y</t>
        </is>
      </c>
      <c r="D704" t="inlineStr">
        <is>
          <t>1800108782</t>
        </is>
      </c>
      <c r="E704" t="inlineStr">
        <is>
          <t>370</t>
        </is>
      </c>
      <c r="F704" s="163" t="n">
        <v>45457</v>
      </c>
      <c r="G704" t="inlineStr"/>
      <c r="H704" t="inlineStr">
        <is>
          <t>4200569022</t>
        </is>
      </c>
      <c r="I704" t="inlineStr">
        <is>
          <t>230</t>
        </is>
      </c>
      <c r="J704" s="163" t="n">
        <v>45475</v>
      </c>
      <c r="K704" s="163" t="inlineStr"/>
      <c r="L704" t="inlineStr">
        <is>
          <t>BORR</t>
        </is>
      </c>
      <c r="M704" s="163" t="n">
        <v>45488</v>
      </c>
      <c r="N704" s="164" t="n">
        <v>40</v>
      </c>
      <c r="O704" s="164" t="n">
        <v>8</v>
      </c>
      <c r="P704" t="inlineStr"/>
      <c r="Q704" s="165" t="n">
        <v>1</v>
      </c>
      <c r="R704" s="165" t="n">
        <v>1</v>
      </c>
      <c r="S704" s="165" t="n">
        <v>0</v>
      </c>
      <c r="T704" s="165" t="n">
        <v>1</v>
      </c>
      <c r="U704" s="166" t="n">
        <v>0</v>
      </c>
      <c r="V704" s="166" t="n">
        <v>0</v>
      </c>
      <c r="W704" t="inlineStr"/>
      <c r="X704" t="inlineStr">
        <is>
          <t>235.65</t>
        </is>
      </c>
      <c r="Y704" t="inlineStr"/>
      <c r="Z704" t="inlineStr">
        <is>
          <t>ICOMPPLUS ELECTRONICS S.L</t>
        </is>
      </c>
      <c r="AA704" t="inlineStr">
        <is>
          <t>MILITARY SPECS.</t>
        </is>
      </c>
      <c r="AB704" t="inlineStr">
        <is>
          <t>MS3476L20-41SY</t>
        </is>
      </c>
      <c r="AC704" t="inlineStr"/>
      <c r="AD704" s="164" t="n">
        <v>0</v>
      </c>
      <c r="AE704" s="185" t="n">
        <v>0</v>
      </c>
      <c r="AG704" s="167" t="inlineStr">
        <is>
          <t>7218|JA2581_1001</t>
        </is>
      </c>
      <c r="AH704" s="47">
        <f>IF(M704=0,"-",M704-J704)</f>
        <v/>
      </c>
      <c r="AI704" s="46">
        <f>IF(AND(S704=0,M704&gt;0,L704=0),IF(AH704&gt;=120,"VERY HIGH",IF(AH704&gt;=90,"HIGH",IF(AH704&gt;=60,"MEDIUM",IF(AH704&lt;60,"LOW")))),"-")</f>
        <v/>
      </c>
      <c r="AJ704" s="12" t="n"/>
      <c r="AK704" s="53">
        <f>IF(AND(W704="X",M704&lt;=$AJ$2),"YES","")</f>
        <v/>
      </c>
      <c r="AL704" s="54">
        <f>IF(AND(W704="X",M704&lt;=$AJ$2),S704,"")</f>
        <v/>
      </c>
      <c r="AM704" s="35" t="n"/>
      <c r="AN704" s="35">
        <f>IF(AND(W704="X",M704&gt;$AJ$2),S704,"")</f>
        <v/>
      </c>
      <c r="AO704" s="35">
        <f>IF(AND(W704="",M704&gt;0,$AJ$2&gt;M704,L704=""),1,0)</f>
        <v/>
      </c>
      <c r="AP704" s="35">
        <f>IF(AND(AK704="YES",W704="X"),"X","")</f>
        <v/>
      </c>
      <c r="AQ704" s="55">
        <f>IF(AP704="X",100%,0%)</f>
        <v/>
      </c>
      <c r="AR704" s="25">
        <f>IF(AND(T704&gt;0,L704=""),H704,"")</f>
        <v/>
      </c>
      <c r="AS704" s="25">
        <f>IF(AND(D704&gt;0,H704=0,G704=""),1,"")</f>
        <v/>
      </c>
      <c r="AT704" s="25">
        <f>IF(G704="BLOQ",1,"")</f>
        <v/>
      </c>
      <c r="AU704" s="25">
        <f>IF(L704="BLOQ",1,"")</f>
        <v/>
      </c>
      <c r="AV704" s="25">
        <f>MONTH(F704)</f>
        <v/>
      </c>
      <c r="AW704" s="65">
        <f>IF(AP704="",100%,0%)</f>
        <v/>
      </c>
      <c r="AX704" s="56" t="n"/>
      <c r="AY704" s="24">
        <f>IF(M704=0,"",M704-$AX$2)</f>
        <v/>
      </c>
      <c r="AZ704" s="66">
        <f>IF(AND(W704="",AY704&gt;0,AY704&lt;15),1,0)</f>
        <v/>
      </c>
      <c r="BA704" s="24">
        <f>IF(AND(W704="",AY704&gt;0,AY704&lt;15),T704,"")</f>
        <v/>
      </c>
      <c r="BB704" s="87">
        <f>IF(R704&lt;Q704,"X","")</f>
        <v/>
      </c>
      <c r="BC704" s="190" t="inlineStr">
        <is>
          <t>NO</t>
        </is>
      </c>
      <c r="BD704" s="191" t="inlineStr">
        <is>
          <t>SI</t>
        </is>
      </c>
    </row>
    <row r="705" ht="15" customHeight="1" s="162">
      <c r="A705" s="7" t="n">
        <v>704</v>
      </c>
      <c r="B705" t="inlineStr">
        <is>
          <t>1214004133721</t>
        </is>
      </c>
      <c r="C705" t="inlineStr">
        <is>
          <t>CNC CIR  20-41  (41H)  MS3476L20-41S</t>
        </is>
      </c>
      <c r="D705" t="inlineStr">
        <is>
          <t>1800108782</t>
        </is>
      </c>
      <c r="E705" t="inlineStr">
        <is>
          <t>380</t>
        </is>
      </c>
      <c r="F705" s="163" t="n">
        <v>45457</v>
      </c>
      <c r="G705" t="inlineStr"/>
      <c r="H705" t="inlineStr">
        <is>
          <t>4200569250</t>
        </is>
      </c>
      <c r="I705" t="inlineStr">
        <is>
          <t>80</t>
        </is>
      </c>
      <c r="J705" s="163" t="n">
        <v>45476</v>
      </c>
      <c r="K705" s="163" t="n">
        <v>45477</v>
      </c>
      <c r="L705" t="inlineStr"/>
      <c r="M705" s="163" t="n">
        <v>45494</v>
      </c>
      <c r="N705" s="164" t="n">
        <v>40</v>
      </c>
      <c r="O705" s="164" t="n">
        <v>8</v>
      </c>
      <c r="P705" t="inlineStr">
        <is>
          <t>Liberado</t>
        </is>
      </c>
      <c r="Q705" s="165" t="n">
        <v>2</v>
      </c>
      <c r="R705" s="165" t="n">
        <v>2</v>
      </c>
      <c r="S705" s="165" t="n">
        <v>2</v>
      </c>
      <c r="T705" s="165" t="n">
        <v>0</v>
      </c>
      <c r="U705" s="166" t="n">
        <v>2</v>
      </c>
      <c r="V705" s="166" t="n">
        <v>0</v>
      </c>
      <c r="W705" t="inlineStr">
        <is>
          <t>X</t>
        </is>
      </c>
      <c r="X705" t="inlineStr">
        <is>
          <t>0.00</t>
        </is>
      </c>
      <c r="Y705" t="inlineStr"/>
      <c r="Z705" t="inlineStr">
        <is>
          <t>CONECTORES Y CABLES VAHER, S.A.</t>
        </is>
      </c>
      <c r="AA705" t="inlineStr">
        <is>
          <t>MILITARY STANDARDS</t>
        </is>
      </c>
      <c r="AB705" t="inlineStr">
        <is>
          <t>MS3476L20-41S</t>
        </is>
      </c>
      <c r="AC705" t="inlineStr"/>
      <c r="AD705" s="164" t="n">
        <v>0</v>
      </c>
      <c r="AE705" s="185" t="n">
        <v>0</v>
      </c>
      <c r="AG705" s="167" t="inlineStr">
        <is>
          <t>7218|JA2581_1001</t>
        </is>
      </c>
      <c r="AH705" s="47">
        <f>IF(M705=0,"-",M705-J705)</f>
        <v/>
      </c>
      <c r="AI705" s="46">
        <f>IF(AND(S705=0,M705&gt;0,L705=0),IF(AH705&gt;=120,"VERY HIGH",IF(AH705&gt;=90,"HIGH",IF(AH705&gt;=60,"MEDIUM",IF(AH705&lt;60,"LOW")))),"-")</f>
        <v/>
      </c>
      <c r="AJ705" s="12" t="n"/>
      <c r="AK705" s="53">
        <f>IF(AND(W705="X",M705&lt;=$AJ$2),"YES","")</f>
        <v/>
      </c>
      <c r="AL705" s="54">
        <f>IF(AND(W705="X",M705&lt;=$AJ$2),S705,"")</f>
        <v/>
      </c>
      <c r="AM705" s="35" t="n"/>
      <c r="AN705" s="35">
        <f>IF(AND(W705="X",M705&gt;$AJ$2),S705,"")</f>
        <v/>
      </c>
      <c r="AO705" s="35">
        <f>IF(AND(W705="",M705&gt;0,$AJ$2&gt;M705,L705=""),1,0)</f>
        <v/>
      </c>
      <c r="AP705" s="35">
        <f>IF(AND(AK705="YES",W705="X"),"X","")</f>
        <v/>
      </c>
      <c r="AQ705" s="55">
        <f>IF(AP705="X",100%,0%)</f>
        <v/>
      </c>
      <c r="AR705" s="25">
        <f>IF(AND(T705&gt;0,L705=""),H705,"")</f>
        <v/>
      </c>
      <c r="AS705" s="25">
        <f>IF(AND(D705&gt;0,H705=0,G705=""),1,"")</f>
        <v/>
      </c>
      <c r="AT705" s="25">
        <f>IF(G705="BLOQ",1,"")</f>
        <v/>
      </c>
      <c r="AU705" s="25">
        <f>IF(L705="BLOQ",1,"")</f>
        <v/>
      </c>
      <c r="AV705" s="25">
        <f>MONTH(F705)</f>
        <v/>
      </c>
      <c r="AW705" s="65">
        <f>IF(AP705="",100%,0%)</f>
        <v/>
      </c>
      <c r="AX705" s="56" t="n"/>
      <c r="AY705" s="24">
        <f>IF(M705=0,"",M705-$AX$2)</f>
        <v/>
      </c>
      <c r="AZ705" s="66">
        <f>IF(AND(W705="",AY705&gt;0,AY705&lt;15),1,0)</f>
        <v/>
      </c>
      <c r="BA705" s="24">
        <f>IF(AND(W705="",AY705&gt;0,AY705&lt;15),T705,"")</f>
        <v/>
      </c>
      <c r="BB705" s="87">
        <f>IF(R705&lt;Q705,"X","")</f>
        <v/>
      </c>
      <c r="BC705" s="190" t="inlineStr">
        <is>
          <t>NO</t>
        </is>
      </c>
      <c r="BD705" s="191" t="inlineStr">
        <is>
          <t>SI</t>
        </is>
      </c>
    </row>
    <row r="706" ht="15" customHeight="1" s="162">
      <c r="A706" s="7" t="n">
        <v>705</v>
      </c>
      <c r="B706" t="inlineStr">
        <is>
          <t>1214005533721</t>
        </is>
      </c>
      <c r="C706" t="inlineStr">
        <is>
          <t>CNC CIR  22-55  (55H)  MS3476L22-55S</t>
        </is>
      </c>
      <c r="D706" t="inlineStr">
        <is>
          <t>1800108782</t>
        </is>
      </c>
      <c r="E706" t="inlineStr">
        <is>
          <t>390</t>
        </is>
      </c>
      <c r="F706" s="163" t="n">
        <v>45457</v>
      </c>
      <c r="G706" t="inlineStr"/>
      <c r="H706" t="inlineStr">
        <is>
          <t>4200569260</t>
        </is>
      </c>
      <c r="I706" t="inlineStr">
        <is>
          <t>30</t>
        </is>
      </c>
      <c r="J706" s="163" t="n">
        <v>45476</v>
      </c>
      <c r="K706" s="163" t="n">
        <v>45477</v>
      </c>
      <c r="L706" t="inlineStr"/>
      <c r="M706" s="163" t="n">
        <v>45488</v>
      </c>
      <c r="N706" s="164" t="n">
        <v>56</v>
      </c>
      <c r="O706" s="164" t="n">
        <v>8</v>
      </c>
      <c r="P706" t="inlineStr">
        <is>
          <t>Liberado</t>
        </is>
      </c>
      <c r="Q706" s="165" t="n">
        <v>3</v>
      </c>
      <c r="R706" s="165" t="n">
        <v>3</v>
      </c>
      <c r="S706" s="165" t="n">
        <v>3</v>
      </c>
      <c r="T706" s="165" t="n">
        <v>0</v>
      </c>
      <c r="U706" s="166" t="n">
        <v>3</v>
      </c>
      <c r="V706" s="166" t="n">
        <v>0</v>
      </c>
      <c r="W706" t="inlineStr">
        <is>
          <t>X</t>
        </is>
      </c>
      <c r="X706" t="inlineStr">
        <is>
          <t>0.00</t>
        </is>
      </c>
      <c r="Y706" t="inlineStr"/>
      <c r="Z706" t="inlineStr">
        <is>
          <t>TTI, INC.</t>
        </is>
      </c>
      <c r="AA706" t="inlineStr">
        <is>
          <t>MILITARY STANDARDS</t>
        </is>
      </c>
      <c r="AB706" t="inlineStr">
        <is>
          <t>MS3476L22-55S</t>
        </is>
      </c>
      <c r="AC706" t="inlineStr"/>
      <c r="AD706" s="164" t="n">
        <v>0</v>
      </c>
      <c r="AE706" s="185" t="n">
        <v>0</v>
      </c>
      <c r="AG706" s="167" t="inlineStr">
        <is>
          <t>7218|JA2581_1001</t>
        </is>
      </c>
      <c r="AH706" s="47">
        <f>IF(M706=0,"-",M706-J706)</f>
        <v/>
      </c>
      <c r="AI706" s="46">
        <f>IF(AND(S706=0,M706&gt;0,L706=0),IF(AH706&gt;=120,"VERY HIGH",IF(AH706&gt;=90,"HIGH",IF(AH706&gt;=60,"MEDIUM",IF(AH706&lt;60,"LOW")))),"-")</f>
        <v/>
      </c>
      <c r="AJ706" s="12" t="n"/>
      <c r="AK706" s="53">
        <f>IF(AND(W706="X",M706&lt;=$AJ$2),"YES","")</f>
        <v/>
      </c>
      <c r="AL706" s="54">
        <f>IF(AND(W706="X",M706&lt;=$AJ$2),S706,"")</f>
        <v/>
      </c>
      <c r="AM706" s="35" t="n"/>
      <c r="AN706" s="35">
        <f>IF(AND(W706="X",M706&gt;$AJ$2),S706,"")</f>
        <v/>
      </c>
      <c r="AO706" s="35">
        <f>IF(AND(W706="",M706&gt;0,$AJ$2&gt;M706,L706=""),1,0)</f>
        <v/>
      </c>
      <c r="AP706" s="35">
        <f>IF(AND(AK706="YES",W706="X"),"X","")</f>
        <v/>
      </c>
      <c r="AQ706" s="55">
        <f>IF(AP706="X",100%,0%)</f>
        <v/>
      </c>
      <c r="AR706" s="25">
        <f>IF(AND(T706&gt;0,L706=""),H706,"")</f>
        <v/>
      </c>
      <c r="AS706" s="25">
        <f>IF(AND(D706&gt;0,H706=0,G706=""),1,"")</f>
        <v/>
      </c>
      <c r="AT706" s="25">
        <f>IF(G706="BLOQ",1,"")</f>
        <v/>
      </c>
      <c r="AU706" s="25">
        <f>IF(L706="BLOQ",1,"")</f>
        <v/>
      </c>
      <c r="AV706" s="25">
        <f>MONTH(F706)</f>
        <v/>
      </c>
      <c r="AW706" s="65">
        <f>IF(AP706="",100%,0%)</f>
        <v/>
      </c>
      <c r="AX706" s="56" t="n"/>
      <c r="AY706" s="24">
        <f>IF(M706=0,"",M706-$AX$2)</f>
        <v/>
      </c>
      <c r="AZ706" s="66">
        <f>IF(AND(W706="",AY706&gt;0,AY706&lt;15),1,0)</f>
        <v/>
      </c>
      <c r="BA706" s="24">
        <f>IF(AND(W706="",AY706&gt;0,AY706&lt;15),T706,"")</f>
        <v/>
      </c>
      <c r="BB706" s="87">
        <f>IF(R706&lt;Q706,"X","")</f>
        <v/>
      </c>
      <c r="BC706" s="190" t="inlineStr">
        <is>
          <t>NO</t>
        </is>
      </c>
      <c r="BD706" s="191" t="inlineStr">
        <is>
          <t>SI</t>
        </is>
      </c>
    </row>
    <row r="707" ht="15" customHeight="1" s="162">
      <c r="A707" s="7" t="n">
        <v>706</v>
      </c>
      <c r="B707" t="inlineStr">
        <is>
          <t>1214005533760</t>
        </is>
      </c>
      <c r="C707" t="inlineStr">
        <is>
          <t>CNC CIR 22-55 55H PLUG RECT CRIMP ROT-W</t>
        </is>
      </c>
      <c r="D707" t="inlineStr">
        <is>
          <t>1800108782</t>
        </is>
      </c>
      <c r="E707" t="inlineStr">
        <is>
          <t>400</t>
        </is>
      </c>
      <c r="F707" s="163" t="n">
        <v>45457</v>
      </c>
      <c r="G707" t="inlineStr"/>
      <c r="H707" t="inlineStr">
        <is>
          <t>4200568992</t>
        </is>
      </c>
      <c r="I707" t="inlineStr">
        <is>
          <t>100</t>
        </is>
      </c>
      <c r="J707" s="163" t="n">
        <v>45474</v>
      </c>
      <c r="K707" s="163" t="n">
        <v>45478</v>
      </c>
      <c r="L707" t="inlineStr"/>
      <c r="M707" s="163" t="n">
        <v>45495</v>
      </c>
      <c r="N707" s="164" t="n">
        <v>40</v>
      </c>
      <c r="O707" s="164" t="n">
        <v>8</v>
      </c>
      <c r="P707" t="inlineStr">
        <is>
          <t>Liberado</t>
        </is>
      </c>
      <c r="Q707" s="165" t="n">
        <v>1</v>
      </c>
      <c r="R707" s="165" t="n">
        <v>1</v>
      </c>
      <c r="S707" s="165" t="n">
        <v>1</v>
      </c>
      <c r="T707" s="165" t="n">
        <v>0</v>
      </c>
      <c r="U707" s="166" t="n">
        <v>1</v>
      </c>
      <c r="V707" s="166" t="n">
        <v>0</v>
      </c>
      <c r="W707" t="inlineStr">
        <is>
          <t>X</t>
        </is>
      </c>
      <c r="X707" t="inlineStr">
        <is>
          <t>0.00</t>
        </is>
      </c>
      <c r="Y707" t="inlineStr"/>
      <c r="Z707" t="inlineStr">
        <is>
          <t>SUMINISTROS CONECTORES PROF.,SA.</t>
        </is>
      </c>
      <c r="AA707" t="inlineStr">
        <is>
          <t>MILITARY STANDARDS</t>
        </is>
      </c>
      <c r="AB707" t="inlineStr">
        <is>
          <t>MS3476L22-55SW</t>
        </is>
      </c>
      <c r="AC707" t="inlineStr"/>
      <c r="AD707" s="164" t="n">
        <v>0</v>
      </c>
      <c r="AE707" s="185" t="n">
        <v>0</v>
      </c>
      <c r="AG707" s="167" t="inlineStr">
        <is>
          <t>7218|JA2581_1001</t>
        </is>
      </c>
      <c r="AH707" s="47">
        <f>IF(M707=0,"-",M707-J707)</f>
        <v/>
      </c>
      <c r="AI707" s="46">
        <f>IF(AND(S707=0,M707&gt;0,L707=0),IF(AH707&gt;=120,"VERY HIGH",IF(AH707&gt;=90,"HIGH",IF(AH707&gt;=60,"MEDIUM",IF(AH707&lt;60,"LOW")))),"-")</f>
        <v/>
      </c>
      <c r="AJ707" s="12" t="n"/>
      <c r="AK707" s="53">
        <f>IF(AND(W707="X",M707&lt;=$AJ$2),"YES","")</f>
        <v/>
      </c>
      <c r="AL707" s="54">
        <f>IF(AND(W707="X",M707&lt;=$AJ$2),S707,"")</f>
        <v/>
      </c>
      <c r="AM707" s="35" t="n"/>
      <c r="AN707" s="35">
        <f>IF(AND(W707="X",M707&gt;$AJ$2),S707,"")</f>
        <v/>
      </c>
      <c r="AO707" s="35">
        <f>IF(AND(W707="",M707&gt;0,$AJ$2&gt;M707,L707=""),1,0)</f>
        <v/>
      </c>
      <c r="AP707" s="35">
        <f>IF(AND(AK707="YES",W707="X"),"X","")</f>
        <v/>
      </c>
      <c r="AQ707" s="55">
        <f>IF(AP707="X",100%,0%)</f>
        <v/>
      </c>
      <c r="AR707" s="25">
        <f>IF(AND(T707&gt;0,L707=""),H707,"")</f>
        <v/>
      </c>
      <c r="AS707" s="25">
        <f>IF(AND(D707&gt;0,H707=0,G707=""),1,"")</f>
        <v/>
      </c>
      <c r="AT707" s="25">
        <f>IF(G707="BLOQ",1,"")</f>
        <v/>
      </c>
      <c r="AU707" s="25">
        <f>IF(L707="BLOQ",1,"")</f>
        <v/>
      </c>
      <c r="AV707" s="25">
        <f>MONTH(F707)</f>
        <v/>
      </c>
      <c r="AW707" s="65">
        <f>IF(AP707="",100%,0%)</f>
        <v/>
      </c>
      <c r="AX707" s="56" t="n"/>
      <c r="AY707" s="24">
        <f>IF(M707=0,"",M707-$AX$2)</f>
        <v/>
      </c>
      <c r="AZ707" s="66">
        <f>IF(AND(W707="",AY707&gt;0,AY707&lt;15),1,0)</f>
        <v/>
      </c>
      <c r="BA707" s="24">
        <f>IF(AND(W707="",AY707&gt;0,AY707&lt;15),T707,"")</f>
        <v/>
      </c>
      <c r="BB707" s="87">
        <f>IF(R707&lt;Q707,"X","")</f>
        <v/>
      </c>
      <c r="BC707" s="190" t="inlineStr">
        <is>
          <t>NO</t>
        </is>
      </c>
      <c r="BD707" s="191" t="inlineStr">
        <is>
          <t>SI</t>
        </is>
      </c>
    </row>
    <row r="708" ht="15" customHeight="1" s="162">
      <c r="A708" s="7" t="n">
        <v>707</v>
      </c>
      <c r="B708" t="inlineStr">
        <is>
          <t>1214006133721</t>
        </is>
      </c>
      <c r="C708" t="inlineStr">
        <is>
          <t>CNC CIR  24-61  (61H)  MS3476L24-61S</t>
        </is>
      </c>
      <c r="D708" t="inlineStr">
        <is>
          <t>1800108782</t>
        </is>
      </c>
      <c r="E708" t="inlineStr">
        <is>
          <t>410</t>
        </is>
      </c>
      <c r="F708" s="163" t="n">
        <v>45457</v>
      </c>
      <c r="G708" t="inlineStr"/>
      <c r="H708" t="inlineStr">
        <is>
          <t>4200569260</t>
        </is>
      </c>
      <c r="I708" t="inlineStr">
        <is>
          <t>40</t>
        </is>
      </c>
      <c r="J708" s="163" t="n">
        <v>45476</v>
      </c>
      <c r="K708" s="163" t="n">
        <v>45477</v>
      </c>
      <c r="L708" t="inlineStr"/>
      <c r="M708" s="163" t="n">
        <v>45488</v>
      </c>
      <c r="N708" s="164" t="n">
        <v>40</v>
      </c>
      <c r="O708" s="164" t="n">
        <v>8</v>
      </c>
      <c r="P708" t="inlineStr">
        <is>
          <t>Liberado</t>
        </is>
      </c>
      <c r="Q708" s="165" t="n">
        <v>3</v>
      </c>
      <c r="R708" s="165" t="n">
        <v>3</v>
      </c>
      <c r="S708" s="165" t="n">
        <v>3</v>
      </c>
      <c r="T708" s="165" t="n">
        <v>0</v>
      </c>
      <c r="U708" s="166" t="n">
        <v>3</v>
      </c>
      <c r="V708" s="166" t="n">
        <v>0</v>
      </c>
      <c r="W708" t="inlineStr">
        <is>
          <t>X</t>
        </is>
      </c>
      <c r="X708" t="inlineStr">
        <is>
          <t>0.00</t>
        </is>
      </c>
      <c r="Y708" t="inlineStr"/>
      <c r="Z708" t="inlineStr">
        <is>
          <t>TTI, INC.</t>
        </is>
      </c>
      <c r="AA708" t="inlineStr">
        <is>
          <t>MILITARY STANDARDS</t>
        </is>
      </c>
      <c r="AB708" t="inlineStr">
        <is>
          <t>MS3476L24-61S</t>
        </is>
      </c>
      <c r="AC708" t="inlineStr"/>
      <c r="AD708" s="164" t="n">
        <v>0</v>
      </c>
      <c r="AE708" s="185" t="n">
        <v>0</v>
      </c>
      <c r="AG708" s="167" t="inlineStr">
        <is>
          <t>7218|JA2581_1001</t>
        </is>
      </c>
      <c r="AH708" s="47">
        <f>IF(M708=0,"-",M708-J708)</f>
        <v/>
      </c>
      <c r="AI708" s="46">
        <f>IF(AND(S708=0,M708&gt;0,L708=0),IF(AH708&gt;=120,"VERY HIGH",IF(AH708&gt;=90,"HIGH",IF(AH708&gt;=60,"MEDIUM",IF(AH708&lt;60,"LOW")))),"-")</f>
        <v/>
      </c>
      <c r="AJ708" s="12" t="n"/>
      <c r="AK708" s="53">
        <f>IF(AND(W708="X",M708&lt;=$AJ$2),"YES","")</f>
        <v/>
      </c>
      <c r="AL708" s="54">
        <f>IF(AND(W708="X",M708&lt;=$AJ$2),S708,"")</f>
        <v/>
      </c>
      <c r="AM708" s="35" t="n"/>
      <c r="AN708" s="35">
        <f>IF(AND(W708="X",M708&gt;$AJ$2),S708,"")</f>
        <v/>
      </c>
      <c r="AO708" s="35">
        <f>IF(AND(W708="",M708&gt;0,$AJ$2&gt;M708,L708=""),1,0)</f>
        <v/>
      </c>
      <c r="AP708" s="35">
        <f>IF(AND(AK708="YES",W708="X"),"X","")</f>
        <v/>
      </c>
      <c r="AQ708" s="55">
        <f>IF(AP708="X",100%,0%)</f>
        <v/>
      </c>
      <c r="AR708" s="25">
        <f>IF(AND(T708&gt;0,L708=""),H708,"")</f>
        <v/>
      </c>
      <c r="AS708" s="25">
        <f>IF(AND(D708&gt;0,H708=0,G708=""),1,"")</f>
        <v/>
      </c>
      <c r="AT708" s="25">
        <f>IF(G708="BLOQ",1,"")</f>
        <v/>
      </c>
      <c r="AU708" s="25">
        <f>IF(L708="BLOQ",1,"")</f>
        <v/>
      </c>
      <c r="AV708" s="25">
        <f>MONTH(F708)</f>
        <v/>
      </c>
      <c r="AW708" s="65">
        <f>IF(AP708="",100%,0%)</f>
        <v/>
      </c>
      <c r="AX708" s="56" t="n"/>
      <c r="AY708" s="24">
        <f>IF(M708=0,"",M708-$AX$2)</f>
        <v/>
      </c>
      <c r="AZ708" s="66">
        <f>IF(AND(W708="",AY708&gt;0,AY708&lt;15),1,0)</f>
        <v/>
      </c>
      <c r="BA708" s="24">
        <f>IF(AND(W708="",AY708&gt;0,AY708&lt;15),T708,"")</f>
        <v/>
      </c>
      <c r="BB708" s="87">
        <f>IF(R708&lt;Q708,"X","")</f>
        <v/>
      </c>
      <c r="BC708" s="190" t="inlineStr">
        <is>
          <t>NO</t>
        </is>
      </c>
      <c r="BD708" s="191" t="inlineStr">
        <is>
          <t>SI</t>
        </is>
      </c>
    </row>
    <row r="709" ht="15" customHeight="1" s="162">
      <c r="A709" s="7" t="n">
        <v>708</v>
      </c>
      <c r="B709" t="inlineStr">
        <is>
          <t>1214006133761</t>
        </is>
      </c>
      <c r="C709" t="inlineStr">
        <is>
          <t>CNC CIR  24-61  (61H)  MS3476L24-61SW</t>
        </is>
      </c>
      <c r="D709" t="inlineStr">
        <is>
          <t>1800108782</t>
        </is>
      </c>
      <c r="E709" t="inlineStr">
        <is>
          <t>420</t>
        </is>
      </c>
      <c r="F709" s="163" t="n">
        <v>45457</v>
      </c>
      <c r="G709" t="inlineStr"/>
      <c r="H709" t="inlineStr">
        <is>
          <t>4200569250</t>
        </is>
      </c>
      <c r="I709" t="inlineStr">
        <is>
          <t>90</t>
        </is>
      </c>
      <c r="J709" s="163" t="n">
        <v>45476</v>
      </c>
      <c r="K709" s="163" t="n">
        <v>45477</v>
      </c>
      <c r="L709" t="inlineStr"/>
      <c r="M709" s="163" t="n">
        <v>45494</v>
      </c>
      <c r="N709" s="164" t="n">
        <v>40</v>
      </c>
      <c r="O709" s="164" t="n">
        <v>8</v>
      </c>
      <c r="P709" t="inlineStr">
        <is>
          <t>Liberado</t>
        </is>
      </c>
      <c r="Q709" s="165" t="n">
        <v>1</v>
      </c>
      <c r="R709" s="165" t="n">
        <v>1</v>
      </c>
      <c r="S709" s="165" t="n">
        <v>1</v>
      </c>
      <c r="T709" s="165" t="n">
        <v>0</v>
      </c>
      <c r="U709" s="166" t="n">
        <v>1</v>
      </c>
      <c r="V709" s="166" t="n">
        <v>0</v>
      </c>
      <c r="W709" t="inlineStr">
        <is>
          <t>X</t>
        </is>
      </c>
      <c r="X709" t="inlineStr">
        <is>
          <t>0.00</t>
        </is>
      </c>
      <c r="Y709" t="inlineStr"/>
      <c r="Z709" t="inlineStr">
        <is>
          <t>CONECTORES Y CABLES VAHER, S.A.</t>
        </is>
      </c>
      <c r="AA709" t="inlineStr">
        <is>
          <t>MILITARY STANDARDS</t>
        </is>
      </c>
      <c r="AB709" t="inlineStr">
        <is>
          <t>MS3476L24-61SW</t>
        </is>
      </c>
      <c r="AC709" t="inlineStr"/>
      <c r="AD709" s="164" t="n">
        <v>0</v>
      </c>
      <c r="AE709" s="185" t="n">
        <v>0</v>
      </c>
      <c r="AG709" s="167" t="inlineStr">
        <is>
          <t>7218|JA2581_1001</t>
        </is>
      </c>
      <c r="AH709" s="47">
        <f>IF(M709=0,"-",M709-J709)</f>
        <v/>
      </c>
      <c r="AI709" s="46">
        <f>IF(AND(S709=0,M709&gt;0,L709=0),IF(AH709&gt;=120,"VERY HIGH",IF(AH709&gt;=90,"HIGH",IF(AH709&gt;=60,"MEDIUM",IF(AH709&lt;60,"LOW")))),"-")</f>
        <v/>
      </c>
      <c r="AJ709" s="12" t="n"/>
      <c r="AK709" s="53">
        <f>IF(AND(W709="X",M709&lt;=$AJ$2),"YES","")</f>
        <v/>
      </c>
      <c r="AL709" s="54">
        <f>IF(AND(W709="X",M709&lt;=$AJ$2),S709,"")</f>
        <v/>
      </c>
      <c r="AM709" s="35" t="n"/>
      <c r="AN709" s="35">
        <f>IF(AND(W709="X",M709&gt;$AJ$2),S709,"")</f>
        <v/>
      </c>
      <c r="AO709" s="35">
        <f>IF(AND(W709="",M709&gt;0,$AJ$2&gt;M709,L709=""),1,0)</f>
        <v/>
      </c>
      <c r="AP709" s="35">
        <f>IF(AND(AK709="YES",W709="X"),"X","")</f>
        <v/>
      </c>
      <c r="AQ709" s="55">
        <f>IF(AP709="X",100%,0%)</f>
        <v/>
      </c>
      <c r="AR709" s="25">
        <f>IF(AND(T709&gt;0,L709=""),H709,"")</f>
        <v/>
      </c>
      <c r="AS709" s="25">
        <f>IF(AND(D709&gt;0,H709=0,G709=""),1,"")</f>
        <v/>
      </c>
      <c r="AT709" s="25">
        <f>IF(G709="BLOQ",1,"")</f>
        <v/>
      </c>
      <c r="AU709" s="25">
        <f>IF(L709="BLOQ",1,"")</f>
        <v/>
      </c>
      <c r="AV709" s="25">
        <f>MONTH(F709)</f>
        <v/>
      </c>
      <c r="AW709" s="65">
        <f>IF(AP709="",100%,0%)</f>
        <v/>
      </c>
      <c r="AX709" s="56" t="n"/>
      <c r="AY709" s="24">
        <f>IF(M709=0,"",M709-$AX$2)</f>
        <v/>
      </c>
      <c r="AZ709" s="66">
        <f>IF(AND(W709="",AY709&gt;0,AY709&lt;15),1,0)</f>
        <v/>
      </c>
      <c r="BA709" s="24">
        <f>IF(AND(W709="",AY709&gt;0,AY709&lt;15),T709,"")</f>
        <v/>
      </c>
      <c r="BB709" s="87">
        <f>IF(R709&lt;Q709,"X","")</f>
        <v/>
      </c>
      <c r="BC709" s="190" t="inlineStr">
        <is>
          <t>NO</t>
        </is>
      </c>
      <c r="BD709" s="191" t="inlineStr">
        <is>
          <t>SI</t>
        </is>
      </c>
    </row>
    <row r="710" ht="15" customHeight="1" s="162">
      <c r="A710" s="7" t="n">
        <v>709</v>
      </c>
      <c r="B710" t="inlineStr">
        <is>
          <t>1214100333620</t>
        </is>
      </c>
      <c r="C710" t="inlineStr">
        <is>
          <t>CNC CIR 08-98 3H RECEPT BAYO CRIMP ROT-N</t>
        </is>
      </c>
      <c r="D710" t="inlineStr">
        <is>
          <t>1800108782</t>
        </is>
      </c>
      <c r="E710" t="inlineStr">
        <is>
          <t>430</t>
        </is>
      </c>
      <c r="F710" s="163" t="n">
        <v>45457</v>
      </c>
      <c r="G710" t="inlineStr"/>
      <c r="H710" t="inlineStr">
        <is>
          <t>4200569250</t>
        </is>
      </c>
      <c r="I710" t="inlineStr">
        <is>
          <t>100</t>
        </is>
      </c>
      <c r="J710" s="163" t="n">
        <v>45476</v>
      </c>
      <c r="K710" s="163" t="n">
        <v>45477</v>
      </c>
      <c r="L710" t="inlineStr"/>
      <c r="M710" s="163" t="n">
        <v>45494</v>
      </c>
      <c r="N710" s="164" t="n">
        <v>56</v>
      </c>
      <c r="O710" s="164" t="n">
        <v>8</v>
      </c>
      <c r="P710" t="inlineStr">
        <is>
          <t>Liberado</t>
        </is>
      </c>
      <c r="Q710" s="165" t="n">
        <v>20</v>
      </c>
      <c r="R710" s="165" t="n">
        <v>20</v>
      </c>
      <c r="S710" s="165" t="n">
        <v>40</v>
      </c>
      <c r="T710" s="165" t="n">
        <v>0</v>
      </c>
      <c r="U710" s="166" t="n">
        <v>20</v>
      </c>
      <c r="V710" s="166" t="n">
        <v>20</v>
      </c>
      <c r="W710" t="inlineStr">
        <is>
          <t>X</t>
        </is>
      </c>
      <c r="X710" t="inlineStr">
        <is>
          <t>0.00</t>
        </is>
      </c>
      <c r="Y710" t="inlineStr"/>
      <c r="Z710" t="inlineStr">
        <is>
          <t>CONECTORES Y CABLES VAHER, S.A.</t>
        </is>
      </c>
      <c r="AA710" t="inlineStr">
        <is>
          <t>MILITARY STANDARDS</t>
        </is>
      </c>
      <c r="AB710" t="inlineStr">
        <is>
          <t>MS3470L8-98S</t>
        </is>
      </c>
      <c r="AC710" t="inlineStr"/>
      <c r="AD710" s="164" t="n">
        <v>0</v>
      </c>
      <c r="AE710" s="185" t="n">
        <v>0</v>
      </c>
      <c r="AG710" s="167" t="inlineStr">
        <is>
          <t>7218|JA2581_1001</t>
        </is>
      </c>
      <c r="AH710" s="47">
        <f>IF(M710=0,"-",M710-J710)</f>
        <v/>
      </c>
      <c r="AI710" s="46">
        <f>IF(AND(S710=0,M710&gt;0,L710=0),IF(AH710&gt;=120,"VERY HIGH",IF(AH710&gt;=90,"HIGH",IF(AH710&gt;=60,"MEDIUM",IF(AH710&lt;60,"LOW")))),"-")</f>
        <v/>
      </c>
      <c r="AJ710" s="12" t="n"/>
      <c r="AK710" s="53">
        <f>IF(AND(W710="X",M710&lt;=$AJ$2),"YES","")</f>
        <v/>
      </c>
      <c r="AL710" s="54">
        <f>IF(AND(W710="X",M710&lt;=$AJ$2),S710,"")</f>
        <v/>
      </c>
      <c r="AM710" s="35" t="n"/>
      <c r="AN710" s="35">
        <f>IF(AND(W710="X",M710&gt;$AJ$2),S710,"")</f>
        <v/>
      </c>
      <c r="AO710" s="35">
        <f>IF(AND(W710="",M710&gt;0,$AJ$2&gt;M710,L710=""),1,0)</f>
        <v/>
      </c>
      <c r="AP710" s="35">
        <f>IF(AND(AK710="YES",W710="X"),"X","")</f>
        <v/>
      </c>
      <c r="AQ710" s="55">
        <f>IF(AP710="X",100%,0%)</f>
        <v/>
      </c>
      <c r="AR710" s="25">
        <f>IF(AND(T710&gt;0,L710=""),H710,"")</f>
        <v/>
      </c>
      <c r="AS710" s="25">
        <f>IF(AND(D710&gt;0,H710=0,G710=""),1,"")</f>
        <v/>
      </c>
      <c r="AT710" s="25">
        <f>IF(G710="BLOQ",1,"")</f>
        <v/>
      </c>
      <c r="AU710" s="25">
        <f>IF(L710="BLOQ",1,"")</f>
        <v/>
      </c>
      <c r="AV710" s="25">
        <f>MONTH(F710)</f>
        <v/>
      </c>
      <c r="AW710" s="65">
        <f>IF(AP710="",100%,0%)</f>
        <v/>
      </c>
      <c r="AX710" s="56" t="n"/>
      <c r="AY710" s="24">
        <f>IF(M710=0,"",M710-$AX$2)</f>
        <v/>
      </c>
      <c r="AZ710" s="66">
        <f>IF(AND(W710="",AY710&gt;0,AY710&lt;15),1,0)</f>
        <v/>
      </c>
      <c r="BA710" s="24">
        <f>IF(AND(W710="",AY710&gt;0,AY710&lt;15),T710,"")</f>
        <v/>
      </c>
      <c r="BB710" s="87">
        <f>IF(R710&lt;Q710,"X","")</f>
        <v/>
      </c>
      <c r="BC710" s="190" t="inlineStr">
        <is>
          <t>NO</t>
        </is>
      </c>
      <c r="BD710" s="191" t="inlineStr">
        <is>
          <t>SI</t>
        </is>
      </c>
    </row>
    <row r="711" ht="15" customHeight="1" s="162">
      <c r="A711" s="7" t="n">
        <v>710</v>
      </c>
      <c r="B711" t="inlineStr">
        <is>
          <t>1214101033620</t>
        </is>
      </c>
      <c r="C711" t="inlineStr">
        <is>
          <t>CNC CIR 12-10 10P (H) MS3470L12-10S</t>
        </is>
      </c>
      <c r="D711" t="inlineStr">
        <is>
          <t>1800108782</t>
        </is>
      </c>
      <c r="E711" t="inlineStr">
        <is>
          <t>440</t>
        </is>
      </c>
      <c r="F711" s="163" t="n">
        <v>45457</v>
      </c>
      <c r="G711" t="inlineStr"/>
      <c r="H711" t="inlineStr">
        <is>
          <t>4200568992</t>
        </is>
      </c>
      <c r="I711" t="inlineStr">
        <is>
          <t>110</t>
        </is>
      </c>
      <c r="J711" s="163" t="n">
        <v>45474</v>
      </c>
      <c r="K711" s="163" t="n">
        <v>45478</v>
      </c>
      <c r="L711" t="inlineStr"/>
      <c r="M711" s="163" t="n">
        <v>45495</v>
      </c>
      <c r="N711" s="164" t="n">
        <v>65</v>
      </c>
      <c r="O711" s="164" t="n">
        <v>8</v>
      </c>
      <c r="P711" t="inlineStr">
        <is>
          <t>Liberado</t>
        </is>
      </c>
      <c r="Q711" s="165" t="n">
        <v>2</v>
      </c>
      <c r="R711" s="165" t="n">
        <v>2</v>
      </c>
      <c r="S711" s="165" t="n">
        <v>2</v>
      </c>
      <c r="T711" s="165" t="n">
        <v>0</v>
      </c>
      <c r="U711" s="166" t="n">
        <v>2</v>
      </c>
      <c r="V711" s="166" t="n">
        <v>0</v>
      </c>
      <c r="W711" t="inlineStr">
        <is>
          <t>X</t>
        </is>
      </c>
      <c r="X711" t="inlineStr">
        <is>
          <t>0.00</t>
        </is>
      </c>
      <c r="Y711" t="inlineStr"/>
      <c r="Z711" t="inlineStr">
        <is>
          <t>SUMINISTROS CONECTORES PROF.,SA.</t>
        </is>
      </c>
      <c r="AA711" t="inlineStr">
        <is>
          <t>MILITARY STANDARDS</t>
        </is>
      </c>
      <c r="AB711" t="inlineStr">
        <is>
          <t>MS3470L12-10S</t>
        </is>
      </c>
      <c r="AC711" t="inlineStr"/>
      <c r="AD711" s="164" t="n">
        <v>0</v>
      </c>
      <c r="AE711" s="185" t="n">
        <v>0</v>
      </c>
      <c r="AG711" s="167" t="inlineStr">
        <is>
          <t>7218|JA2581_1001</t>
        </is>
      </c>
      <c r="AH711" s="47">
        <f>IF(M711=0,"-",M711-J711)</f>
        <v/>
      </c>
      <c r="AI711" s="46">
        <f>IF(AND(S711=0,M711&gt;0,L711=0),IF(AH711&gt;=120,"VERY HIGH",IF(AH711&gt;=90,"HIGH",IF(AH711&gt;=60,"MEDIUM",IF(AH711&lt;60,"LOW")))),"-")</f>
        <v/>
      </c>
      <c r="AJ711" s="12" t="n"/>
      <c r="AK711" s="53">
        <f>IF(AND(W711="X",M711&lt;=$AJ$2),"YES","")</f>
        <v/>
      </c>
      <c r="AL711" s="54">
        <f>IF(AND(W711="X",M711&lt;=$AJ$2),S711,"")</f>
        <v/>
      </c>
      <c r="AM711" s="35" t="n"/>
      <c r="AN711" s="35">
        <f>IF(AND(W711="X",M711&gt;$AJ$2),S711,"")</f>
        <v/>
      </c>
      <c r="AO711" s="35">
        <f>IF(AND(W711="",M711&gt;0,$AJ$2&gt;M711,L711=""),1,0)</f>
        <v/>
      </c>
      <c r="AP711" s="35">
        <f>IF(AND(AK711="YES",W711="X"),"X","")</f>
        <v/>
      </c>
      <c r="AQ711" s="55">
        <f>IF(AP711="X",100%,0%)</f>
        <v/>
      </c>
      <c r="AR711" s="25">
        <f>IF(AND(T711&gt;0,L711=""),H711,"")</f>
        <v/>
      </c>
      <c r="AS711" s="25">
        <f>IF(AND(D711&gt;0,H711=0,G711=""),1,"")</f>
        <v/>
      </c>
      <c r="AT711" s="25">
        <f>IF(G711="BLOQ",1,"")</f>
        <v/>
      </c>
      <c r="AU711" s="25">
        <f>IF(L711="BLOQ",1,"")</f>
        <v/>
      </c>
      <c r="AV711" s="25">
        <f>MONTH(F711)</f>
        <v/>
      </c>
      <c r="AW711" s="65">
        <f>IF(AP711="",100%,0%)</f>
        <v/>
      </c>
      <c r="AX711" s="56" t="n"/>
      <c r="AY711" s="24">
        <f>IF(M711=0,"",M711-$AX$2)</f>
        <v/>
      </c>
      <c r="AZ711" s="66">
        <f>IF(AND(W711="",AY711&gt;0,AY711&lt;15),1,0)</f>
        <v/>
      </c>
      <c r="BA711" s="24">
        <f>IF(AND(W711="",AY711&gt;0,AY711&lt;15),T711,"")</f>
        <v/>
      </c>
      <c r="BB711" s="87">
        <f>IF(R711&lt;Q711,"X","")</f>
        <v/>
      </c>
      <c r="BC711" s="190" t="inlineStr">
        <is>
          <t>NO</t>
        </is>
      </c>
      <c r="BD711" s="191" t="inlineStr">
        <is>
          <t>SI</t>
        </is>
      </c>
    </row>
    <row r="712" ht="15" customHeight="1" s="162">
      <c r="A712" s="7" t="n">
        <v>711</v>
      </c>
      <c r="B712" t="inlineStr">
        <is>
          <t>1214101933621</t>
        </is>
      </c>
      <c r="C712" t="inlineStr">
        <is>
          <t>CNC CIR  14-19 (19H) MS3470L14-19S</t>
        </is>
      </c>
      <c r="D712" t="inlineStr">
        <is>
          <t>1800108782</t>
        </is>
      </c>
      <c r="E712" t="inlineStr">
        <is>
          <t>450</t>
        </is>
      </c>
      <c r="F712" s="163" t="n">
        <v>45457</v>
      </c>
      <c r="G712" t="inlineStr"/>
      <c r="H712" t="inlineStr">
        <is>
          <t>4200569250</t>
        </is>
      </c>
      <c r="I712" t="inlineStr">
        <is>
          <t>110</t>
        </is>
      </c>
      <c r="J712" s="163" t="n">
        <v>45476</v>
      </c>
      <c r="K712" s="163" t="n">
        <v>45477</v>
      </c>
      <c r="L712" t="inlineStr"/>
      <c r="M712" s="163" t="n">
        <v>45494</v>
      </c>
      <c r="N712" s="164" t="n">
        <v>55</v>
      </c>
      <c r="O712" s="164" t="n">
        <v>8</v>
      </c>
      <c r="P712" t="inlineStr">
        <is>
          <t>Liberado</t>
        </is>
      </c>
      <c r="Q712" s="165" t="n">
        <v>1</v>
      </c>
      <c r="R712" s="165" t="n">
        <v>1</v>
      </c>
      <c r="S712" s="165" t="n">
        <v>2</v>
      </c>
      <c r="T712" s="165" t="n">
        <v>0</v>
      </c>
      <c r="U712" s="166" t="n">
        <v>1</v>
      </c>
      <c r="V712" s="166" t="n">
        <v>1</v>
      </c>
      <c r="W712" t="inlineStr">
        <is>
          <t>X</t>
        </is>
      </c>
      <c r="X712" t="inlineStr">
        <is>
          <t>0.00</t>
        </is>
      </c>
      <c r="Y712" t="inlineStr"/>
      <c r="Z712" t="inlineStr">
        <is>
          <t>CONECTORES Y CABLES VAHER, S.A.</t>
        </is>
      </c>
      <c r="AA712" t="inlineStr">
        <is>
          <t>MILITARY STANDARDS</t>
        </is>
      </c>
      <c r="AB712" t="inlineStr">
        <is>
          <t>MS3470L14-19S</t>
        </is>
      </c>
      <c r="AC712" t="inlineStr"/>
      <c r="AD712" s="164" t="n">
        <v>0</v>
      </c>
      <c r="AE712" s="185" t="n">
        <v>0</v>
      </c>
      <c r="AG712" s="167" t="inlineStr">
        <is>
          <t>7218|JA2581_1001</t>
        </is>
      </c>
      <c r="AH712" s="47">
        <f>IF(M712=0,"-",M712-J712)</f>
        <v/>
      </c>
      <c r="AI712" s="46">
        <f>IF(AND(S712=0,M712&gt;0,L712=0),IF(AH712&gt;=120,"VERY HIGH",IF(AH712&gt;=90,"HIGH",IF(AH712&gt;=60,"MEDIUM",IF(AH712&lt;60,"LOW")))),"-")</f>
        <v/>
      </c>
      <c r="AJ712" s="12" t="n"/>
      <c r="AK712" s="53">
        <f>IF(AND(W712="X",M712&lt;=$AJ$2),"YES","")</f>
        <v/>
      </c>
      <c r="AL712" s="54">
        <f>IF(AND(W712="X",M712&lt;=$AJ$2),S712,"")</f>
        <v/>
      </c>
      <c r="AM712" s="35" t="n"/>
      <c r="AN712" s="35">
        <f>IF(AND(W712="X",M712&gt;$AJ$2),S712,"")</f>
        <v/>
      </c>
      <c r="AO712" s="35">
        <f>IF(AND(W712="",M712&gt;0,$AJ$2&gt;M712,L712=""),1,0)</f>
        <v/>
      </c>
      <c r="AP712" s="35">
        <f>IF(AND(AK712="YES",W712="X"),"X","")</f>
        <v/>
      </c>
      <c r="AQ712" s="55">
        <f>IF(AP712="X",100%,0%)</f>
        <v/>
      </c>
      <c r="AR712" s="25">
        <f>IF(AND(T712&gt;0,L712=""),H712,"")</f>
        <v/>
      </c>
      <c r="AS712" s="25">
        <f>IF(AND(D712&gt;0,H712=0,G712=""),1,"")</f>
        <v/>
      </c>
      <c r="AT712" s="25">
        <f>IF(G712="BLOQ",1,"")</f>
        <v/>
      </c>
      <c r="AU712" s="25">
        <f>IF(L712="BLOQ",1,"")</f>
        <v/>
      </c>
      <c r="AV712" s="25">
        <f>MONTH(F712)</f>
        <v/>
      </c>
      <c r="AW712" s="65">
        <f>IF(AP712="",100%,0%)</f>
        <v/>
      </c>
      <c r="AX712" s="56" t="n"/>
      <c r="AY712" s="24">
        <f>IF(M712=0,"",M712-$AX$2)</f>
        <v/>
      </c>
      <c r="AZ712" s="66">
        <f>IF(AND(W712="",AY712&gt;0,AY712&lt;15),1,0)</f>
        <v/>
      </c>
      <c r="BA712" s="24">
        <f>IF(AND(W712="",AY712&gt;0,AY712&lt;15),T712,"")</f>
        <v/>
      </c>
      <c r="BB712" s="87">
        <f>IF(R712&lt;Q712,"X","")</f>
        <v/>
      </c>
      <c r="BC712" s="190" t="inlineStr">
        <is>
          <t>NO</t>
        </is>
      </c>
      <c r="BD712" s="191" t="inlineStr">
        <is>
          <t>SI</t>
        </is>
      </c>
    </row>
    <row r="713" ht="15" customHeight="1" s="162">
      <c r="A713" s="7" t="n">
        <v>712</v>
      </c>
      <c r="B713" t="inlineStr">
        <is>
          <t>1214105330530</t>
        </is>
      </c>
      <c r="C713" t="inlineStr">
        <is>
          <t>CNC CIR 18-53 53H RECPT WALL EL-NI ROT-N</t>
        </is>
      </c>
      <c r="D713" t="inlineStr">
        <is>
          <t>1800108782</t>
        </is>
      </c>
      <c r="E713" t="inlineStr">
        <is>
          <t>460</t>
        </is>
      </c>
      <c r="F713" s="163" t="n">
        <v>45457</v>
      </c>
      <c r="G713" t="inlineStr"/>
      <c r="H713" t="inlineStr">
        <is>
          <t>4200569250</t>
        </is>
      </c>
      <c r="I713" t="inlineStr">
        <is>
          <t>120</t>
        </is>
      </c>
      <c r="J713" s="163" t="n">
        <v>45476</v>
      </c>
      <c r="K713" s="163" t="n">
        <v>45477</v>
      </c>
      <c r="L713" t="inlineStr"/>
      <c r="M713" s="163" t="n">
        <v>45494</v>
      </c>
      <c r="N713" s="164" t="n">
        <v>40</v>
      </c>
      <c r="O713" s="164" t="n">
        <v>8</v>
      </c>
      <c r="P713" t="inlineStr">
        <is>
          <t>Liberado</t>
        </is>
      </c>
      <c r="Q713" s="165" t="n">
        <v>1</v>
      </c>
      <c r="R713" s="165" t="n">
        <v>1</v>
      </c>
      <c r="S713" s="165" t="n">
        <v>1</v>
      </c>
      <c r="T713" s="165" t="n">
        <v>0</v>
      </c>
      <c r="U713" s="166" t="n">
        <v>1</v>
      </c>
      <c r="V713" s="166" t="n">
        <v>0</v>
      </c>
      <c r="W713" t="inlineStr">
        <is>
          <t>X</t>
        </is>
      </c>
      <c r="X713" t="inlineStr">
        <is>
          <t>0.00</t>
        </is>
      </c>
      <c r="Y713" t="inlineStr"/>
      <c r="Z713" t="inlineStr">
        <is>
          <t>CONECTORES Y CABLES VAHER, S.A.</t>
        </is>
      </c>
      <c r="AA713" t="inlineStr">
        <is>
          <t>MILITARY STANDARDS</t>
        </is>
      </c>
      <c r="AB713" t="inlineStr">
        <is>
          <t>MS27472E18F53S</t>
        </is>
      </c>
      <c r="AC713" t="inlineStr"/>
      <c r="AD713" s="164" t="n">
        <v>0</v>
      </c>
      <c r="AE713" s="185" t="n">
        <v>0</v>
      </c>
      <c r="AG713" s="167" t="inlineStr">
        <is>
          <t>7218|JA2581_1001</t>
        </is>
      </c>
      <c r="AH713" s="47">
        <f>IF(M713=0,"-",M713-J713)</f>
        <v/>
      </c>
      <c r="AI713" s="46">
        <f>IF(AND(S713=0,M713&gt;0,L713=0),IF(AH713&gt;=120,"VERY HIGH",IF(AH713&gt;=90,"HIGH",IF(AH713&gt;=60,"MEDIUM",IF(AH713&lt;60,"LOW")))),"-")</f>
        <v/>
      </c>
      <c r="AJ713" s="12" t="n"/>
      <c r="AK713" s="53">
        <f>IF(AND(W713="X",M713&lt;=$AJ$2),"YES","")</f>
        <v/>
      </c>
      <c r="AL713" s="54">
        <f>IF(AND(W713="X",M713&lt;=$AJ$2),S713,"")</f>
        <v/>
      </c>
      <c r="AM713" s="35" t="n"/>
      <c r="AN713" s="35">
        <f>IF(AND(W713="X",M713&gt;$AJ$2),S713,"")</f>
        <v/>
      </c>
      <c r="AO713" s="35">
        <f>IF(AND(W713="",M713&gt;0,$AJ$2&gt;M713,L713=""),1,0)</f>
        <v/>
      </c>
      <c r="AP713" s="35">
        <f>IF(AND(AK713="YES",W713="X"),"X","")</f>
        <v/>
      </c>
      <c r="AQ713" s="55">
        <f>IF(AP713="X",100%,0%)</f>
        <v/>
      </c>
      <c r="AR713" s="25">
        <f>IF(AND(T713&gt;0,L713=""),H713,"")</f>
        <v/>
      </c>
      <c r="AS713" s="25">
        <f>IF(AND(D713&gt;0,H713=0,G713=""),1,"")</f>
        <v/>
      </c>
      <c r="AT713" s="25">
        <f>IF(G713="BLOQ",1,"")</f>
        <v/>
      </c>
      <c r="AU713" s="25">
        <f>IF(L713="BLOQ",1,"")</f>
        <v/>
      </c>
      <c r="AV713" s="25">
        <f>MONTH(F713)</f>
        <v/>
      </c>
      <c r="AW713" s="65">
        <f>IF(AP713="",100%,0%)</f>
        <v/>
      </c>
      <c r="AX713" s="56" t="n"/>
      <c r="AY713" s="24">
        <f>IF(M713=0,"",M713-$AX$2)</f>
        <v/>
      </c>
      <c r="AZ713" s="66">
        <f>IF(AND(W713="",AY713&gt;0,AY713&lt;15),1,0)</f>
        <v/>
      </c>
      <c r="BA713" s="24">
        <f>IF(AND(W713="",AY713&gt;0,AY713&lt;15),T713,"")</f>
        <v/>
      </c>
      <c r="BB713" s="87">
        <f>IF(R713&lt;Q713,"X","")</f>
        <v/>
      </c>
      <c r="BC713" s="190" t="inlineStr">
        <is>
          <t>NO</t>
        </is>
      </c>
      <c r="BD713" s="191" t="inlineStr">
        <is>
          <t>SI</t>
        </is>
      </c>
    </row>
    <row r="714" ht="15" customHeight="1" s="162">
      <c r="A714" s="7" t="n">
        <v>713</v>
      </c>
      <c r="B714" t="inlineStr">
        <is>
          <t>1214200430721</t>
        </is>
      </c>
      <c r="C714" t="inlineStr">
        <is>
          <t>CNC CIR 13-4   4H PLUG D38999/26ZC4SN</t>
        </is>
      </c>
      <c r="D714" t="inlineStr">
        <is>
          <t>1800108782</t>
        </is>
      </c>
      <c r="E714" t="inlineStr">
        <is>
          <t>470</t>
        </is>
      </c>
      <c r="F714" s="163" t="n">
        <v>45457</v>
      </c>
      <c r="G714" t="inlineStr"/>
      <c r="H714" t="inlineStr">
        <is>
          <t>4200569022</t>
        </is>
      </c>
      <c r="I714" t="inlineStr">
        <is>
          <t>240</t>
        </is>
      </c>
      <c r="J714" s="163" t="n">
        <v>45475</v>
      </c>
      <c r="K714" s="163" t="inlineStr"/>
      <c r="L714" t="inlineStr">
        <is>
          <t>BORR</t>
        </is>
      </c>
      <c r="M714" s="163" t="n">
        <v>45488</v>
      </c>
      <c r="N714" s="164" t="n">
        <v>60</v>
      </c>
      <c r="O714" s="164" t="n">
        <v>8</v>
      </c>
      <c r="P714" t="inlineStr"/>
      <c r="Q714" s="165" t="n">
        <v>9</v>
      </c>
      <c r="R714" s="165" t="n">
        <v>9</v>
      </c>
      <c r="S714" s="165" t="n">
        <v>0</v>
      </c>
      <c r="T714" s="165" t="n">
        <v>9</v>
      </c>
      <c r="U714" s="166" t="n">
        <v>0</v>
      </c>
      <c r="V714" s="166" t="n">
        <v>0</v>
      </c>
      <c r="W714" t="inlineStr"/>
      <c r="X714" t="inlineStr">
        <is>
          <t>678.51</t>
        </is>
      </c>
      <c r="Y714" t="inlineStr"/>
      <c r="Z714" t="inlineStr">
        <is>
          <t>ICOMPPLUS ELECTRONICS S.L</t>
        </is>
      </c>
      <c r="AA714" t="inlineStr">
        <is>
          <t>MILITARY SPECS.</t>
        </is>
      </c>
      <c r="AB714" t="inlineStr">
        <is>
          <t>D38999/26ZC4SN</t>
        </is>
      </c>
      <c r="AC714" t="inlineStr"/>
      <c r="AD714" s="164" t="n">
        <v>0</v>
      </c>
      <c r="AE714" s="185" t="n">
        <v>0</v>
      </c>
      <c r="AG714" s="167" t="inlineStr">
        <is>
          <t>7218|JA2581_1001</t>
        </is>
      </c>
      <c r="AH714" s="47">
        <f>IF(M714=0,"-",M714-J714)</f>
        <v/>
      </c>
      <c r="AI714" s="46">
        <f>IF(AND(S714=0,M714&gt;0,L714=0),IF(AH714&gt;=120,"VERY HIGH",IF(AH714&gt;=90,"HIGH",IF(AH714&gt;=60,"MEDIUM",IF(AH714&lt;60,"LOW")))),"-")</f>
        <v/>
      </c>
      <c r="AJ714" s="12" t="n"/>
      <c r="AK714" s="53">
        <f>IF(AND(W714="X",M714&lt;=$AJ$2),"YES","")</f>
        <v/>
      </c>
      <c r="AL714" s="54">
        <f>IF(AND(W714="X",M714&lt;=$AJ$2),S714,"")</f>
        <v/>
      </c>
      <c r="AM714" s="35" t="n"/>
      <c r="AN714" s="35">
        <f>IF(AND(W714="X",M714&gt;$AJ$2),S714,"")</f>
        <v/>
      </c>
      <c r="AO714" s="35">
        <f>IF(AND(W714="",M714&gt;0,$AJ$2&gt;M714,L714=""),1,0)</f>
        <v/>
      </c>
      <c r="AP714" s="35">
        <f>IF(AND(AK714="YES",W714="X"),"X","")</f>
        <v/>
      </c>
      <c r="AQ714" s="55">
        <f>IF(AP714="X",100%,0%)</f>
        <v/>
      </c>
      <c r="AR714" s="25">
        <f>IF(AND(T714&gt;0,L714=""),H714,"")</f>
        <v/>
      </c>
      <c r="AS714" s="25">
        <f>IF(AND(D714&gt;0,H714=0,G714=""),1,"")</f>
        <v/>
      </c>
      <c r="AT714" s="25">
        <f>IF(G714="BLOQ",1,"")</f>
        <v/>
      </c>
      <c r="AU714" s="25">
        <f>IF(L714="BLOQ",1,"")</f>
        <v/>
      </c>
      <c r="AV714" s="25">
        <f>MONTH(F714)</f>
        <v/>
      </c>
      <c r="AW714" s="65">
        <f>IF(AP714="",100%,0%)</f>
        <v/>
      </c>
      <c r="AX714" s="56" t="n"/>
      <c r="AY714" s="24">
        <f>IF(M714=0,"",M714-$AX$2)</f>
        <v/>
      </c>
      <c r="AZ714" s="66">
        <f>IF(AND(W714="",AY714&gt;0,AY714&lt;15),1,0)</f>
        <v/>
      </c>
      <c r="BA714" s="24">
        <f>IF(AND(W714="",AY714&gt;0,AY714&lt;15),T714,"")</f>
        <v/>
      </c>
      <c r="BB714" s="87">
        <f>IF(R714&lt;Q714,"X","")</f>
        <v/>
      </c>
      <c r="BC714" s="190" t="inlineStr">
        <is>
          <t>NO</t>
        </is>
      </c>
      <c r="BD714" s="191" t="inlineStr">
        <is>
          <t>SI</t>
        </is>
      </c>
    </row>
    <row r="715" ht="15" customHeight="1" s="162">
      <c r="A715" s="7" t="n">
        <v>714</v>
      </c>
      <c r="B715" t="inlineStr">
        <is>
          <t>1214200430721</t>
        </is>
      </c>
      <c r="C715" t="inlineStr">
        <is>
          <t>CNC CIR 13-4   4H PLUG D38999/26ZC4SN</t>
        </is>
      </c>
      <c r="D715" t="inlineStr">
        <is>
          <t>1800108782</t>
        </is>
      </c>
      <c r="E715" t="inlineStr">
        <is>
          <t>470</t>
        </is>
      </c>
      <c r="F715" s="163" t="n">
        <v>45457</v>
      </c>
      <c r="G715" t="inlineStr"/>
      <c r="H715" t="inlineStr">
        <is>
          <t>4200569161</t>
        </is>
      </c>
      <c r="I715" t="inlineStr">
        <is>
          <t>190</t>
        </is>
      </c>
      <c r="J715" s="163" t="n">
        <v>45475</v>
      </c>
      <c r="K715" s="163" t="n">
        <v>45477</v>
      </c>
      <c r="L715" t="inlineStr"/>
      <c r="M715" s="163" t="n">
        <v>45488</v>
      </c>
      <c r="N715" s="164" t="n">
        <v>60</v>
      </c>
      <c r="O715" s="164" t="n">
        <v>8</v>
      </c>
      <c r="P715" t="inlineStr">
        <is>
          <t>Liberado</t>
        </is>
      </c>
      <c r="Q715" s="165" t="n">
        <v>9</v>
      </c>
      <c r="R715" s="165" t="n">
        <v>9</v>
      </c>
      <c r="S715" s="165" t="n">
        <v>9</v>
      </c>
      <c r="T715" s="165" t="n">
        <v>0</v>
      </c>
      <c r="U715" s="166" t="n">
        <v>9</v>
      </c>
      <c r="V715" s="166" t="n">
        <v>0</v>
      </c>
      <c r="W715" t="inlineStr">
        <is>
          <t>X</t>
        </is>
      </c>
      <c r="X715" t="inlineStr">
        <is>
          <t>0.00</t>
        </is>
      </c>
      <c r="Y715" t="inlineStr"/>
      <c r="Z715" t="inlineStr">
        <is>
          <t>SUMINISTROS CONECTORES PROF.,SA.</t>
        </is>
      </c>
      <c r="AA715" t="inlineStr">
        <is>
          <t>MILITARY SPECS.</t>
        </is>
      </c>
      <c r="AB715" t="inlineStr">
        <is>
          <t>D38999/26ZC4SN</t>
        </is>
      </c>
      <c r="AC715" t="inlineStr"/>
      <c r="AD715" s="164" t="n">
        <v>0</v>
      </c>
      <c r="AE715" s="185" t="n">
        <v>0</v>
      </c>
      <c r="AG715" s="167" t="inlineStr">
        <is>
          <t>7218|JA2581_1001</t>
        </is>
      </c>
      <c r="AH715" s="47">
        <f>IF(M715=0,"-",M715-J715)</f>
        <v/>
      </c>
      <c r="AI715" s="46">
        <f>IF(AND(S715=0,M715&gt;0,L715=0),IF(AH715&gt;=120,"VERY HIGH",IF(AH715&gt;=90,"HIGH",IF(AH715&gt;=60,"MEDIUM",IF(AH715&lt;60,"LOW")))),"-")</f>
        <v/>
      </c>
      <c r="AJ715" s="12" t="n"/>
      <c r="AK715" s="53">
        <f>IF(AND(W715="X",M715&lt;=$AJ$2),"YES","")</f>
        <v/>
      </c>
      <c r="AL715" s="54">
        <f>IF(AND(W715="X",M715&lt;=$AJ$2),S715,"")</f>
        <v/>
      </c>
      <c r="AM715" s="35" t="n"/>
      <c r="AN715" s="35">
        <f>IF(AND(W715="X",M715&gt;$AJ$2),S715,"")</f>
        <v/>
      </c>
      <c r="AO715" s="35">
        <f>IF(AND(W715="",M715&gt;0,$AJ$2&gt;M715,L715=""),1,0)</f>
        <v/>
      </c>
      <c r="AP715" s="35">
        <f>IF(AND(AK715="YES",W715="X"),"X","")</f>
        <v/>
      </c>
      <c r="AQ715" s="55">
        <f>IF(AP715="X",100%,0%)</f>
        <v/>
      </c>
      <c r="AR715" s="25">
        <f>IF(AND(T715&gt;0,L715=""),H715,"")</f>
        <v/>
      </c>
      <c r="AS715" s="25">
        <f>IF(AND(D715&gt;0,H715=0,G715=""),1,"")</f>
        <v/>
      </c>
      <c r="AT715" s="25">
        <f>IF(G715="BLOQ",1,"")</f>
        <v/>
      </c>
      <c r="AU715" s="25">
        <f>IF(L715="BLOQ",1,"")</f>
        <v/>
      </c>
      <c r="AV715" s="25">
        <f>MONTH(F715)</f>
        <v/>
      </c>
      <c r="AW715" s="65">
        <f>IF(AP715="",100%,0%)</f>
        <v/>
      </c>
      <c r="AX715" s="56" t="n"/>
      <c r="AY715" s="24">
        <f>IF(M715=0,"",M715-$AX$2)</f>
        <v/>
      </c>
      <c r="AZ715" s="66">
        <f>IF(AND(W715="",AY715&gt;0,AY715&lt;15),1,0)</f>
        <v/>
      </c>
      <c r="BA715" s="24">
        <f>IF(AND(W715="",AY715&gt;0,AY715&lt;15),T715,"")</f>
        <v/>
      </c>
      <c r="BB715" s="87">
        <f>IF(R715&lt;Q715,"X","")</f>
        <v/>
      </c>
      <c r="BC715" s="190" t="inlineStr">
        <is>
          <t>NO</t>
        </is>
      </c>
      <c r="BD715" s="191" t="inlineStr">
        <is>
          <t>SI</t>
        </is>
      </c>
    </row>
    <row r="716" ht="15" customHeight="1" s="162">
      <c r="A716" s="7" t="n">
        <v>715</v>
      </c>
      <c r="B716" t="inlineStr">
        <is>
          <t>1214201130020</t>
        </is>
      </c>
      <c r="C716" t="inlineStr">
        <is>
          <t>CNC CIR 19-11S/H PLUG RECT AL ZN/NI R-N</t>
        </is>
      </c>
      <c r="D716" t="inlineStr">
        <is>
          <t>1800108782</t>
        </is>
      </c>
      <c r="E716" t="inlineStr">
        <is>
          <t>480</t>
        </is>
      </c>
      <c r="F716" s="163" t="n">
        <v>45457</v>
      </c>
      <c r="G716" t="inlineStr"/>
      <c r="H716" t="inlineStr">
        <is>
          <t>4200569161</t>
        </is>
      </c>
      <c r="I716" t="inlineStr">
        <is>
          <t>200</t>
        </is>
      </c>
      <c r="J716" s="163" t="n">
        <v>45475</v>
      </c>
      <c r="K716" s="163" t="n">
        <v>45477</v>
      </c>
      <c r="L716" t="inlineStr"/>
      <c r="M716" s="163" t="n">
        <v>45488</v>
      </c>
      <c r="N716" s="164" t="n">
        <v>40</v>
      </c>
      <c r="O716" s="164" t="n">
        <v>8</v>
      </c>
      <c r="P716" t="inlineStr">
        <is>
          <t>Liberado</t>
        </is>
      </c>
      <c r="Q716" s="165" t="n">
        <v>1</v>
      </c>
      <c r="R716" s="165" t="n">
        <v>1</v>
      </c>
      <c r="S716" s="165" t="n">
        <v>1</v>
      </c>
      <c r="T716" s="165" t="n">
        <v>0</v>
      </c>
      <c r="U716" s="166" t="n">
        <v>1</v>
      </c>
      <c r="V716" s="166" t="n">
        <v>0</v>
      </c>
      <c r="W716" t="inlineStr">
        <is>
          <t>X</t>
        </is>
      </c>
      <c r="X716" t="inlineStr">
        <is>
          <t>0.00</t>
        </is>
      </c>
      <c r="Y716" t="inlineStr"/>
      <c r="Z716" t="inlineStr">
        <is>
          <t>SUMINISTROS CONECTORES PROF.,SA.</t>
        </is>
      </c>
      <c r="AA716" t="inlineStr">
        <is>
          <t>MILITARY SPECS.</t>
        </is>
      </c>
      <c r="AB716" t="inlineStr">
        <is>
          <t>D38999/26ZF11SN</t>
        </is>
      </c>
      <c r="AC716" t="inlineStr"/>
      <c r="AD716" s="164" t="n">
        <v>0</v>
      </c>
      <c r="AE716" s="185" t="n">
        <v>0</v>
      </c>
      <c r="AG716" s="167" t="inlineStr">
        <is>
          <t>7218|JA2581_1001</t>
        </is>
      </c>
      <c r="AH716" s="47">
        <f>IF(M716=0,"-",M716-J716)</f>
        <v/>
      </c>
      <c r="AI716" s="46">
        <f>IF(AND(S716=0,M716&gt;0,L716=0),IF(AH716&gt;=120,"VERY HIGH",IF(AH716&gt;=90,"HIGH",IF(AH716&gt;=60,"MEDIUM",IF(AH716&lt;60,"LOW")))),"-")</f>
        <v/>
      </c>
      <c r="AJ716" s="12" t="n"/>
      <c r="AK716" s="53">
        <f>IF(AND(W716="X",M716&lt;=$AJ$2),"YES","")</f>
        <v/>
      </c>
      <c r="AL716" s="54">
        <f>IF(AND(W716="X",M716&lt;=$AJ$2),S716,"")</f>
        <v/>
      </c>
      <c r="AM716" s="35" t="n"/>
      <c r="AN716" s="35">
        <f>IF(AND(W716="X",M716&gt;$AJ$2),S716,"")</f>
        <v/>
      </c>
      <c r="AO716" s="35">
        <f>IF(AND(W716="",M716&gt;0,$AJ$2&gt;M716,L716=""),1,0)</f>
        <v/>
      </c>
      <c r="AP716" s="35">
        <f>IF(AND(AK716="YES",W716="X"),"X","")</f>
        <v/>
      </c>
      <c r="AQ716" s="55">
        <f>IF(AP716="X",100%,0%)</f>
        <v/>
      </c>
      <c r="AR716" s="25">
        <f>IF(AND(T716&gt;0,L716=""),H716,"")</f>
        <v/>
      </c>
      <c r="AS716" s="25">
        <f>IF(AND(D716&gt;0,H716=0,G716=""),1,"")</f>
        <v/>
      </c>
      <c r="AT716" s="25">
        <f>IF(G716="BLOQ",1,"")</f>
        <v/>
      </c>
      <c r="AU716" s="25">
        <f>IF(L716="BLOQ",1,"")</f>
        <v/>
      </c>
      <c r="AV716" s="25">
        <f>MONTH(F716)</f>
        <v/>
      </c>
      <c r="AW716" s="65">
        <f>IF(AP716="",100%,0%)</f>
        <v/>
      </c>
      <c r="AX716" s="56" t="n"/>
      <c r="AY716" s="24">
        <f>IF(M716=0,"",M716-$AX$2)</f>
        <v/>
      </c>
      <c r="AZ716" s="66">
        <f>IF(AND(W716="",AY716&gt;0,AY716&lt;15),1,0)</f>
        <v/>
      </c>
      <c r="BA716" s="24">
        <f>IF(AND(W716="",AY716&gt;0,AY716&lt;15),T716,"")</f>
        <v/>
      </c>
      <c r="BB716" s="87">
        <f>IF(R716&lt;Q716,"X","")</f>
        <v/>
      </c>
      <c r="BC716" s="190" t="inlineStr">
        <is>
          <t>NO</t>
        </is>
      </c>
      <c r="BD716" s="191" t="inlineStr">
        <is>
          <t>SI</t>
        </is>
      </c>
    </row>
    <row r="717" ht="15" customHeight="1" s="162">
      <c r="A717" s="7" t="n">
        <v>716</v>
      </c>
      <c r="B717" t="inlineStr">
        <is>
          <t>1214201130020</t>
        </is>
      </c>
      <c r="C717" t="inlineStr">
        <is>
          <t>CNC CIR 19-11S/H PLUG RECT AL ZN/NI R-N</t>
        </is>
      </c>
      <c r="D717" t="inlineStr">
        <is>
          <t>1800108782</t>
        </is>
      </c>
      <c r="E717" t="inlineStr">
        <is>
          <t>480</t>
        </is>
      </c>
      <c r="F717" s="163" t="n">
        <v>45457</v>
      </c>
      <c r="G717" t="inlineStr"/>
      <c r="H717" t="inlineStr">
        <is>
          <t>4200569022</t>
        </is>
      </c>
      <c r="I717" t="inlineStr">
        <is>
          <t>250</t>
        </is>
      </c>
      <c r="J717" s="163" t="n">
        <v>45475</v>
      </c>
      <c r="K717" s="163" t="inlineStr"/>
      <c r="L717" t="inlineStr">
        <is>
          <t>BORR</t>
        </is>
      </c>
      <c r="M717" s="163" t="n">
        <v>45488</v>
      </c>
      <c r="N717" s="164" t="n">
        <v>40</v>
      </c>
      <c r="O717" s="164" t="n">
        <v>8</v>
      </c>
      <c r="P717" t="inlineStr"/>
      <c r="Q717" s="165" t="n">
        <v>1</v>
      </c>
      <c r="R717" s="165" t="n">
        <v>1</v>
      </c>
      <c r="S717" s="165" t="n">
        <v>0</v>
      </c>
      <c r="T717" s="165" t="n">
        <v>1</v>
      </c>
      <c r="U717" s="166" t="n">
        <v>0</v>
      </c>
      <c r="V717" s="166" t="n">
        <v>0</v>
      </c>
      <c r="W717" t="inlineStr"/>
      <c r="X717" t="inlineStr">
        <is>
          <t>148.20</t>
        </is>
      </c>
      <c r="Y717" t="inlineStr"/>
      <c r="Z717" t="inlineStr">
        <is>
          <t>ICOMPPLUS ELECTRONICS S.L</t>
        </is>
      </c>
      <c r="AA717" t="inlineStr">
        <is>
          <t>MILITARY SPECS.</t>
        </is>
      </c>
      <c r="AB717" t="inlineStr">
        <is>
          <t>D38999/26ZF11SN</t>
        </is>
      </c>
      <c r="AC717" t="inlineStr"/>
      <c r="AD717" s="164" t="n">
        <v>0</v>
      </c>
      <c r="AE717" s="185" t="n">
        <v>0</v>
      </c>
      <c r="AG717" s="167" t="inlineStr">
        <is>
          <t>7218|JA2581_1001</t>
        </is>
      </c>
      <c r="AH717" s="47">
        <f>IF(M717=0,"-",M717-J717)</f>
        <v/>
      </c>
      <c r="AI717" s="46">
        <f>IF(AND(S717=0,M717&gt;0,L717=0),IF(AH717&gt;=120,"VERY HIGH",IF(AH717&gt;=90,"HIGH",IF(AH717&gt;=60,"MEDIUM",IF(AH717&lt;60,"LOW")))),"-")</f>
        <v/>
      </c>
      <c r="AJ717" s="12" t="n"/>
      <c r="AK717" s="53">
        <f>IF(AND(W717="X",M717&lt;=$AJ$2),"YES","")</f>
        <v/>
      </c>
      <c r="AL717" s="54">
        <f>IF(AND(W717="X",M717&lt;=$AJ$2),S717,"")</f>
        <v/>
      </c>
      <c r="AM717" s="35" t="n"/>
      <c r="AN717" s="35">
        <f>IF(AND(W717="X",M717&gt;$AJ$2),S717,"")</f>
        <v/>
      </c>
      <c r="AO717" s="35">
        <f>IF(AND(W717="",M717&gt;0,$AJ$2&gt;M717,L717=""),1,0)</f>
        <v/>
      </c>
      <c r="AP717" s="35">
        <f>IF(AND(AK717="YES",W717="X"),"X","")</f>
        <v/>
      </c>
      <c r="AQ717" s="55">
        <f>IF(AP717="X",100%,0%)</f>
        <v/>
      </c>
      <c r="AR717" s="25">
        <f>IF(AND(T717&gt;0,L717=""),H717,"")</f>
        <v/>
      </c>
      <c r="AS717" s="25">
        <f>IF(AND(D717&gt;0,H717=0,G717=""),1,"")</f>
        <v/>
      </c>
      <c r="AT717" s="25">
        <f>IF(G717="BLOQ",1,"")</f>
        <v/>
      </c>
      <c r="AU717" s="25">
        <f>IF(L717="BLOQ",1,"")</f>
        <v/>
      </c>
      <c r="AV717" s="25">
        <f>MONTH(F717)</f>
        <v/>
      </c>
      <c r="AW717" s="65">
        <f>IF(AP717="",100%,0%)</f>
        <v/>
      </c>
      <c r="AX717" s="56" t="n"/>
      <c r="AY717" s="24">
        <f>IF(M717=0,"",M717-$AX$2)</f>
        <v/>
      </c>
      <c r="AZ717" s="66">
        <f>IF(AND(W717="",AY717&gt;0,AY717&lt;15),1,0)</f>
        <v/>
      </c>
      <c r="BA717" s="24">
        <f>IF(AND(W717="",AY717&gt;0,AY717&lt;15),T717,"")</f>
        <v/>
      </c>
      <c r="BB717" s="87">
        <f>IF(R717&lt;Q717,"X","")</f>
        <v/>
      </c>
      <c r="BC717" s="190" t="inlineStr">
        <is>
          <t>NO</t>
        </is>
      </c>
      <c r="BD717" s="191" t="inlineStr">
        <is>
          <t>SI</t>
        </is>
      </c>
    </row>
    <row r="718" ht="15" customHeight="1" s="162">
      <c r="A718" s="7" t="n">
        <v>717</v>
      </c>
      <c r="B718" t="inlineStr">
        <is>
          <t>1214201930820</t>
        </is>
      </c>
      <c r="C718" t="inlineStr">
        <is>
          <t>CNC CIR 15-19 19H PLUG RECT ZN/NI ROT-N</t>
        </is>
      </c>
      <c r="D718" t="inlineStr">
        <is>
          <t>1800108782</t>
        </is>
      </c>
      <c r="E718" t="inlineStr">
        <is>
          <t>490</t>
        </is>
      </c>
      <c r="F718" s="163" t="n">
        <v>45457</v>
      </c>
      <c r="G718" t="inlineStr"/>
      <c r="H718" t="inlineStr">
        <is>
          <t>4200569161</t>
        </is>
      </c>
      <c r="I718" t="inlineStr">
        <is>
          <t>210</t>
        </is>
      </c>
      <c r="J718" s="163" t="n">
        <v>45475</v>
      </c>
      <c r="K718" s="163" t="n">
        <v>45477</v>
      </c>
      <c r="L718" t="inlineStr"/>
      <c r="M718" s="163" t="n">
        <v>45488</v>
      </c>
      <c r="N718" s="164" t="n">
        <v>40</v>
      </c>
      <c r="O718" s="164" t="n">
        <v>8</v>
      </c>
      <c r="P718" t="inlineStr">
        <is>
          <t>Liberado</t>
        </is>
      </c>
      <c r="Q718" s="165" t="n">
        <v>1</v>
      </c>
      <c r="R718" s="165" t="n">
        <v>1</v>
      </c>
      <c r="S718" s="165" t="n">
        <v>1</v>
      </c>
      <c r="T718" s="165" t="n">
        <v>0</v>
      </c>
      <c r="U718" s="166" t="n">
        <v>1</v>
      </c>
      <c r="V718" s="166" t="n">
        <v>0</v>
      </c>
      <c r="W718" t="inlineStr">
        <is>
          <t>X</t>
        </is>
      </c>
      <c r="X718" t="inlineStr">
        <is>
          <t>0.00</t>
        </is>
      </c>
      <c r="Y718" t="inlineStr"/>
      <c r="Z718" t="inlineStr">
        <is>
          <t>SUMINISTROS CONECTORES PROF.,SA.</t>
        </is>
      </c>
      <c r="AA718" t="inlineStr">
        <is>
          <t>MILITARY SPECS.</t>
        </is>
      </c>
      <c r="AB718" t="inlineStr">
        <is>
          <t>D38999/26ZD19SN</t>
        </is>
      </c>
      <c r="AC718" t="inlineStr"/>
      <c r="AD718" s="164" t="n">
        <v>0</v>
      </c>
      <c r="AE718" s="185" t="n">
        <v>0</v>
      </c>
      <c r="AG718" s="167" t="inlineStr">
        <is>
          <t>7218|JA2581_1001</t>
        </is>
      </c>
      <c r="AH718" s="47">
        <f>IF(M718=0,"-",M718-J718)</f>
        <v/>
      </c>
      <c r="AI718" s="46">
        <f>IF(AND(S718=0,M718&gt;0,L718=0),IF(AH718&gt;=120,"VERY HIGH",IF(AH718&gt;=90,"HIGH",IF(AH718&gt;=60,"MEDIUM",IF(AH718&lt;60,"LOW")))),"-")</f>
        <v/>
      </c>
      <c r="AJ718" s="12" t="n"/>
      <c r="AK718" s="53">
        <f>IF(AND(W718="X",M718&lt;=$AJ$2),"YES","")</f>
        <v/>
      </c>
      <c r="AL718" s="54">
        <f>IF(AND(W718="X",M718&lt;=$AJ$2),S718,"")</f>
        <v/>
      </c>
      <c r="AM718" s="35" t="n"/>
      <c r="AN718" s="35">
        <f>IF(AND(W718="X",M718&gt;$AJ$2),S718,"")</f>
        <v/>
      </c>
      <c r="AO718" s="35">
        <f>IF(AND(W718="",M718&gt;0,$AJ$2&gt;M718,L718=""),1,0)</f>
        <v/>
      </c>
      <c r="AP718" s="35">
        <f>IF(AND(AK718="YES",W718="X"),"X","")</f>
        <v/>
      </c>
      <c r="AQ718" s="55">
        <f>IF(AP718="X",100%,0%)</f>
        <v/>
      </c>
      <c r="AR718" s="25">
        <f>IF(AND(T718&gt;0,L718=""),H718,"")</f>
        <v/>
      </c>
      <c r="AS718" s="25">
        <f>IF(AND(D718&gt;0,H718=0,G718=""),1,"")</f>
        <v/>
      </c>
      <c r="AT718" s="25">
        <f>IF(G718="BLOQ",1,"")</f>
        <v/>
      </c>
      <c r="AU718" s="25">
        <f>IF(L718="BLOQ",1,"")</f>
        <v/>
      </c>
      <c r="AV718" s="25">
        <f>MONTH(F718)</f>
        <v/>
      </c>
      <c r="AW718" s="65">
        <f>IF(AP718="",100%,0%)</f>
        <v/>
      </c>
      <c r="AX718" s="56" t="n"/>
      <c r="AY718" s="24">
        <f>IF(M718=0,"",M718-$AX$2)</f>
        <v/>
      </c>
      <c r="AZ718" s="66">
        <f>IF(AND(W718="",AY718&gt;0,AY718&lt;15),1,0)</f>
        <v/>
      </c>
      <c r="BA718" s="24">
        <f>IF(AND(W718="",AY718&gt;0,AY718&lt;15),T718,"")</f>
        <v/>
      </c>
      <c r="BB718" s="87">
        <f>IF(R718&lt;Q718,"X","")</f>
        <v/>
      </c>
      <c r="BC718" s="190" t="inlineStr">
        <is>
          <t>NO</t>
        </is>
      </c>
      <c r="BD718" s="191" t="inlineStr">
        <is>
          <t>SI</t>
        </is>
      </c>
    </row>
    <row r="719" ht="15" customHeight="1" s="162">
      <c r="A719" s="7" t="n">
        <v>718</v>
      </c>
      <c r="B719" t="inlineStr">
        <is>
          <t>1214201930820</t>
        </is>
      </c>
      <c r="C719" t="inlineStr">
        <is>
          <t>CNC CIR 15-19 19H PLUG RECT ZN/NI ROT-N</t>
        </is>
      </c>
      <c r="D719" t="inlineStr">
        <is>
          <t>1800108782</t>
        </is>
      </c>
      <c r="E719" t="inlineStr">
        <is>
          <t>490</t>
        </is>
      </c>
      <c r="F719" s="163" t="n">
        <v>45457</v>
      </c>
      <c r="G719" t="inlineStr"/>
      <c r="H719" t="inlineStr">
        <is>
          <t>4200569022</t>
        </is>
      </c>
      <c r="I719" t="inlineStr">
        <is>
          <t>260</t>
        </is>
      </c>
      <c r="J719" s="163" t="n">
        <v>45475</v>
      </c>
      <c r="K719" s="163" t="inlineStr"/>
      <c r="L719" t="inlineStr">
        <is>
          <t>BORR</t>
        </is>
      </c>
      <c r="M719" s="163" t="n">
        <v>45488</v>
      </c>
      <c r="N719" s="164" t="n">
        <v>40</v>
      </c>
      <c r="O719" s="164" t="n">
        <v>8</v>
      </c>
      <c r="P719" t="inlineStr"/>
      <c r="Q719" s="165" t="n">
        <v>1</v>
      </c>
      <c r="R719" s="165" t="n">
        <v>1</v>
      </c>
      <c r="S719" s="165" t="n">
        <v>0</v>
      </c>
      <c r="T719" s="165" t="n">
        <v>1</v>
      </c>
      <c r="U719" s="166" t="n">
        <v>0</v>
      </c>
      <c r="V719" s="166" t="n">
        <v>0</v>
      </c>
      <c r="W719" t="inlineStr"/>
      <c r="X719" t="inlineStr">
        <is>
          <t>121.83</t>
        </is>
      </c>
      <c r="Y719" t="inlineStr"/>
      <c r="Z719" t="inlineStr">
        <is>
          <t>ICOMPPLUS ELECTRONICS S.L</t>
        </is>
      </c>
      <c r="AA719" t="inlineStr">
        <is>
          <t>MILITARY SPECS.</t>
        </is>
      </c>
      <c r="AB719" t="inlineStr">
        <is>
          <t>D38999/26ZD19SN</t>
        </is>
      </c>
      <c r="AC719" t="inlineStr"/>
      <c r="AD719" s="164" t="n">
        <v>0</v>
      </c>
      <c r="AE719" s="185" t="n">
        <v>0</v>
      </c>
      <c r="AG719" s="167" t="inlineStr">
        <is>
          <t>7218|JA2581_1001</t>
        </is>
      </c>
      <c r="AH719" s="47">
        <f>IF(M719=0,"-",M719-J719)</f>
        <v/>
      </c>
      <c r="AI719" s="46">
        <f>IF(AND(S719=0,M719&gt;0,L719=0),IF(AH719&gt;=120,"VERY HIGH",IF(AH719&gt;=90,"HIGH",IF(AH719&gt;=60,"MEDIUM",IF(AH719&lt;60,"LOW")))),"-")</f>
        <v/>
      </c>
      <c r="AJ719" s="12" t="n"/>
      <c r="AK719" s="53">
        <f>IF(AND(W719="X",M719&lt;=$AJ$2),"YES","")</f>
        <v/>
      </c>
      <c r="AL719" s="54">
        <f>IF(AND(W719="X",M719&lt;=$AJ$2),S719,"")</f>
        <v/>
      </c>
      <c r="AM719" s="35" t="n"/>
      <c r="AN719" s="35">
        <f>IF(AND(W719="X",M719&gt;$AJ$2),S719,"")</f>
        <v/>
      </c>
      <c r="AO719" s="35">
        <f>IF(AND(W719="",M719&gt;0,$AJ$2&gt;M719,L719=""),1,0)</f>
        <v/>
      </c>
      <c r="AP719" s="35">
        <f>IF(AND(AK719="YES",W719="X"),"X","")</f>
        <v/>
      </c>
      <c r="AQ719" s="55">
        <f>IF(AP719="X",100%,0%)</f>
        <v/>
      </c>
      <c r="AR719" s="25">
        <f>IF(AND(T719&gt;0,L719=""),H719,"")</f>
        <v/>
      </c>
      <c r="AS719" s="25">
        <f>IF(AND(D719&gt;0,H719=0,G719=""),1,"")</f>
        <v/>
      </c>
      <c r="AT719" s="25">
        <f>IF(G719="BLOQ",1,"")</f>
        <v/>
      </c>
      <c r="AU719" s="25">
        <f>IF(L719="BLOQ",1,"")</f>
        <v/>
      </c>
      <c r="AV719" s="25">
        <f>MONTH(F719)</f>
        <v/>
      </c>
      <c r="AW719" s="65">
        <f>IF(AP719="",100%,0%)</f>
        <v/>
      </c>
      <c r="AX719" s="56" t="n"/>
      <c r="AY719" s="24">
        <f>IF(M719=0,"",M719-$AX$2)</f>
        <v/>
      </c>
      <c r="AZ719" s="66">
        <f>IF(AND(W719="",AY719&gt;0,AY719&lt;15),1,0)</f>
        <v/>
      </c>
      <c r="BA719" s="24">
        <f>IF(AND(W719="",AY719&gt;0,AY719&lt;15),T719,"")</f>
        <v/>
      </c>
      <c r="BB719" s="87">
        <f>IF(R719&lt;Q719,"X","")</f>
        <v/>
      </c>
      <c r="BC719" s="190" t="inlineStr">
        <is>
          <t>NO</t>
        </is>
      </c>
      <c r="BD719" s="191" t="inlineStr">
        <is>
          <t>SI</t>
        </is>
      </c>
    </row>
    <row r="720" ht="15" customHeight="1" s="162">
      <c r="A720" s="7" t="n">
        <v>719</v>
      </c>
      <c r="B720" t="inlineStr">
        <is>
          <t>1214201931820</t>
        </is>
      </c>
      <c r="C720" t="inlineStr">
        <is>
          <t>CNC CIR 15-19 19H PLUG RECT ZN/NI ROT-A</t>
        </is>
      </c>
      <c r="D720" t="inlineStr">
        <is>
          <t>1800108782</t>
        </is>
      </c>
      <c r="E720" t="inlineStr">
        <is>
          <t>500</t>
        </is>
      </c>
      <c r="F720" s="163" t="n">
        <v>45457</v>
      </c>
      <c r="G720" t="inlineStr"/>
      <c r="H720" t="inlineStr">
        <is>
          <t>4200569161</t>
        </is>
      </c>
      <c r="I720" t="inlineStr">
        <is>
          <t>220</t>
        </is>
      </c>
      <c r="J720" s="163" t="n">
        <v>45475</v>
      </c>
      <c r="K720" s="163" t="n">
        <v>45477</v>
      </c>
      <c r="L720" t="inlineStr"/>
      <c r="M720" s="163" t="n">
        <v>45488</v>
      </c>
      <c r="N720" s="164" t="n">
        <v>40</v>
      </c>
      <c r="O720" s="164" t="n">
        <v>8</v>
      </c>
      <c r="P720" t="inlineStr">
        <is>
          <t>Liberado</t>
        </is>
      </c>
      <c r="Q720" s="165" t="n">
        <v>1</v>
      </c>
      <c r="R720" s="165" t="n">
        <v>1</v>
      </c>
      <c r="S720" s="165" t="n">
        <v>1</v>
      </c>
      <c r="T720" s="165" t="n">
        <v>0</v>
      </c>
      <c r="U720" s="166" t="n">
        <v>1</v>
      </c>
      <c r="V720" s="166" t="n">
        <v>0</v>
      </c>
      <c r="W720" t="inlineStr">
        <is>
          <t>X</t>
        </is>
      </c>
      <c r="X720" t="inlineStr">
        <is>
          <t>0.00</t>
        </is>
      </c>
      <c r="Y720" t="inlineStr"/>
      <c r="Z720" t="inlineStr">
        <is>
          <t>SUMINISTROS CONECTORES PROF.,SA.</t>
        </is>
      </c>
      <c r="AA720" t="inlineStr">
        <is>
          <t>MILITARY SPECS.</t>
        </is>
      </c>
      <c r="AB720" t="inlineStr">
        <is>
          <t>D38999/26ZD19SA</t>
        </is>
      </c>
      <c r="AC720" t="inlineStr"/>
      <c r="AD720" s="164" t="n">
        <v>0</v>
      </c>
      <c r="AE720" s="185" t="n">
        <v>0</v>
      </c>
      <c r="AG720" s="167" t="inlineStr">
        <is>
          <t>7218|JA2581_1001</t>
        </is>
      </c>
      <c r="AH720" s="47">
        <f>IF(M720=0,"-",M720-J720)</f>
        <v/>
      </c>
      <c r="AI720" s="46">
        <f>IF(AND(S720=0,M720&gt;0,L720=0),IF(AH720&gt;=120,"VERY HIGH",IF(AH720&gt;=90,"HIGH",IF(AH720&gt;=60,"MEDIUM",IF(AH720&lt;60,"LOW")))),"-")</f>
        <v/>
      </c>
      <c r="AJ720" s="12" t="n"/>
      <c r="AK720" s="53">
        <f>IF(AND(W720="X",M720&lt;=$AJ$2),"YES","")</f>
        <v/>
      </c>
      <c r="AL720" s="54">
        <f>IF(AND(W720="X",M720&lt;=$AJ$2),S720,"")</f>
        <v/>
      </c>
      <c r="AM720" s="35" t="n"/>
      <c r="AN720" s="35">
        <f>IF(AND(W720="X",M720&gt;$AJ$2),S720,"")</f>
        <v/>
      </c>
      <c r="AO720" s="35">
        <f>IF(AND(W720="",M720&gt;0,$AJ$2&gt;M720,L720=""),1,0)</f>
        <v/>
      </c>
      <c r="AP720" s="35">
        <f>IF(AND(AK720="YES",W720="X"),"X","")</f>
        <v/>
      </c>
      <c r="AQ720" s="55">
        <f>IF(AP720="X",100%,0%)</f>
        <v/>
      </c>
      <c r="AR720" s="25">
        <f>IF(AND(T720&gt;0,L720=""),H720,"")</f>
        <v/>
      </c>
      <c r="AS720" s="25">
        <f>IF(AND(D720&gt;0,H720=0,G720=""),1,"")</f>
        <v/>
      </c>
      <c r="AT720" s="25">
        <f>IF(G720="BLOQ",1,"")</f>
        <v/>
      </c>
      <c r="AU720" s="25">
        <f>IF(L720="BLOQ",1,"")</f>
        <v/>
      </c>
      <c r="AV720" s="25">
        <f>MONTH(F720)</f>
        <v/>
      </c>
      <c r="AW720" s="65">
        <f>IF(AP720="",100%,0%)</f>
        <v/>
      </c>
      <c r="AX720" s="56" t="n"/>
      <c r="AY720" s="24">
        <f>IF(M720=0,"",M720-$AX$2)</f>
        <v/>
      </c>
      <c r="AZ720" s="66">
        <f>IF(AND(W720="",AY720&gt;0,AY720&lt;15),1,0)</f>
        <v/>
      </c>
      <c r="BA720" s="24">
        <f>IF(AND(W720="",AY720&gt;0,AY720&lt;15),T720,"")</f>
        <v/>
      </c>
      <c r="BB720" s="87">
        <f>IF(R720&lt;Q720,"X","")</f>
        <v/>
      </c>
      <c r="BC720" s="190" t="inlineStr">
        <is>
          <t>NO</t>
        </is>
      </c>
      <c r="BD720" s="191" t="inlineStr">
        <is>
          <t>SI</t>
        </is>
      </c>
    </row>
    <row r="721" ht="15" customHeight="1" s="162">
      <c r="A721" s="7" t="n">
        <v>720</v>
      </c>
      <c r="B721" t="inlineStr">
        <is>
          <t>1214201931820</t>
        </is>
      </c>
      <c r="C721" t="inlineStr">
        <is>
          <t>CNC CIR 15-19 19H PLUG RECT ZN/NI ROT-A</t>
        </is>
      </c>
      <c r="D721" t="inlineStr">
        <is>
          <t>1800108782</t>
        </is>
      </c>
      <c r="E721" t="inlineStr">
        <is>
          <t>500</t>
        </is>
      </c>
      <c r="F721" s="163" t="n">
        <v>45457</v>
      </c>
      <c r="G721" t="inlineStr"/>
      <c r="H721" t="inlineStr">
        <is>
          <t>4200569022</t>
        </is>
      </c>
      <c r="I721" t="inlineStr">
        <is>
          <t>270</t>
        </is>
      </c>
      <c r="J721" s="163" t="n">
        <v>45475</v>
      </c>
      <c r="K721" s="163" t="inlineStr"/>
      <c r="L721" t="inlineStr">
        <is>
          <t>BORR</t>
        </is>
      </c>
      <c r="M721" s="163" t="n">
        <v>45488</v>
      </c>
      <c r="N721" s="164" t="n">
        <v>40</v>
      </c>
      <c r="O721" s="164" t="n">
        <v>8</v>
      </c>
      <c r="P721" t="inlineStr"/>
      <c r="Q721" s="165" t="n">
        <v>1</v>
      </c>
      <c r="R721" s="165" t="n">
        <v>1</v>
      </c>
      <c r="S721" s="165" t="n">
        <v>0</v>
      </c>
      <c r="T721" s="165" t="n">
        <v>1</v>
      </c>
      <c r="U721" s="166" t="n">
        <v>0</v>
      </c>
      <c r="V721" s="166" t="n">
        <v>0</v>
      </c>
      <c r="W721" t="inlineStr"/>
      <c r="X721" t="inlineStr">
        <is>
          <t>112.83</t>
        </is>
      </c>
      <c r="Y721" t="inlineStr"/>
      <c r="Z721" t="inlineStr">
        <is>
          <t>ICOMPPLUS ELECTRONICS S.L</t>
        </is>
      </c>
      <c r="AA721" t="inlineStr">
        <is>
          <t>MILITARY SPECS.</t>
        </is>
      </c>
      <c r="AB721" t="inlineStr">
        <is>
          <t>D38999/26ZD19SA</t>
        </is>
      </c>
      <c r="AC721" t="inlineStr"/>
      <c r="AD721" s="164" t="n">
        <v>0</v>
      </c>
      <c r="AE721" s="185" t="n">
        <v>0</v>
      </c>
      <c r="AG721" s="167" t="inlineStr">
        <is>
          <t>7218|JA2581_1001</t>
        </is>
      </c>
      <c r="AH721" s="47">
        <f>IF(M721=0,"-",M721-J721)</f>
        <v/>
      </c>
      <c r="AI721" s="46">
        <f>IF(AND(S721=0,M721&gt;0,L721=0),IF(AH721&gt;=120,"VERY HIGH",IF(AH721&gt;=90,"HIGH",IF(AH721&gt;=60,"MEDIUM",IF(AH721&lt;60,"LOW")))),"-")</f>
        <v/>
      </c>
      <c r="AJ721" s="12" t="n"/>
      <c r="AK721" s="53">
        <f>IF(AND(W721="X",M721&lt;=$AJ$2),"YES","")</f>
        <v/>
      </c>
      <c r="AL721" s="54">
        <f>IF(AND(W721="X",M721&lt;=$AJ$2),S721,"")</f>
        <v/>
      </c>
      <c r="AM721" s="35" t="n"/>
      <c r="AN721" s="35">
        <f>IF(AND(W721="X",M721&gt;$AJ$2),S721,"")</f>
        <v/>
      </c>
      <c r="AO721" s="35">
        <f>IF(AND(W721="",M721&gt;0,$AJ$2&gt;M721,L721=""),1,0)</f>
        <v/>
      </c>
      <c r="AP721" s="35">
        <f>IF(AND(AK721="YES",W721="X"),"X","")</f>
        <v/>
      </c>
      <c r="AQ721" s="55">
        <f>IF(AP721="X",100%,0%)</f>
        <v/>
      </c>
      <c r="AR721" s="25">
        <f>IF(AND(T721&gt;0,L721=""),H721,"")</f>
        <v/>
      </c>
      <c r="AS721" s="25">
        <f>IF(AND(D721&gt;0,H721=0,G721=""),1,"")</f>
        <v/>
      </c>
      <c r="AT721" s="25">
        <f>IF(G721="BLOQ",1,"")</f>
        <v/>
      </c>
      <c r="AU721" s="25">
        <f>IF(L721="BLOQ",1,"")</f>
        <v/>
      </c>
      <c r="AV721" s="25">
        <f>MONTH(F721)</f>
        <v/>
      </c>
      <c r="AW721" s="65">
        <f>IF(AP721="",100%,0%)</f>
        <v/>
      </c>
      <c r="AX721" s="56" t="n"/>
      <c r="AY721" s="24">
        <f>IF(M721=0,"",M721-$AX$2)</f>
        <v/>
      </c>
      <c r="AZ721" s="66">
        <f>IF(AND(W721="",AY721&gt;0,AY721&lt;15),1,0)</f>
        <v/>
      </c>
      <c r="BA721" s="24">
        <f>IF(AND(W721="",AY721&gt;0,AY721&lt;15),T721,"")</f>
        <v/>
      </c>
      <c r="BB721" s="87">
        <f>IF(R721&lt;Q721,"X","")</f>
        <v/>
      </c>
      <c r="BC721" s="190" t="inlineStr">
        <is>
          <t>NO</t>
        </is>
      </c>
      <c r="BD721" s="191" t="inlineStr">
        <is>
          <t>SI</t>
        </is>
      </c>
    </row>
    <row r="722" ht="15" customHeight="1" s="162">
      <c r="A722" s="7" t="n">
        <v>721</v>
      </c>
      <c r="B722" t="inlineStr">
        <is>
          <t>1214204130820</t>
        </is>
      </c>
      <c r="C722" t="inlineStr">
        <is>
          <t>CNC CIR 21-41 41H PLUG RECT ZN/NI ROT-N</t>
        </is>
      </c>
      <c r="D722" t="inlineStr">
        <is>
          <t>1800108782</t>
        </is>
      </c>
      <c r="E722" t="inlineStr">
        <is>
          <t>510</t>
        </is>
      </c>
      <c r="F722" s="163" t="n">
        <v>45457</v>
      </c>
      <c r="G722" t="inlineStr"/>
      <c r="H722" t="inlineStr">
        <is>
          <t>4200569161</t>
        </is>
      </c>
      <c r="I722" t="inlineStr">
        <is>
          <t>230</t>
        </is>
      </c>
      <c r="J722" s="163" t="n">
        <v>45475</v>
      </c>
      <c r="K722" s="163" t="n">
        <v>45477</v>
      </c>
      <c r="L722" t="inlineStr"/>
      <c r="M722" s="163" t="n">
        <v>45488</v>
      </c>
      <c r="N722" s="164" t="n">
        <v>40</v>
      </c>
      <c r="O722" s="164" t="n">
        <v>8</v>
      </c>
      <c r="P722" t="inlineStr">
        <is>
          <t>Liberado</t>
        </is>
      </c>
      <c r="Q722" s="165" t="n">
        <v>4</v>
      </c>
      <c r="R722" s="165" t="n">
        <v>4</v>
      </c>
      <c r="S722" s="165" t="n">
        <v>4</v>
      </c>
      <c r="T722" s="165" t="n">
        <v>0</v>
      </c>
      <c r="U722" s="166" t="n">
        <v>4</v>
      </c>
      <c r="V722" s="166" t="n">
        <v>0</v>
      </c>
      <c r="W722" t="inlineStr">
        <is>
          <t>X</t>
        </is>
      </c>
      <c r="X722" t="inlineStr">
        <is>
          <t>0.00</t>
        </is>
      </c>
      <c r="Y722" t="inlineStr"/>
      <c r="Z722" t="inlineStr">
        <is>
          <t>SUMINISTROS CONECTORES PROF.,SA.</t>
        </is>
      </c>
      <c r="AA722" t="inlineStr">
        <is>
          <t>MILITARY SPECS.</t>
        </is>
      </c>
      <c r="AB722" t="inlineStr">
        <is>
          <t>D38999/26ZG41SN</t>
        </is>
      </c>
      <c r="AC722" t="inlineStr"/>
      <c r="AD722" s="164" t="n">
        <v>0</v>
      </c>
      <c r="AE722" s="185" t="n">
        <v>0</v>
      </c>
      <c r="AG722" s="167" t="inlineStr">
        <is>
          <t>7218|JA2581_1001</t>
        </is>
      </c>
      <c r="AH722" s="47">
        <f>IF(M722=0,"-",M722-J722)</f>
        <v/>
      </c>
      <c r="AI722" s="46">
        <f>IF(AND(S722=0,M722&gt;0,L722=0),IF(AH722&gt;=120,"VERY HIGH",IF(AH722&gt;=90,"HIGH",IF(AH722&gt;=60,"MEDIUM",IF(AH722&lt;60,"LOW")))),"-")</f>
        <v/>
      </c>
      <c r="AJ722" s="12" t="n"/>
      <c r="AK722" s="53">
        <f>IF(AND(W722="X",M722&lt;=$AJ$2),"YES","")</f>
        <v/>
      </c>
      <c r="AL722" s="54">
        <f>IF(AND(W722="X",M722&lt;=$AJ$2),S722,"")</f>
        <v/>
      </c>
      <c r="AM722" s="35" t="n"/>
      <c r="AN722" s="35">
        <f>IF(AND(W722="X",M722&gt;$AJ$2),S722,"")</f>
        <v/>
      </c>
      <c r="AO722" s="35">
        <f>IF(AND(W722="",M722&gt;0,$AJ$2&gt;M722,L722=""),1,0)</f>
        <v/>
      </c>
      <c r="AP722" s="35">
        <f>IF(AND(AK722="YES",W722="X"),"X","")</f>
        <v/>
      </c>
      <c r="AQ722" s="55">
        <f>IF(AP722="X",100%,0%)</f>
        <v/>
      </c>
      <c r="AR722" s="25">
        <f>IF(AND(T722&gt;0,L722=""),H722,"")</f>
        <v/>
      </c>
      <c r="AS722" s="25">
        <f>IF(AND(D722&gt;0,H722=0,G722=""),1,"")</f>
        <v/>
      </c>
      <c r="AT722" s="25">
        <f>IF(G722="BLOQ",1,"")</f>
        <v/>
      </c>
      <c r="AU722" s="25">
        <f>IF(L722="BLOQ",1,"")</f>
        <v/>
      </c>
      <c r="AV722" s="25">
        <f>MONTH(F722)</f>
        <v/>
      </c>
      <c r="AW722" s="65">
        <f>IF(AP722="",100%,0%)</f>
        <v/>
      </c>
      <c r="AX722" s="56" t="n"/>
      <c r="AY722" s="24">
        <f>IF(M722=0,"",M722-$AX$2)</f>
        <v/>
      </c>
      <c r="AZ722" s="66">
        <f>IF(AND(W722="",AY722&gt;0,AY722&lt;15),1,0)</f>
        <v/>
      </c>
      <c r="BA722" s="24">
        <f>IF(AND(W722="",AY722&gt;0,AY722&lt;15),T722,"")</f>
        <v/>
      </c>
      <c r="BB722" s="87">
        <f>IF(R722&lt;Q722,"X","")</f>
        <v/>
      </c>
      <c r="BC722" s="190" t="inlineStr">
        <is>
          <t>NO</t>
        </is>
      </c>
      <c r="BD722" s="191" t="inlineStr">
        <is>
          <t>SI</t>
        </is>
      </c>
    </row>
    <row r="723" ht="15" customHeight="1" s="162">
      <c r="A723" s="7" t="n">
        <v>722</v>
      </c>
      <c r="B723" t="inlineStr">
        <is>
          <t>1214204130820</t>
        </is>
      </c>
      <c r="C723" t="inlineStr">
        <is>
          <t>CNC CIR 21-41 41H PLUG RECT ZN/NI ROT-N</t>
        </is>
      </c>
      <c r="D723" t="inlineStr">
        <is>
          <t>1800108782</t>
        </is>
      </c>
      <c r="E723" t="inlineStr">
        <is>
          <t>510</t>
        </is>
      </c>
      <c r="F723" s="163" t="n">
        <v>45457</v>
      </c>
      <c r="G723" t="inlineStr"/>
      <c r="H723" t="inlineStr">
        <is>
          <t>4200569022</t>
        </is>
      </c>
      <c r="I723" t="inlineStr">
        <is>
          <t>280</t>
        </is>
      </c>
      <c r="J723" s="163" t="n">
        <v>45475</v>
      </c>
      <c r="K723" s="163" t="inlineStr"/>
      <c r="L723" t="inlineStr">
        <is>
          <t>BORR</t>
        </is>
      </c>
      <c r="M723" s="163" t="n">
        <v>45488</v>
      </c>
      <c r="N723" s="164" t="n">
        <v>40</v>
      </c>
      <c r="O723" s="164" t="n">
        <v>8</v>
      </c>
      <c r="P723" t="inlineStr"/>
      <c r="Q723" s="165" t="n">
        <v>4</v>
      </c>
      <c r="R723" s="165" t="n">
        <v>4</v>
      </c>
      <c r="S723" s="165" t="n">
        <v>0</v>
      </c>
      <c r="T723" s="165" t="n">
        <v>4</v>
      </c>
      <c r="U723" s="166" t="n">
        <v>0</v>
      </c>
      <c r="V723" s="166" t="n">
        <v>0</v>
      </c>
      <c r="W723" t="inlineStr"/>
      <c r="X723" t="inlineStr">
        <is>
          <t>474.20</t>
        </is>
      </c>
      <c r="Y723" t="inlineStr"/>
      <c r="Z723" t="inlineStr">
        <is>
          <t>ICOMPPLUS ELECTRONICS S.L</t>
        </is>
      </c>
      <c r="AA723" t="inlineStr">
        <is>
          <t>MILITARY SPECS.</t>
        </is>
      </c>
      <c r="AB723" t="inlineStr">
        <is>
          <t>D38999/26ZG41SN</t>
        </is>
      </c>
      <c r="AC723" t="inlineStr"/>
      <c r="AD723" s="164" t="n">
        <v>0</v>
      </c>
      <c r="AE723" s="185" t="n">
        <v>0</v>
      </c>
      <c r="AG723" s="167" t="inlineStr">
        <is>
          <t>7218|JA2581_1001</t>
        </is>
      </c>
      <c r="AH723" s="47">
        <f>IF(M723=0,"-",M723-J723)</f>
        <v/>
      </c>
      <c r="AI723" s="46">
        <f>IF(AND(S723=0,M723&gt;0,L723=0),IF(AH723&gt;=120,"VERY HIGH",IF(AH723&gt;=90,"HIGH",IF(AH723&gt;=60,"MEDIUM",IF(AH723&lt;60,"LOW")))),"-")</f>
        <v/>
      </c>
      <c r="AJ723" s="12" t="n"/>
      <c r="AK723" s="53">
        <f>IF(AND(W723="X",M723&lt;=$AJ$2),"YES","")</f>
        <v/>
      </c>
      <c r="AL723" s="54">
        <f>IF(AND(W723="X",M723&lt;=$AJ$2),S723,"")</f>
        <v/>
      </c>
      <c r="AM723" s="35" t="n"/>
      <c r="AN723" s="35">
        <f>IF(AND(W723="X",M723&gt;$AJ$2),S723,"")</f>
        <v/>
      </c>
      <c r="AO723" s="35">
        <f>IF(AND(W723="",M723&gt;0,$AJ$2&gt;M723,L723=""),1,0)</f>
        <v/>
      </c>
      <c r="AP723" s="35">
        <f>IF(AND(AK723="YES",W723="X"),"X","")</f>
        <v/>
      </c>
      <c r="AQ723" s="55">
        <f>IF(AP723="X",100%,0%)</f>
        <v/>
      </c>
      <c r="AR723" s="25">
        <f>IF(AND(T723&gt;0,L723=""),H723,"")</f>
        <v/>
      </c>
      <c r="AS723" s="25">
        <f>IF(AND(D723&gt;0,H723=0,G723=""),1,"")</f>
        <v/>
      </c>
      <c r="AT723" s="25">
        <f>IF(G723="BLOQ",1,"")</f>
        <v/>
      </c>
      <c r="AU723" s="25">
        <f>IF(L723="BLOQ",1,"")</f>
        <v/>
      </c>
      <c r="AV723" s="25">
        <f>MONTH(F723)</f>
        <v/>
      </c>
      <c r="AW723" s="65">
        <f>IF(AP723="",100%,0%)</f>
        <v/>
      </c>
      <c r="AX723" s="56" t="n"/>
      <c r="AY723" s="24">
        <f>IF(M723=0,"",M723-$AX$2)</f>
        <v/>
      </c>
      <c r="AZ723" s="66">
        <f>IF(AND(W723="",AY723&gt;0,AY723&lt;15),1,0)</f>
        <v/>
      </c>
      <c r="BA723" s="24">
        <f>IF(AND(W723="",AY723&gt;0,AY723&lt;15),T723,"")</f>
        <v/>
      </c>
      <c r="BB723" s="87">
        <f>IF(R723&lt;Q723,"X","")</f>
        <v/>
      </c>
      <c r="BC723" s="190" t="inlineStr">
        <is>
          <t>NO</t>
        </is>
      </c>
      <c r="BD723" s="191" t="inlineStr">
        <is>
          <t>SI</t>
        </is>
      </c>
    </row>
    <row r="724" ht="15" customHeight="1" s="162">
      <c r="A724" s="7" t="n">
        <v>723</v>
      </c>
      <c r="B724" t="inlineStr">
        <is>
          <t>1214205530820</t>
        </is>
      </c>
      <c r="C724" t="inlineStr">
        <is>
          <t>CNC CIR 23-55 55H PLUG RECT ZN/NI ROT-N</t>
        </is>
      </c>
      <c r="D724" t="inlineStr">
        <is>
          <t>1800108782</t>
        </is>
      </c>
      <c r="E724" t="inlineStr">
        <is>
          <t>520</t>
        </is>
      </c>
      <c r="F724" s="163" t="n">
        <v>45457</v>
      </c>
      <c r="G724" t="inlineStr"/>
      <c r="H724" t="inlineStr">
        <is>
          <t>4200569161</t>
        </is>
      </c>
      <c r="I724" t="inlineStr">
        <is>
          <t>240</t>
        </is>
      </c>
      <c r="J724" s="163" t="n">
        <v>45475</v>
      </c>
      <c r="K724" s="163" t="n">
        <v>45477</v>
      </c>
      <c r="L724" t="inlineStr"/>
      <c r="M724" s="163" t="n">
        <v>45488</v>
      </c>
      <c r="N724" s="164" t="n">
        <v>40</v>
      </c>
      <c r="O724" s="164" t="n">
        <v>8</v>
      </c>
      <c r="P724" t="inlineStr">
        <is>
          <t>Liberado</t>
        </is>
      </c>
      <c r="Q724" s="166" t="n">
        <v>1</v>
      </c>
      <c r="R724" s="166" t="n">
        <v>1</v>
      </c>
      <c r="S724" s="166" t="n">
        <v>1</v>
      </c>
      <c r="T724" s="166" t="n">
        <v>0</v>
      </c>
      <c r="U724" s="166" t="n">
        <v>1</v>
      </c>
      <c r="V724" s="166" t="n">
        <v>0</v>
      </c>
      <c r="W724" t="inlineStr">
        <is>
          <t>X</t>
        </is>
      </c>
      <c r="X724" t="inlineStr">
        <is>
          <t>0.00</t>
        </is>
      </c>
      <c r="Y724" t="inlineStr"/>
      <c r="Z724" t="inlineStr">
        <is>
          <t>SUMINISTROS CONECTORES PROF.,SA.</t>
        </is>
      </c>
      <c r="AA724" t="inlineStr">
        <is>
          <t>MILITARY SPECS.</t>
        </is>
      </c>
      <c r="AB724" t="inlineStr">
        <is>
          <t>D38999/26ZH55SN</t>
        </is>
      </c>
      <c r="AC724" t="inlineStr"/>
      <c r="AD724" s="164" t="n">
        <v>0</v>
      </c>
      <c r="AE724" s="185" t="n">
        <v>0</v>
      </c>
      <c r="AG724" s="167" t="inlineStr">
        <is>
          <t>7218|JA2581_1001</t>
        </is>
      </c>
      <c r="AH724" s="47">
        <f>IF(M724=0,"-",M724-J724)</f>
        <v/>
      </c>
      <c r="AI724" s="46">
        <f>IF(AND(S724=0,M724&gt;0,L724=0),IF(AH724&gt;=120,"VERY HIGH",IF(AH724&gt;=90,"HIGH",IF(AH724&gt;=60,"MEDIUM",IF(AH724&lt;60,"LOW")))),"-")</f>
        <v/>
      </c>
      <c r="AJ724" s="12" t="n"/>
      <c r="AK724" s="53">
        <f>IF(AND(W724="X",M724&lt;=$AJ$2),"YES","")</f>
        <v/>
      </c>
      <c r="AL724" s="54">
        <f>IF(AND(W724="X",M724&lt;=$AJ$2),S724,"")</f>
        <v/>
      </c>
      <c r="AM724" s="35" t="n"/>
      <c r="AN724" s="35">
        <f>IF(AND(W724="X",M724&gt;$AJ$2),S724,"")</f>
        <v/>
      </c>
      <c r="AO724" s="35">
        <f>IF(AND(W724="",M724&gt;0,$AJ$2&gt;M724,L724=""),1,0)</f>
        <v/>
      </c>
      <c r="AP724" s="35">
        <f>IF(AND(AK724="YES",W724="X"),"X","")</f>
        <v/>
      </c>
      <c r="AQ724" s="55">
        <f>IF(AP724="X",100%,0%)</f>
        <v/>
      </c>
      <c r="AR724" s="25">
        <f>IF(AND(T724&gt;0,L724=""),H724,"")</f>
        <v/>
      </c>
      <c r="AS724" s="25">
        <f>IF(AND(D724&gt;0,H724=0,G724=""),1,"")</f>
        <v/>
      </c>
      <c r="AT724" s="25">
        <f>IF(G724="BLOQ",1,"")</f>
        <v/>
      </c>
      <c r="AU724" s="25">
        <f>IF(L724="BLOQ",1,"")</f>
        <v/>
      </c>
      <c r="AV724" s="25">
        <f>MONTH(F724)</f>
        <v/>
      </c>
      <c r="AW724" s="65">
        <f>IF(AP724="",100%,0%)</f>
        <v/>
      </c>
      <c r="AX724" s="56" t="n"/>
      <c r="AY724" s="24">
        <f>IF(M724=0,"",M724-$AX$2)</f>
        <v/>
      </c>
      <c r="AZ724" s="66">
        <f>IF(AND(W724="",AY724&gt;0,AY724&lt;15),1,0)</f>
        <v/>
      </c>
      <c r="BA724" s="24">
        <f>IF(AND(W724="",AY724&gt;0,AY724&lt;15),T724,"")</f>
        <v/>
      </c>
      <c r="BB724" s="87">
        <f>IF(R724&lt;Q724,"X","")</f>
        <v/>
      </c>
      <c r="BC724" s="190" t="inlineStr">
        <is>
          <t>NO</t>
        </is>
      </c>
      <c r="BD724" s="191" t="inlineStr">
        <is>
          <t>SI</t>
        </is>
      </c>
    </row>
    <row r="725" ht="15" customHeight="1" s="162">
      <c r="A725" s="7" t="n">
        <v>724</v>
      </c>
      <c r="B725" t="inlineStr">
        <is>
          <t>1214205530820</t>
        </is>
      </c>
      <c r="C725" t="inlineStr">
        <is>
          <t>CNC CIR 23-55 55H PLUG RECT ZN/NI ROT-N</t>
        </is>
      </c>
      <c r="D725" t="inlineStr">
        <is>
          <t>1800108782</t>
        </is>
      </c>
      <c r="E725" t="inlineStr">
        <is>
          <t>520</t>
        </is>
      </c>
      <c r="F725" s="163" t="n">
        <v>45457</v>
      </c>
      <c r="G725" t="inlineStr"/>
      <c r="H725" t="inlineStr">
        <is>
          <t>4200569022</t>
        </is>
      </c>
      <c r="I725" t="inlineStr">
        <is>
          <t>290</t>
        </is>
      </c>
      <c r="J725" s="163" t="n">
        <v>45475</v>
      </c>
      <c r="K725" s="163" t="inlineStr"/>
      <c r="L725" t="inlineStr">
        <is>
          <t>BORR</t>
        </is>
      </c>
      <c r="M725" s="163" t="n">
        <v>45488</v>
      </c>
      <c r="N725" s="164" t="n">
        <v>40</v>
      </c>
      <c r="O725" s="164" t="n">
        <v>8</v>
      </c>
      <c r="P725" t="inlineStr"/>
      <c r="Q725" s="166" t="n">
        <v>1</v>
      </c>
      <c r="R725" s="166" t="n">
        <v>1</v>
      </c>
      <c r="S725" s="166" t="n">
        <v>0</v>
      </c>
      <c r="T725" s="166" t="n">
        <v>1</v>
      </c>
      <c r="U725" s="166" t="n">
        <v>0</v>
      </c>
      <c r="V725" s="166" t="n">
        <v>0</v>
      </c>
      <c r="W725" t="inlineStr"/>
      <c r="X725" t="inlineStr">
        <is>
          <t>173.31</t>
        </is>
      </c>
      <c r="Y725" t="inlineStr"/>
      <c r="Z725" t="inlineStr">
        <is>
          <t>ICOMPPLUS ELECTRONICS S.L</t>
        </is>
      </c>
      <c r="AA725" t="inlineStr">
        <is>
          <t>MILITARY SPECS.</t>
        </is>
      </c>
      <c r="AB725" t="inlineStr">
        <is>
          <t>D38999/26ZH55SN</t>
        </is>
      </c>
      <c r="AC725" t="inlineStr"/>
      <c r="AD725" s="164" t="n">
        <v>0</v>
      </c>
      <c r="AE725" s="185" t="n">
        <v>0</v>
      </c>
      <c r="AG725" s="167" t="inlineStr">
        <is>
          <t>7218|JA2581_1001</t>
        </is>
      </c>
      <c r="AH725" s="47">
        <f>IF(M725=0,"-",M725-J725)</f>
        <v/>
      </c>
      <c r="AI725" s="46">
        <f>IF(AND(S725=0,M725&gt;0,L725=0),IF(AH725&gt;=120,"VERY HIGH",IF(AH725&gt;=90,"HIGH",IF(AH725&gt;=60,"MEDIUM",IF(AH725&lt;60,"LOW")))),"-")</f>
        <v/>
      </c>
      <c r="AJ725" s="12" t="n"/>
      <c r="AK725" s="53">
        <f>IF(AND(W725="X",M725&lt;=$AJ$2),"YES","")</f>
        <v/>
      </c>
      <c r="AL725" s="54">
        <f>IF(AND(W725="X",M725&lt;=$AJ$2),S725,"")</f>
        <v/>
      </c>
      <c r="AM725" s="35" t="n"/>
      <c r="AN725" s="35">
        <f>IF(AND(W725="X",M725&gt;$AJ$2),S725,"")</f>
        <v/>
      </c>
      <c r="AO725" s="35">
        <f>IF(AND(W725="",M725&gt;0,$AJ$2&gt;M725,L725=""),1,0)</f>
        <v/>
      </c>
      <c r="AP725" s="35">
        <f>IF(AND(AK725="YES",W725="X"),"X","")</f>
        <v/>
      </c>
      <c r="AQ725" s="55">
        <f>IF(AP725="X",100%,0%)</f>
        <v/>
      </c>
      <c r="AR725" s="25">
        <f>IF(AND(T725&gt;0,L725=""),H725,"")</f>
        <v/>
      </c>
      <c r="AS725" s="25">
        <f>IF(AND(D725&gt;0,H725=0,G725=""),1,"")</f>
        <v/>
      </c>
      <c r="AT725" s="25">
        <f>IF(G725="BLOQ",1,"")</f>
        <v/>
      </c>
      <c r="AU725" s="25">
        <f>IF(L725="BLOQ",1,"")</f>
        <v/>
      </c>
      <c r="AV725" s="25">
        <f>MONTH(F725)</f>
        <v/>
      </c>
      <c r="AW725" s="65">
        <f>IF(AP725="",100%,0%)</f>
        <v/>
      </c>
      <c r="AX725" s="56" t="n"/>
      <c r="AY725" s="24">
        <f>IF(M725=0,"",M725-$AX$2)</f>
        <v/>
      </c>
      <c r="AZ725" s="66">
        <f>IF(AND(W725="",AY725&gt;0,AY725&lt;15),1,0)</f>
        <v/>
      </c>
      <c r="BA725" s="24">
        <f>IF(AND(W725="",AY725&gt;0,AY725&lt;15),T725,"")</f>
        <v/>
      </c>
      <c r="BB725" s="87">
        <f>IF(R725&lt;Q725,"X","")</f>
        <v/>
      </c>
      <c r="BC725" s="190" t="inlineStr">
        <is>
          <t>NO</t>
        </is>
      </c>
      <c r="BD725" s="191" t="inlineStr">
        <is>
          <t>SI</t>
        </is>
      </c>
    </row>
    <row r="726" ht="15" customHeight="1" s="162">
      <c r="A726" s="7" t="n">
        <v>725</v>
      </c>
      <c r="B726" t="inlineStr">
        <is>
          <t>1214300431820</t>
        </is>
      </c>
      <c r="C726" t="inlineStr">
        <is>
          <t>CNC CIR 13-04 4H RECEPT CRMP ZN/NI ROT-N</t>
        </is>
      </c>
      <c r="D726" t="inlineStr">
        <is>
          <t>1800108782</t>
        </is>
      </c>
      <c r="E726" t="inlineStr">
        <is>
          <t>530</t>
        </is>
      </c>
      <c r="F726" s="163" t="n">
        <v>45457</v>
      </c>
      <c r="G726" t="inlineStr"/>
      <c r="H726" t="inlineStr">
        <is>
          <t>4200569161</t>
        </is>
      </c>
      <c r="I726" t="inlineStr">
        <is>
          <t>250</t>
        </is>
      </c>
      <c r="J726" s="163" t="n">
        <v>45475</v>
      </c>
      <c r="K726" s="163" t="n">
        <v>45477</v>
      </c>
      <c r="L726" t="inlineStr"/>
      <c r="M726" s="163" t="n">
        <v>45488</v>
      </c>
      <c r="N726" s="164" t="n">
        <v>40</v>
      </c>
      <c r="O726" s="164" t="n">
        <v>8</v>
      </c>
      <c r="P726" t="inlineStr">
        <is>
          <t>Liberado</t>
        </is>
      </c>
      <c r="Q726" s="166" t="n">
        <v>2</v>
      </c>
      <c r="R726" s="166" t="n">
        <v>2</v>
      </c>
      <c r="S726" s="166" t="n">
        <v>2</v>
      </c>
      <c r="T726" s="166" t="n">
        <v>0</v>
      </c>
      <c r="U726" s="166" t="n">
        <v>2</v>
      </c>
      <c r="V726" s="166" t="n">
        <v>0</v>
      </c>
      <c r="W726" t="inlineStr">
        <is>
          <t>X</t>
        </is>
      </c>
      <c r="X726" t="inlineStr">
        <is>
          <t>0.00</t>
        </is>
      </c>
      <c r="Y726" t="inlineStr"/>
      <c r="Z726" t="inlineStr">
        <is>
          <t>SUMINISTROS CONECTORES PROF.,SA.</t>
        </is>
      </c>
      <c r="AA726" t="inlineStr">
        <is>
          <t>MILITARY SPECS.</t>
        </is>
      </c>
      <c r="AB726" t="inlineStr">
        <is>
          <t>D38999/20ZC4SN</t>
        </is>
      </c>
      <c r="AC726" t="inlineStr"/>
      <c r="AD726" s="164" t="n">
        <v>0</v>
      </c>
      <c r="AE726" s="185" t="n">
        <v>0</v>
      </c>
      <c r="AG726" s="167" t="inlineStr">
        <is>
          <t>7218|JA2581_1001</t>
        </is>
      </c>
      <c r="AH726" s="47">
        <f>IF(M726=0,"-",M726-J726)</f>
        <v/>
      </c>
      <c r="AI726" s="46">
        <f>IF(AND(S726=0,M726&gt;0,L726=0),IF(AH726&gt;=120,"VERY HIGH",IF(AH726&gt;=90,"HIGH",IF(AH726&gt;=60,"MEDIUM",IF(AH726&lt;60,"LOW")))),"-")</f>
        <v/>
      </c>
      <c r="AJ726" s="12" t="n"/>
      <c r="AK726" s="53">
        <f>IF(AND(W726="X",M726&lt;=$AJ$2),"YES","")</f>
        <v/>
      </c>
      <c r="AL726" s="54">
        <f>IF(AND(W726="X",M726&lt;=$AJ$2),S726,"")</f>
        <v/>
      </c>
      <c r="AM726" s="35" t="n"/>
      <c r="AN726" s="35">
        <f>IF(AND(W726="X",M726&gt;$AJ$2),S726,"")</f>
        <v/>
      </c>
      <c r="AO726" s="35">
        <f>IF(AND(W726="",M726&gt;0,$AJ$2&gt;M726,L726=""),1,0)</f>
        <v/>
      </c>
      <c r="AP726" s="35">
        <f>IF(AND(AK726="YES",W726="X"),"X","")</f>
        <v/>
      </c>
      <c r="AQ726" s="55">
        <f>IF(AP726="X",100%,0%)</f>
        <v/>
      </c>
      <c r="AR726" s="25">
        <f>IF(AND(T726&gt;0,L726=""),H726,"")</f>
        <v/>
      </c>
      <c r="AS726" s="25">
        <f>IF(AND(D726&gt;0,H726=0,G726=""),1,"")</f>
        <v/>
      </c>
      <c r="AT726" s="25">
        <f>IF(G726="BLOQ",1,"")</f>
        <v/>
      </c>
      <c r="AU726" s="25">
        <f>IF(L726="BLOQ",1,"")</f>
        <v/>
      </c>
      <c r="AV726" s="25">
        <f>MONTH(F726)</f>
        <v/>
      </c>
      <c r="AW726" s="65">
        <f>IF(AP726="",100%,0%)</f>
        <v/>
      </c>
      <c r="AX726" s="56" t="n"/>
      <c r="AY726" s="24">
        <f>IF(M726=0,"",M726-$AX$2)</f>
        <v/>
      </c>
      <c r="AZ726" s="66">
        <f>IF(AND(W726="",AY726&gt;0,AY726&lt;15),1,0)</f>
        <v/>
      </c>
      <c r="BA726" s="24">
        <f>IF(AND(W726="",AY726&gt;0,AY726&lt;15),T726,"")</f>
        <v/>
      </c>
      <c r="BB726" s="87">
        <f>IF(R726&lt;Q726,"X","")</f>
        <v/>
      </c>
      <c r="BC726" s="190" t="inlineStr">
        <is>
          <t>NO</t>
        </is>
      </c>
      <c r="BD726" s="191" t="inlineStr">
        <is>
          <t>SI</t>
        </is>
      </c>
    </row>
    <row r="727" ht="15" customHeight="1" s="162">
      <c r="A727" s="7" t="n">
        <v>726</v>
      </c>
      <c r="B727" t="inlineStr">
        <is>
          <t>1214300431820</t>
        </is>
      </c>
      <c r="C727" t="inlineStr">
        <is>
          <t>CNC CIR 13-04 4H RECEPT CRMP ZN/NI ROT-N</t>
        </is>
      </c>
      <c r="D727" t="inlineStr">
        <is>
          <t>1800108782</t>
        </is>
      </c>
      <c r="E727" t="inlineStr">
        <is>
          <t>530</t>
        </is>
      </c>
      <c r="F727" s="163" t="n">
        <v>45457</v>
      </c>
      <c r="G727" t="inlineStr"/>
      <c r="H727" t="inlineStr">
        <is>
          <t>4200569022</t>
        </is>
      </c>
      <c r="I727" t="inlineStr">
        <is>
          <t>300</t>
        </is>
      </c>
      <c r="J727" s="163" t="n">
        <v>45475</v>
      </c>
      <c r="K727" s="163" t="inlineStr"/>
      <c r="L727" t="inlineStr">
        <is>
          <t>BORR</t>
        </is>
      </c>
      <c r="M727" s="163" t="n">
        <v>45488</v>
      </c>
      <c r="N727" s="164" t="n">
        <v>40</v>
      </c>
      <c r="O727" s="164" t="n">
        <v>8</v>
      </c>
      <c r="P727" t="inlineStr"/>
      <c r="Q727" s="166" t="n">
        <v>2</v>
      </c>
      <c r="R727" s="166" t="n">
        <v>2</v>
      </c>
      <c r="S727" s="166" t="n">
        <v>0</v>
      </c>
      <c r="T727" s="166" t="n">
        <v>2</v>
      </c>
      <c r="U727" s="166" t="n">
        <v>0</v>
      </c>
      <c r="V727" s="166" t="n">
        <v>0</v>
      </c>
      <c r="W727" t="inlineStr"/>
      <c r="X727" t="inlineStr">
        <is>
          <t>156.68</t>
        </is>
      </c>
      <c r="Y727" t="inlineStr"/>
      <c r="Z727" t="inlineStr">
        <is>
          <t>ICOMPPLUS ELECTRONICS S.L</t>
        </is>
      </c>
      <c r="AA727" t="inlineStr">
        <is>
          <t>MILITARY SPECS.</t>
        </is>
      </c>
      <c r="AB727" t="inlineStr">
        <is>
          <t>D38999/20ZC4SN</t>
        </is>
      </c>
      <c r="AC727" t="inlineStr"/>
      <c r="AD727" s="164" t="n">
        <v>0</v>
      </c>
      <c r="AE727" s="185" t="n">
        <v>0</v>
      </c>
      <c r="AG727" s="167" t="inlineStr">
        <is>
          <t>7218|JA2581_1001</t>
        </is>
      </c>
      <c r="AH727" s="47">
        <f>IF(M727=0,"-",M727-J727)</f>
        <v/>
      </c>
      <c r="AI727" s="46">
        <f>IF(AND(S727=0,M727&gt;0,L727=0),IF(AH727&gt;=120,"VERY HIGH",IF(AH727&gt;=90,"HIGH",IF(AH727&gt;=60,"MEDIUM",IF(AH727&lt;60,"LOW")))),"-")</f>
        <v/>
      </c>
      <c r="AJ727" s="12" t="n"/>
      <c r="AK727" s="53">
        <f>IF(AND(W727="X",M727&lt;=$AJ$2),"YES","")</f>
        <v/>
      </c>
      <c r="AL727" s="54">
        <f>IF(AND(W727="X",M727&lt;=$AJ$2),S727,"")</f>
        <v/>
      </c>
      <c r="AM727" s="35" t="n"/>
      <c r="AN727" s="35">
        <f>IF(AND(W727="X",M727&gt;$AJ$2),S727,"")</f>
        <v/>
      </c>
      <c r="AO727" s="35">
        <f>IF(AND(W727="",M727&gt;0,$AJ$2&gt;M727,L727=""),1,0)</f>
        <v/>
      </c>
      <c r="AP727" s="35">
        <f>IF(AND(AK727="YES",W727="X"),"X","")</f>
        <v/>
      </c>
      <c r="AQ727" s="55">
        <f>IF(AP727="X",100%,0%)</f>
        <v/>
      </c>
      <c r="AR727" s="25">
        <f>IF(AND(T727&gt;0,L727=""),H727,"")</f>
        <v/>
      </c>
      <c r="AS727" s="25">
        <f>IF(AND(D727&gt;0,H727=0,G727=""),1,"")</f>
        <v/>
      </c>
      <c r="AT727" s="25">
        <f>IF(G727="BLOQ",1,"")</f>
        <v/>
      </c>
      <c r="AU727" s="25">
        <f>IF(L727="BLOQ",1,"")</f>
        <v/>
      </c>
      <c r="AV727" s="25">
        <f>MONTH(F727)</f>
        <v/>
      </c>
      <c r="AW727" s="65">
        <f>IF(AP727="",100%,0%)</f>
        <v/>
      </c>
      <c r="AX727" s="56" t="n"/>
      <c r="AY727" s="24">
        <f>IF(M727=0,"",M727-$AX$2)</f>
        <v/>
      </c>
      <c r="AZ727" s="66">
        <f>IF(AND(W727="",AY727&gt;0,AY727&lt;15),1,0)</f>
        <v/>
      </c>
      <c r="BA727" s="24">
        <f>IF(AND(W727="",AY727&gt;0,AY727&lt;15),T727,"")</f>
        <v/>
      </c>
      <c r="BB727" s="87">
        <f>IF(R727&lt;Q727,"X","")</f>
        <v/>
      </c>
      <c r="BC727" s="190" t="inlineStr">
        <is>
          <t>NO</t>
        </is>
      </c>
      <c r="BD727" s="191" t="inlineStr">
        <is>
          <t>SI</t>
        </is>
      </c>
    </row>
    <row r="728" ht="15" customHeight="1" s="162">
      <c r="A728" s="7" t="n">
        <v>727</v>
      </c>
      <c r="B728" t="inlineStr">
        <is>
          <t>1214300631720</t>
        </is>
      </c>
      <c r="C728" t="inlineStr">
        <is>
          <t>CNC CIR 09-35 6H RECEPT CRMP ZN/NI ROT-N</t>
        </is>
      </c>
      <c r="D728" t="inlineStr">
        <is>
          <t>1800108782</t>
        </is>
      </c>
      <c r="E728" t="inlineStr">
        <is>
          <t>540</t>
        </is>
      </c>
      <c r="F728" s="163" t="n">
        <v>45457</v>
      </c>
      <c r="G728" t="inlineStr"/>
      <c r="H728" t="inlineStr">
        <is>
          <t>4200569161</t>
        </is>
      </c>
      <c r="I728" t="inlineStr">
        <is>
          <t>260</t>
        </is>
      </c>
      <c r="J728" s="163" t="n">
        <v>45475</v>
      </c>
      <c r="K728" s="163" t="n">
        <v>45477</v>
      </c>
      <c r="L728" t="inlineStr"/>
      <c r="M728" s="163" t="n">
        <v>45488</v>
      </c>
      <c r="N728" s="164" t="n">
        <v>40</v>
      </c>
      <c r="O728" s="164" t="n">
        <v>8</v>
      </c>
      <c r="P728" t="inlineStr">
        <is>
          <t>Liberado</t>
        </is>
      </c>
      <c r="Q728" s="166" t="n">
        <v>1</v>
      </c>
      <c r="R728" s="166" t="n">
        <v>1</v>
      </c>
      <c r="S728" s="166" t="n">
        <v>1</v>
      </c>
      <c r="T728" s="166" t="n">
        <v>0</v>
      </c>
      <c r="U728" s="166" t="n">
        <v>1</v>
      </c>
      <c r="V728" s="166" t="n">
        <v>0</v>
      </c>
      <c r="W728" t="inlineStr">
        <is>
          <t>X</t>
        </is>
      </c>
      <c r="X728" t="inlineStr">
        <is>
          <t>0.00</t>
        </is>
      </c>
      <c r="Y728" t="inlineStr"/>
      <c r="Z728" t="inlineStr">
        <is>
          <t>SUMINISTROS CONECTORES PROF.,SA.</t>
        </is>
      </c>
      <c r="AA728" t="inlineStr">
        <is>
          <t>MILITARY SPECS.</t>
        </is>
      </c>
      <c r="AB728" t="inlineStr">
        <is>
          <t>D38999/20ZA35SN</t>
        </is>
      </c>
      <c r="AC728" t="inlineStr"/>
      <c r="AD728" s="164" t="n">
        <v>0</v>
      </c>
      <c r="AE728" s="185" t="n">
        <v>0</v>
      </c>
      <c r="AG728" s="167" t="inlineStr">
        <is>
          <t>7218|JA2581_1001</t>
        </is>
      </c>
      <c r="AH728" s="47">
        <f>IF(M728=0,"-",M728-J728)</f>
        <v/>
      </c>
      <c r="AI728" s="46">
        <f>IF(AND(S728=0,M728&gt;0,L728=0),IF(AH728&gt;=120,"VERY HIGH",IF(AH728&gt;=90,"HIGH",IF(AH728&gt;=60,"MEDIUM",IF(AH728&lt;60,"LOW")))),"-")</f>
        <v/>
      </c>
      <c r="AJ728" s="12" t="n"/>
      <c r="AK728" s="53">
        <f>IF(AND(W728="X",M728&lt;=$AJ$2),"YES","")</f>
        <v/>
      </c>
      <c r="AL728" s="54">
        <f>IF(AND(W728="X",M728&lt;=$AJ$2),S728,"")</f>
        <v/>
      </c>
      <c r="AM728" s="35" t="n"/>
      <c r="AN728" s="35">
        <f>IF(AND(W728="X",M728&gt;$AJ$2),S728,"")</f>
        <v/>
      </c>
      <c r="AO728" s="35">
        <f>IF(AND(W728="",M728&gt;0,$AJ$2&gt;M728,L728=""),1,0)</f>
        <v/>
      </c>
      <c r="AP728" s="35">
        <f>IF(AND(AK728="YES",W728="X"),"X","")</f>
        <v/>
      </c>
      <c r="AQ728" s="55">
        <f>IF(AP728="X",100%,0%)</f>
        <v/>
      </c>
      <c r="AR728" s="25">
        <f>IF(AND(T728&gt;0,L728=""),H728,"")</f>
        <v/>
      </c>
      <c r="AS728" s="25">
        <f>IF(AND(D728&gt;0,H728=0,G728=""),1,"")</f>
        <v/>
      </c>
      <c r="AT728" s="25">
        <f>IF(G728="BLOQ",1,"")</f>
        <v/>
      </c>
      <c r="AU728" s="25">
        <f>IF(L728="BLOQ",1,"")</f>
        <v/>
      </c>
      <c r="AV728" s="25">
        <f>MONTH(F728)</f>
        <v/>
      </c>
      <c r="AW728" s="65">
        <f>IF(AP728="",100%,0%)</f>
        <v/>
      </c>
      <c r="AX728" s="56" t="n"/>
      <c r="AY728" s="24">
        <f>IF(M728=0,"",M728-$AX$2)</f>
        <v/>
      </c>
      <c r="AZ728" s="66">
        <f>IF(AND(W728="",AY728&gt;0,AY728&lt;15),1,0)</f>
        <v/>
      </c>
      <c r="BA728" s="24">
        <f>IF(AND(W728="",AY728&gt;0,AY728&lt;15),T728,"")</f>
        <v/>
      </c>
      <c r="BB728" s="87">
        <f>IF(R728&lt;Q728,"X","")</f>
        <v/>
      </c>
      <c r="BC728" s="190" t="inlineStr">
        <is>
          <t>NO</t>
        </is>
      </c>
      <c r="BD728" s="191" t="inlineStr">
        <is>
          <t>SI</t>
        </is>
      </c>
    </row>
    <row r="729" ht="15" customHeight="1" s="162">
      <c r="A729" s="7" t="n">
        <v>728</v>
      </c>
      <c r="B729" t="inlineStr">
        <is>
          <t>1214300631720</t>
        </is>
      </c>
      <c r="C729" t="inlineStr">
        <is>
          <t>CNC CIR 09-35 6H RECEPT CRMP ZN/NI ROT-N</t>
        </is>
      </c>
      <c r="D729" t="inlineStr">
        <is>
          <t>1800108782</t>
        </is>
      </c>
      <c r="E729" t="inlineStr">
        <is>
          <t>540</t>
        </is>
      </c>
      <c r="F729" s="163" t="n">
        <v>45457</v>
      </c>
      <c r="G729" t="inlineStr"/>
      <c r="H729" t="inlineStr">
        <is>
          <t>4200569022</t>
        </is>
      </c>
      <c r="I729" t="inlineStr">
        <is>
          <t>310</t>
        </is>
      </c>
      <c r="J729" s="163" t="n">
        <v>45475</v>
      </c>
      <c r="K729" s="163" t="inlineStr"/>
      <c r="L729" t="inlineStr">
        <is>
          <t>BORR</t>
        </is>
      </c>
      <c r="M729" s="163" t="n">
        <v>45488</v>
      </c>
      <c r="N729" s="164" t="n">
        <v>40</v>
      </c>
      <c r="O729" s="164" t="n">
        <v>8</v>
      </c>
      <c r="P729" t="inlineStr"/>
      <c r="Q729" s="166" t="n">
        <v>1</v>
      </c>
      <c r="R729" s="166" t="n">
        <v>1</v>
      </c>
      <c r="S729" s="166" t="n">
        <v>0</v>
      </c>
      <c r="T729" s="166" t="n">
        <v>1</v>
      </c>
      <c r="U729" s="166" t="n">
        <v>0</v>
      </c>
      <c r="V729" s="166" t="n">
        <v>0</v>
      </c>
      <c r="W729" t="inlineStr"/>
      <c r="X729" t="inlineStr">
        <is>
          <t>46.24</t>
        </is>
      </c>
      <c r="Y729" t="inlineStr"/>
      <c r="Z729" t="inlineStr">
        <is>
          <t>ICOMPPLUS ELECTRONICS S.L</t>
        </is>
      </c>
      <c r="AA729" t="inlineStr">
        <is>
          <t>MILITARY SPECS.</t>
        </is>
      </c>
      <c r="AB729" t="inlineStr">
        <is>
          <t>D38999/20ZA35SN</t>
        </is>
      </c>
      <c r="AC729" t="inlineStr"/>
      <c r="AD729" s="164" t="n">
        <v>0</v>
      </c>
      <c r="AE729" s="185" t="n">
        <v>0</v>
      </c>
      <c r="AG729" s="167" t="inlineStr">
        <is>
          <t>7218|JA2581_1001</t>
        </is>
      </c>
      <c r="AH729" s="47">
        <f>IF(M729=0,"-",M729-J729)</f>
        <v/>
      </c>
      <c r="AI729" s="46">
        <f>IF(AND(S729=0,M729&gt;0,L729=0),IF(AH729&gt;=120,"VERY HIGH",IF(AH729&gt;=90,"HIGH",IF(AH729&gt;=60,"MEDIUM",IF(AH729&lt;60,"LOW")))),"-")</f>
        <v/>
      </c>
      <c r="AJ729" s="12" t="n"/>
      <c r="AK729" s="53">
        <f>IF(AND(W729="X",M729&lt;=$AJ$2),"YES","")</f>
        <v/>
      </c>
      <c r="AL729" s="54">
        <f>IF(AND(W729="X",M729&lt;=$AJ$2),S729,"")</f>
        <v/>
      </c>
      <c r="AM729" s="35" t="n"/>
      <c r="AN729" s="35">
        <f>IF(AND(W729="X",M729&gt;$AJ$2),S729,"")</f>
        <v/>
      </c>
      <c r="AO729" s="35">
        <f>IF(AND(W729="",M729&gt;0,$AJ$2&gt;M729,L729=""),1,0)</f>
        <v/>
      </c>
      <c r="AP729" s="35">
        <f>IF(AND(AK729="YES",W729="X"),"X","")</f>
        <v/>
      </c>
      <c r="AQ729" s="55">
        <f>IF(AP729="X",100%,0%)</f>
        <v/>
      </c>
      <c r="AR729" s="25">
        <f>IF(AND(T729&gt;0,L729=""),H729,"")</f>
        <v/>
      </c>
      <c r="AS729" s="25">
        <f>IF(AND(D729&gt;0,H729=0,G729=""),1,"")</f>
        <v/>
      </c>
      <c r="AT729" s="25">
        <f>IF(G729="BLOQ",1,"")</f>
        <v/>
      </c>
      <c r="AU729" s="25">
        <f>IF(L729="BLOQ",1,"")</f>
        <v/>
      </c>
      <c r="AV729" s="25">
        <f>MONTH(F729)</f>
        <v/>
      </c>
      <c r="AW729" s="65">
        <f>IF(AP729="",100%,0%)</f>
        <v/>
      </c>
      <c r="AX729" s="56" t="n"/>
      <c r="AY729" s="24">
        <f>IF(M729=0,"",M729-$AX$2)</f>
        <v/>
      </c>
      <c r="AZ729" s="66">
        <f>IF(AND(W729="",AY729&gt;0,AY729&lt;15),1,0)</f>
        <v/>
      </c>
      <c r="BA729" s="24">
        <f>IF(AND(W729="",AY729&gt;0,AY729&lt;15),T729,"")</f>
        <v/>
      </c>
      <c r="BB729" s="87">
        <f>IF(R729&lt;Q729,"X","")</f>
        <v/>
      </c>
      <c r="BC729" s="190" t="inlineStr">
        <is>
          <t>NO</t>
        </is>
      </c>
      <c r="BD729" s="191" t="inlineStr">
        <is>
          <t>SI</t>
        </is>
      </c>
    </row>
    <row r="730" ht="15" customHeight="1" s="162">
      <c r="A730" s="7" t="n">
        <v>729</v>
      </c>
      <c r="B730" t="inlineStr">
        <is>
          <t>1214301130022</t>
        </is>
      </c>
      <c r="C730" t="inlineStr">
        <is>
          <t>CNC CIR 19-11S/H RCPT RECT AL ZN/NI R-N</t>
        </is>
      </c>
      <c r="D730" t="inlineStr">
        <is>
          <t>1800108782</t>
        </is>
      </c>
      <c r="E730" t="inlineStr">
        <is>
          <t>550</t>
        </is>
      </c>
      <c r="F730" s="163" t="n">
        <v>45457</v>
      </c>
      <c r="G730" t="inlineStr"/>
      <c r="H730" t="inlineStr">
        <is>
          <t>4200569161</t>
        </is>
      </c>
      <c r="I730" t="inlineStr">
        <is>
          <t>270</t>
        </is>
      </c>
      <c r="J730" s="163" t="n">
        <v>45475</v>
      </c>
      <c r="K730" s="163" t="n">
        <v>45477</v>
      </c>
      <c r="L730" t="inlineStr"/>
      <c r="M730" s="163" t="n">
        <v>45488</v>
      </c>
      <c r="N730" s="164" t="n">
        <v>40</v>
      </c>
      <c r="O730" s="164" t="n">
        <v>8</v>
      </c>
      <c r="P730" t="inlineStr">
        <is>
          <t>Liberado</t>
        </is>
      </c>
      <c r="Q730" s="166" t="n">
        <v>1</v>
      </c>
      <c r="R730" s="166" t="n">
        <v>1</v>
      </c>
      <c r="S730" s="166" t="n">
        <v>1</v>
      </c>
      <c r="T730" s="166" t="n">
        <v>0</v>
      </c>
      <c r="U730" s="166" t="n">
        <v>1</v>
      </c>
      <c r="V730" s="166" t="n">
        <v>0</v>
      </c>
      <c r="W730" t="inlineStr">
        <is>
          <t>X</t>
        </is>
      </c>
      <c r="X730" t="inlineStr">
        <is>
          <t>0.00</t>
        </is>
      </c>
      <c r="Y730" t="inlineStr"/>
      <c r="Z730" t="inlineStr">
        <is>
          <t>SUMINISTROS CONECTORES PROF.,SA.</t>
        </is>
      </c>
      <c r="AA730" t="inlineStr">
        <is>
          <t>MILITARY SPECS.</t>
        </is>
      </c>
      <c r="AB730" t="inlineStr">
        <is>
          <t>D38999/20ZF11SN</t>
        </is>
      </c>
      <c r="AC730" t="inlineStr"/>
      <c r="AD730" s="164" t="n">
        <v>0</v>
      </c>
      <c r="AE730" s="185" t="n">
        <v>0</v>
      </c>
      <c r="AG730" s="167" t="inlineStr">
        <is>
          <t>7218|JA2581_1001</t>
        </is>
      </c>
      <c r="AH730" s="47">
        <f>IF(M730=0,"-",M730-J730)</f>
        <v/>
      </c>
      <c r="AI730" s="46">
        <f>IF(AND(S730=0,M730&gt;0,L730=0),IF(AH730&gt;=120,"VERY HIGH",IF(AH730&gt;=90,"HIGH",IF(AH730&gt;=60,"MEDIUM",IF(AH730&lt;60,"LOW")))),"-")</f>
        <v/>
      </c>
      <c r="AJ730" s="12" t="n"/>
      <c r="AK730" s="53">
        <f>IF(AND(W730="X",M730&lt;=$AJ$2),"YES","")</f>
        <v/>
      </c>
      <c r="AL730" s="54">
        <f>IF(AND(W730="X",M730&lt;=$AJ$2),S730,"")</f>
        <v/>
      </c>
      <c r="AM730" s="35" t="n"/>
      <c r="AN730" s="35">
        <f>IF(AND(W730="X",M730&gt;$AJ$2),S730,"")</f>
        <v/>
      </c>
      <c r="AO730" s="35">
        <f>IF(AND(W730="",M730&gt;0,$AJ$2&gt;M730,L730=""),1,0)</f>
        <v/>
      </c>
      <c r="AP730" s="35">
        <f>IF(AND(AK730="YES",W730="X"),"X","")</f>
        <v/>
      </c>
      <c r="AQ730" s="55">
        <f>IF(AP730="X",100%,0%)</f>
        <v/>
      </c>
      <c r="AR730" s="25">
        <f>IF(AND(T730&gt;0,L730=""),H730,"")</f>
        <v/>
      </c>
      <c r="AS730" s="25">
        <f>IF(AND(D730&gt;0,H730=0,G730=""),1,"")</f>
        <v/>
      </c>
      <c r="AT730" s="25">
        <f>IF(G730="BLOQ",1,"")</f>
        <v/>
      </c>
      <c r="AU730" s="25">
        <f>IF(L730="BLOQ",1,"")</f>
        <v/>
      </c>
      <c r="AV730" s="25">
        <f>MONTH(F730)</f>
        <v/>
      </c>
      <c r="AW730" s="65">
        <f>IF(AP730="",100%,0%)</f>
        <v/>
      </c>
      <c r="AX730" s="56" t="n"/>
      <c r="AY730" s="24">
        <f>IF(M730=0,"",M730-$AX$2)</f>
        <v/>
      </c>
      <c r="AZ730" s="66">
        <f>IF(AND(W730="",AY730&gt;0,AY730&lt;15),1,0)</f>
        <v/>
      </c>
      <c r="BA730" s="24">
        <f>IF(AND(W730="",AY730&gt;0,AY730&lt;15),T730,"")</f>
        <v/>
      </c>
      <c r="BB730" s="87">
        <f>IF(R730&lt;Q730,"X","")</f>
        <v/>
      </c>
      <c r="BC730" s="190" t="inlineStr">
        <is>
          <t>NO</t>
        </is>
      </c>
      <c r="BD730" s="191" t="inlineStr">
        <is>
          <t>SI</t>
        </is>
      </c>
    </row>
    <row r="731" ht="15" customHeight="1" s="162">
      <c r="A731" s="7" t="n">
        <v>730</v>
      </c>
      <c r="B731" t="inlineStr">
        <is>
          <t>1214301130022</t>
        </is>
      </c>
      <c r="C731" t="inlineStr">
        <is>
          <t>CNC CIR 19-11S/H RCPT RECT AL ZN/NI R-N</t>
        </is>
      </c>
      <c r="D731" t="inlineStr">
        <is>
          <t>1800108782</t>
        </is>
      </c>
      <c r="E731" t="inlineStr">
        <is>
          <t>550</t>
        </is>
      </c>
      <c r="F731" s="163" t="n">
        <v>45457</v>
      </c>
      <c r="G731" t="inlineStr"/>
      <c r="H731" t="inlineStr">
        <is>
          <t>4200569022</t>
        </is>
      </c>
      <c r="I731" t="inlineStr">
        <is>
          <t>320</t>
        </is>
      </c>
      <c r="J731" s="163" t="n">
        <v>45475</v>
      </c>
      <c r="K731" s="163" t="inlineStr"/>
      <c r="L731" t="inlineStr">
        <is>
          <t>BORR</t>
        </is>
      </c>
      <c r="M731" s="163" t="n">
        <v>45488</v>
      </c>
      <c r="N731" s="164" t="n">
        <v>40</v>
      </c>
      <c r="O731" s="164" t="n">
        <v>8</v>
      </c>
      <c r="P731" t="inlineStr"/>
      <c r="Q731" s="166" t="n">
        <v>1</v>
      </c>
      <c r="R731" s="166" t="n">
        <v>1</v>
      </c>
      <c r="S731" s="166" t="n">
        <v>0</v>
      </c>
      <c r="T731" s="166" t="n">
        <v>1</v>
      </c>
      <c r="U731" s="166" t="n">
        <v>0</v>
      </c>
      <c r="V731" s="166" t="n">
        <v>0</v>
      </c>
      <c r="W731" t="inlineStr"/>
      <c r="X731" t="inlineStr">
        <is>
          <t>159.46</t>
        </is>
      </c>
      <c r="Y731" t="inlineStr"/>
      <c r="Z731" t="inlineStr">
        <is>
          <t>ICOMPPLUS ELECTRONICS S.L</t>
        </is>
      </c>
      <c r="AA731" t="inlineStr">
        <is>
          <t>MILITARY SPECS.</t>
        </is>
      </c>
      <c r="AB731" t="inlineStr">
        <is>
          <t>D38999/20ZF11SN</t>
        </is>
      </c>
      <c r="AC731" t="inlineStr"/>
      <c r="AD731" s="164" t="n">
        <v>0</v>
      </c>
      <c r="AE731" s="185" t="n">
        <v>0</v>
      </c>
      <c r="AG731" s="167" t="inlineStr">
        <is>
          <t>7218|JA2581_1001</t>
        </is>
      </c>
      <c r="AH731" s="47">
        <f>IF(M731=0,"-",M731-J731)</f>
        <v/>
      </c>
      <c r="AI731" s="46">
        <f>IF(AND(S731=0,M731&gt;0,L731=0),IF(AH731&gt;=120,"VERY HIGH",IF(AH731&gt;=90,"HIGH",IF(AH731&gt;=60,"MEDIUM",IF(AH731&lt;60,"LOW")))),"-")</f>
        <v/>
      </c>
      <c r="AJ731" s="12" t="n"/>
      <c r="AK731" s="53">
        <f>IF(AND(W731="X",M731&lt;=$AJ$2),"YES","")</f>
        <v/>
      </c>
      <c r="AL731" s="54">
        <f>IF(AND(W731="X",M731&lt;=$AJ$2),S731,"")</f>
        <v/>
      </c>
      <c r="AM731" s="35" t="n"/>
      <c r="AN731" s="35">
        <f>IF(AND(W731="X",M731&gt;$AJ$2),S731,"")</f>
        <v/>
      </c>
      <c r="AO731" s="35">
        <f>IF(AND(W731="",M731&gt;0,$AJ$2&gt;M731,L731=""),1,0)</f>
        <v/>
      </c>
      <c r="AP731" s="35">
        <f>IF(AND(AK731="YES",W731="X"),"X","")</f>
        <v/>
      </c>
      <c r="AQ731" s="55">
        <f>IF(AP731="X",100%,0%)</f>
        <v/>
      </c>
      <c r="AR731" s="25">
        <f>IF(AND(T731&gt;0,L731=""),H731,"")</f>
        <v/>
      </c>
      <c r="AS731" s="25">
        <f>IF(AND(D731&gt;0,H731=0,G731=""),1,"")</f>
        <v/>
      </c>
      <c r="AT731" s="25">
        <f>IF(G731="BLOQ",1,"")</f>
        <v/>
      </c>
      <c r="AU731" s="25">
        <f>IF(L731="BLOQ",1,"")</f>
        <v/>
      </c>
      <c r="AV731" s="25">
        <f>MONTH(F731)</f>
        <v/>
      </c>
      <c r="AW731" s="65">
        <f>IF(AP731="",100%,0%)</f>
        <v/>
      </c>
      <c r="AX731" s="56" t="n"/>
      <c r="AY731" s="24">
        <f>IF(M731=0,"",M731-$AX$2)</f>
        <v/>
      </c>
      <c r="AZ731" s="66">
        <f>IF(AND(W731="",AY731&gt;0,AY731&lt;15),1,0)</f>
        <v/>
      </c>
      <c r="BA731" s="24">
        <f>IF(AND(W731="",AY731&gt;0,AY731&lt;15),T731,"")</f>
        <v/>
      </c>
      <c r="BB731" s="87">
        <f>IF(R731&lt;Q731,"X","")</f>
        <v/>
      </c>
      <c r="BC731" s="190" t="inlineStr">
        <is>
          <t>NO</t>
        </is>
      </c>
      <c r="BD731" s="191" t="inlineStr">
        <is>
          <t>SI</t>
        </is>
      </c>
    </row>
    <row r="732" ht="15" customHeight="1" s="162">
      <c r="A732" s="7" t="n">
        <v>731</v>
      </c>
      <c r="B732" t="inlineStr">
        <is>
          <t>1214301130620</t>
        </is>
      </c>
      <c r="C732" t="inlineStr">
        <is>
          <t>CNC CIR 21-11 11H RECEP WALL CRIMP ROT-N</t>
        </is>
      </c>
      <c r="D732" t="inlineStr">
        <is>
          <t>1800108782</t>
        </is>
      </c>
      <c r="E732" t="inlineStr">
        <is>
          <t>560</t>
        </is>
      </c>
      <c r="F732" s="163" t="n">
        <v>45457</v>
      </c>
      <c r="G732" t="inlineStr"/>
      <c r="H732" t="inlineStr">
        <is>
          <t>4200569161</t>
        </is>
      </c>
      <c r="I732" t="inlineStr">
        <is>
          <t>280</t>
        </is>
      </c>
      <c r="J732" s="163" t="n">
        <v>45475</v>
      </c>
      <c r="K732" s="163" t="n">
        <v>45477</v>
      </c>
      <c r="L732" t="inlineStr"/>
      <c r="M732" s="163" t="n">
        <v>45488</v>
      </c>
      <c r="N732" s="164" t="n">
        <v>40</v>
      </c>
      <c r="O732" s="164" t="n">
        <v>8</v>
      </c>
      <c r="P732" t="inlineStr">
        <is>
          <t>Liberado</t>
        </is>
      </c>
      <c r="Q732" s="166" t="n">
        <v>1</v>
      </c>
      <c r="R732" s="166" t="n">
        <v>1</v>
      </c>
      <c r="S732" s="166" t="n">
        <v>1</v>
      </c>
      <c r="T732" s="166" t="n">
        <v>0</v>
      </c>
      <c r="U732" s="166" t="n">
        <v>1</v>
      </c>
      <c r="V732" s="166" t="n">
        <v>0</v>
      </c>
      <c r="W732" t="inlineStr">
        <is>
          <t>X</t>
        </is>
      </c>
      <c r="X732" t="inlineStr">
        <is>
          <t>0.00</t>
        </is>
      </c>
      <c r="Y732" t="inlineStr"/>
      <c r="Z732" t="inlineStr">
        <is>
          <t>SUMINISTROS CONECTORES PROF.,SA.</t>
        </is>
      </c>
      <c r="AA732" t="inlineStr">
        <is>
          <t>MILITARY SPECS.</t>
        </is>
      </c>
      <c r="AB732" t="inlineStr">
        <is>
          <t>D38999/20ZG11SN</t>
        </is>
      </c>
      <c r="AC732" t="inlineStr"/>
      <c r="AD732" s="164" t="n">
        <v>0</v>
      </c>
      <c r="AE732" s="185" t="n">
        <v>0</v>
      </c>
      <c r="AG732" s="167" t="inlineStr">
        <is>
          <t>7218|JA2581_1001</t>
        </is>
      </c>
      <c r="AH732" s="47">
        <f>IF(M732=0,"-",M732-J732)</f>
        <v/>
      </c>
      <c r="AI732" s="46">
        <f>IF(AND(S732=0,M732&gt;0,L732=0),IF(AH732&gt;=120,"VERY HIGH",IF(AH732&gt;=90,"HIGH",IF(AH732&gt;=60,"MEDIUM",IF(AH732&lt;60,"LOW")))),"-")</f>
        <v/>
      </c>
      <c r="AJ732" s="12" t="n"/>
      <c r="AK732" s="53">
        <f>IF(AND(W732="X",M732&lt;=$AJ$2),"YES","")</f>
        <v/>
      </c>
      <c r="AL732" s="54">
        <f>IF(AND(W732="X",M732&lt;=$AJ$2),S732,"")</f>
        <v/>
      </c>
      <c r="AM732" s="35" t="n"/>
      <c r="AN732" s="35">
        <f>IF(AND(W732="X",M732&gt;$AJ$2),S732,"")</f>
        <v/>
      </c>
      <c r="AO732" s="35">
        <f>IF(AND(W732="",M732&gt;0,$AJ$2&gt;M732,L732=""),1,0)</f>
        <v/>
      </c>
      <c r="AP732" s="35">
        <f>IF(AND(AK732="YES",W732="X"),"X","")</f>
        <v/>
      </c>
      <c r="AQ732" s="55">
        <f>IF(AP732="X",100%,0%)</f>
        <v/>
      </c>
      <c r="AR732" s="25">
        <f>IF(AND(T732&gt;0,L732=""),H732,"")</f>
        <v/>
      </c>
      <c r="AS732" s="25">
        <f>IF(AND(D732&gt;0,H732=0,G732=""),1,"")</f>
        <v/>
      </c>
      <c r="AT732" s="25">
        <f>IF(G732="BLOQ",1,"")</f>
        <v/>
      </c>
      <c r="AU732" s="25">
        <f>IF(L732="BLOQ",1,"")</f>
        <v/>
      </c>
      <c r="AV732" s="25">
        <f>MONTH(F732)</f>
        <v/>
      </c>
      <c r="AW732" s="65">
        <f>IF(AP732="",100%,0%)</f>
        <v/>
      </c>
      <c r="AX732" s="56" t="n"/>
      <c r="AY732" s="24">
        <f>IF(M732=0,"",M732-$AX$2)</f>
        <v/>
      </c>
      <c r="AZ732" s="66">
        <f>IF(AND(W732="",AY732&gt;0,AY732&lt;15),1,0)</f>
        <v/>
      </c>
      <c r="BA732" s="24">
        <f>IF(AND(W732="",AY732&gt;0,AY732&lt;15),T732,"")</f>
        <v/>
      </c>
      <c r="BB732" s="87">
        <f>IF(R732&lt;Q732,"X","")</f>
        <v/>
      </c>
      <c r="BC732" s="190" t="inlineStr">
        <is>
          <t>NO</t>
        </is>
      </c>
      <c r="BD732" s="191" t="inlineStr">
        <is>
          <t>SI</t>
        </is>
      </c>
    </row>
    <row r="733" ht="15" customHeight="1" s="162">
      <c r="A733" s="7" t="n">
        <v>732</v>
      </c>
      <c r="B733" t="inlineStr">
        <is>
          <t>1214301130620</t>
        </is>
      </c>
      <c r="C733" t="inlineStr">
        <is>
          <t>CNC CIR 21-11 11H RECEP WALL CRIMP ROT-N</t>
        </is>
      </c>
      <c r="D733" t="inlineStr">
        <is>
          <t>1800108782</t>
        </is>
      </c>
      <c r="E733" t="inlineStr">
        <is>
          <t>560</t>
        </is>
      </c>
      <c r="F733" s="163" t="n">
        <v>45457</v>
      </c>
      <c r="G733" t="inlineStr"/>
      <c r="H733" t="inlineStr">
        <is>
          <t>4200569022</t>
        </is>
      </c>
      <c r="I733" t="inlineStr">
        <is>
          <t>330</t>
        </is>
      </c>
      <c r="J733" s="163" t="n">
        <v>45475</v>
      </c>
      <c r="K733" s="163" t="inlineStr"/>
      <c r="L733" t="inlineStr">
        <is>
          <t>BORR</t>
        </is>
      </c>
      <c r="M733" s="163" t="n">
        <v>45488</v>
      </c>
      <c r="N733" s="164" t="n">
        <v>40</v>
      </c>
      <c r="O733" s="164" t="n">
        <v>8</v>
      </c>
      <c r="P733" t="inlineStr"/>
      <c r="Q733" s="166" t="n">
        <v>1</v>
      </c>
      <c r="R733" s="166" t="n">
        <v>1</v>
      </c>
      <c r="S733" s="166" t="n">
        <v>0</v>
      </c>
      <c r="T733" s="166" t="n">
        <v>1</v>
      </c>
      <c r="U733" s="166" t="n">
        <v>0</v>
      </c>
      <c r="V733" s="166" t="n">
        <v>0</v>
      </c>
      <c r="W733" t="inlineStr"/>
      <c r="X733" t="inlineStr">
        <is>
          <t>142.96</t>
        </is>
      </c>
      <c r="Y733" t="inlineStr"/>
      <c r="Z733" t="inlineStr">
        <is>
          <t>ICOMPPLUS ELECTRONICS S.L</t>
        </is>
      </c>
      <c r="AA733" t="inlineStr">
        <is>
          <t>MILITARY SPECS.</t>
        </is>
      </c>
      <c r="AB733" t="inlineStr">
        <is>
          <t>D38999/20ZG11SN</t>
        </is>
      </c>
      <c r="AC733" t="inlineStr"/>
      <c r="AD733" s="164" t="n">
        <v>0</v>
      </c>
      <c r="AE733" s="185" t="n">
        <v>0</v>
      </c>
      <c r="AG733" s="167" t="inlineStr">
        <is>
          <t>7218|JA2581_1001</t>
        </is>
      </c>
      <c r="AH733" s="47">
        <f>IF(M733=0,"-",M733-J733)</f>
        <v/>
      </c>
      <c r="AI733" s="46">
        <f>IF(AND(S733=0,M733&gt;0,L733=0),IF(AH733&gt;=120,"VERY HIGH",IF(AH733&gt;=90,"HIGH",IF(AH733&gt;=60,"MEDIUM",IF(AH733&lt;60,"LOW")))),"-")</f>
        <v/>
      </c>
      <c r="AJ733" s="12" t="n"/>
      <c r="AK733" s="53">
        <f>IF(AND(W733="X",M733&lt;=$AJ$2),"YES","")</f>
        <v/>
      </c>
      <c r="AL733" s="54">
        <f>IF(AND(W733="X",M733&lt;=$AJ$2),S733,"")</f>
        <v/>
      </c>
      <c r="AM733" s="35" t="n"/>
      <c r="AN733" s="35">
        <f>IF(AND(W733="X",M733&gt;$AJ$2),S733,"")</f>
        <v/>
      </c>
      <c r="AO733" s="35">
        <f>IF(AND(W733="",M733&gt;0,$AJ$2&gt;M733,L733=""),1,0)</f>
        <v/>
      </c>
      <c r="AP733" s="35">
        <f>IF(AND(AK733="YES",W733="X"),"X","")</f>
        <v/>
      </c>
      <c r="AQ733" s="55">
        <f>IF(AP733="X",100%,0%)</f>
        <v/>
      </c>
      <c r="AR733" s="25">
        <f>IF(AND(T733&gt;0,L733=""),H733,"")</f>
        <v/>
      </c>
      <c r="AS733" s="25">
        <f>IF(AND(D733&gt;0,H733=0,G733=""),1,"")</f>
        <v/>
      </c>
      <c r="AT733" s="25">
        <f>IF(G733="BLOQ",1,"")</f>
        <v/>
      </c>
      <c r="AU733" s="25">
        <f>IF(L733="BLOQ",1,"")</f>
        <v/>
      </c>
      <c r="AV733" s="25">
        <f>MONTH(F733)</f>
        <v/>
      </c>
      <c r="AW733" s="65">
        <f>IF(AP733="",100%,0%)</f>
        <v/>
      </c>
      <c r="AX733" s="56" t="n"/>
      <c r="AY733" s="24">
        <f>IF(M733=0,"",M733-$AX$2)</f>
        <v/>
      </c>
      <c r="AZ733" s="66">
        <f>IF(AND(W733="",AY733&gt;0,AY733&lt;15),1,0)</f>
        <v/>
      </c>
      <c r="BA733" s="24">
        <f>IF(AND(W733="",AY733&gt;0,AY733&lt;15),T733,"")</f>
        <v/>
      </c>
      <c r="BB733" s="87">
        <f>IF(R733&lt;Q733,"X","")</f>
        <v/>
      </c>
      <c r="BC733" s="190" t="inlineStr">
        <is>
          <t>NO</t>
        </is>
      </c>
      <c r="BD733" s="191" t="inlineStr">
        <is>
          <t>SI</t>
        </is>
      </c>
    </row>
    <row r="734" ht="15" customHeight="1" s="162">
      <c r="A734" s="7" t="n">
        <v>733</v>
      </c>
      <c r="B734" t="inlineStr">
        <is>
          <t>1214303734920</t>
        </is>
      </c>
      <c r="C734" t="inlineStr">
        <is>
          <t>CNC CIR 15-35 37H RECPT CRMP ZN/NI ROT-N</t>
        </is>
      </c>
      <c r="D734" t="inlineStr">
        <is>
          <t>1800108782</t>
        </is>
      </c>
      <c r="E734" t="inlineStr">
        <is>
          <t>570</t>
        </is>
      </c>
      <c r="F734" s="163" t="n">
        <v>45457</v>
      </c>
      <c r="G734" t="inlineStr"/>
      <c r="H734" t="inlineStr">
        <is>
          <t>4200569161</t>
        </is>
      </c>
      <c r="I734" t="inlineStr">
        <is>
          <t>290</t>
        </is>
      </c>
      <c r="J734" s="163" t="n">
        <v>45475</v>
      </c>
      <c r="K734" s="163" t="n">
        <v>45477</v>
      </c>
      <c r="L734" t="inlineStr"/>
      <c r="M734" s="163" t="n">
        <v>45488</v>
      </c>
      <c r="N734" s="164" t="n">
        <v>40</v>
      </c>
      <c r="O734" s="164" t="n">
        <v>8</v>
      </c>
      <c r="P734" t="inlineStr">
        <is>
          <t>Liberado</t>
        </is>
      </c>
      <c r="Q734" s="166" t="n">
        <v>1</v>
      </c>
      <c r="R734" s="166" t="n">
        <v>1</v>
      </c>
      <c r="S734" s="166" t="n">
        <v>1</v>
      </c>
      <c r="T734" s="166" t="n">
        <v>0</v>
      </c>
      <c r="U734" s="166" t="n">
        <v>1</v>
      </c>
      <c r="V734" s="166" t="n">
        <v>0</v>
      </c>
      <c r="W734" t="inlineStr">
        <is>
          <t>X</t>
        </is>
      </c>
      <c r="X734" t="inlineStr">
        <is>
          <t>0.00</t>
        </is>
      </c>
      <c r="Y734" t="inlineStr"/>
      <c r="Z734" t="inlineStr">
        <is>
          <t>SUMINISTROS CONECTORES PROF.,SA.</t>
        </is>
      </c>
      <c r="AA734" t="inlineStr">
        <is>
          <t>MILITARY SPECS.</t>
        </is>
      </c>
      <c r="AB734" t="inlineStr">
        <is>
          <t>D38999/20ZD35SN</t>
        </is>
      </c>
      <c r="AC734" t="inlineStr"/>
      <c r="AD734" s="164" t="n">
        <v>0</v>
      </c>
      <c r="AE734" s="185" t="n">
        <v>0</v>
      </c>
      <c r="AG734" s="167" t="inlineStr">
        <is>
          <t>7218|JA2581_1001</t>
        </is>
      </c>
      <c r="AH734" s="47">
        <f>IF(M734=0,"-",M734-J734)</f>
        <v/>
      </c>
      <c r="AI734" s="46">
        <f>IF(AND(S734=0,M734&gt;0,L734=0),IF(AH734&gt;=120,"VERY HIGH",IF(AH734&gt;=90,"HIGH",IF(AH734&gt;=60,"MEDIUM",IF(AH734&lt;60,"LOW")))),"-")</f>
        <v/>
      </c>
      <c r="AJ734" s="12" t="n"/>
      <c r="AK734" s="53">
        <f>IF(AND(W734="X",M734&lt;=$AJ$2),"YES","")</f>
        <v/>
      </c>
      <c r="AL734" s="54">
        <f>IF(AND(W734="X",M734&lt;=$AJ$2),S734,"")</f>
        <v/>
      </c>
      <c r="AM734" s="35" t="n"/>
      <c r="AN734" s="35">
        <f>IF(AND(W734="X",M734&gt;$AJ$2),S734,"")</f>
        <v/>
      </c>
      <c r="AO734" s="35">
        <f>IF(AND(W734="",M734&gt;0,$AJ$2&gt;M734,L734=""),1,0)</f>
        <v/>
      </c>
      <c r="AP734" s="35">
        <f>IF(AND(AK734="YES",W734="X"),"X","")</f>
        <v/>
      </c>
      <c r="AQ734" s="55">
        <f>IF(AP734="X",100%,0%)</f>
        <v/>
      </c>
      <c r="AR734" s="25">
        <f>IF(AND(T734&gt;0,L734=""),H734,"")</f>
        <v/>
      </c>
      <c r="AS734" s="25">
        <f>IF(AND(D734&gt;0,H734=0,G734=""),1,"")</f>
        <v/>
      </c>
      <c r="AT734" s="25">
        <f>IF(G734="BLOQ",1,"")</f>
        <v/>
      </c>
      <c r="AU734" s="25">
        <f>IF(L734="BLOQ",1,"")</f>
        <v/>
      </c>
      <c r="AV734" s="25">
        <f>MONTH(F734)</f>
        <v/>
      </c>
      <c r="AW734" s="65">
        <f>IF(AP734="",100%,0%)</f>
        <v/>
      </c>
      <c r="AX734" s="56" t="n"/>
      <c r="AY734" s="24">
        <f>IF(M734=0,"",M734-$AX$2)</f>
        <v/>
      </c>
      <c r="AZ734" s="66">
        <f>IF(AND(W734="",AY734&gt;0,AY734&lt;15),1,0)</f>
        <v/>
      </c>
      <c r="BA734" s="24">
        <f>IF(AND(W734="",AY734&gt;0,AY734&lt;15),T734,"")</f>
        <v/>
      </c>
      <c r="BB734" s="87">
        <f>IF(R734&lt;Q734,"X","")</f>
        <v/>
      </c>
      <c r="BC734" s="190" t="inlineStr">
        <is>
          <t>NO</t>
        </is>
      </c>
      <c r="BD734" s="191" t="inlineStr">
        <is>
          <t>SI</t>
        </is>
      </c>
    </row>
    <row r="735" ht="15" customHeight="1" s="162">
      <c r="A735" s="7" t="n">
        <v>734</v>
      </c>
      <c r="B735" t="inlineStr">
        <is>
          <t>1214303734920</t>
        </is>
      </c>
      <c r="C735" t="inlineStr">
        <is>
          <t>CNC CIR 15-35 37H RECPT CRMP ZN/NI ROT-N</t>
        </is>
      </c>
      <c r="D735" t="inlineStr">
        <is>
          <t>1800108782</t>
        </is>
      </c>
      <c r="E735" t="inlineStr">
        <is>
          <t>570</t>
        </is>
      </c>
      <c r="F735" s="163" t="n">
        <v>45457</v>
      </c>
      <c r="G735" t="inlineStr"/>
      <c r="H735" t="inlineStr">
        <is>
          <t>4200569022</t>
        </is>
      </c>
      <c r="I735" t="inlineStr">
        <is>
          <t>340</t>
        </is>
      </c>
      <c r="J735" s="163" t="n">
        <v>45475</v>
      </c>
      <c r="K735" s="163" t="inlineStr"/>
      <c r="L735" t="inlineStr">
        <is>
          <t>BORR</t>
        </is>
      </c>
      <c r="M735" s="163" t="n">
        <v>45488</v>
      </c>
      <c r="N735" s="164" t="n">
        <v>40</v>
      </c>
      <c r="O735" s="164" t="n">
        <v>8</v>
      </c>
      <c r="P735" t="inlineStr"/>
      <c r="Q735" s="166" t="n">
        <v>1</v>
      </c>
      <c r="R735" s="166" t="n">
        <v>1</v>
      </c>
      <c r="S735" s="166" t="n">
        <v>0</v>
      </c>
      <c r="T735" s="166" t="n">
        <v>1</v>
      </c>
      <c r="U735" s="166" t="n">
        <v>0</v>
      </c>
      <c r="V735" s="166" t="n">
        <v>0</v>
      </c>
      <c r="W735" t="inlineStr"/>
      <c r="X735" t="inlineStr">
        <is>
          <t>111.40</t>
        </is>
      </c>
      <c r="Y735" t="inlineStr"/>
      <c r="Z735" t="inlineStr">
        <is>
          <t>ICOMPPLUS ELECTRONICS S.L</t>
        </is>
      </c>
      <c r="AA735" t="inlineStr">
        <is>
          <t>MILITARY SPECS.</t>
        </is>
      </c>
      <c r="AB735" t="inlineStr">
        <is>
          <t>D38999/20ZD35SN</t>
        </is>
      </c>
      <c r="AC735" t="inlineStr"/>
      <c r="AD735" s="164" t="n">
        <v>0</v>
      </c>
      <c r="AE735" s="185" t="n">
        <v>0</v>
      </c>
      <c r="AG735" s="167" t="inlineStr">
        <is>
          <t>7218|JA2581_1001</t>
        </is>
      </c>
      <c r="AH735" s="47">
        <f>IF(M735=0,"-",M735-J735)</f>
        <v/>
      </c>
      <c r="AI735" s="46">
        <f>IF(AND(S735=0,M735&gt;0,L735=0),IF(AH735&gt;=120,"VERY HIGH",IF(AH735&gt;=90,"HIGH",IF(AH735&gt;=60,"MEDIUM",IF(AH735&lt;60,"LOW")))),"-")</f>
        <v/>
      </c>
      <c r="AJ735" s="12" t="n"/>
      <c r="AK735" s="53">
        <f>IF(AND(W735="X",M735&lt;=$AJ$2),"YES","")</f>
        <v/>
      </c>
      <c r="AL735" s="54">
        <f>IF(AND(W735="X",M735&lt;=$AJ$2),S735,"")</f>
        <v/>
      </c>
      <c r="AM735" s="35" t="n"/>
      <c r="AN735" s="35">
        <f>IF(AND(W735="X",M735&gt;$AJ$2),S735,"")</f>
        <v/>
      </c>
      <c r="AO735" s="35">
        <f>IF(AND(W735="",M735&gt;0,$AJ$2&gt;M735,L735=""),1,0)</f>
        <v/>
      </c>
      <c r="AP735" s="35">
        <f>IF(AND(AK735="YES",W735="X"),"X","")</f>
        <v/>
      </c>
      <c r="AQ735" s="55">
        <f>IF(AP735="X",100%,0%)</f>
        <v/>
      </c>
      <c r="AR735" s="25">
        <f>IF(AND(T735&gt;0,L735=""),H735,"")</f>
        <v/>
      </c>
      <c r="AS735" s="25">
        <f>IF(AND(D735&gt;0,H735=0,G735=""),1,"")</f>
        <v/>
      </c>
      <c r="AT735" s="25">
        <f>IF(G735="BLOQ",1,"")</f>
        <v/>
      </c>
      <c r="AU735" s="25">
        <f>IF(L735="BLOQ",1,"")</f>
        <v/>
      </c>
      <c r="AV735" s="25">
        <f>MONTH(F735)</f>
        <v/>
      </c>
      <c r="AW735" s="65">
        <f>IF(AP735="",100%,0%)</f>
        <v/>
      </c>
      <c r="AX735" s="56" t="n"/>
      <c r="AY735" s="24">
        <f>IF(M735=0,"",M735-$AX$2)</f>
        <v/>
      </c>
      <c r="AZ735" s="66">
        <f>IF(AND(W735="",AY735&gt;0,AY735&lt;15),1,0)</f>
        <v/>
      </c>
      <c r="BA735" s="24">
        <f>IF(AND(W735="",AY735&gt;0,AY735&lt;15),T735,"")</f>
        <v/>
      </c>
      <c r="BB735" s="87">
        <f>IF(R735&lt;Q735,"X","")</f>
        <v/>
      </c>
      <c r="BC735" s="190" t="inlineStr">
        <is>
          <t>NO</t>
        </is>
      </c>
      <c r="BD735" s="191" t="inlineStr">
        <is>
          <t>SI</t>
        </is>
      </c>
    </row>
    <row r="736" ht="15" customHeight="1" s="162">
      <c r="A736" s="7" t="n">
        <v>735</v>
      </c>
      <c r="B736" t="inlineStr">
        <is>
          <t>1214304131820</t>
        </is>
      </c>
      <c r="C736" t="inlineStr">
        <is>
          <t>CNC CIR 21-41 41H RECPT WALL ZN/NI ROT-A</t>
        </is>
      </c>
      <c r="D736" t="inlineStr">
        <is>
          <t>1800108782</t>
        </is>
      </c>
      <c r="E736" t="inlineStr">
        <is>
          <t>580</t>
        </is>
      </c>
      <c r="F736" s="163" t="n">
        <v>45457</v>
      </c>
      <c r="G736" t="inlineStr"/>
      <c r="H736" t="inlineStr">
        <is>
          <t>4200569161</t>
        </is>
      </c>
      <c r="I736" t="inlineStr">
        <is>
          <t>300</t>
        </is>
      </c>
      <c r="J736" s="163" t="n">
        <v>45475</v>
      </c>
      <c r="K736" s="163" t="n">
        <v>45477</v>
      </c>
      <c r="L736" t="inlineStr"/>
      <c r="M736" s="163" t="n">
        <v>45488</v>
      </c>
      <c r="N736" s="164" t="n">
        <v>40</v>
      </c>
      <c r="O736" s="164" t="n">
        <v>8</v>
      </c>
      <c r="P736" t="inlineStr">
        <is>
          <t>Liberado</t>
        </is>
      </c>
      <c r="Q736" s="166" t="n">
        <v>3</v>
      </c>
      <c r="R736" s="166" t="n">
        <v>3</v>
      </c>
      <c r="S736" s="166" t="n">
        <v>3</v>
      </c>
      <c r="T736" s="166" t="n">
        <v>0</v>
      </c>
      <c r="U736" s="166" t="n">
        <v>3</v>
      </c>
      <c r="V736" s="166" t="n">
        <v>0</v>
      </c>
      <c r="W736" t="inlineStr">
        <is>
          <t>X</t>
        </is>
      </c>
      <c r="X736" t="inlineStr">
        <is>
          <t>0.00</t>
        </is>
      </c>
      <c r="Y736" t="inlineStr"/>
      <c r="Z736" t="inlineStr">
        <is>
          <t>SUMINISTROS CONECTORES PROF.,SA.</t>
        </is>
      </c>
      <c r="AA736" t="inlineStr">
        <is>
          <t>MILITARY SPECS.</t>
        </is>
      </c>
      <c r="AB736" t="inlineStr">
        <is>
          <t>D38999/20ZG41SA</t>
        </is>
      </c>
      <c r="AC736" t="inlineStr"/>
      <c r="AD736" s="164" t="n">
        <v>0</v>
      </c>
      <c r="AE736" s="185" t="n">
        <v>0</v>
      </c>
      <c r="AG736" s="167" t="inlineStr">
        <is>
          <t>7218|JA2581_1001</t>
        </is>
      </c>
      <c r="AH736" s="47">
        <f>IF(M736=0,"-",M736-J736)</f>
        <v/>
      </c>
      <c r="AI736" s="46">
        <f>IF(AND(S736=0,M736&gt;0,L736=0),IF(AH736&gt;=120,"VERY HIGH",IF(AH736&gt;=90,"HIGH",IF(AH736&gt;=60,"MEDIUM",IF(AH736&lt;60,"LOW")))),"-")</f>
        <v/>
      </c>
      <c r="AJ736" s="12" t="n"/>
      <c r="AK736" s="53">
        <f>IF(AND(W736="X",M736&lt;=$AJ$2),"YES","")</f>
        <v/>
      </c>
      <c r="AL736" s="54">
        <f>IF(AND(W736="X",M736&lt;=$AJ$2),S736,"")</f>
        <v/>
      </c>
      <c r="AM736" s="35" t="n"/>
      <c r="AN736" s="35">
        <f>IF(AND(W736="X",M736&gt;$AJ$2),S736,"")</f>
        <v/>
      </c>
      <c r="AO736" s="35">
        <f>IF(AND(W736="",M736&gt;0,$AJ$2&gt;M736,L736=""),1,0)</f>
        <v/>
      </c>
      <c r="AP736" s="35">
        <f>IF(AND(AK736="YES",W736="X"),"X","")</f>
        <v/>
      </c>
      <c r="AQ736" s="55">
        <f>IF(AP736="X",100%,0%)</f>
        <v/>
      </c>
      <c r="AR736" s="25">
        <f>IF(AND(T736&gt;0,L736=""),H736,"")</f>
        <v/>
      </c>
      <c r="AS736" s="25">
        <f>IF(AND(D736&gt;0,H736=0,G736=""),1,"")</f>
        <v/>
      </c>
      <c r="AT736" s="25">
        <f>IF(G736="BLOQ",1,"")</f>
        <v/>
      </c>
      <c r="AU736" s="25">
        <f>IF(L736="BLOQ",1,"")</f>
        <v/>
      </c>
      <c r="AV736" s="25">
        <f>MONTH(F736)</f>
        <v/>
      </c>
      <c r="AW736" s="65">
        <f>IF(AP736="",100%,0%)</f>
        <v/>
      </c>
      <c r="AX736" s="56" t="n"/>
      <c r="AY736" s="24">
        <f>IF(M736=0,"",M736-$AX$2)</f>
        <v/>
      </c>
      <c r="AZ736" s="66">
        <f>IF(AND(W736="",AY736&gt;0,AY736&lt;15),1,0)</f>
        <v/>
      </c>
      <c r="BA736" s="24">
        <f>IF(AND(W736="",AY736&gt;0,AY736&lt;15),T736,"")</f>
        <v/>
      </c>
      <c r="BB736" s="87">
        <f>IF(R736&lt;Q736,"X","")</f>
        <v/>
      </c>
      <c r="BC736" s="190" t="inlineStr">
        <is>
          <t>NO</t>
        </is>
      </c>
      <c r="BD736" s="191" t="inlineStr">
        <is>
          <t>SI</t>
        </is>
      </c>
    </row>
    <row r="737" ht="15" customHeight="1" s="162">
      <c r="A737" s="7" t="n">
        <v>736</v>
      </c>
      <c r="B737" t="inlineStr">
        <is>
          <t>1214304131820</t>
        </is>
      </c>
      <c r="C737" t="inlineStr">
        <is>
          <t>CNC CIR 21-41 41H RECPT WALL ZN/NI ROT-A</t>
        </is>
      </c>
      <c r="D737" t="inlineStr">
        <is>
          <t>1800108782</t>
        </is>
      </c>
      <c r="E737" t="inlineStr">
        <is>
          <t>580</t>
        </is>
      </c>
      <c r="F737" s="163" t="n">
        <v>45457</v>
      </c>
      <c r="G737" t="inlineStr"/>
      <c r="H737" t="inlineStr">
        <is>
          <t>4200569022</t>
        </is>
      </c>
      <c r="I737" t="inlineStr">
        <is>
          <t>350</t>
        </is>
      </c>
      <c r="J737" s="163" t="n">
        <v>45475</v>
      </c>
      <c r="K737" s="163" t="inlineStr"/>
      <c r="L737" t="inlineStr">
        <is>
          <t>BORR</t>
        </is>
      </c>
      <c r="M737" s="163" t="n">
        <v>45488</v>
      </c>
      <c r="N737" s="164" t="n">
        <v>40</v>
      </c>
      <c r="O737" s="164" t="n">
        <v>8</v>
      </c>
      <c r="P737" t="inlineStr"/>
      <c r="Q737" s="166" t="n">
        <v>3</v>
      </c>
      <c r="R737" s="166" t="n">
        <v>3</v>
      </c>
      <c r="S737" s="166" t="n">
        <v>0</v>
      </c>
      <c r="T737" s="166" t="n">
        <v>3</v>
      </c>
      <c r="U737" s="166" t="n">
        <v>0</v>
      </c>
      <c r="V737" s="166" t="n">
        <v>0</v>
      </c>
      <c r="W737" t="inlineStr"/>
      <c r="X737" t="inlineStr">
        <is>
          <t>354.15</t>
        </is>
      </c>
      <c r="Y737" t="inlineStr"/>
      <c r="Z737" t="inlineStr">
        <is>
          <t>ICOMPPLUS ELECTRONICS S.L</t>
        </is>
      </c>
      <c r="AA737" t="inlineStr">
        <is>
          <t>MILITARY SPECS.</t>
        </is>
      </c>
      <c r="AB737" t="inlineStr">
        <is>
          <t>D38999/20ZG41SA</t>
        </is>
      </c>
      <c r="AC737" t="inlineStr"/>
      <c r="AD737" s="164" t="n">
        <v>0</v>
      </c>
      <c r="AE737" s="185" t="n">
        <v>0</v>
      </c>
      <c r="AG737" s="167" t="inlineStr">
        <is>
          <t>7218|JA2581_1001</t>
        </is>
      </c>
      <c r="AH737" s="47">
        <f>IF(M737=0,"-",M737-J737)</f>
        <v/>
      </c>
      <c r="AI737" s="46">
        <f>IF(AND(S737=0,M737&gt;0,L737=0),IF(AH737&gt;=120,"VERY HIGH",IF(AH737&gt;=90,"HIGH",IF(AH737&gt;=60,"MEDIUM",IF(AH737&lt;60,"LOW")))),"-")</f>
        <v/>
      </c>
      <c r="AJ737" s="12" t="n"/>
      <c r="AK737" s="53">
        <f>IF(AND(W737="X",M737&lt;=$AJ$2),"YES","")</f>
        <v/>
      </c>
      <c r="AL737" s="54">
        <f>IF(AND(W737="X",M737&lt;=$AJ$2),S737,"")</f>
        <v/>
      </c>
      <c r="AM737" s="35" t="n"/>
      <c r="AN737" s="35">
        <f>IF(AND(W737="X",M737&gt;$AJ$2),S737,"")</f>
        <v/>
      </c>
      <c r="AO737" s="35">
        <f>IF(AND(W737="",M737&gt;0,$AJ$2&gt;M737,L737=""),1,0)</f>
        <v/>
      </c>
      <c r="AP737" s="35">
        <f>IF(AND(AK737="YES",W737="X"),"X","")</f>
        <v/>
      </c>
      <c r="AQ737" s="55">
        <f>IF(AP737="X",100%,0%)</f>
        <v/>
      </c>
      <c r="AR737" s="25">
        <f>IF(AND(T737&gt;0,L737=""),H737,"")</f>
        <v/>
      </c>
      <c r="AS737" s="25">
        <f>IF(AND(D737&gt;0,H737=0,G737=""),1,"")</f>
        <v/>
      </c>
      <c r="AT737" s="25">
        <f>IF(G737="BLOQ",1,"")</f>
        <v/>
      </c>
      <c r="AU737" s="25">
        <f>IF(L737="BLOQ",1,"")</f>
        <v/>
      </c>
      <c r="AV737" s="25">
        <f>MONTH(F737)</f>
        <v/>
      </c>
      <c r="AW737" s="65">
        <f>IF(AP737="",100%,0%)</f>
        <v/>
      </c>
      <c r="AX737" s="56" t="n"/>
      <c r="AY737" s="24">
        <f>IF(M737=0,"",M737-$AX$2)</f>
        <v/>
      </c>
      <c r="AZ737" s="66">
        <f>IF(AND(W737="",AY737&gt;0,AY737&lt;15),1,0)</f>
        <v/>
      </c>
      <c r="BA737" s="24">
        <f>IF(AND(W737="",AY737&gt;0,AY737&lt;15),T737,"")</f>
        <v/>
      </c>
      <c r="BB737" s="87">
        <f>IF(R737&lt;Q737,"X","")</f>
        <v/>
      </c>
      <c r="BC737" s="190" t="inlineStr">
        <is>
          <t>NO</t>
        </is>
      </c>
      <c r="BD737" s="191" t="inlineStr">
        <is>
          <t>SI</t>
        </is>
      </c>
    </row>
    <row r="738" ht="15" customHeight="1" s="162">
      <c r="A738" s="7" t="n">
        <v>737</v>
      </c>
      <c r="B738" t="inlineStr">
        <is>
          <t>1214305330820</t>
        </is>
      </c>
      <c r="C738" t="inlineStr">
        <is>
          <t>CNC CIR 23-54 53H RECPT WALL ZN/NI ROT-N</t>
        </is>
      </c>
      <c r="D738" t="inlineStr">
        <is>
          <t>1800108782</t>
        </is>
      </c>
      <c r="E738" t="inlineStr">
        <is>
          <t>590</t>
        </is>
      </c>
      <c r="F738" s="163" t="n">
        <v>45457</v>
      </c>
      <c r="G738" t="inlineStr"/>
      <c r="H738" t="inlineStr">
        <is>
          <t>4200569165</t>
        </is>
      </c>
      <c r="I738" t="inlineStr">
        <is>
          <t>40</t>
        </is>
      </c>
      <c r="J738" s="163" t="n">
        <v>45475</v>
      </c>
      <c r="K738" s="163" t="n">
        <v>45483</v>
      </c>
      <c r="L738" t="inlineStr">
        <is>
          <t>BORR</t>
        </is>
      </c>
      <c r="M738" s="163" t="n">
        <v>45488</v>
      </c>
      <c r="N738" s="164" t="n">
        <v>40</v>
      </c>
      <c r="O738" s="164" t="n">
        <v>8</v>
      </c>
      <c r="P738" t="inlineStr">
        <is>
          <t>Liberado</t>
        </is>
      </c>
      <c r="Q738" s="166" t="n">
        <v>1</v>
      </c>
      <c r="R738" s="166" t="n">
        <v>1</v>
      </c>
      <c r="S738" s="166" t="n">
        <v>0</v>
      </c>
      <c r="T738" s="166" t="n">
        <v>1</v>
      </c>
      <c r="U738" s="166" t="n">
        <v>0</v>
      </c>
      <c r="V738" s="166" t="n">
        <v>0</v>
      </c>
      <c r="W738" t="inlineStr"/>
      <c r="X738" t="inlineStr">
        <is>
          <t>57.41</t>
        </is>
      </c>
      <c r="Y738" t="inlineStr"/>
      <c r="Z738" t="inlineStr">
        <is>
          <t>CONECTORES Y CABLES VAHER, S.A.</t>
        </is>
      </c>
      <c r="AA738" t="inlineStr">
        <is>
          <t>MILITARY SPECS.</t>
        </is>
      </c>
      <c r="AB738" t="inlineStr">
        <is>
          <t>D38999/20ZH54SN</t>
        </is>
      </c>
      <c r="AC738" t="inlineStr"/>
      <c r="AD738" s="164" t="n">
        <v>0</v>
      </c>
      <c r="AE738" s="185" t="n">
        <v>0</v>
      </c>
      <c r="AG738" s="167" t="inlineStr">
        <is>
          <t>7218|JA2581_1001</t>
        </is>
      </c>
      <c r="AH738" s="47">
        <f>IF(M738=0,"-",M738-J738)</f>
        <v/>
      </c>
      <c r="AI738" s="46">
        <f>IF(AND(S738=0,M738&gt;0,L738=0),IF(AH738&gt;=120,"VERY HIGH",IF(AH738&gt;=90,"HIGH",IF(AH738&gt;=60,"MEDIUM",IF(AH738&lt;60,"LOW")))),"-")</f>
        <v/>
      </c>
      <c r="AJ738" s="12" t="n"/>
      <c r="AK738" s="53">
        <f>IF(AND(W738="X",M738&lt;=$AJ$2),"YES","")</f>
        <v/>
      </c>
      <c r="AL738" s="54">
        <f>IF(AND(W738="X",M738&lt;=$AJ$2),S738,"")</f>
        <v/>
      </c>
      <c r="AM738" s="35" t="n"/>
      <c r="AN738" s="35">
        <f>IF(AND(W738="X",M738&gt;$AJ$2),S738,"")</f>
        <v/>
      </c>
      <c r="AO738" s="35">
        <f>IF(AND(W738="",M738&gt;0,$AJ$2&gt;M738,L738=""),1,0)</f>
        <v/>
      </c>
      <c r="AP738" s="35">
        <f>IF(AND(AK738="YES",W738="X"),"X","")</f>
        <v/>
      </c>
      <c r="AQ738" s="55">
        <f>IF(AP738="X",100%,0%)</f>
        <v/>
      </c>
      <c r="AR738" s="25">
        <f>IF(AND(T738&gt;0,L738=""),H738,"")</f>
        <v/>
      </c>
      <c r="AS738" s="25">
        <f>IF(AND(D738&gt;0,H738=0,G738=""),1,"")</f>
        <v/>
      </c>
      <c r="AT738" s="25">
        <f>IF(G738="BLOQ",1,"")</f>
        <v/>
      </c>
      <c r="AU738" s="25">
        <f>IF(L738="BLOQ",1,"")</f>
        <v/>
      </c>
      <c r="AV738" s="25">
        <f>MONTH(F738)</f>
        <v/>
      </c>
      <c r="AW738" s="65">
        <f>IF(AP738="",100%,0%)</f>
        <v/>
      </c>
      <c r="AX738" s="56" t="n"/>
      <c r="AY738" s="24">
        <f>IF(M738=0,"",M738-$AX$2)</f>
        <v/>
      </c>
      <c r="AZ738" s="66">
        <f>IF(AND(W738="",AY738&gt;0,AY738&lt;15),1,0)</f>
        <v/>
      </c>
      <c r="BA738" s="24">
        <f>IF(AND(W738="",AY738&gt;0,AY738&lt;15),T738,"")</f>
        <v/>
      </c>
      <c r="BB738" s="87">
        <f>IF(R738&lt;Q738,"X","")</f>
        <v/>
      </c>
      <c r="BC738" s="190" t="inlineStr">
        <is>
          <t>NO</t>
        </is>
      </c>
      <c r="BD738" s="191" t="inlineStr">
        <is>
          <t>SI</t>
        </is>
      </c>
    </row>
    <row r="739" ht="15" customHeight="1" s="162">
      <c r="A739" s="7" t="n">
        <v>738</v>
      </c>
      <c r="B739" t="inlineStr">
        <is>
          <t>1214305330820</t>
        </is>
      </c>
      <c r="C739" t="inlineStr">
        <is>
          <t>CNC CIR 23-54 53H RECPT WALL ZN/NI ROT-N</t>
        </is>
      </c>
      <c r="D739" t="inlineStr">
        <is>
          <t>1800108782</t>
        </is>
      </c>
      <c r="E739" t="inlineStr">
        <is>
          <t>590</t>
        </is>
      </c>
      <c r="F739" s="163" t="n">
        <v>45457</v>
      </c>
      <c r="G739" t="inlineStr"/>
      <c r="H739" t="inlineStr">
        <is>
          <t>4200569871</t>
        </is>
      </c>
      <c r="I739" t="inlineStr">
        <is>
          <t>10</t>
        </is>
      </c>
      <c r="J739" s="163" t="n">
        <v>45482</v>
      </c>
      <c r="K739" s="163" t="n">
        <v>45483</v>
      </c>
      <c r="L739" t="inlineStr"/>
      <c r="M739" s="163" t="n">
        <v>45504</v>
      </c>
      <c r="N739" s="164" t="n">
        <v>40</v>
      </c>
      <c r="O739" s="164" t="n">
        <v>8</v>
      </c>
      <c r="P739" t="inlineStr">
        <is>
          <t>Liberado</t>
        </is>
      </c>
      <c r="Q739" s="165" t="n">
        <v>1</v>
      </c>
      <c r="R739" s="165" t="n">
        <v>1</v>
      </c>
      <c r="S739" s="165" t="n">
        <v>2</v>
      </c>
      <c r="T739" s="165" t="n">
        <v>0</v>
      </c>
      <c r="U739" s="166" t="n">
        <v>1</v>
      </c>
      <c r="V739" s="166" t="n">
        <v>1</v>
      </c>
      <c r="W739" t="inlineStr">
        <is>
          <t>X</t>
        </is>
      </c>
      <c r="X739" t="inlineStr">
        <is>
          <t>0.00</t>
        </is>
      </c>
      <c r="Y739" t="inlineStr"/>
      <c r="Z739" t="inlineStr">
        <is>
          <t>SUMINISTROS CONECTORES PROF.,SA.</t>
        </is>
      </c>
      <c r="AA739" t="inlineStr">
        <is>
          <t>MILITARY SPECS.</t>
        </is>
      </c>
      <c r="AB739" t="inlineStr">
        <is>
          <t>D38999/20ZH54SN</t>
        </is>
      </c>
      <c r="AC739" t="inlineStr"/>
      <c r="AD739" s="164" t="n">
        <v>0</v>
      </c>
      <c r="AE739" s="185" t="n">
        <v>0</v>
      </c>
      <c r="AG739" s="167" t="inlineStr">
        <is>
          <t>7218|JA2581_1001</t>
        </is>
      </c>
      <c r="AH739" s="47">
        <f>IF(M739=0,"-",M739-J739)</f>
        <v/>
      </c>
      <c r="AI739" s="46">
        <f>IF(AND(S739=0,M739&gt;0,L739=0),IF(AH739&gt;=120,"VERY HIGH",IF(AH739&gt;=90,"HIGH",IF(AH739&gt;=60,"MEDIUM",IF(AH739&lt;60,"LOW")))),"-")</f>
        <v/>
      </c>
      <c r="AJ739" s="12" t="n"/>
      <c r="AK739" s="53">
        <f>IF(AND(W739="X",M739&lt;=$AJ$2),"YES","")</f>
        <v/>
      </c>
      <c r="AL739" s="54">
        <f>IF(AND(W739="X",M739&lt;=$AJ$2),S739,"")</f>
        <v/>
      </c>
      <c r="AM739" s="35" t="n"/>
      <c r="AN739" s="35">
        <f>IF(AND(W739="X",M739&gt;$AJ$2),S739,"")</f>
        <v/>
      </c>
      <c r="AO739" s="35">
        <f>IF(AND(W739="",M739&gt;0,$AJ$2&gt;M739,L739=""),1,0)</f>
        <v/>
      </c>
      <c r="AP739" s="35">
        <f>IF(AND(AK739="YES",W739="X"),"X","")</f>
        <v/>
      </c>
      <c r="AQ739" s="55">
        <f>IF(AP739="X",100%,0%)</f>
        <v/>
      </c>
      <c r="AR739" s="25">
        <f>IF(AND(T739&gt;0,L739=""),H739,"")</f>
        <v/>
      </c>
      <c r="AS739" s="25">
        <f>IF(AND(D739&gt;0,H739=0,G739=""),1,"")</f>
        <v/>
      </c>
      <c r="AT739" s="25">
        <f>IF(G739="BLOQ",1,"")</f>
        <v/>
      </c>
      <c r="AU739" s="25">
        <f>IF(L739="BLOQ",1,"")</f>
        <v/>
      </c>
      <c r="AV739" s="25">
        <f>MONTH(F739)</f>
        <v/>
      </c>
      <c r="AW739" s="65">
        <f>IF(AP739="",100%,0%)</f>
        <v/>
      </c>
      <c r="AX739" s="56" t="n"/>
      <c r="AY739" s="24">
        <f>IF(M739=0,"",M739-$AX$2)</f>
        <v/>
      </c>
      <c r="AZ739" s="66">
        <f>IF(AND(W739="",AY739&gt;0,AY739&lt;15),1,0)</f>
        <v/>
      </c>
      <c r="BA739" s="24">
        <f>IF(AND(W739="",AY739&gt;0,AY739&lt;15),T739,"")</f>
        <v/>
      </c>
      <c r="BB739" s="87">
        <f>IF(R739&lt;Q739,"X","")</f>
        <v/>
      </c>
      <c r="BC739" s="190" t="inlineStr">
        <is>
          <t>NO</t>
        </is>
      </c>
      <c r="BD739" s="191" t="inlineStr">
        <is>
          <t>SI</t>
        </is>
      </c>
    </row>
    <row r="740" ht="15" customHeight="1" s="162">
      <c r="A740" s="7" t="n">
        <v>739</v>
      </c>
      <c r="B740" t="inlineStr">
        <is>
          <t>1214305530020</t>
        </is>
      </c>
      <c r="C740" t="inlineStr">
        <is>
          <t>CNC CIR 23-55S/H RCPT RECT AL ZN/NI R-A</t>
        </is>
      </c>
      <c r="D740" t="inlineStr">
        <is>
          <t>1800108782</t>
        </is>
      </c>
      <c r="E740" t="inlineStr">
        <is>
          <t>600</t>
        </is>
      </c>
      <c r="F740" s="163" t="n">
        <v>45457</v>
      </c>
      <c r="G740" t="inlineStr"/>
      <c r="H740" t="inlineStr">
        <is>
          <t>4200569161</t>
        </is>
      </c>
      <c r="I740" t="inlineStr">
        <is>
          <t>320</t>
        </is>
      </c>
      <c r="J740" s="163" t="n">
        <v>45475</v>
      </c>
      <c r="K740" s="163" t="n">
        <v>45477</v>
      </c>
      <c r="L740" t="inlineStr"/>
      <c r="M740" s="163" t="n">
        <v>45488</v>
      </c>
      <c r="N740" s="164" t="n">
        <v>40</v>
      </c>
      <c r="O740" s="164" t="n">
        <v>8</v>
      </c>
      <c r="P740" t="inlineStr">
        <is>
          <t>Liberado</t>
        </is>
      </c>
      <c r="Q740" s="165" t="n">
        <v>2</v>
      </c>
      <c r="R740" s="165" t="n">
        <v>2</v>
      </c>
      <c r="S740" s="165" t="n">
        <v>2</v>
      </c>
      <c r="T740" s="165" t="n">
        <v>0</v>
      </c>
      <c r="U740" s="166" t="n">
        <v>2</v>
      </c>
      <c r="V740" s="166" t="n">
        <v>0</v>
      </c>
      <c r="W740" t="inlineStr">
        <is>
          <t>X</t>
        </is>
      </c>
      <c r="X740" t="inlineStr">
        <is>
          <t>0.00</t>
        </is>
      </c>
      <c r="Y740" t="inlineStr"/>
      <c r="Z740" t="inlineStr">
        <is>
          <t>SUMINISTROS CONECTORES PROF.,SA.</t>
        </is>
      </c>
      <c r="AA740" t="inlineStr">
        <is>
          <t>MILITARY SPECS.</t>
        </is>
      </c>
      <c r="AB740" t="inlineStr">
        <is>
          <t>D38999/20ZH55SA</t>
        </is>
      </c>
      <c r="AC740" t="inlineStr"/>
      <c r="AD740" s="164" t="n">
        <v>0</v>
      </c>
      <c r="AE740" s="185" t="n">
        <v>0</v>
      </c>
      <c r="AG740" s="167" t="inlineStr">
        <is>
          <t>7218|JA2581_1001</t>
        </is>
      </c>
      <c r="AH740" s="47">
        <f>IF(M740=0,"-",M740-J740)</f>
        <v/>
      </c>
      <c r="AI740" s="46">
        <f>IF(AND(S740=0,M740&gt;0,L740=0),IF(AH740&gt;=120,"VERY HIGH",IF(AH740&gt;=90,"HIGH",IF(AH740&gt;=60,"MEDIUM",IF(AH740&lt;60,"LOW")))),"-")</f>
        <v/>
      </c>
      <c r="AJ740" s="12" t="n"/>
      <c r="AK740" s="53">
        <f>IF(AND(W740="X",M740&lt;=$AJ$2),"YES","")</f>
        <v/>
      </c>
      <c r="AL740" s="54">
        <f>IF(AND(W740="X",M740&lt;=$AJ$2),S740,"")</f>
        <v/>
      </c>
      <c r="AM740" s="35" t="n"/>
      <c r="AN740" s="35">
        <f>IF(AND(W740="X",M740&gt;$AJ$2),S740,"")</f>
        <v/>
      </c>
      <c r="AO740" s="35">
        <f>IF(AND(W740="",M740&gt;0,$AJ$2&gt;M740,L740=""),1,0)</f>
        <v/>
      </c>
      <c r="AP740" s="35">
        <f>IF(AND(AK740="YES",W740="X"),"X","")</f>
        <v/>
      </c>
      <c r="AQ740" s="55">
        <f>IF(AP740="X",100%,0%)</f>
        <v/>
      </c>
      <c r="AR740" s="25">
        <f>IF(AND(T740&gt;0,L740=""),H740,"")</f>
        <v/>
      </c>
      <c r="AS740" s="25">
        <f>IF(AND(D740&gt;0,H740=0,G740=""),1,"")</f>
        <v/>
      </c>
      <c r="AT740" s="25">
        <f>IF(G740="BLOQ",1,"")</f>
        <v/>
      </c>
      <c r="AU740" s="25">
        <f>IF(L740="BLOQ",1,"")</f>
        <v/>
      </c>
      <c r="AV740" s="25">
        <f>MONTH(F740)</f>
        <v/>
      </c>
      <c r="AW740" s="65">
        <f>IF(AP740="",100%,0%)</f>
        <v/>
      </c>
      <c r="AX740" s="56" t="n"/>
      <c r="AY740" s="24">
        <f>IF(M740=0,"",M740-$AX$2)</f>
        <v/>
      </c>
      <c r="AZ740" s="66">
        <f>IF(AND(W740="",AY740&gt;0,AY740&lt;15),1,0)</f>
        <v/>
      </c>
      <c r="BA740" s="24">
        <f>IF(AND(W740="",AY740&gt;0,AY740&lt;15),T740,"")</f>
        <v/>
      </c>
      <c r="BB740" s="87">
        <f>IF(R740&lt;Q740,"X","")</f>
        <v/>
      </c>
      <c r="BC740" s="190" t="inlineStr">
        <is>
          <t>NO</t>
        </is>
      </c>
      <c r="BD740" s="191" t="inlineStr">
        <is>
          <t>SI</t>
        </is>
      </c>
    </row>
    <row r="741" ht="15" customHeight="1" s="162">
      <c r="A741" s="7" t="n">
        <v>740</v>
      </c>
      <c r="B741" t="inlineStr">
        <is>
          <t>1214305530020</t>
        </is>
      </c>
      <c r="C741" t="inlineStr">
        <is>
          <t>CNC CIR 23-55S/H RCPT RECT AL ZN/NI R-A</t>
        </is>
      </c>
      <c r="D741" t="inlineStr">
        <is>
          <t>1800108782</t>
        </is>
      </c>
      <c r="E741" t="inlineStr">
        <is>
          <t>600</t>
        </is>
      </c>
      <c r="F741" s="163" t="n">
        <v>45457</v>
      </c>
      <c r="G741" t="inlineStr"/>
      <c r="H741" t="inlineStr">
        <is>
          <t>4200569022</t>
        </is>
      </c>
      <c r="I741" t="inlineStr">
        <is>
          <t>360</t>
        </is>
      </c>
      <c r="J741" s="163" t="n">
        <v>45475</v>
      </c>
      <c r="K741" s="163" t="inlineStr"/>
      <c r="L741" t="inlineStr">
        <is>
          <t>BORR</t>
        </is>
      </c>
      <c r="M741" s="163" t="n">
        <v>45488</v>
      </c>
      <c r="N741" s="164" t="n">
        <v>40</v>
      </c>
      <c r="O741" s="164" t="n">
        <v>8</v>
      </c>
      <c r="P741" t="inlineStr"/>
      <c r="Q741" s="165" t="n">
        <v>2</v>
      </c>
      <c r="R741" s="165" t="n">
        <v>2</v>
      </c>
      <c r="S741" s="165" t="n">
        <v>0</v>
      </c>
      <c r="T741" s="165" t="n">
        <v>2</v>
      </c>
      <c r="U741" s="166" t="n">
        <v>0</v>
      </c>
      <c r="V741" s="166" t="n">
        <v>0</v>
      </c>
      <c r="W741" t="inlineStr"/>
      <c r="X741" t="inlineStr">
        <is>
          <t>335.04</t>
        </is>
      </c>
      <c r="Y741" t="inlineStr"/>
      <c r="Z741" t="inlineStr">
        <is>
          <t>ICOMPPLUS ELECTRONICS S.L</t>
        </is>
      </c>
      <c r="AA741" t="inlineStr">
        <is>
          <t>MILITARY SPECS.</t>
        </is>
      </c>
      <c r="AB741" t="inlineStr">
        <is>
          <t>D38999/20ZH55SA</t>
        </is>
      </c>
      <c r="AC741" t="inlineStr"/>
      <c r="AD741" s="164" t="n">
        <v>0</v>
      </c>
      <c r="AE741" s="185" t="n">
        <v>0</v>
      </c>
      <c r="AG741" s="167" t="inlineStr">
        <is>
          <t>7218|JA2581_1001</t>
        </is>
      </c>
      <c r="AH741" s="47">
        <f>IF(M741=0,"-",M741-J741)</f>
        <v/>
      </c>
      <c r="AI741" s="46">
        <f>IF(AND(S741=0,M741&gt;0,L741=0),IF(AH741&gt;=120,"VERY HIGH",IF(AH741&gt;=90,"HIGH",IF(AH741&gt;=60,"MEDIUM",IF(AH741&lt;60,"LOW")))),"-")</f>
        <v/>
      </c>
      <c r="AJ741" s="12" t="n"/>
      <c r="AK741" s="53">
        <f>IF(AND(W741="X",M741&lt;=$AJ$2),"YES","")</f>
        <v/>
      </c>
      <c r="AL741" s="54">
        <f>IF(AND(W741="X",M741&lt;=$AJ$2),S741,"")</f>
        <v/>
      </c>
      <c r="AM741" s="35" t="n"/>
      <c r="AN741" s="35">
        <f>IF(AND(W741="X",M741&gt;$AJ$2),S741,"")</f>
        <v/>
      </c>
      <c r="AO741" s="35">
        <f>IF(AND(W741="",M741&gt;0,$AJ$2&gt;M741,L741=""),1,0)</f>
        <v/>
      </c>
      <c r="AP741" s="35">
        <f>IF(AND(AK741="YES",W741="X"),"X","")</f>
        <v/>
      </c>
      <c r="AQ741" s="55">
        <f>IF(AP741="X",100%,0%)</f>
        <v/>
      </c>
      <c r="AR741" s="25">
        <f>IF(AND(T741&gt;0,L741=""),H741,"")</f>
        <v/>
      </c>
      <c r="AS741" s="25">
        <f>IF(AND(D741&gt;0,H741=0,G741=""),1,"")</f>
        <v/>
      </c>
      <c r="AT741" s="25">
        <f>IF(G741="BLOQ",1,"")</f>
        <v/>
      </c>
      <c r="AU741" s="25">
        <f>IF(L741="BLOQ",1,"")</f>
        <v/>
      </c>
      <c r="AV741" s="25">
        <f>MONTH(F741)</f>
        <v/>
      </c>
      <c r="AW741" s="65">
        <f>IF(AP741="",100%,0%)</f>
        <v/>
      </c>
      <c r="AX741" s="56" t="n"/>
      <c r="AY741" s="24">
        <f>IF(M741=0,"",M741-$AX$2)</f>
        <v/>
      </c>
      <c r="AZ741" s="66">
        <f>IF(AND(W741="",AY741&gt;0,AY741&lt;15),1,0)</f>
        <v/>
      </c>
      <c r="BA741" s="24">
        <f>IF(AND(W741="",AY741&gt;0,AY741&lt;15),T741,"")</f>
        <v/>
      </c>
      <c r="BB741" s="87">
        <f>IF(R741&lt;Q741,"X","")</f>
        <v/>
      </c>
      <c r="BC741" s="190" t="inlineStr">
        <is>
          <t>NO</t>
        </is>
      </c>
      <c r="BD741" s="191" t="inlineStr">
        <is>
          <t>SI</t>
        </is>
      </c>
    </row>
    <row r="742" ht="15" customHeight="1" s="162">
      <c r="A742" s="7" t="n">
        <v>741</v>
      </c>
      <c r="B742" t="inlineStr">
        <is>
          <t>1214305530821</t>
        </is>
      </c>
      <c r="C742" t="inlineStr">
        <is>
          <t>CNC CIR 23-55 55H RECPT WALL ZN/NI ROT-N</t>
        </is>
      </c>
      <c r="D742" t="inlineStr">
        <is>
          <t>1800108782</t>
        </is>
      </c>
      <c r="E742" t="inlineStr">
        <is>
          <t>610</t>
        </is>
      </c>
      <c r="F742" s="163" t="n">
        <v>45457</v>
      </c>
      <c r="G742" t="inlineStr"/>
      <c r="H742" t="inlineStr">
        <is>
          <t>4200569165</t>
        </is>
      </c>
      <c r="I742" t="inlineStr">
        <is>
          <t>50</t>
        </is>
      </c>
      <c r="J742" s="163" t="n">
        <v>45475</v>
      </c>
      <c r="K742" s="163" t="n">
        <v>45483</v>
      </c>
      <c r="L742" t="inlineStr"/>
      <c r="M742" s="163" t="n">
        <v>45488</v>
      </c>
      <c r="N742" s="164" t="n">
        <v>40</v>
      </c>
      <c r="O742" s="164" t="n">
        <v>8</v>
      </c>
      <c r="P742" t="inlineStr">
        <is>
          <t>Liberado</t>
        </is>
      </c>
      <c r="Q742" s="165" t="n">
        <v>16</v>
      </c>
      <c r="R742" s="165" t="n">
        <v>16</v>
      </c>
      <c r="S742" s="165" t="n">
        <v>32</v>
      </c>
      <c r="T742" s="165" t="n">
        <v>0</v>
      </c>
      <c r="U742" s="166" t="n">
        <v>16</v>
      </c>
      <c r="V742" s="166" t="n">
        <v>16</v>
      </c>
      <c r="W742" t="inlineStr">
        <is>
          <t>X</t>
        </is>
      </c>
      <c r="X742" t="inlineStr">
        <is>
          <t>0.00</t>
        </is>
      </c>
      <c r="Y742" t="inlineStr"/>
      <c r="Z742" t="inlineStr">
        <is>
          <t>CONECTORES Y CABLES VAHER, S.A.</t>
        </is>
      </c>
      <c r="AA742" t="inlineStr">
        <is>
          <t>MILITARY SPECS.</t>
        </is>
      </c>
      <c r="AB742" t="inlineStr">
        <is>
          <t>D38999/20ZH55SN</t>
        </is>
      </c>
      <c r="AC742" t="inlineStr"/>
      <c r="AD742" s="164" t="n">
        <v>0</v>
      </c>
      <c r="AE742" s="185" t="n">
        <v>0</v>
      </c>
      <c r="AG742" s="167" t="inlineStr">
        <is>
          <t>7218|JA2581_1001</t>
        </is>
      </c>
      <c r="AH742" s="47">
        <f>IF(M742=0,"-",M742-J742)</f>
        <v/>
      </c>
      <c r="AI742" s="46">
        <f>IF(AND(S742=0,M742&gt;0,L742=0),IF(AH742&gt;=120,"VERY HIGH",IF(AH742&gt;=90,"HIGH",IF(AH742&gt;=60,"MEDIUM",IF(AH742&lt;60,"LOW")))),"-")</f>
        <v/>
      </c>
      <c r="AJ742" s="12" t="n"/>
      <c r="AK742" s="53">
        <f>IF(AND(W742="X",M742&lt;=$AJ$2),"YES","")</f>
        <v/>
      </c>
      <c r="AL742" s="54">
        <f>IF(AND(W742="X",M742&lt;=$AJ$2),S742,"")</f>
        <v/>
      </c>
      <c r="AM742" s="35" t="n"/>
      <c r="AN742" s="35">
        <f>IF(AND(W742="X",M742&gt;$AJ$2),S742,"")</f>
        <v/>
      </c>
      <c r="AO742" s="35">
        <f>IF(AND(W742="",M742&gt;0,$AJ$2&gt;M742,L742=""),1,0)</f>
        <v/>
      </c>
      <c r="AP742" s="35">
        <f>IF(AND(AK742="YES",W742="X"),"X","")</f>
        <v/>
      </c>
      <c r="AQ742" s="55">
        <f>IF(AP742="X",100%,0%)</f>
        <v/>
      </c>
      <c r="AR742" s="25">
        <f>IF(AND(T742&gt;0,L742=""),H742,"")</f>
        <v/>
      </c>
      <c r="AS742" s="25">
        <f>IF(AND(D742&gt;0,H742=0,G742=""),1,"")</f>
        <v/>
      </c>
      <c r="AT742" s="25">
        <f>IF(G742="BLOQ",1,"")</f>
        <v/>
      </c>
      <c r="AU742" s="25">
        <f>IF(L742="BLOQ",1,"")</f>
        <v/>
      </c>
      <c r="AV742" s="25">
        <f>MONTH(F742)</f>
        <v/>
      </c>
      <c r="AW742" s="65">
        <f>IF(AP742="",100%,0%)</f>
        <v/>
      </c>
      <c r="AX742" s="56" t="n"/>
      <c r="AY742" s="24">
        <f>IF(M742=0,"",M742-$AX$2)</f>
        <v/>
      </c>
      <c r="AZ742" s="66">
        <f>IF(AND(W742="",AY742&gt;0,AY742&lt;15),1,0)</f>
        <v/>
      </c>
      <c r="BA742" s="24">
        <f>IF(AND(W742="",AY742&gt;0,AY742&lt;15),T742,"")</f>
        <v/>
      </c>
      <c r="BB742" s="87">
        <f>IF(R742&lt;Q742,"X","")</f>
        <v/>
      </c>
      <c r="BC742" s="190" t="inlineStr">
        <is>
          <t>NO</t>
        </is>
      </c>
      <c r="BD742" s="191" t="inlineStr">
        <is>
          <t>SI</t>
        </is>
      </c>
    </row>
    <row r="743" ht="15" customHeight="1" s="162">
      <c r="A743" s="7" t="n">
        <v>742</v>
      </c>
      <c r="B743" t="inlineStr">
        <is>
          <t>1214305530821</t>
        </is>
      </c>
      <c r="C743" t="inlineStr">
        <is>
          <t>CNC CIR 23-55 55H RECPT WALL ZN/NI ROT-N</t>
        </is>
      </c>
      <c r="D743" t="inlineStr">
        <is>
          <t>1800108782</t>
        </is>
      </c>
      <c r="E743" t="inlineStr">
        <is>
          <t>610</t>
        </is>
      </c>
      <c r="F743" s="163" t="n">
        <v>45457</v>
      </c>
      <c r="G743" t="inlineStr"/>
      <c r="H743" t="inlineStr">
        <is>
          <t>4200569022</t>
        </is>
      </c>
      <c r="I743" t="inlineStr">
        <is>
          <t>370</t>
        </is>
      </c>
      <c r="J743" s="163" t="n">
        <v>45475</v>
      </c>
      <c r="K743" s="163" t="inlineStr"/>
      <c r="L743" t="inlineStr">
        <is>
          <t>BORR</t>
        </is>
      </c>
      <c r="M743" s="163" t="n">
        <v>45488</v>
      </c>
      <c r="N743" s="164" t="n">
        <v>40</v>
      </c>
      <c r="O743" s="164" t="n">
        <v>8</v>
      </c>
      <c r="P743" t="inlineStr"/>
      <c r="Q743" s="165" t="n">
        <v>16</v>
      </c>
      <c r="R743" s="165" t="n">
        <v>16</v>
      </c>
      <c r="S743" s="165" t="n">
        <v>0</v>
      </c>
      <c r="T743" s="165" t="n">
        <v>16</v>
      </c>
      <c r="U743" s="166" t="n">
        <v>0</v>
      </c>
      <c r="V743" s="166" t="n">
        <v>0</v>
      </c>
      <c r="W743" t="inlineStr"/>
      <c r="X743" t="inlineStr">
        <is>
          <t>1195.04</t>
        </is>
      </c>
      <c r="Y743" t="inlineStr"/>
      <c r="Z743" t="inlineStr">
        <is>
          <t>ICOMPPLUS ELECTRONICS S.L</t>
        </is>
      </c>
      <c r="AA743" t="inlineStr">
        <is>
          <t>MILITARY SPECS.</t>
        </is>
      </c>
      <c r="AB743" t="inlineStr">
        <is>
          <t>D38999/20ZH55SN</t>
        </is>
      </c>
      <c r="AC743" t="inlineStr"/>
      <c r="AD743" s="164" t="n">
        <v>0</v>
      </c>
      <c r="AE743" s="185" t="n">
        <v>0</v>
      </c>
      <c r="AG743" s="167" t="inlineStr">
        <is>
          <t>7218|JA2581_1001</t>
        </is>
      </c>
      <c r="AH743" s="47">
        <f>IF(M743=0,"-",M743-J743)</f>
        <v/>
      </c>
      <c r="AI743" s="46">
        <f>IF(AND(S743=0,M743&gt;0,L743=0),IF(AH743&gt;=120,"VERY HIGH",IF(AH743&gt;=90,"HIGH",IF(AH743&gt;=60,"MEDIUM",IF(AH743&lt;60,"LOW")))),"-")</f>
        <v/>
      </c>
      <c r="AJ743" s="12" t="n"/>
      <c r="AK743" s="53">
        <f>IF(AND(W743="X",M743&lt;=$AJ$2),"YES","")</f>
        <v/>
      </c>
      <c r="AL743" s="54">
        <f>IF(AND(W743="X",M743&lt;=$AJ$2),S743,"")</f>
        <v/>
      </c>
      <c r="AM743" s="35" t="n"/>
      <c r="AN743" s="35">
        <f>IF(AND(W743="X",M743&gt;$AJ$2),S743,"")</f>
        <v/>
      </c>
      <c r="AO743" s="35">
        <f>IF(AND(W743="",M743&gt;0,$AJ$2&gt;M743,L743=""),1,0)</f>
        <v/>
      </c>
      <c r="AP743" s="35">
        <f>IF(AND(AK743="YES",W743="X"),"X","")</f>
        <v/>
      </c>
      <c r="AQ743" s="55">
        <f>IF(AP743="X",100%,0%)</f>
        <v/>
      </c>
      <c r="AR743" s="25">
        <f>IF(AND(T743&gt;0,L743=""),H743,"")</f>
        <v/>
      </c>
      <c r="AS743" s="25">
        <f>IF(AND(D743&gt;0,H743=0,G743=""),1,"")</f>
        <v/>
      </c>
      <c r="AT743" s="25">
        <f>IF(G743="BLOQ",1,"")</f>
        <v/>
      </c>
      <c r="AU743" s="25">
        <f>IF(L743="BLOQ",1,"")</f>
        <v/>
      </c>
      <c r="AV743" s="25">
        <f>MONTH(F743)</f>
        <v/>
      </c>
      <c r="AW743" s="65">
        <f>IF(AP743="",100%,0%)</f>
        <v/>
      </c>
      <c r="AX743" s="56" t="n"/>
      <c r="AY743" s="24">
        <f>IF(M743=0,"",M743-$AX$2)</f>
        <v/>
      </c>
      <c r="AZ743" s="66">
        <f>IF(AND(W743="",AY743&gt;0,AY743&lt;15),1,0)</f>
        <v/>
      </c>
      <c r="BA743" s="24">
        <f>IF(AND(W743="",AY743&gt;0,AY743&lt;15),T743,"")</f>
        <v/>
      </c>
      <c r="BB743" s="87">
        <f>IF(R743&lt;Q743,"X","")</f>
        <v/>
      </c>
      <c r="BC743" s="190" t="inlineStr">
        <is>
          <t>NO</t>
        </is>
      </c>
      <c r="BD743" s="191" t="inlineStr">
        <is>
          <t>SI</t>
        </is>
      </c>
    </row>
    <row r="744" ht="15" customHeight="1" s="162">
      <c r="A744" s="7" t="n">
        <v>743</v>
      </c>
      <c r="B744" t="inlineStr">
        <is>
          <t>1214306630021</t>
        </is>
      </c>
      <c r="C744" t="inlineStr">
        <is>
          <t>CNC CIR 19-35S/66H RCPT REC AL ZN/NI R-B</t>
        </is>
      </c>
      <c r="D744" t="inlineStr">
        <is>
          <t>1800108782</t>
        </is>
      </c>
      <c r="E744" t="inlineStr">
        <is>
          <t>620</t>
        </is>
      </c>
      <c r="F744" s="163" t="n">
        <v>45457</v>
      </c>
      <c r="G744" t="inlineStr"/>
      <c r="H744" t="inlineStr">
        <is>
          <t>4200569161</t>
        </is>
      </c>
      <c r="I744" t="inlineStr">
        <is>
          <t>330</t>
        </is>
      </c>
      <c r="J744" s="163" t="n">
        <v>45475</v>
      </c>
      <c r="K744" s="163" t="n">
        <v>45477</v>
      </c>
      <c r="L744" t="inlineStr"/>
      <c r="M744" s="163" t="n">
        <v>45488</v>
      </c>
      <c r="N744" s="164" t="n">
        <v>40</v>
      </c>
      <c r="O744" s="164" t="n">
        <v>8</v>
      </c>
      <c r="P744" t="inlineStr">
        <is>
          <t>Liberado</t>
        </is>
      </c>
      <c r="Q744" s="165" t="n">
        <v>1</v>
      </c>
      <c r="R744" s="165" t="n">
        <v>1</v>
      </c>
      <c r="S744" s="165" t="n">
        <v>1</v>
      </c>
      <c r="T744" s="165" t="n">
        <v>0</v>
      </c>
      <c r="U744" s="166" t="n">
        <v>1</v>
      </c>
      <c r="V744" s="166" t="n">
        <v>0</v>
      </c>
      <c r="W744" t="inlineStr">
        <is>
          <t>X</t>
        </is>
      </c>
      <c r="X744" t="inlineStr">
        <is>
          <t>0.00</t>
        </is>
      </c>
      <c r="Y744" t="inlineStr"/>
      <c r="Z744" t="inlineStr">
        <is>
          <t>SUMINISTROS CONECTORES PROF.,SA.</t>
        </is>
      </c>
      <c r="AA744" t="inlineStr">
        <is>
          <t>MILITARY SPECS.</t>
        </is>
      </c>
      <c r="AB744" t="inlineStr">
        <is>
          <t>D38999/20ZF35SB</t>
        </is>
      </c>
      <c r="AC744" t="inlineStr"/>
      <c r="AD744" s="164" t="n">
        <v>0</v>
      </c>
      <c r="AE744" s="185" t="n">
        <v>0</v>
      </c>
      <c r="AG744" s="167" t="inlineStr">
        <is>
          <t>7218|JA2581_1001</t>
        </is>
      </c>
      <c r="AH744" s="47">
        <f>IF(M744=0,"-",M744-J744)</f>
        <v/>
      </c>
      <c r="AI744" s="46">
        <f>IF(AND(S744=0,M744&gt;0,L744=0),IF(AH744&gt;=120,"VERY HIGH",IF(AH744&gt;=90,"HIGH",IF(AH744&gt;=60,"MEDIUM",IF(AH744&lt;60,"LOW")))),"-")</f>
        <v/>
      </c>
      <c r="AJ744" s="12" t="n"/>
      <c r="AK744" s="53">
        <f>IF(AND(W744="X",M744&lt;=$AJ$2),"YES","")</f>
        <v/>
      </c>
      <c r="AL744" s="54">
        <f>IF(AND(W744="X",M744&lt;=$AJ$2),S744,"")</f>
        <v/>
      </c>
      <c r="AM744" s="35" t="n"/>
      <c r="AN744" s="35">
        <f>IF(AND(W744="X",M744&gt;$AJ$2),S744,"")</f>
        <v/>
      </c>
      <c r="AO744" s="35">
        <f>IF(AND(W744="",M744&gt;0,$AJ$2&gt;M744,L744=""),1,0)</f>
        <v/>
      </c>
      <c r="AP744" s="35">
        <f>IF(AND(AK744="YES",W744="X"),"X","")</f>
        <v/>
      </c>
      <c r="AQ744" s="55">
        <f>IF(AP744="X",100%,0%)</f>
        <v/>
      </c>
      <c r="AR744" s="25">
        <f>IF(AND(T744&gt;0,L744=""),H744,"")</f>
        <v/>
      </c>
      <c r="AS744" s="25">
        <f>IF(AND(D744&gt;0,H744=0,G744=""),1,"")</f>
        <v/>
      </c>
      <c r="AT744" s="25">
        <f>IF(G744="BLOQ",1,"")</f>
        <v/>
      </c>
      <c r="AU744" s="25">
        <f>IF(L744="BLOQ",1,"")</f>
        <v/>
      </c>
      <c r="AV744" s="25">
        <f>MONTH(F744)</f>
        <v/>
      </c>
      <c r="AW744" s="65">
        <f>IF(AP744="",100%,0%)</f>
        <v/>
      </c>
      <c r="AX744" s="56" t="n"/>
      <c r="AY744" s="24">
        <f>IF(M744=0,"",M744-$AX$2)</f>
        <v/>
      </c>
      <c r="AZ744" s="66">
        <f>IF(AND(W744="",AY744&gt;0,AY744&lt;15),1,0)</f>
        <v/>
      </c>
      <c r="BA744" s="24">
        <f>IF(AND(W744="",AY744&gt;0,AY744&lt;15),T744,"")</f>
        <v/>
      </c>
      <c r="BB744" s="87">
        <f>IF(R744&lt;Q744,"X","")</f>
        <v/>
      </c>
      <c r="BC744" s="190" t="inlineStr">
        <is>
          <t>NO</t>
        </is>
      </c>
      <c r="BD744" s="191" t="inlineStr">
        <is>
          <t>SI</t>
        </is>
      </c>
    </row>
    <row r="745" ht="15" customHeight="1" s="162">
      <c r="A745" s="7" t="n">
        <v>744</v>
      </c>
      <c r="B745" t="inlineStr">
        <is>
          <t>1214306630021</t>
        </is>
      </c>
      <c r="C745" t="inlineStr">
        <is>
          <t>CNC CIR 19-35S/66H RCPT REC AL ZN/NI R-B</t>
        </is>
      </c>
      <c r="D745" t="inlineStr">
        <is>
          <t>1800108782</t>
        </is>
      </c>
      <c r="E745" t="inlineStr">
        <is>
          <t>620</t>
        </is>
      </c>
      <c r="F745" s="163" t="n">
        <v>45457</v>
      </c>
      <c r="G745" t="inlineStr"/>
      <c r="H745" t="inlineStr">
        <is>
          <t>4200569022</t>
        </is>
      </c>
      <c r="I745" t="inlineStr">
        <is>
          <t>380</t>
        </is>
      </c>
      <c r="J745" s="163" t="n">
        <v>45475</v>
      </c>
      <c r="K745" s="163" t="inlineStr"/>
      <c r="L745" t="inlineStr">
        <is>
          <t>BORR</t>
        </is>
      </c>
      <c r="M745" s="163" t="n">
        <v>45488</v>
      </c>
      <c r="N745" s="164" t="n">
        <v>40</v>
      </c>
      <c r="O745" s="164" t="n">
        <v>8</v>
      </c>
      <c r="P745" t="inlineStr"/>
      <c r="Q745" s="165" t="n">
        <v>1</v>
      </c>
      <c r="R745" s="165" t="n">
        <v>1</v>
      </c>
      <c r="S745" s="165" t="n">
        <v>0</v>
      </c>
      <c r="T745" s="165" t="n">
        <v>1</v>
      </c>
      <c r="U745" s="166" t="n">
        <v>0</v>
      </c>
      <c r="V745" s="166" t="n">
        <v>0</v>
      </c>
      <c r="W745" t="inlineStr"/>
      <c r="X745" t="inlineStr">
        <is>
          <t>102.94</t>
        </is>
      </c>
      <c r="Y745" t="inlineStr"/>
      <c r="Z745" t="inlineStr">
        <is>
          <t>ICOMPPLUS ELECTRONICS S.L</t>
        </is>
      </c>
      <c r="AA745" t="inlineStr">
        <is>
          <t>MILITARY SPECS.</t>
        </is>
      </c>
      <c r="AB745" t="inlineStr">
        <is>
          <t>D38999/20ZF35SB</t>
        </is>
      </c>
      <c r="AC745" t="inlineStr"/>
      <c r="AD745" s="164" t="n">
        <v>0</v>
      </c>
      <c r="AE745" s="185" t="n">
        <v>0</v>
      </c>
      <c r="AG745" s="167" t="inlineStr">
        <is>
          <t>7218|JA2581_1001</t>
        </is>
      </c>
      <c r="AH745" s="47">
        <f>IF(M745=0,"-",M745-J745)</f>
        <v/>
      </c>
      <c r="AI745" s="46">
        <f>IF(AND(S745=0,M745&gt;0,L745=0),IF(AH745&gt;=120,"VERY HIGH",IF(AH745&gt;=90,"HIGH",IF(AH745&gt;=60,"MEDIUM",IF(AH745&lt;60,"LOW")))),"-")</f>
        <v/>
      </c>
      <c r="AJ745" s="12" t="n"/>
      <c r="AK745" s="53">
        <f>IF(AND(W745="X",M745&lt;=$AJ$2),"YES","")</f>
        <v/>
      </c>
      <c r="AL745" s="54">
        <f>IF(AND(W745="X",M745&lt;=$AJ$2),S745,"")</f>
        <v/>
      </c>
      <c r="AM745" s="35" t="n"/>
      <c r="AN745" s="35">
        <f>IF(AND(W745="X",M745&gt;$AJ$2),S745,"")</f>
        <v/>
      </c>
      <c r="AO745" s="35">
        <f>IF(AND(W745="",M745&gt;0,$AJ$2&gt;M745,L745=""),1,0)</f>
        <v/>
      </c>
      <c r="AP745" s="35">
        <f>IF(AND(AK745="YES",W745="X"),"X","")</f>
        <v/>
      </c>
      <c r="AQ745" s="55">
        <f>IF(AP745="X",100%,0%)</f>
        <v/>
      </c>
      <c r="AR745" s="25">
        <f>IF(AND(T745&gt;0,L745=""),H745,"")</f>
        <v/>
      </c>
      <c r="AS745" s="25">
        <f>IF(AND(D745&gt;0,H745=0,G745=""),1,"")</f>
        <v/>
      </c>
      <c r="AT745" s="25">
        <f>IF(G745="BLOQ",1,"")</f>
        <v/>
      </c>
      <c r="AU745" s="25">
        <f>IF(L745="BLOQ",1,"")</f>
        <v/>
      </c>
      <c r="AV745" s="25">
        <f>MONTH(F745)</f>
        <v/>
      </c>
      <c r="AW745" s="65">
        <f>IF(AP745="",100%,0%)</f>
        <v/>
      </c>
      <c r="AX745" s="56" t="n"/>
      <c r="AY745" s="24">
        <f>IF(M745=0,"",M745-$AX$2)</f>
        <v/>
      </c>
      <c r="AZ745" s="66">
        <f>IF(AND(W745="",AY745&gt;0,AY745&lt;15),1,0)</f>
        <v/>
      </c>
      <c r="BA745" s="24">
        <f>IF(AND(W745="",AY745&gt;0,AY745&lt;15),T745,"")</f>
        <v/>
      </c>
      <c r="BB745" s="87">
        <f>IF(R745&lt;Q745,"X","")</f>
        <v/>
      </c>
      <c r="BC745" s="190" t="inlineStr">
        <is>
          <t>NO</t>
        </is>
      </c>
      <c r="BD745" s="191" t="inlineStr">
        <is>
          <t>SI</t>
        </is>
      </c>
    </row>
    <row r="746" ht="15" customHeight="1" s="162">
      <c r="A746" s="7" t="n">
        <v>745</v>
      </c>
      <c r="B746" t="inlineStr">
        <is>
          <t>1214306632020</t>
        </is>
      </c>
      <c r="C746" t="inlineStr">
        <is>
          <t>CNC CIR 19-35 66H RECPT CRMP ZN/NI ROT-A</t>
        </is>
      </c>
      <c r="D746" t="inlineStr">
        <is>
          <t>1800108782</t>
        </is>
      </c>
      <c r="E746" t="inlineStr">
        <is>
          <t>630</t>
        </is>
      </c>
      <c r="F746" s="163" t="n">
        <v>45457</v>
      </c>
      <c r="G746" t="inlineStr"/>
      <c r="H746" t="inlineStr">
        <is>
          <t>4200569161</t>
        </is>
      </c>
      <c r="I746" t="inlineStr">
        <is>
          <t>340</t>
        </is>
      </c>
      <c r="J746" s="163" t="n">
        <v>45475</v>
      </c>
      <c r="K746" s="163" t="n">
        <v>45477</v>
      </c>
      <c r="L746" t="inlineStr"/>
      <c r="M746" s="163" t="n">
        <v>45488</v>
      </c>
      <c r="N746" s="164" t="n">
        <v>40</v>
      </c>
      <c r="O746" s="164" t="n">
        <v>8</v>
      </c>
      <c r="P746" t="inlineStr">
        <is>
          <t>Liberado</t>
        </is>
      </c>
      <c r="Q746" s="165" t="n">
        <v>2</v>
      </c>
      <c r="R746" s="165" t="n">
        <v>2</v>
      </c>
      <c r="S746" s="165" t="n">
        <v>2</v>
      </c>
      <c r="T746" s="165" t="n">
        <v>0</v>
      </c>
      <c r="U746" s="166" t="n">
        <v>2</v>
      </c>
      <c r="V746" s="166" t="n">
        <v>0</v>
      </c>
      <c r="W746" t="inlineStr">
        <is>
          <t>X</t>
        </is>
      </c>
      <c r="X746" t="inlineStr">
        <is>
          <t>0.00</t>
        </is>
      </c>
      <c r="Y746" t="inlineStr"/>
      <c r="Z746" t="inlineStr">
        <is>
          <t>SUMINISTROS CONECTORES PROF.,SA.</t>
        </is>
      </c>
      <c r="AA746" t="inlineStr">
        <is>
          <t>MILITARY SPECS.</t>
        </is>
      </c>
      <c r="AB746" t="inlineStr">
        <is>
          <t>D38999/20ZF35SA</t>
        </is>
      </c>
      <c r="AC746" t="inlineStr"/>
      <c r="AD746" s="164" t="n">
        <v>0</v>
      </c>
      <c r="AE746" s="185" t="n">
        <v>0</v>
      </c>
      <c r="AG746" s="167" t="inlineStr">
        <is>
          <t>7218|JA2581_1001</t>
        </is>
      </c>
      <c r="AH746" s="47">
        <f>IF(M746=0,"-",M746-J746)</f>
        <v/>
      </c>
      <c r="AI746" s="46">
        <f>IF(AND(S746=0,M746&gt;0,L746=0),IF(AH746&gt;=120,"VERY HIGH",IF(AH746&gt;=90,"HIGH",IF(AH746&gt;=60,"MEDIUM",IF(AH746&lt;60,"LOW")))),"-")</f>
        <v/>
      </c>
      <c r="AJ746" s="12" t="n"/>
      <c r="AK746" s="53">
        <f>IF(AND(W746="X",M746&lt;=$AJ$2),"YES","")</f>
        <v/>
      </c>
      <c r="AL746" s="54">
        <f>IF(AND(W746="X",M746&lt;=$AJ$2),S746,"")</f>
        <v/>
      </c>
      <c r="AM746" s="35" t="n"/>
      <c r="AN746" s="35">
        <f>IF(AND(W746="X",M746&gt;$AJ$2),S746,"")</f>
        <v/>
      </c>
      <c r="AO746" s="35">
        <f>IF(AND(W746="",M746&gt;0,$AJ$2&gt;M746,L746=""),1,0)</f>
        <v/>
      </c>
      <c r="AP746" s="35">
        <f>IF(AND(AK746="YES",W746="X"),"X","")</f>
        <v/>
      </c>
      <c r="AQ746" s="55">
        <f>IF(AP746="X",100%,0%)</f>
        <v/>
      </c>
      <c r="AR746" s="25">
        <f>IF(AND(T746&gt;0,L746=""),H746,"")</f>
        <v/>
      </c>
      <c r="AS746" s="25">
        <f>IF(AND(D746&gt;0,H746=0,G746=""),1,"")</f>
        <v/>
      </c>
      <c r="AT746" s="25">
        <f>IF(G746="BLOQ",1,"")</f>
        <v/>
      </c>
      <c r="AU746" s="25">
        <f>IF(L746="BLOQ",1,"")</f>
        <v/>
      </c>
      <c r="AV746" s="25">
        <f>MONTH(F746)</f>
        <v/>
      </c>
      <c r="AW746" s="65">
        <f>IF(AP746="",100%,0%)</f>
        <v/>
      </c>
      <c r="AX746" s="56" t="n"/>
      <c r="AY746" s="24">
        <f>IF(M746=0,"",M746-$AX$2)</f>
        <v/>
      </c>
      <c r="AZ746" s="66">
        <f>IF(AND(W746="",AY746&gt;0,AY746&lt;15),1,0)</f>
        <v/>
      </c>
      <c r="BA746" s="24">
        <f>IF(AND(W746="",AY746&gt;0,AY746&lt;15),T746,"")</f>
        <v/>
      </c>
      <c r="BB746" s="87">
        <f>IF(R746&lt;Q746,"X","")</f>
        <v/>
      </c>
      <c r="BC746" s="190" t="inlineStr">
        <is>
          <t>NO</t>
        </is>
      </c>
      <c r="BD746" s="191" t="inlineStr">
        <is>
          <t>SI</t>
        </is>
      </c>
    </row>
    <row r="747" ht="15" customHeight="1" s="162">
      <c r="A747" s="7" t="n">
        <v>746</v>
      </c>
      <c r="B747" t="inlineStr">
        <is>
          <t>1214306632020</t>
        </is>
      </c>
      <c r="C747" t="inlineStr">
        <is>
          <t>CNC CIR 19-35 66H RECPT CRMP ZN/NI ROT-A</t>
        </is>
      </c>
      <c r="D747" t="inlineStr">
        <is>
          <t>1800108782</t>
        </is>
      </c>
      <c r="E747" t="inlineStr">
        <is>
          <t>630</t>
        </is>
      </c>
      <c r="F747" s="163" t="n">
        <v>45457</v>
      </c>
      <c r="G747" t="inlineStr"/>
      <c r="H747" t="inlineStr">
        <is>
          <t>4200569022</t>
        </is>
      </c>
      <c r="I747" t="inlineStr">
        <is>
          <t>390</t>
        </is>
      </c>
      <c r="J747" s="163" t="n">
        <v>45475</v>
      </c>
      <c r="K747" s="163" t="inlineStr"/>
      <c r="L747" t="inlineStr">
        <is>
          <t>BORR</t>
        </is>
      </c>
      <c r="M747" s="163" t="n">
        <v>45488</v>
      </c>
      <c r="N747" s="164" t="n">
        <v>40</v>
      </c>
      <c r="O747" s="164" t="n">
        <v>8</v>
      </c>
      <c r="P747" t="inlineStr"/>
      <c r="Q747" s="165" t="n">
        <v>2</v>
      </c>
      <c r="R747" s="165" t="n">
        <v>2</v>
      </c>
      <c r="S747" s="165" t="n">
        <v>0</v>
      </c>
      <c r="T747" s="165" t="n">
        <v>2</v>
      </c>
      <c r="U747" s="166" t="n">
        <v>0</v>
      </c>
      <c r="V747" s="166" t="n">
        <v>0</v>
      </c>
      <c r="W747" t="inlineStr"/>
      <c r="X747" t="inlineStr">
        <is>
          <t>268.64</t>
        </is>
      </c>
      <c r="Y747" t="inlineStr"/>
      <c r="Z747" t="inlineStr">
        <is>
          <t>ICOMPPLUS ELECTRONICS S.L</t>
        </is>
      </c>
      <c r="AA747" t="inlineStr">
        <is>
          <t>MILITARY SPECS.</t>
        </is>
      </c>
      <c r="AB747" t="inlineStr">
        <is>
          <t>D38999/20ZF35SA</t>
        </is>
      </c>
      <c r="AC747" t="inlineStr"/>
      <c r="AD747" s="164" t="n">
        <v>0</v>
      </c>
      <c r="AE747" s="185" t="n">
        <v>0</v>
      </c>
      <c r="AG747" s="167" t="inlineStr">
        <is>
          <t>7218|JA2581_1001</t>
        </is>
      </c>
      <c r="AH747" s="47">
        <f>IF(M747=0,"-",M747-J747)</f>
        <v/>
      </c>
      <c r="AI747" s="46">
        <f>IF(AND(S747=0,M747&gt;0,L747=0),IF(AH747&gt;=120,"VERY HIGH",IF(AH747&gt;=90,"HIGH",IF(AH747&gt;=60,"MEDIUM",IF(AH747&lt;60,"LOW")))),"-")</f>
        <v/>
      </c>
      <c r="AJ747" s="12" t="n"/>
      <c r="AK747" s="53">
        <f>IF(AND(W747="X",M747&lt;=$AJ$2),"YES","")</f>
        <v/>
      </c>
      <c r="AL747" s="54">
        <f>IF(AND(W747="X",M747&lt;=$AJ$2),S747,"")</f>
        <v/>
      </c>
      <c r="AM747" s="35" t="n"/>
      <c r="AN747" s="35">
        <f>IF(AND(W747="X",M747&gt;$AJ$2),S747,"")</f>
        <v/>
      </c>
      <c r="AO747" s="35">
        <f>IF(AND(W747="",M747&gt;0,$AJ$2&gt;M747,L747=""),1,0)</f>
        <v/>
      </c>
      <c r="AP747" s="35">
        <f>IF(AND(AK747="YES",W747="X"),"X","")</f>
        <v/>
      </c>
      <c r="AQ747" s="55">
        <f>IF(AP747="X",100%,0%)</f>
        <v/>
      </c>
      <c r="AR747" s="25">
        <f>IF(AND(T747&gt;0,L747=""),H747,"")</f>
        <v/>
      </c>
      <c r="AS747" s="25">
        <f>IF(AND(D747&gt;0,H747=0,G747=""),1,"")</f>
        <v/>
      </c>
      <c r="AT747" s="25">
        <f>IF(G747="BLOQ",1,"")</f>
        <v/>
      </c>
      <c r="AU747" s="25">
        <f>IF(L747="BLOQ",1,"")</f>
        <v/>
      </c>
      <c r="AV747" s="25">
        <f>MONTH(F747)</f>
        <v/>
      </c>
      <c r="AW747" s="65">
        <f>IF(AP747="",100%,0%)</f>
        <v/>
      </c>
      <c r="AX747" s="56" t="n"/>
      <c r="AY747" s="24">
        <f>IF(M747=0,"",M747-$AX$2)</f>
        <v/>
      </c>
      <c r="AZ747" s="66">
        <f>IF(AND(W747="",AY747&gt;0,AY747&lt;15),1,0)</f>
        <v/>
      </c>
      <c r="BA747" s="24">
        <f>IF(AND(W747="",AY747&gt;0,AY747&lt;15),T747,"")</f>
        <v/>
      </c>
      <c r="BB747" s="87">
        <f>IF(R747&lt;Q747,"X","")</f>
        <v/>
      </c>
      <c r="BC747" s="190" t="inlineStr">
        <is>
          <t>NO</t>
        </is>
      </c>
      <c r="BD747" s="191" t="inlineStr">
        <is>
          <t>SI</t>
        </is>
      </c>
    </row>
    <row r="748" ht="15" customHeight="1" s="162">
      <c r="A748" s="7" t="n">
        <v>747</v>
      </c>
      <c r="B748" t="inlineStr">
        <is>
          <t>1214333530020</t>
        </is>
      </c>
      <c r="C748" t="inlineStr">
        <is>
          <t>CNC CIR 19-66 (66M) PLUG RECT CRIMP NIQU</t>
        </is>
      </c>
      <c r="D748" t="inlineStr">
        <is>
          <t>1800108782</t>
        </is>
      </c>
      <c r="E748" t="inlineStr">
        <is>
          <t>640</t>
        </is>
      </c>
      <c r="F748" s="163" t="n">
        <v>45457</v>
      </c>
      <c r="G748" t="inlineStr"/>
      <c r="H748" t="inlineStr">
        <is>
          <t>4200569165</t>
        </is>
      </c>
      <c r="I748" t="inlineStr">
        <is>
          <t>60</t>
        </is>
      </c>
      <c r="J748" s="163" t="n">
        <v>45475</v>
      </c>
      <c r="K748" s="163" t="n">
        <v>45483</v>
      </c>
      <c r="L748" t="inlineStr"/>
      <c r="M748" s="163" t="n">
        <v>45488</v>
      </c>
      <c r="N748" s="164" t="n">
        <v>35</v>
      </c>
      <c r="O748" s="164" t="n">
        <v>8</v>
      </c>
      <c r="P748" t="inlineStr">
        <is>
          <t>Liberado</t>
        </is>
      </c>
      <c r="Q748" s="165" t="n">
        <v>1</v>
      </c>
      <c r="R748" s="165" t="n">
        <v>1</v>
      </c>
      <c r="S748" s="165" t="n">
        <v>1</v>
      </c>
      <c r="T748" s="165" t="n">
        <v>0</v>
      </c>
      <c r="U748" s="166" t="n">
        <v>1</v>
      </c>
      <c r="V748" s="166" t="n">
        <v>0</v>
      </c>
      <c r="W748" t="inlineStr">
        <is>
          <t>X</t>
        </is>
      </c>
      <c r="X748" t="inlineStr">
        <is>
          <t>0.00</t>
        </is>
      </c>
      <c r="Y748" t="inlineStr"/>
      <c r="Z748" t="inlineStr">
        <is>
          <t>CONECTORES Y CABLES VAHER, S.A.</t>
        </is>
      </c>
      <c r="AA748" t="inlineStr">
        <is>
          <t>MILITARY SPECS.</t>
        </is>
      </c>
      <c r="AB748" t="inlineStr">
        <is>
          <t>D38999/26ZF35PB</t>
        </is>
      </c>
      <c r="AC748" t="inlineStr"/>
      <c r="AD748" s="164" t="n">
        <v>0</v>
      </c>
      <c r="AE748" s="185" t="n">
        <v>0</v>
      </c>
      <c r="AG748" s="167" t="inlineStr">
        <is>
          <t>7218|JA2581_1001</t>
        </is>
      </c>
      <c r="AH748" s="47">
        <f>IF(M748=0,"-",M748-J748)</f>
        <v/>
      </c>
      <c r="AI748" s="46">
        <f>IF(AND(S748=0,M748&gt;0,L748=0),IF(AH748&gt;=120,"VERY HIGH",IF(AH748&gt;=90,"HIGH",IF(AH748&gt;=60,"MEDIUM",IF(AH748&lt;60,"LOW")))),"-")</f>
        <v/>
      </c>
      <c r="AJ748" s="12" t="n"/>
      <c r="AK748" s="53">
        <f>IF(AND(W748="X",M748&lt;=$AJ$2),"YES","")</f>
        <v/>
      </c>
      <c r="AL748" s="54">
        <f>IF(AND(W748="X",M748&lt;=$AJ$2),S748,"")</f>
        <v/>
      </c>
      <c r="AM748" s="35" t="n"/>
      <c r="AN748" s="35">
        <f>IF(AND(W748="X",M748&gt;$AJ$2),S748,"")</f>
        <v/>
      </c>
      <c r="AO748" s="35">
        <f>IF(AND(W748="",M748&gt;0,$AJ$2&gt;M748,L748=""),1,0)</f>
        <v/>
      </c>
      <c r="AP748" s="35">
        <f>IF(AND(AK748="YES",W748="X"),"X","")</f>
        <v/>
      </c>
      <c r="AQ748" s="55">
        <f>IF(AP748="X",100%,0%)</f>
        <v/>
      </c>
      <c r="AR748" s="25">
        <f>IF(AND(T748&gt;0,L748=""),H748,"")</f>
        <v/>
      </c>
      <c r="AS748" s="25">
        <f>IF(AND(D748&gt;0,H748=0,G748=""),1,"")</f>
        <v/>
      </c>
      <c r="AT748" s="25">
        <f>IF(G748="BLOQ",1,"")</f>
        <v/>
      </c>
      <c r="AU748" s="25">
        <f>IF(L748="BLOQ",1,"")</f>
        <v/>
      </c>
      <c r="AV748" s="25">
        <f>MONTH(F748)</f>
        <v/>
      </c>
      <c r="AW748" s="65">
        <f>IF(AP748="",100%,0%)</f>
        <v/>
      </c>
      <c r="AX748" s="56" t="n"/>
      <c r="AY748" s="24">
        <f>IF(M748=0,"",M748-$AX$2)</f>
        <v/>
      </c>
      <c r="AZ748" s="66">
        <f>IF(AND(W748="",AY748&gt;0,AY748&lt;15),1,0)</f>
        <v/>
      </c>
      <c r="BA748" s="24">
        <f>IF(AND(W748="",AY748&gt;0,AY748&lt;15),T748,"")</f>
        <v/>
      </c>
      <c r="BB748" s="87">
        <f>IF(R748&lt;Q748,"X","")</f>
        <v/>
      </c>
      <c r="BC748" s="190" t="inlineStr">
        <is>
          <t>NO</t>
        </is>
      </c>
      <c r="BD748" s="191" t="inlineStr">
        <is>
          <t>SI</t>
        </is>
      </c>
    </row>
    <row r="749" ht="15" customHeight="1" s="162">
      <c r="A749" s="7" t="n">
        <v>748</v>
      </c>
      <c r="B749" t="inlineStr">
        <is>
          <t>1214333530020</t>
        </is>
      </c>
      <c r="C749" t="inlineStr">
        <is>
          <t>CNC CIR 19-66 (66M) PLUG RECT CRIMP NIQU</t>
        </is>
      </c>
      <c r="D749" t="inlineStr">
        <is>
          <t>1800108782</t>
        </is>
      </c>
      <c r="E749" t="inlineStr">
        <is>
          <t>640</t>
        </is>
      </c>
      <c r="F749" s="163" t="n">
        <v>45457</v>
      </c>
      <c r="G749" t="inlineStr"/>
      <c r="H749" t="inlineStr">
        <is>
          <t>4200569022</t>
        </is>
      </c>
      <c r="I749" t="inlineStr">
        <is>
          <t>400</t>
        </is>
      </c>
      <c r="J749" s="163" t="n">
        <v>45475</v>
      </c>
      <c r="K749" s="163" t="inlineStr"/>
      <c r="L749" t="inlineStr">
        <is>
          <t>BORR</t>
        </is>
      </c>
      <c r="M749" s="163" t="n">
        <v>45488</v>
      </c>
      <c r="N749" s="164" t="n">
        <v>35</v>
      </c>
      <c r="O749" s="164" t="n">
        <v>8</v>
      </c>
      <c r="P749" t="inlineStr"/>
      <c r="Q749" s="165" t="n">
        <v>1</v>
      </c>
      <c r="R749" s="165" t="n">
        <v>1</v>
      </c>
      <c r="S749" s="165" t="n">
        <v>0</v>
      </c>
      <c r="T749" s="165" t="n">
        <v>1</v>
      </c>
      <c r="U749" s="166" t="n">
        <v>0</v>
      </c>
      <c r="V749" s="166" t="n">
        <v>0</v>
      </c>
      <c r="W749" t="inlineStr"/>
      <c r="X749" t="inlineStr">
        <is>
          <t>169.15</t>
        </is>
      </c>
      <c r="Y749" t="inlineStr"/>
      <c r="Z749" t="inlineStr">
        <is>
          <t>ICOMPPLUS ELECTRONICS S.L</t>
        </is>
      </c>
      <c r="AA749" t="inlineStr">
        <is>
          <t>MILITARY SPECS.</t>
        </is>
      </c>
      <c r="AB749" t="inlineStr">
        <is>
          <t>D38999/26ZF35PB</t>
        </is>
      </c>
      <c r="AC749" t="inlineStr"/>
      <c r="AD749" s="164" t="n">
        <v>0</v>
      </c>
      <c r="AE749" s="185" t="n">
        <v>0</v>
      </c>
      <c r="AG749" s="167" t="inlineStr">
        <is>
          <t>7218|JA2581_1001</t>
        </is>
      </c>
      <c r="AH749" s="47">
        <f>IF(M749=0,"-",M749-J749)</f>
        <v/>
      </c>
      <c r="AI749" s="46">
        <f>IF(AND(S749=0,M749&gt;0,L749=0),IF(AH749&gt;=120,"VERY HIGH",IF(AH749&gt;=90,"HIGH",IF(AH749&gt;=60,"MEDIUM",IF(AH749&lt;60,"LOW")))),"-")</f>
        <v/>
      </c>
      <c r="AJ749" s="12" t="n"/>
      <c r="AK749" s="53">
        <f>IF(AND(W749="X",M749&lt;=$AJ$2),"YES","")</f>
        <v/>
      </c>
      <c r="AL749" s="54">
        <f>IF(AND(W749="X",M749&lt;=$AJ$2),S749,"")</f>
        <v/>
      </c>
      <c r="AM749" s="35" t="n"/>
      <c r="AN749" s="35">
        <f>IF(AND(W749="X",M749&gt;$AJ$2),S749,"")</f>
        <v/>
      </c>
      <c r="AO749" s="35">
        <f>IF(AND(W749="",M749&gt;0,$AJ$2&gt;M749,L749=""),1,0)</f>
        <v/>
      </c>
      <c r="AP749" s="35">
        <f>IF(AND(AK749="YES",W749="X"),"X","")</f>
        <v/>
      </c>
      <c r="AQ749" s="55">
        <f>IF(AP749="X",100%,0%)</f>
        <v/>
      </c>
      <c r="AR749" s="25">
        <f>IF(AND(T749&gt;0,L749=""),H749,"")</f>
        <v/>
      </c>
      <c r="AS749" s="25">
        <f>IF(AND(D749&gt;0,H749=0,G749=""),1,"")</f>
        <v/>
      </c>
      <c r="AT749" s="25">
        <f>IF(G749="BLOQ",1,"")</f>
        <v/>
      </c>
      <c r="AU749" s="25">
        <f>IF(L749="BLOQ",1,"")</f>
        <v/>
      </c>
      <c r="AV749" s="25">
        <f>MONTH(F749)</f>
        <v/>
      </c>
      <c r="AW749" s="65">
        <f>IF(AP749="",100%,0%)</f>
        <v/>
      </c>
      <c r="AX749" s="56" t="n"/>
      <c r="AY749" s="24">
        <f>IF(M749=0,"",M749-$AX$2)</f>
        <v/>
      </c>
      <c r="AZ749" s="66">
        <f>IF(AND(W749="",AY749&gt;0,AY749&lt;15),1,0)</f>
        <v/>
      </c>
      <c r="BA749" s="24">
        <f>IF(AND(W749="",AY749&gt;0,AY749&lt;15),T749,"")</f>
        <v/>
      </c>
      <c r="BB749" s="87">
        <f>IF(R749&lt;Q749,"X","")</f>
        <v/>
      </c>
      <c r="BC749" s="190" t="inlineStr">
        <is>
          <t>NO</t>
        </is>
      </c>
      <c r="BD749" s="191" t="inlineStr">
        <is>
          <t>SI</t>
        </is>
      </c>
    </row>
    <row r="750" ht="15" customHeight="1" s="162">
      <c r="A750" s="7" t="n">
        <v>749</v>
      </c>
      <c r="B750" t="inlineStr">
        <is>
          <t>1214890160020</t>
        </is>
      </c>
      <c r="C750" t="inlineStr">
        <is>
          <t>CONTACTO H AWG16 M39029/5-116</t>
        </is>
      </c>
      <c r="D750" t="inlineStr">
        <is>
          <t>1800108782</t>
        </is>
      </c>
      <c r="E750" t="inlineStr">
        <is>
          <t>650</t>
        </is>
      </c>
      <c r="F750" s="163" t="n">
        <v>45457</v>
      </c>
      <c r="G750" t="inlineStr"/>
      <c r="H750" t="inlineStr">
        <is>
          <t>4200569022</t>
        </is>
      </c>
      <c r="I750" t="inlineStr">
        <is>
          <t>410</t>
        </is>
      </c>
      <c r="J750" s="163" t="n">
        <v>45475</v>
      </c>
      <c r="K750" s="163" t="inlineStr"/>
      <c r="L750" t="inlineStr">
        <is>
          <t>BORR</t>
        </is>
      </c>
      <c r="M750" s="163" t="n">
        <v>45488</v>
      </c>
      <c r="N750" s="164" t="n">
        <v>85</v>
      </c>
      <c r="O750" s="164" t="n">
        <v>8</v>
      </c>
      <c r="P750" t="inlineStr"/>
      <c r="Q750" s="165" t="n">
        <v>200</v>
      </c>
      <c r="R750" s="165" t="n">
        <v>200</v>
      </c>
      <c r="S750" s="165" t="n">
        <v>0</v>
      </c>
      <c r="T750" s="165" t="n">
        <v>200</v>
      </c>
      <c r="U750" s="166" t="n">
        <v>0</v>
      </c>
      <c r="V750" s="166" t="n">
        <v>0</v>
      </c>
      <c r="W750" t="inlineStr"/>
      <c r="X750" t="inlineStr">
        <is>
          <t>512.00</t>
        </is>
      </c>
      <c r="Y750" t="inlineStr"/>
      <c r="Z750" t="inlineStr">
        <is>
          <t>ICOMPPLUS ELECTRONICS S.L</t>
        </is>
      </c>
      <c r="AA750" t="inlineStr">
        <is>
          <t>MILITARY SPECS.</t>
        </is>
      </c>
      <c r="AB750" t="inlineStr">
        <is>
          <t>M39029/5-116</t>
        </is>
      </c>
      <c r="AC750" t="inlineStr"/>
      <c r="AD750" s="164" t="n">
        <v>0</v>
      </c>
      <c r="AE750" s="185" t="n">
        <v>0</v>
      </c>
      <c r="AG750" s="167" t="inlineStr">
        <is>
          <t>7218|JA2581_1001</t>
        </is>
      </c>
      <c r="AH750" s="47">
        <f>IF(M750=0,"-",M750-J750)</f>
        <v/>
      </c>
      <c r="AI750" s="46">
        <f>IF(AND(S750=0,M750&gt;0,L750=0),IF(AH750&gt;=120,"VERY HIGH",IF(AH750&gt;=90,"HIGH",IF(AH750&gt;=60,"MEDIUM",IF(AH750&lt;60,"LOW")))),"-")</f>
        <v/>
      </c>
      <c r="AJ750" s="12" t="n"/>
      <c r="AK750" s="53">
        <f>IF(AND(W750="X",M750&lt;=$AJ$2),"YES","")</f>
        <v/>
      </c>
      <c r="AL750" s="54">
        <f>IF(AND(W750="X",M750&lt;=$AJ$2),S750,"")</f>
        <v/>
      </c>
      <c r="AM750" s="35" t="n"/>
      <c r="AN750" s="35">
        <f>IF(AND(W750="X",M750&gt;$AJ$2),S750,"")</f>
        <v/>
      </c>
      <c r="AO750" s="35">
        <f>IF(AND(W750="",M750&gt;0,$AJ$2&gt;M750,L750=""),1,0)</f>
        <v/>
      </c>
      <c r="AP750" s="35">
        <f>IF(AND(AK750="YES",W750="X"),"X","")</f>
        <v/>
      </c>
      <c r="AQ750" s="55">
        <f>IF(AP750="X",100%,0%)</f>
        <v/>
      </c>
      <c r="AR750" s="25">
        <f>IF(AND(T750&gt;0,L750=""),H750,"")</f>
        <v/>
      </c>
      <c r="AS750" s="25">
        <f>IF(AND(D750&gt;0,H750=0,G750=""),1,"")</f>
        <v/>
      </c>
      <c r="AT750" s="25">
        <f>IF(G750="BLOQ",1,"")</f>
        <v/>
      </c>
      <c r="AU750" s="25">
        <f>IF(L750="BLOQ",1,"")</f>
        <v/>
      </c>
      <c r="AV750" s="25">
        <f>MONTH(F750)</f>
        <v/>
      </c>
      <c r="AW750" s="65">
        <f>IF(AP750="",100%,0%)</f>
        <v/>
      </c>
      <c r="AX750" s="56" t="n"/>
      <c r="AY750" s="24">
        <f>IF(M750=0,"",M750-$AX$2)</f>
        <v/>
      </c>
      <c r="AZ750" s="66">
        <f>IF(AND(W750="",AY750&gt;0,AY750&lt;15),1,0)</f>
        <v/>
      </c>
      <c r="BA750" s="24">
        <f>IF(AND(W750="",AY750&gt;0,AY750&lt;15),T750,"")</f>
        <v/>
      </c>
      <c r="BB750" s="87">
        <f>IF(R750&lt;Q750,"X","")</f>
        <v/>
      </c>
      <c r="BC750" s="190" t="inlineStr">
        <is>
          <t>NO</t>
        </is>
      </c>
      <c r="BD750" s="191" t="inlineStr">
        <is>
          <t>SI</t>
        </is>
      </c>
    </row>
    <row r="751" ht="15" customHeight="1" s="162">
      <c r="A751" s="7" t="n">
        <v>750</v>
      </c>
      <c r="B751" t="inlineStr">
        <is>
          <t>1214890160020</t>
        </is>
      </c>
      <c r="C751" t="inlineStr">
        <is>
          <t>CONTACTO H AWG16 M39029/5-116</t>
        </is>
      </c>
      <c r="D751" t="inlineStr">
        <is>
          <t>1800108782</t>
        </is>
      </c>
      <c r="E751" t="inlineStr">
        <is>
          <t>650</t>
        </is>
      </c>
      <c r="F751" s="163" t="n">
        <v>45457</v>
      </c>
      <c r="G751" t="inlineStr"/>
      <c r="H751" t="inlineStr">
        <is>
          <t>4200569161</t>
        </is>
      </c>
      <c r="I751" t="inlineStr">
        <is>
          <t>350</t>
        </is>
      </c>
      <c r="J751" s="163" t="n">
        <v>45475</v>
      </c>
      <c r="K751" s="163" t="n">
        <v>45477</v>
      </c>
      <c r="L751" t="inlineStr"/>
      <c r="M751" s="163" t="n">
        <v>45488</v>
      </c>
      <c r="N751" s="164" t="n">
        <v>85</v>
      </c>
      <c r="O751" s="164" t="n">
        <v>8</v>
      </c>
      <c r="P751" t="inlineStr">
        <is>
          <t>Liberado</t>
        </is>
      </c>
      <c r="Q751" s="165" t="n">
        <v>200</v>
      </c>
      <c r="R751" s="165" t="n">
        <v>200</v>
      </c>
      <c r="S751" s="165" t="n">
        <v>200</v>
      </c>
      <c r="T751" s="165" t="n">
        <v>0</v>
      </c>
      <c r="U751" s="166" t="n">
        <v>200</v>
      </c>
      <c r="V751" s="166" t="n">
        <v>0</v>
      </c>
      <c r="W751" t="inlineStr">
        <is>
          <t>X</t>
        </is>
      </c>
      <c r="X751" t="inlineStr">
        <is>
          <t>0.00</t>
        </is>
      </c>
      <c r="Y751" t="inlineStr"/>
      <c r="Z751" t="inlineStr">
        <is>
          <t>SUMINISTROS CONECTORES PROF.,SA.</t>
        </is>
      </c>
      <c r="AA751" t="inlineStr">
        <is>
          <t>MILITARY SPECS.</t>
        </is>
      </c>
      <c r="AB751" t="inlineStr">
        <is>
          <t>M39029/5-116</t>
        </is>
      </c>
      <c r="AC751" t="inlineStr"/>
      <c r="AD751" s="164" t="n">
        <v>0</v>
      </c>
      <c r="AE751" s="185" t="n">
        <v>0</v>
      </c>
      <c r="AG751" s="167" t="inlineStr">
        <is>
          <t>7218|JA2581_1001</t>
        </is>
      </c>
      <c r="AH751" s="47">
        <f>IF(M751=0,"-",M751-J751)</f>
        <v/>
      </c>
      <c r="AI751" s="46">
        <f>IF(AND(S751=0,M751&gt;0,L751=0),IF(AH751&gt;=120,"VERY HIGH",IF(AH751&gt;=90,"HIGH",IF(AH751&gt;=60,"MEDIUM",IF(AH751&lt;60,"LOW")))),"-")</f>
        <v/>
      </c>
      <c r="AJ751" s="12" t="n"/>
      <c r="AK751" s="53">
        <f>IF(AND(W751="X",M751&lt;=$AJ$2),"YES","")</f>
        <v/>
      </c>
      <c r="AL751" s="54">
        <f>IF(AND(W751="X",M751&lt;=$AJ$2),S751,"")</f>
        <v/>
      </c>
      <c r="AM751" s="35" t="n"/>
      <c r="AN751" s="35">
        <f>IF(AND(W751="X",M751&gt;$AJ$2),S751,"")</f>
        <v/>
      </c>
      <c r="AO751" s="35">
        <f>IF(AND(W751="",M751&gt;0,$AJ$2&gt;M751,L751=""),1,0)</f>
        <v/>
      </c>
      <c r="AP751" s="35">
        <f>IF(AND(AK751="YES",W751="X"),"X","")</f>
        <v/>
      </c>
      <c r="AQ751" s="55">
        <f>IF(AP751="X",100%,0%)</f>
        <v/>
      </c>
      <c r="AR751" s="25">
        <f>IF(AND(T751&gt;0,L751=""),H751,"")</f>
        <v/>
      </c>
      <c r="AS751" s="25">
        <f>IF(AND(D751&gt;0,H751=0,G751=""),1,"")</f>
        <v/>
      </c>
      <c r="AT751" s="25">
        <f>IF(G751="BLOQ",1,"")</f>
        <v/>
      </c>
      <c r="AU751" s="25">
        <f>IF(L751="BLOQ",1,"")</f>
        <v/>
      </c>
      <c r="AV751" s="25">
        <f>MONTH(F751)</f>
        <v/>
      </c>
      <c r="AW751" s="65">
        <f>IF(AP751="",100%,0%)</f>
        <v/>
      </c>
      <c r="AX751" s="56" t="n"/>
      <c r="AY751" s="24">
        <f>IF(M751=0,"",M751-$AX$2)</f>
        <v/>
      </c>
      <c r="AZ751" s="66">
        <f>IF(AND(W751="",AY751&gt;0,AY751&lt;15),1,0)</f>
        <v/>
      </c>
      <c r="BA751" s="24">
        <f>IF(AND(W751="",AY751&gt;0,AY751&lt;15),T751,"")</f>
        <v/>
      </c>
      <c r="BB751" s="87">
        <f>IF(R751&lt;Q751,"X","")</f>
        <v/>
      </c>
      <c r="BC751" s="190" t="inlineStr">
        <is>
          <t>NO</t>
        </is>
      </c>
      <c r="BD751" s="191" t="inlineStr">
        <is>
          <t>SI</t>
        </is>
      </c>
    </row>
    <row r="752" ht="15" customHeight="1" s="162">
      <c r="A752" s="7" t="n">
        <v>751</v>
      </c>
      <c r="B752" t="inlineStr">
        <is>
          <t>1239024273050</t>
        </is>
      </c>
      <c r="C752" t="inlineStr">
        <is>
          <t>MANG AUTOSOLDABLE M83519/1-2</t>
        </is>
      </c>
      <c r="D752" t="inlineStr">
        <is>
          <t>1800108782</t>
        </is>
      </c>
      <c r="E752" t="inlineStr">
        <is>
          <t>660</t>
        </is>
      </c>
      <c r="F752" s="163" t="n">
        <v>45457</v>
      </c>
      <c r="G752" t="inlineStr"/>
      <c r="H752" t="inlineStr">
        <is>
          <t>4200569022</t>
        </is>
      </c>
      <c r="I752" t="inlineStr">
        <is>
          <t>420</t>
        </is>
      </c>
      <c r="J752" s="163" t="n">
        <v>45475</v>
      </c>
      <c r="K752" s="163" t="inlineStr"/>
      <c r="L752" t="inlineStr">
        <is>
          <t>BORR</t>
        </is>
      </c>
      <c r="M752" s="163" t="n">
        <v>45488</v>
      </c>
      <c r="N752" s="164" t="n">
        <v>30</v>
      </c>
      <c r="O752" s="164" t="n">
        <v>8</v>
      </c>
      <c r="P752" t="inlineStr"/>
      <c r="Q752" s="165" t="n">
        <v>300</v>
      </c>
      <c r="R752" s="165" t="n">
        <v>300</v>
      </c>
      <c r="S752" s="165" t="n">
        <v>0</v>
      </c>
      <c r="T752" s="165" t="n">
        <v>300</v>
      </c>
      <c r="U752" s="166" t="n">
        <v>0</v>
      </c>
      <c r="V752" s="166" t="n">
        <v>0</v>
      </c>
      <c r="W752" t="inlineStr"/>
      <c r="X752" t="inlineStr">
        <is>
          <t>357.00</t>
        </is>
      </c>
      <c r="Y752" t="inlineStr"/>
      <c r="Z752" t="inlineStr">
        <is>
          <t>ICOMPPLUS ELECTRONICS S.L</t>
        </is>
      </c>
      <c r="AA752" t="inlineStr">
        <is>
          <t>MILITARY SPECS.</t>
        </is>
      </c>
      <c r="AB752" t="inlineStr">
        <is>
          <t>M83519/1-2</t>
        </is>
      </c>
      <c r="AC752" t="inlineStr"/>
      <c r="AD752" s="164" t="n">
        <v>0</v>
      </c>
      <c r="AE752" s="185" t="n">
        <v>0</v>
      </c>
      <c r="AG752" s="167" t="inlineStr">
        <is>
          <t>7218|JA2581_1001</t>
        </is>
      </c>
      <c r="AH752" s="47">
        <f>IF(M752=0,"-",M752-J752)</f>
        <v/>
      </c>
      <c r="AI752" s="46">
        <f>IF(AND(S752=0,M752&gt;0,L752=0),IF(AH752&gt;=120,"VERY HIGH",IF(AH752&gt;=90,"HIGH",IF(AH752&gt;=60,"MEDIUM",IF(AH752&lt;60,"LOW")))),"-")</f>
        <v/>
      </c>
      <c r="AJ752" s="12" t="n"/>
      <c r="AK752" s="53">
        <f>IF(AND(W752="X",M752&lt;=$AJ$2),"YES","")</f>
        <v/>
      </c>
      <c r="AL752" s="54">
        <f>IF(AND(W752="X",M752&lt;=$AJ$2),S752,"")</f>
        <v/>
      </c>
      <c r="AM752" s="35" t="n"/>
      <c r="AN752" s="35">
        <f>IF(AND(W752="X",M752&gt;$AJ$2),S752,"")</f>
        <v/>
      </c>
      <c r="AO752" s="35">
        <f>IF(AND(W752="",M752&gt;0,$AJ$2&gt;M752,L752=""),1,0)</f>
        <v/>
      </c>
      <c r="AP752" s="35">
        <f>IF(AND(AK752="YES",W752="X"),"X","")</f>
        <v/>
      </c>
      <c r="AQ752" s="55">
        <f>IF(AP752="X",100%,0%)</f>
        <v/>
      </c>
      <c r="AR752" s="25">
        <f>IF(AND(T752&gt;0,L752=""),H752,"")</f>
        <v/>
      </c>
      <c r="AS752" s="25">
        <f>IF(AND(D752&gt;0,H752=0,G752=""),1,"")</f>
        <v/>
      </c>
      <c r="AT752" s="25">
        <f>IF(G752="BLOQ",1,"")</f>
        <v/>
      </c>
      <c r="AU752" s="25">
        <f>IF(L752="BLOQ",1,"")</f>
        <v/>
      </c>
      <c r="AV752" s="25">
        <f>MONTH(F752)</f>
        <v/>
      </c>
      <c r="AW752" s="65">
        <f>IF(AP752="",100%,0%)</f>
        <v/>
      </c>
      <c r="AX752" s="56" t="n"/>
      <c r="AY752" s="24">
        <f>IF(M752=0,"",M752-$AX$2)</f>
        <v/>
      </c>
      <c r="AZ752" s="66">
        <f>IF(AND(W752="",AY752&gt;0,AY752&lt;15),1,0)</f>
        <v/>
      </c>
      <c r="BA752" s="24">
        <f>IF(AND(W752="",AY752&gt;0,AY752&lt;15),T752,"")</f>
        <v/>
      </c>
      <c r="BB752" s="87">
        <f>IF(R752&lt;Q752,"X","")</f>
        <v/>
      </c>
      <c r="BC752" s="190" t="inlineStr">
        <is>
          <t>NO</t>
        </is>
      </c>
      <c r="BD752" s="191" t="inlineStr">
        <is>
          <t>SI</t>
        </is>
      </c>
    </row>
    <row r="753" ht="15" customHeight="1" s="162">
      <c r="A753" s="7" t="n">
        <v>752</v>
      </c>
      <c r="B753" t="inlineStr">
        <is>
          <t>1239024273050</t>
        </is>
      </c>
      <c r="C753" t="inlineStr">
        <is>
          <t>MANG AUTOSOLDABLE M83519/1-2</t>
        </is>
      </c>
      <c r="D753" t="inlineStr">
        <is>
          <t>1800108782</t>
        </is>
      </c>
      <c r="E753" t="inlineStr">
        <is>
          <t>660</t>
        </is>
      </c>
      <c r="F753" s="163" t="n">
        <v>45457</v>
      </c>
      <c r="G753" t="inlineStr"/>
      <c r="H753" t="inlineStr">
        <is>
          <t>4200569161</t>
        </is>
      </c>
      <c r="I753" t="inlineStr">
        <is>
          <t>360</t>
        </is>
      </c>
      <c r="J753" s="163" t="n">
        <v>45475</v>
      </c>
      <c r="K753" s="163" t="n">
        <v>45477</v>
      </c>
      <c r="L753" t="inlineStr"/>
      <c r="M753" s="163" t="n">
        <v>45488</v>
      </c>
      <c r="N753" s="164" t="n">
        <v>30</v>
      </c>
      <c r="O753" s="164" t="n">
        <v>8</v>
      </c>
      <c r="P753" t="inlineStr">
        <is>
          <t>Liberado</t>
        </is>
      </c>
      <c r="Q753" s="165" t="n">
        <v>300</v>
      </c>
      <c r="R753" s="165" t="n">
        <v>300</v>
      </c>
      <c r="S753" s="165" t="n">
        <v>300</v>
      </c>
      <c r="T753" s="165" t="n">
        <v>0</v>
      </c>
      <c r="U753" s="166" t="n">
        <v>300</v>
      </c>
      <c r="V753" s="166" t="n">
        <v>0</v>
      </c>
      <c r="W753" t="inlineStr">
        <is>
          <t>X</t>
        </is>
      </c>
      <c r="X753" t="inlineStr">
        <is>
          <t>0.00</t>
        </is>
      </c>
      <c r="Y753" t="inlineStr"/>
      <c r="Z753" t="inlineStr">
        <is>
          <t>SUMINISTROS CONECTORES PROF.,SA.</t>
        </is>
      </c>
      <c r="AA753" t="inlineStr">
        <is>
          <t>MILITARY SPECS.</t>
        </is>
      </c>
      <c r="AB753" t="inlineStr">
        <is>
          <t>M83519/1-2</t>
        </is>
      </c>
      <c r="AC753" t="inlineStr"/>
      <c r="AD753" s="164" t="n">
        <v>0</v>
      </c>
      <c r="AE753" s="185" t="n">
        <v>0</v>
      </c>
      <c r="AG753" s="167" t="inlineStr">
        <is>
          <t>7218|JA2581_1001</t>
        </is>
      </c>
      <c r="AH753" s="47">
        <f>IF(M753=0,"-",M753-J753)</f>
        <v/>
      </c>
      <c r="AI753" s="46">
        <f>IF(AND(S753=0,M753&gt;0,L753=0),IF(AH753&gt;=120,"VERY HIGH",IF(AH753&gt;=90,"HIGH",IF(AH753&gt;=60,"MEDIUM",IF(AH753&lt;60,"LOW")))),"-")</f>
        <v/>
      </c>
      <c r="AJ753" s="12" t="n"/>
      <c r="AK753" s="53">
        <f>IF(AND(W753="X",M753&lt;=$AJ$2),"YES","")</f>
        <v/>
      </c>
      <c r="AL753" s="54">
        <f>IF(AND(W753="X",M753&lt;=$AJ$2),S753,"")</f>
        <v/>
      </c>
      <c r="AM753" s="35" t="n"/>
      <c r="AN753" s="35">
        <f>IF(AND(W753="X",M753&gt;$AJ$2),S753,"")</f>
        <v/>
      </c>
      <c r="AO753" s="35">
        <f>IF(AND(W753="",M753&gt;0,$AJ$2&gt;M753,L753=""),1,0)</f>
        <v/>
      </c>
      <c r="AP753" s="35">
        <f>IF(AND(AK753="YES",W753="X"),"X","")</f>
        <v/>
      </c>
      <c r="AQ753" s="55">
        <f>IF(AP753="X",100%,0%)</f>
        <v/>
      </c>
      <c r="AR753" s="25">
        <f>IF(AND(T753&gt;0,L753=""),H753,"")</f>
        <v/>
      </c>
      <c r="AS753" s="25">
        <f>IF(AND(D753&gt;0,H753=0,G753=""),1,"")</f>
        <v/>
      </c>
      <c r="AT753" s="25">
        <f>IF(G753="BLOQ",1,"")</f>
        <v/>
      </c>
      <c r="AU753" s="25">
        <f>IF(L753="BLOQ",1,"")</f>
        <v/>
      </c>
      <c r="AV753" s="25">
        <f>MONTH(F753)</f>
        <v/>
      </c>
      <c r="AW753" s="65">
        <f>IF(AP753="",100%,0%)</f>
        <v/>
      </c>
      <c r="AX753" s="56" t="n"/>
      <c r="AY753" s="24">
        <f>IF(M753=0,"",M753-$AX$2)</f>
        <v/>
      </c>
      <c r="AZ753" s="66">
        <f>IF(AND(W753="",AY753&gt;0,AY753&lt;15),1,0)</f>
        <v/>
      </c>
      <c r="BA753" s="24">
        <f>IF(AND(W753="",AY753&gt;0,AY753&lt;15),T753,"")</f>
        <v/>
      </c>
      <c r="BB753" s="87">
        <f>IF(R753&lt;Q753,"X","")</f>
        <v/>
      </c>
      <c r="BC753" s="190" t="inlineStr">
        <is>
          <t>NO</t>
        </is>
      </c>
      <c r="BD753" s="191" t="inlineStr">
        <is>
          <t>SI</t>
        </is>
      </c>
    </row>
    <row r="754" ht="15" customHeight="1" s="162">
      <c r="A754" s="7" t="n">
        <v>753</v>
      </c>
      <c r="B754" t="inlineStr">
        <is>
          <t>1239025439050</t>
        </is>
      </c>
      <c r="C754" t="inlineStr">
        <is>
          <t>MANG AUTOSOLDABLE 4,3MM M83519/1-3</t>
        </is>
      </c>
      <c r="D754" t="inlineStr">
        <is>
          <t>1800108782</t>
        </is>
      </c>
      <c r="E754" t="inlineStr">
        <is>
          <t>670</t>
        </is>
      </c>
      <c r="F754" s="163" t="n">
        <v>45457</v>
      </c>
      <c r="G754" t="inlineStr"/>
      <c r="H754" t="inlineStr">
        <is>
          <t>4200569022</t>
        </is>
      </c>
      <c r="I754" t="inlineStr">
        <is>
          <t>430</t>
        </is>
      </c>
      <c r="J754" s="163" t="n">
        <v>45475</v>
      </c>
      <c r="K754" s="163" t="inlineStr"/>
      <c r="L754" t="inlineStr">
        <is>
          <t>BORR</t>
        </is>
      </c>
      <c r="M754" s="163" t="n">
        <v>45488</v>
      </c>
      <c r="N754" s="164" t="n">
        <v>40</v>
      </c>
      <c r="O754" s="164" t="n">
        <v>8</v>
      </c>
      <c r="P754" t="inlineStr"/>
      <c r="Q754" s="165" t="n">
        <v>1000</v>
      </c>
      <c r="R754" s="165" t="n">
        <v>1000</v>
      </c>
      <c r="S754" s="165" t="n">
        <v>0</v>
      </c>
      <c r="T754" s="165" t="n">
        <v>1000</v>
      </c>
      <c r="U754" s="166" t="n">
        <v>0</v>
      </c>
      <c r="V754" s="166" t="n">
        <v>0</v>
      </c>
      <c r="W754" t="inlineStr"/>
      <c r="X754" t="inlineStr">
        <is>
          <t>670.00</t>
        </is>
      </c>
      <c r="Y754" t="inlineStr"/>
      <c r="Z754" t="inlineStr">
        <is>
          <t>ICOMPPLUS ELECTRONICS S.L</t>
        </is>
      </c>
      <c r="AA754" t="inlineStr">
        <is>
          <t>MILITARY SPECS.</t>
        </is>
      </c>
      <c r="AB754" t="inlineStr">
        <is>
          <t>M83519/1-3</t>
        </is>
      </c>
      <c r="AC754" t="inlineStr"/>
      <c r="AD754" s="164" t="n">
        <v>0</v>
      </c>
      <c r="AE754" s="185" t="n">
        <v>0</v>
      </c>
      <c r="AG754" s="167" t="inlineStr">
        <is>
          <t>7218|JA2581_1001</t>
        </is>
      </c>
      <c r="AH754" s="47">
        <f>IF(M754=0,"-",M754-J754)</f>
        <v/>
      </c>
      <c r="AI754" s="46">
        <f>IF(AND(S754=0,M754&gt;0,L754=0),IF(AH754&gt;=120,"VERY HIGH",IF(AH754&gt;=90,"HIGH",IF(AH754&gt;=60,"MEDIUM",IF(AH754&lt;60,"LOW")))),"-")</f>
        <v/>
      </c>
      <c r="AJ754" s="12" t="n"/>
      <c r="AK754" s="53">
        <f>IF(AND(W754="X",M754&lt;=$AJ$2),"YES","")</f>
        <v/>
      </c>
      <c r="AL754" s="54">
        <f>IF(AND(W754="X",M754&lt;=$AJ$2),S754,"")</f>
        <v/>
      </c>
      <c r="AM754" s="35" t="n"/>
      <c r="AN754" s="35">
        <f>IF(AND(W754="X",M754&gt;$AJ$2),S754,"")</f>
        <v/>
      </c>
      <c r="AO754" s="35">
        <f>IF(AND(W754="",M754&gt;0,$AJ$2&gt;M754,L754=""),1,0)</f>
        <v/>
      </c>
      <c r="AP754" s="35">
        <f>IF(AND(AK754="YES",W754="X"),"X","")</f>
        <v/>
      </c>
      <c r="AQ754" s="55">
        <f>IF(AP754="X",100%,0%)</f>
        <v/>
      </c>
      <c r="AR754" s="25">
        <f>IF(AND(T754&gt;0,L754=""),H754,"")</f>
        <v/>
      </c>
      <c r="AS754" s="25">
        <f>IF(AND(D754&gt;0,H754=0,G754=""),1,"")</f>
        <v/>
      </c>
      <c r="AT754" s="25">
        <f>IF(G754="BLOQ",1,"")</f>
        <v/>
      </c>
      <c r="AU754" s="25">
        <f>IF(L754="BLOQ",1,"")</f>
        <v/>
      </c>
      <c r="AV754" s="25">
        <f>MONTH(F754)</f>
        <v/>
      </c>
      <c r="AW754" s="65">
        <f>IF(AP754="",100%,0%)</f>
        <v/>
      </c>
      <c r="AX754" s="56" t="n"/>
      <c r="AY754" s="24">
        <f>IF(M754=0,"",M754-$AX$2)</f>
        <v/>
      </c>
      <c r="AZ754" s="66">
        <f>IF(AND(W754="",AY754&gt;0,AY754&lt;15),1,0)</f>
        <v/>
      </c>
      <c r="BA754" s="24">
        <f>IF(AND(W754="",AY754&gt;0,AY754&lt;15),T754,"")</f>
        <v/>
      </c>
      <c r="BB754" s="87">
        <f>IF(R754&lt;Q754,"X","")</f>
        <v/>
      </c>
      <c r="BC754" s="190" t="inlineStr">
        <is>
          <t>NO</t>
        </is>
      </c>
      <c r="BD754" s="191" t="inlineStr">
        <is>
          <t>SI</t>
        </is>
      </c>
    </row>
    <row r="755" ht="15" customHeight="1" s="162">
      <c r="A755" s="7" t="n">
        <v>754</v>
      </c>
      <c r="B755" t="inlineStr">
        <is>
          <t>1239025439050</t>
        </is>
      </c>
      <c r="C755" t="inlineStr">
        <is>
          <t>MANG AUTOSOLDABLE 4,3MM M83519/1-3</t>
        </is>
      </c>
      <c r="D755" t="inlineStr">
        <is>
          <t>1800108782</t>
        </is>
      </c>
      <c r="E755" t="inlineStr">
        <is>
          <t>670</t>
        </is>
      </c>
      <c r="F755" s="163" t="n">
        <v>45457</v>
      </c>
      <c r="G755" t="inlineStr"/>
      <c r="H755" t="inlineStr">
        <is>
          <t>4200569255</t>
        </is>
      </c>
      <c r="I755" t="inlineStr">
        <is>
          <t>50</t>
        </is>
      </c>
      <c r="J755" s="163" t="n">
        <v>45476</v>
      </c>
      <c r="K755" s="163" t="n">
        <v>45483</v>
      </c>
      <c r="L755" t="inlineStr"/>
      <c r="M755" s="163" t="n">
        <v>45498</v>
      </c>
      <c r="N755" s="164" t="n">
        <v>40</v>
      </c>
      <c r="O755" s="164" t="n">
        <v>8</v>
      </c>
      <c r="P755" t="inlineStr">
        <is>
          <t>Liberado</t>
        </is>
      </c>
      <c r="Q755" s="165" t="n">
        <v>1000</v>
      </c>
      <c r="R755" s="165" t="n">
        <v>1000</v>
      </c>
      <c r="S755" s="165" t="n">
        <v>1000</v>
      </c>
      <c r="T755" s="165" t="n">
        <v>0</v>
      </c>
      <c r="U755" s="166" t="n">
        <v>1000</v>
      </c>
      <c r="V755" s="166" t="n">
        <v>0</v>
      </c>
      <c r="W755" t="inlineStr">
        <is>
          <t>X</t>
        </is>
      </c>
      <c r="X755" t="inlineStr">
        <is>
          <t>0.00</t>
        </is>
      </c>
      <c r="Y755" t="inlineStr"/>
      <c r="Z755" t="inlineStr">
        <is>
          <t>SUMINISTROS CONECTORES PROF.,SA.</t>
        </is>
      </c>
      <c r="AA755" t="inlineStr">
        <is>
          <t>MILITARY SPECS.</t>
        </is>
      </c>
      <c r="AB755" t="inlineStr">
        <is>
          <t>M83519/1-3</t>
        </is>
      </c>
      <c r="AC755" t="inlineStr"/>
      <c r="AD755" s="164" t="n">
        <v>0</v>
      </c>
      <c r="AE755" s="185" t="n">
        <v>0</v>
      </c>
      <c r="AG755" s="167" t="inlineStr">
        <is>
          <t>7218|JA2581_1001</t>
        </is>
      </c>
      <c r="AH755" s="47">
        <f>IF(M755=0,"-",M755-J755)</f>
        <v/>
      </c>
      <c r="AI755" s="46">
        <f>IF(AND(S755=0,M755&gt;0,L755=0),IF(AH755&gt;=120,"VERY HIGH",IF(AH755&gt;=90,"HIGH",IF(AH755&gt;=60,"MEDIUM",IF(AH755&lt;60,"LOW")))),"-")</f>
        <v/>
      </c>
      <c r="AJ755" s="12" t="n"/>
      <c r="AK755" s="53">
        <f>IF(AND(W755="X",M755&lt;=$AJ$2),"YES","")</f>
        <v/>
      </c>
      <c r="AL755" s="54">
        <f>IF(AND(W755="X",M755&lt;=$AJ$2),S755,"")</f>
        <v/>
      </c>
      <c r="AM755" s="35" t="n"/>
      <c r="AN755" s="35">
        <f>IF(AND(W755="X",M755&gt;$AJ$2),S755,"")</f>
        <v/>
      </c>
      <c r="AO755" s="35">
        <f>IF(AND(W755="",M755&gt;0,$AJ$2&gt;M755,L755=""),1,0)</f>
        <v/>
      </c>
      <c r="AP755" s="35">
        <f>IF(AND(AK755="YES",W755="X"),"X","")</f>
        <v/>
      </c>
      <c r="AQ755" s="55">
        <f>IF(AP755="X",100%,0%)</f>
        <v/>
      </c>
      <c r="AR755" s="25">
        <f>IF(AND(T755&gt;0,L755=""),H755,"")</f>
        <v/>
      </c>
      <c r="AS755" s="25">
        <f>IF(AND(D755&gt;0,H755=0,G755=""),1,"")</f>
        <v/>
      </c>
      <c r="AT755" s="25">
        <f>IF(G755="BLOQ",1,"")</f>
        <v/>
      </c>
      <c r="AU755" s="25">
        <f>IF(L755="BLOQ",1,"")</f>
        <v/>
      </c>
      <c r="AV755" s="25">
        <f>MONTH(F755)</f>
        <v/>
      </c>
      <c r="AW755" s="65">
        <f>IF(AP755="",100%,0%)</f>
        <v/>
      </c>
      <c r="AX755" s="56" t="n"/>
      <c r="AY755" s="24">
        <f>IF(M755=0,"",M755-$AX$2)</f>
        <v/>
      </c>
      <c r="AZ755" s="66">
        <f>IF(AND(W755="",AY755&gt;0,AY755&lt;15),1,0)</f>
        <v/>
      </c>
      <c r="BA755" s="24">
        <f>IF(AND(W755="",AY755&gt;0,AY755&lt;15),T755,"")</f>
        <v/>
      </c>
      <c r="BB755" s="87">
        <f>IF(R755&lt;Q755,"X","")</f>
        <v/>
      </c>
      <c r="BC755" s="190" t="inlineStr">
        <is>
          <t>NO</t>
        </is>
      </c>
      <c r="BD755" s="191" t="inlineStr">
        <is>
          <t>SI</t>
        </is>
      </c>
    </row>
    <row r="756" ht="15" customHeight="1" s="162">
      <c r="A756" s="7" t="n">
        <v>755</v>
      </c>
      <c r="B756" t="inlineStr">
        <is>
          <t>1853200020100</t>
        </is>
      </c>
      <c r="C756" t="inlineStr">
        <is>
          <t>INSERTADOR/EXTRACTOR M81969/1-02</t>
        </is>
      </c>
      <c r="D756" t="inlineStr">
        <is>
          <t>1800108782</t>
        </is>
      </c>
      <c r="E756" t="inlineStr">
        <is>
          <t>680</t>
        </is>
      </c>
      <c r="F756" s="163" t="n">
        <v>45457</v>
      </c>
      <c r="G756" t="inlineStr"/>
      <c r="H756" t="inlineStr">
        <is>
          <t>4200575219</t>
        </is>
      </c>
      <c r="I756" t="inlineStr">
        <is>
          <t>30</t>
        </is>
      </c>
      <c r="J756" s="163" t="n">
        <v>45530</v>
      </c>
      <c r="K756" s="163" t="n">
        <v>45530</v>
      </c>
      <c r="L756" t="inlineStr"/>
      <c r="M756" s="163" t="n">
        <v>45544</v>
      </c>
      <c r="N756" s="164" t="n">
        <v>30</v>
      </c>
      <c r="O756" s="164" t="n">
        <v>8</v>
      </c>
      <c r="P756" t="inlineStr">
        <is>
          <t>Liberado</t>
        </is>
      </c>
      <c r="Q756" s="166" t="n">
        <v>30</v>
      </c>
      <c r="R756" s="166" t="n">
        <v>50</v>
      </c>
      <c r="S756" s="166" t="n">
        <v>50</v>
      </c>
      <c r="T756" s="166" t="n">
        <v>0</v>
      </c>
      <c r="U756" s="166" t="n">
        <v>0</v>
      </c>
      <c r="V756" s="166" t="n">
        <v>0</v>
      </c>
      <c r="W756" t="inlineStr">
        <is>
          <t>X</t>
        </is>
      </c>
      <c r="X756" t="inlineStr">
        <is>
          <t>0.00</t>
        </is>
      </c>
      <c r="Y756" t="inlineStr"/>
      <c r="Z756" t="inlineStr">
        <is>
          <t>Electro Enterprises New York</t>
        </is>
      </c>
      <c r="AA756" t="inlineStr">
        <is>
          <t>MILITARY SPECS.</t>
        </is>
      </c>
      <c r="AB756" t="inlineStr">
        <is>
          <t>M81969/1-02</t>
        </is>
      </c>
      <c r="AC756" t="inlineStr"/>
      <c r="AD756" s="164" t="n">
        <v>0</v>
      </c>
      <c r="AE756" s="185" t="n">
        <v>0</v>
      </c>
      <c r="AG756" s="167" t="inlineStr">
        <is>
          <t>7218|JA2581_1001</t>
        </is>
      </c>
      <c r="AH756" s="47">
        <f>IF(M756=0,"-",M756-J756)</f>
        <v/>
      </c>
      <c r="AI756" s="46">
        <f>IF(AND(S756=0,M756&gt;0,L756=0),IF(AH756&gt;=120,"VERY HIGH",IF(AH756&gt;=90,"HIGH",IF(AH756&gt;=60,"MEDIUM",IF(AH756&lt;60,"LOW")))),"-")</f>
        <v/>
      </c>
      <c r="AJ756" s="12" t="n"/>
      <c r="AK756" s="53">
        <f>IF(AND(W756="X",M756&lt;=$AJ$2),"YES","")</f>
        <v/>
      </c>
      <c r="AL756" s="54">
        <f>IF(AND(W756="X",M756&lt;=$AJ$2),S756,"")</f>
        <v/>
      </c>
      <c r="AM756" s="35" t="n"/>
      <c r="AN756" s="35">
        <f>IF(AND(W756="X",M756&gt;$AJ$2),S756,"")</f>
        <v/>
      </c>
      <c r="AO756" s="35">
        <f>IF(AND(W756="",M756&gt;0,$AJ$2&gt;M756,L756=""),1,0)</f>
        <v/>
      </c>
      <c r="AP756" s="35">
        <f>IF(AND(AK756="YES",W756="X"),"X","")</f>
        <v/>
      </c>
      <c r="AQ756" s="55">
        <f>IF(AP756="X",100%,0%)</f>
        <v/>
      </c>
      <c r="AR756" s="25">
        <f>IF(AND(T756&gt;0,L756=""),H756,"")</f>
        <v/>
      </c>
      <c r="AS756" s="25">
        <f>IF(AND(D756&gt;0,H756=0,G756=""),1,"")</f>
        <v/>
      </c>
      <c r="AT756" s="25">
        <f>IF(G756="BLOQ",1,"")</f>
        <v/>
      </c>
      <c r="AU756" s="25">
        <f>IF(L756="BLOQ",1,"")</f>
        <v/>
      </c>
      <c r="AV756" s="25">
        <f>MONTH(F756)</f>
        <v/>
      </c>
      <c r="AW756" s="65">
        <f>IF(AP756="",100%,0%)</f>
        <v/>
      </c>
      <c r="AX756" s="56" t="n"/>
      <c r="AY756" s="24">
        <f>IF(M756=0,"",M756-$AX$2)</f>
        <v/>
      </c>
      <c r="AZ756" s="66">
        <f>IF(AND(W756="",AY756&gt;0,AY756&lt;15),1,0)</f>
        <v/>
      </c>
      <c r="BA756" s="24">
        <f>IF(AND(W756="",AY756&gt;0,AY756&lt;15),T756,"")</f>
        <v/>
      </c>
      <c r="BB756" s="87">
        <f>IF(R756&lt;Q756,"X","")</f>
        <v/>
      </c>
      <c r="BC756" s="190" t="inlineStr">
        <is>
          <t>NO</t>
        </is>
      </c>
      <c r="BD756" s="191" t="inlineStr">
        <is>
          <t>SI</t>
        </is>
      </c>
    </row>
    <row r="757" ht="15" customHeight="1" s="162">
      <c r="A757" s="7" t="n">
        <v>756</v>
      </c>
      <c r="B757" t="inlineStr">
        <is>
          <t>7853200161200</t>
        </is>
      </c>
      <c r="C757" t="inlineStr">
        <is>
          <t>INSERTADOR/EXTRACTOR PINES 22D M81969/14</t>
        </is>
      </c>
      <c r="D757" t="inlineStr">
        <is>
          <t>1800108782</t>
        </is>
      </c>
      <c r="E757" t="inlineStr">
        <is>
          <t>690</t>
        </is>
      </c>
      <c r="F757" s="163" t="n">
        <v>45457</v>
      </c>
      <c r="G757" t="inlineStr"/>
      <c r="H757" t="inlineStr">
        <is>
          <t>4200575219</t>
        </is>
      </c>
      <c r="I757" t="inlineStr">
        <is>
          <t>40</t>
        </is>
      </c>
      <c r="J757" s="163" t="n">
        <v>45530</v>
      </c>
      <c r="K757" s="163" t="n">
        <v>45530</v>
      </c>
      <c r="L757" t="inlineStr"/>
      <c r="M757" s="163" t="n">
        <v>45544</v>
      </c>
      <c r="N757" s="164" t="n">
        <v>40</v>
      </c>
      <c r="O757" s="164" t="n">
        <v>8</v>
      </c>
      <c r="P757" t="inlineStr">
        <is>
          <t>Liberado</t>
        </is>
      </c>
      <c r="Q757" s="166" t="n">
        <v>30</v>
      </c>
      <c r="R757" s="166" t="n">
        <v>500</v>
      </c>
      <c r="S757" s="166" t="n">
        <v>500</v>
      </c>
      <c r="T757" s="166" t="n">
        <v>0</v>
      </c>
      <c r="U757" s="166" t="n">
        <v>0</v>
      </c>
      <c r="V757" s="166" t="n">
        <v>0</v>
      </c>
      <c r="W757" t="inlineStr">
        <is>
          <t>X</t>
        </is>
      </c>
      <c r="X757" t="inlineStr">
        <is>
          <t>0.00</t>
        </is>
      </c>
      <c r="Y757" t="inlineStr"/>
      <c r="Z757" t="inlineStr">
        <is>
          <t>Electro Enterprises New York</t>
        </is>
      </c>
      <c r="AA757" t="inlineStr">
        <is>
          <t>MILITARY SPECS.</t>
        </is>
      </c>
      <c r="AB757" t="inlineStr">
        <is>
          <t>M81969/14-01</t>
        </is>
      </c>
      <c r="AC757" t="inlineStr"/>
      <c r="AD757" s="164" t="n">
        <v>0</v>
      </c>
      <c r="AE757" s="185" t="n">
        <v>0</v>
      </c>
      <c r="AG757" s="167" t="inlineStr">
        <is>
          <t>7218|JA2581_1001</t>
        </is>
      </c>
      <c r="AH757" s="47">
        <f>IF(M757=0,"-",M757-J757)</f>
        <v/>
      </c>
      <c r="AI757" s="46">
        <f>IF(AND(S757=0,M757&gt;0,L757=0),IF(AH757&gt;=120,"VERY HIGH",IF(AH757&gt;=90,"HIGH",IF(AH757&gt;=60,"MEDIUM",IF(AH757&lt;60,"LOW")))),"-")</f>
        <v/>
      </c>
      <c r="AJ757" s="12" t="n"/>
      <c r="AK757" s="53">
        <f>IF(AND(W757="X",M757&lt;=$AJ$2),"YES","")</f>
        <v/>
      </c>
      <c r="AL757" s="54">
        <f>IF(AND(W757="X",M757&lt;=$AJ$2),S757,"")</f>
        <v/>
      </c>
      <c r="AM757" s="35" t="n"/>
      <c r="AN757" s="35">
        <f>IF(AND(W757="X",M757&gt;$AJ$2),S757,"")</f>
        <v/>
      </c>
      <c r="AO757" s="35">
        <f>IF(AND(W757="",M757&gt;0,$AJ$2&gt;M757,L757=""),1,0)</f>
        <v/>
      </c>
      <c r="AP757" s="35">
        <f>IF(AND(AK757="YES",W757="X"),"X","")</f>
        <v/>
      </c>
      <c r="AQ757" s="55">
        <f>IF(AP757="X",100%,0%)</f>
        <v/>
      </c>
      <c r="AR757" s="25">
        <f>IF(AND(T757&gt;0,L757=""),H757,"")</f>
        <v/>
      </c>
      <c r="AS757" s="25">
        <f>IF(AND(D757&gt;0,H757=0,G757=""),1,"")</f>
        <v/>
      </c>
      <c r="AT757" s="25">
        <f>IF(G757="BLOQ",1,"")</f>
        <v/>
      </c>
      <c r="AU757" s="25">
        <f>IF(L757="BLOQ",1,"")</f>
        <v/>
      </c>
      <c r="AV757" s="25">
        <f>MONTH(F757)</f>
        <v/>
      </c>
      <c r="AW757" s="65">
        <f>IF(AP757="",100%,0%)</f>
        <v/>
      </c>
      <c r="AX757" s="56" t="n"/>
      <c r="AY757" s="24">
        <f>IF(M757=0,"",M757-$AX$2)</f>
        <v/>
      </c>
      <c r="AZ757" s="66">
        <f>IF(AND(W757="",AY757&gt;0,AY757&lt;15),1,0)</f>
        <v/>
      </c>
      <c r="BA757" s="24">
        <f>IF(AND(W757="",AY757&gt;0,AY757&lt;15),T757,"")</f>
        <v/>
      </c>
      <c r="BB757" s="87">
        <f>IF(R757&lt;Q757,"X","")</f>
        <v/>
      </c>
      <c r="BC757" s="190" t="inlineStr">
        <is>
          <t>NO</t>
        </is>
      </c>
      <c r="BD757" s="191" t="inlineStr">
        <is>
          <t>SI</t>
        </is>
      </c>
    </row>
    <row r="758" ht="15" customHeight="1" s="162">
      <c r="A758" s="7" t="n">
        <v>757</v>
      </c>
      <c r="B758" t="inlineStr">
        <is>
          <t>1210790220200</t>
        </is>
      </c>
      <c r="C758" t="inlineStr">
        <is>
          <t>CONTACTO H #22 RECPT CRIMP TRAS ARINC600</t>
        </is>
      </c>
      <c r="D758" t="inlineStr">
        <is>
          <t>1800108783</t>
        </is>
      </c>
      <c r="E758" t="inlineStr">
        <is>
          <t>10</t>
        </is>
      </c>
      <c r="F758" s="163" t="n">
        <v>45457</v>
      </c>
      <c r="G758" t="inlineStr"/>
      <c r="H758" t="inlineStr">
        <is>
          <t>4200583938</t>
        </is>
      </c>
      <c r="I758" t="inlineStr">
        <is>
          <t>10</t>
        </is>
      </c>
      <c r="J758" s="163" t="n">
        <v>45596</v>
      </c>
      <c r="K758" s="163" t="n">
        <v>45790</v>
      </c>
      <c r="L758" t="inlineStr"/>
      <c r="M758" s="163" t="n">
        <v>45653</v>
      </c>
      <c r="N758" s="164" t="n">
        <v>40</v>
      </c>
      <c r="O758" s="164" t="n">
        <v>8</v>
      </c>
      <c r="P758" t="inlineStr">
        <is>
          <t>Liberado</t>
        </is>
      </c>
      <c r="Q758" s="166" t="n">
        <v>1</v>
      </c>
      <c r="R758" s="166" t="n">
        <v>1</v>
      </c>
      <c r="S758" s="166" t="n">
        <v>1</v>
      </c>
      <c r="T758" s="166" t="n">
        <v>0</v>
      </c>
      <c r="U758" s="166" t="n">
        <v>1</v>
      </c>
      <c r="V758" s="166" t="n">
        <v>0</v>
      </c>
      <c r="W758" t="inlineStr">
        <is>
          <t>X</t>
        </is>
      </c>
      <c r="X758" t="inlineStr">
        <is>
          <t>0.00</t>
        </is>
      </c>
      <c r="Y758" t="inlineStr"/>
      <c r="Z758" t="inlineStr">
        <is>
          <t>ICOMPPLUS ELECTRONICS S.L</t>
        </is>
      </c>
      <c r="AA758" t="inlineStr">
        <is>
          <t>SORIAU</t>
        </is>
      </c>
      <c r="AB758" t="inlineStr">
        <is>
          <t>8660-206</t>
        </is>
      </c>
      <c r="AC758" t="inlineStr"/>
      <c r="AD758" s="164" t="n">
        <v>1</v>
      </c>
      <c r="AE758" s="185" t="n">
        <v>0</v>
      </c>
      <c r="AG758" s="167" t="inlineStr">
        <is>
          <t>7218|JA2581_1001</t>
        </is>
      </c>
      <c r="AH758" s="47">
        <f>IF(M758=0,"-",M758-J758)</f>
        <v/>
      </c>
      <c r="AI758" s="46">
        <f>IF(AND(S758=0,M758&gt;0,L758=0),IF(AH758&gt;=120,"VERY HIGH",IF(AH758&gt;=90,"HIGH",IF(AH758&gt;=60,"MEDIUM",IF(AH758&lt;60,"LOW")))),"-")</f>
        <v/>
      </c>
      <c r="AJ758" s="12" t="n"/>
      <c r="AK758" s="53">
        <f>IF(AND(W758="X",M758&lt;=$AJ$2),"YES","")</f>
        <v/>
      </c>
      <c r="AL758" s="54">
        <f>IF(AND(W758="X",M758&lt;=$AJ$2),S758,"")</f>
        <v/>
      </c>
      <c r="AM758" s="35" t="n"/>
      <c r="AN758" s="35">
        <f>IF(AND(W758="X",M758&gt;$AJ$2),S758,"")</f>
        <v/>
      </c>
      <c r="AO758" s="35">
        <f>IF(AND(W758="",M758&gt;0,$AJ$2&gt;M758,L758=""),1,0)</f>
        <v/>
      </c>
      <c r="AP758" s="35">
        <f>IF(AND(AK758="YES",W758="X"),"X","")</f>
        <v/>
      </c>
      <c r="AQ758" s="55">
        <f>IF(AP758="X",100%,0%)</f>
        <v/>
      </c>
      <c r="AR758" s="25">
        <f>IF(AND(T758&gt;0,L758=""),H758,"")</f>
        <v/>
      </c>
      <c r="AS758" s="25">
        <f>IF(AND(D758&gt;0,H758=0,G758=""),1,"")</f>
        <v/>
      </c>
      <c r="AT758" s="25">
        <f>IF(G758="BLOQ",1,"")</f>
        <v/>
      </c>
      <c r="AU758" s="25">
        <f>IF(L758="BLOQ",1,"")</f>
        <v/>
      </c>
      <c r="AV758" s="25">
        <f>MONTH(F758)</f>
        <v/>
      </c>
      <c r="AW758" s="65">
        <f>IF(AP758="",100%,0%)</f>
        <v/>
      </c>
      <c r="AX758" s="56" t="n"/>
      <c r="AY758" s="24">
        <f>IF(M758=0,"",M758-$AX$2)</f>
        <v/>
      </c>
      <c r="AZ758" s="66">
        <f>IF(AND(W758="",AY758&gt;0,AY758&lt;15),1,0)</f>
        <v/>
      </c>
      <c r="BA758" s="24">
        <f>IF(AND(W758="",AY758&gt;0,AY758&lt;15),T758,"")</f>
        <v/>
      </c>
      <c r="BB758" s="87">
        <f>IF(R758&lt;Q758,"X","")</f>
        <v/>
      </c>
      <c r="BC758" s="190" t="inlineStr">
        <is>
          <t>NO</t>
        </is>
      </c>
      <c r="BD758" s="191" t="inlineStr">
        <is>
          <t>SI</t>
        </is>
      </c>
    </row>
    <row r="759" ht="15" customHeight="1" s="162">
      <c r="A759" s="7" t="n">
        <v>758</v>
      </c>
      <c r="B759" t="inlineStr">
        <is>
          <t>1210790220200</t>
        </is>
      </c>
      <c r="C759" t="inlineStr">
        <is>
          <t>CONTACTO H #22 RECPT CRIMP TRAS ARINC600</t>
        </is>
      </c>
      <c r="D759" t="inlineStr">
        <is>
          <t>1800108783</t>
        </is>
      </c>
      <c r="E759" t="inlineStr">
        <is>
          <t>10</t>
        </is>
      </c>
      <c r="F759" s="163" t="n">
        <v>45457</v>
      </c>
      <c r="G759" t="inlineStr"/>
      <c r="H759" t="inlineStr">
        <is>
          <t>4200583117</t>
        </is>
      </c>
      <c r="I759" t="inlineStr">
        <is>
          <t>420</t>
        </is>
      </c>
      <c r="J759" s="163" t="n">
        <v>45593</v>
      </c>
      <c r="K759" s="163" t="n">
        <v>45611</v>
      </c>
      <c r="L759" t="inlineStr">
        <is>
          <t>BORR</t>
        </is>
      </c>
      <c r="M759" s="163" t="n">
        <v>45488</v>
      </c>
      <c r="N759" s="164" t="n">
        <v>40</v>
      </c>
      <c r="O759" s="164" t="n">
        <v>8</v>
      </c>
      <c r="P759" t="inlineStr">
        <is>
          <t>Liberado</t>
        </is>
      </c>
      <c r="Q759" s="166" t="n">
        <v>1</v>
      </c>
      <c r="R759" s="166" t="n">
        <v>1</v>
      </c>
      <c r="S759" s="166" t="n">
        <v>0</v>
      </c>
      <c r="T759" s="166" t="n">
        <v>1</v>
      </c>
      <c r="U759" s="166" t="n">
        <v>0</v>
      </c>
      <c r="V759" s="166" t="n">
        <v>0</v>
      </c>
      <c r="W759" t="inlineStr"/>
      <c r="X759" t="inlineStr">
        <is>
          <t>198.31</t>
        </is>
      </c>
      <c r="Y759" t="inlineStr"/>
      <c r="Z759" t="inlineStr">
        <is>
          <t>TTI INC.</t>
        </is>
      </c>
      <c r="AA759" t="inlineStr">
        <is>
          <t>SORIAU</t>
        </is>
      </c>
      <c r="AB759" t="inlineStr">
        <is>
          <t>8660-206</t>
        </is>
      </c>
      <c r="AC759" t="inlineStr"/>
      <c r="AD759" s="164" t="n">
        <v>0</v>
      </c>
      <c r="AE759" s="185" t="n">
        <v>0</v>
      </c>
      <c r="AG759" s="167" t="inlineStr">
        <is>
          <t>7218|JA2581_1001</t>
        </is>
      </c>
      <c r="AH759" s="47">
        <f>IF(M759=0,"-",M759-J759)</f>
        <v/>
      </c>
      <c r="AI759" s="46">
        <f>IF(AND(S759=0,M759&gt;0,L759=0),IF(AH759&gt;=120,"VERY HIGH",IF(AH759&gt;=90,"HIGH",IF(AH759&gt;=60,"MEDIUM",IF(AH759&lt;60,"LOW")))),"-")</f>
        <v/>
      </c>
      <c r="AJ759" s="12" t="n"/>
      <c r="AK759" s="53">
        <f>IF(AND(W759="X",M759&lt;=$AJ$2),"YES","")</f>
        <v/>
      </c>
      <c r="AL759" s="54">
        <f>IF(AND(W759="X",M759&lt;=$AJ$2),S759,"")</f>
        <v/>
      </c>
      <c r="AM759" s="35" t="n"/>
      <c r="AN759" s="35">
        <f>IF(AND(W759="X",M759&gt;$AJ$2),S759,"")</f>
        <v/>
      </c>
      <c r="AO759" s="35">
        <f>IF(AND(W759="",M759&gt;0,$AJ$2&gt;M759,L759=""),1,0)</f>
        <v/>
      </c>
      <c r="AP759" s="35">
        <f>IF(AND(AK759="YES",W759="X"),"X","")</f>
        <v/>
      </c>
      <c r="AQ759" s="55">
        <f>IF(AP759="X",100%,0%)</f>
        <v/>
      </c>
      <c r="AR759" s="25">
        <f>IF(AND(T759&gt;0,L759=""),H759,"")</f>
        <v/>
      </c>
      <c r="AS759" s="25">
        <f>IF(AND(D759&gt;0,H759=0,G759=""),1,"")</f>
        <v/>
      </c>
      <c r="AT759" s="25">
        <f>IF(G759="BLOQ",1,"")</f>
        <v/>
      </c>
      <c r="AU759" s="25">
        <f>IF(L759="BLOQ",1,"")</f>
        <v/>
      </c>
      <c r="AV759" s="25">
        <f>MONTH(F759)</f>
        <v/>
      </c>
      <c r="AW759" s="65">
        <f>IF(AP759="",100%,0%)</f>
        <v/>
      </c>
      <c r="AX759" s="56" t="n"/>
      <c r="AY759" s="24">
        <f>IF(M759=0,"",M759-$AX$2)</f>
        <v/>
      </c>
      <c r="AZ759" s="66">
        <f>IF(AND(W759="",AY759&gt;0,AY759&lt;15),1,0)</f>
        <v/>
      </c>
      <c r="BA759" s="24">
        <f>IF(AND(W759="",AY759&gt;0,AY759&lt;15),T759,"")</f>
        <v/>
      </c>
      <c r="BB759" s="87">
        <f>IF(R759&lt;Q759,"X","")</f>
        <v/>
      </c>
      <c r="BC759" s="190" t="inlineStr">
        <is>
          <t>NO</t>
        </is>
      </c>
      <c r="BD759" s="191" t="inlineStr">
        <is>
          <t>SI</t>
        </is>
      </c>
    </row>
    <row r="760" ht="15" customHeight="1" s="162">
      <c r="A760" s="7" t="n">
        <v>759</v>
      </c>
      <c r="B760" t="inlineStr">
        <is>
          <t>1220100163401.LO</t>
        </is>
      </c>
      <c r="C760" t="inlineStr">
        <is>
          <t>CBL FLEX 1XAWG16 600V PVDF AMA/VER ROHS</t>
        </is>
      </c>
      <c r="D760" t="inlineStr">
        <is>
          <t>1800108783</t>
        </is>
      </c>
      <c r="E760" t="inlineStr">
        <is>
          <t>20</t>
        </is>
      </c>
      <c r="F760" s="163" t="n">
        <v>45457</v>
      </c>
      <c r="G760" t="inlineStr"/>
      <c r="H760" t="inlineStr">
        <is>
          <t>4200571556</t>
        </is>
      </c>
      <c r="I760" t="inlineStr">
        <is>
          <t>150</t>
        </is>
      </c>
      <c r="J760" s="163" t="n">
        <v>45492</v>
      </c>
      <c r="K760" s="163" t="n">
        <v>45497</v>
      </c>
      <c r="L760" t="inlineStr"/>
      <c r="M760" s="163" t="n">
        <v>45499</v>
      </c>
      <c r="N760" s="164" t="n">
        <v>60</v>
      </c>
      <c r="O760" s="164" t="n">
        <v>8</v>
      </c>
      <c r="P760" t="inlineStr">
        <is>
          <t>Liberado</t>
        </is>
      </c>
      <c r="Q760" s="166" t="n">
        <v>500</v>
      </c>
      <c r="R760" s="166" t="n">
        <v>500</v>
      </c>
      <c r="S760" s="166" t="n">
        <v>500</v>
      </c>
      <c r="T760" s="166" t="n">
        <v>0</v>
      </c>
      <c r="U760" s="166" t="n">
        <v>500</v>
      </c>
      <c r="V760" s="166" t="n">
        <v>0</v>
      </c>
      <c r="W760" t="inlineStr">
        <is>
          <t>X</t>
        </is>
      </c>
      <c r="X760" t="inlineStr">
        <is>
          <t>0.00</t>
        </is>
      </c>
      <c r="Y760" t="inlineStr"/>
      <c r="Z760" t="inlineStr">
        <is>
          <t>TTI INC.</t>
        </is>
      </c>
      <c r="AA760" t="inlineStr">
        <is>
          <t>TE CONNECTIVITY</t>
        </is>
      </c>
      <c r="AB760" t="inlineStr">
        <is>
          <t>44A0111-16-45</t>
        </is>
      </c>
      <c r="AC760" t="inlineStr"/>
      <c r="AD760" s="164" t="n">
        <v>0</v>
      </c>
      <c r="AE760" s="185" t="n">
        <v>0</v>
      </c>
      <c r="AG760" s="167" t="inlineStr">
        <is>
          <t>7218|JA2581_1001</t>
        </is>
      </c>
      <c r="AH760" s="47">
        <f>IF(M760=0,"-",M760-J760)</f>
        <v/>
      </c>
      <c r="AI760" s="46">
        <f>IF(AND(S760=0,M760&gt;0,L760=0),IF(AH760&gt;=120,"VERY HIGH",IF(AH760&gt;=90,"HIGH",IF(AH760&gt;=60,"MEDIUM",IF(AH760&lt;60,"LOW")))),"-")</f>
        <v/>
      </c>
      <c r="AJ760" s="12" t="n"/>
      <c r="AK760" s="53">
        <f>IF(AND(W760="X",M760&lt;=$AJ$2),"YES","")</f>
        <v/>
      </c>
      <c r="AL760" s="54">
        <f>IF(AND(W760="X",M760&lt;=$AJ$2),S760,"")</f>
        <v/>
      </c>
      <c r="AM760" s="35" t="n"/>
      <c r="AN760" s="35">
        <f>IF(AND(W760="X",M760&gt;$AJ$2),S760,"")</f>
        <v/>
      </c>
      <c r="AO760" s="35">
        <f>IF(AND(W760="",M760&gt;0,$AJ$2&gt;M760,L760=""),1,0)</f>
        <v/>
      </c>
      <c r="AP760" s="35">
        <f>IF(AND(AK760="YES",W760="X"),"X","")</f>
        <v/>
      </c>
      <c r="AQ760" s="55">
        <f>IF(AP760="X",100%,0%)</f>
        <v/>
      </c>
      <c r="AR760" s="25">
        <f>IF(AND(T760&gt;0,L760=""),H760,"")</f>
        <v/>
      </c>
      <c r="AS760" s="25">
        <f>IF(AND(D760&gt;0,H760=0,G760=""),1,"")</f>
        <v/>
      </c>
      <c r="AT760" s="25">
        <f>IF(G760="BLOQ",1,"")</f>
        <v/>
      </c>
      <c r="AU760" s="25">
        <f>IF(L760="BLOQ",1,"")</f>
        <v/>
      </c>
      <c r="AV760" s="25">
        <f>MONTH(F760)</f>
        <v/>
      </c>
      <c r="AW760" s="65">
        <f>IF(AP760="",100%,0%)</f>
        <v/>
      </c>
      <c r="AX760" s="56" t="n"/>
      <c r="AY760" s="24">
        <f>IF(M760=0,"",M760-$AX$2)</f>
        <v/>
      </c>
      <c r="AZ760" s="66">
        <f>IF(AND(W760="",AY760&gt;0,AY760&lt;15),1,0)</f>
        <v/>
      </c>
      <c r="BA760" s="24">
        <f>IF(AND(W760="",AY760&gt;0,AY760&lt;15),T760,"")</f>
        <v/>
      </c>
      <c r="BB760" s="87">
        <f>IF(R760&lt;Q760,"X","")</f>
        <v/>
      </c>
      <c r="BC760" s="190" t="inlineStr">
        <is>
          <t>NO</t>
        </is>
      </c>
      <c r="BD760" s="191" t="inlineStr">
        <is>
          <t>SI</t>
        </is>
      </c>
    </row>
    <row r="761" ht="15" customHeight="1" s="162">
      <c r="A761" s="7" t="n">
        <v>760</v>
      </c>
      <c r="B761" t="inlineStr">
        <is>
          <t>1220100202010</t>
        </is>
      </c>
      <c r="C761" t="inlineStr">
        <is>
          <t>CBL FLEX 1XAWG20 PVDF 600V AM/VE ROHS</t>
        </is>
      </c>
      <c r="D761" t="inlineStr">
        <is>
          <t>1800108783</t>
        </is>
      </c>
      <c r="E761" t="inlineStr">
        <is>
          <t>30</t>
        </is>
      </c>
      <c r="F761" s="163" t="n">
        <v>45457</v>
      </c>
      <c r="G761" t="inlineStr"/>
      <c r="H761" t="inlineStr">
        <is>
          <t>4200568089</t>
        </is>
      </c>
      <c r="I761" t="inlineStr">
        <is>
          <t>10</t>
        </is>
      </c>
      <c r="J761" s="163" t="n">
        <v>45464</v>
      </c>
      <c r="K761" s="163" t="n">
        <v>45464</v>
      </c>
      <c r="L761" t="inlineStr"/>
      <c r="M761" s="163" t="n">
        <v>45488</v>
      </c>
      <c r="N761" s="164" t="n">
        <v>30</v>
      </c>
      <c r="O761" s="164" t="n">
        <v>8</v>
      </c>
      <c r="P761" t="inlineStr">
        <is>
          <t>Liberado</t>
        </is>
      </c>
      <c r="Q761" s="166" t="n">
        <v>100</v>
      </c>
      <c r="R761" s="166" t="n">
        <v>100</v>
      </c>
      <c r="S761" s="166" t="n">
        <v>100</v>
      </c>
      <c r="T761" s="166" t="n">
        <v>0</v>
      </c>
      <c r="U761" s="166" t="n">
        <v>0</v>
      </c>
      <c r="V761" s="166" t="n">
        <v>0</v>
      </c>
      <c r="W761" t="inlineStr">
        <is>
          <t>X</t>
        </is>
      </c>
      <c r="X761" t="inlineStr">
        <is>
          <t>0.00</t>
        </is>
      </c>
      <c r="Y761" t="inlineStr"/>
      <c r="Z761" t="inlineStr">
        <is>
          <t>TTI INC.</t>
        </is>
      </c>
      <c r="AA761" t="inlineStr">
        <is>
          <t>TE CONNECTIVITY</t>
        </is>
      </c>
      <c r="AB761" t="inlineStr">
        <is>
          <t>44A0111-20-45</t>
        </is>
      </c>
      <c r="AC761" t="inlineStr"/>
      <c r="AD761" s="164" t="n">
        <v>0</v>
      </c>
      <c r="AE761" s="185" t="n">
        <v>0</v>
      </c>
      <c r="AG761" s="167" t="inlineStr">
        <is>
          <t>7218|JA2581_1001</t>
        </is>
      </c>
      <c r="AH761" s="47">
        <f>IF(M761=0,"-",M761-J761)</f>
        <v/>
      </c>
      <c r="AI761" s="46">
        <f>IF(AND(S761=0,M761&gt;0,L761=0),IF(AH761&gt;=120,"VERY HIGH",IF(AH761&gt;=90,"HIGH",IF(AH761&gt;=60,"MEDIUM",IF(AH761&lt;60,"LOW")))),"-")</f>
        <v/>
      </c>
      <c r="AJ761" s="12" t="n"/>
      <c r="AK761" s="53">
        <f>IF(AND(W761="X",M761&lt;=$AJ$2),"YES","")</f>
        <v/>
      </c>
      <c r="AL761" s="54">
        <f>IF(AND(W761="X",M761&lt;=$AJ$2),S761,"")</f>
        <v/>
      </c>
      <c r="AM761" s="35" t="n"/>
      <c r="AN761" s="35">
        <f>IF(AND(W761="X",M761&gt;$AJ$2),S761,"")</f>
        <v/>
      </c>
      <c r="AO761" s="35">
        <f>IF(AND(W761="",M761&gt;0,$AJ$2&gt;M761,L761=""),1,0)</f>
        <v/>
      </c>
      <c r="AP761" s="35">
        <f>IF(AND(AK761="YES",W761="X"),"X","")</f>
        <v/>
      </c>
      <c r="AQ761" s="55">
        <f>IF(AP761="X",100%,0%)</f>
        <v/>
      </c>
      <c r="AR761" s="25">
        <f>IF(AND(T761&gt;0,L761=""),H761,"")</f>
        <v/>
      </c>
      <c r="AS761" s="25">
        <f>IF(AND(D761&gt;0,H761=0,G761=""),1,"")</f>
        <v/>
      </c>
      <c r="AT761" s="25">
        <f>IF(G761="BLOQ",1,"")</f>
        <v/>
      </c>
      <c r="AU761" s="25">
        <f>IF(L761="BLOQ",1,"")</f>
        <v/>
      </c>
      <c r="AV761" s="25">
        <f>MONTH(F761)</f>
        <v/>
      </c>
      <c r="AW761" s="65">
        <f>IF(AP761="",100%,0%)</f>
        <v/>
      </c>
      <c r="AX761" s="56" t="n"/>
      <c r="AY761" s="24">
        <f>IF(M761=0,"",M761-$AX$2)</f>
        <v/>
      </c>
      <c r="AZ761" s="66">
        <f>IF(AND(W761="",AY761&gt;0,AY761&lt;15),1,0)</f>
        <v/>
      </c>
      <c r="BA761" s="24">
        <f>IF(AND(W761="",AY761&gt;0,AY761&lt;15),T761,"")</f>
        <v/>
      </c>
      <c r="BB761" s="87">
        <f>IF(R761&lt;Q761,"X","")</f>
        <v/>
      </c>
      <c r="BC761" s="190" t="inlineStr">
        <is>
          <t>NO</t>
        </is>
      </c>
      <c r="BD761" s="191" t="inlineStr">
        <is>
          <t>SI</t>
        </is>
      </c>
    </row>
    <row r="762" ht="15" customHeight="1" s="162">
      <c r="A762" s="7" t="n">
        <v>761</v>
      </c>
      <c r="B762" t="inlineStr">
        <is>
          <t>1220100222002.LO</t>
        </is>
      </c>
      <c r="C762" t="inlineStr">
        <is>
          <t>CBL FLEX 1XAWG22 600V PVDF AM/VE CUSN</t>
        </is>
      </c>
      <c r="D762" t="inlineStr">
        <is>
          <t>1800108783</t>
        </is>
      </c>
      <c r="E762" t="inlineStr">
        <is>
          <t>40</t>
        </is>
      </c>
      <c r="F762" s="163" t="n">
        <v>45457</v>
      </c>
      <c r="G762" t="inlineStr"/>
      <c r="H762" t="inlineStr">
        <is>
          <t>4200575495</t>
        </is>
      </c>
      <c r="I762" t="inlineStr">
        <is>
          <t>160</t>
        </is>
      </c>
      <c r="J762" s="163" t="n">
        <v>45532</v>
      </c>
      <c r="K762" s="163" t="n">
        <v>45562</v>
      </c>
      <c r="L762" t="inlineStr"/>
      <c r="M762" s="163" t="n">
        <v>45560</v>
      </c>
      <c r="N762" s="164" t="n">
        <v>65</v>
      </c>
      <c r="O762" s="164" t="n">
        <v>8</v>
      </c>
      <c r="P762" t="inlineStr">
        <is>
          <t>Liberado</t>
        </is>
      </c>
      <c r="Q762" s="166" t="n">
        <v>200</v>
      </c>
      <c r="R762" s="166" t="n">
        <v>200</v>
      </c>
      <c r="S762" s="166" t="n">
        <v>200</v>
      </c>
      <c r="T762" s="166" t="n">
        <v>0</v>
      </c>
      <c r="U762" s="166" t="n">
        <v>0</v>
      </c>
      <c r="V762" s="166" t="n">
        <v>0</v>
      </c>
      <c r="W762" t="inlineStr">
        <is>
          <t>X</t>
        </is>
      </c>
      <c r="X762" t="inlineStr">
        <is>
          <t>0.00</t>
        </is>
      </c>
      <c r="Y762" t="inlineStr"/>
      <c r="Z762" t="inlineStr">
        <is>
          <t>SUMINISTROS CONECTORES PROF.,SA.</t>
        </is>
      </c>
      <c r="AA762" t="inlineStr">
        <is>
          <t>TE CONNECTIVITY</t>
        </is>
      </c>
      <c r="AB762" t="inlineStr">
        <is>
          <t>44A0111-22-45</t>
        </is>
      </c>
      <c r="AC762" t="inlineStr"/>
      <c r="AD762" s="164" t="n">
        <v>0</v>
      </c>
      <c r="AE762" s="185" t="n">
        <v>0</v>
      </c>
      <c r="AG762" s="167" t="inlineStr">
        <is>
          <t>7218|JA2581_1001</t>
        </is>
      </c>
      <c r="AH762" s="47">
        <f>IF(M762=0,"-",M762-J762)</f>
        <v/>
      </c>
      <c r="AI762" s="46">
        <f>IF(AND(S762=0,M762&gt;0,L762=0),IF(AH762&gt;=120,"VERY HIGH",IF(AH762&gt;=90,"HIGH",IF(AH762&gt;=60,"MEDIUM",IF(AH762&lt;60,"LOW")))),"-")</f>
        <v/>
      </c>
      <c r="AJ762" s="12" t="n"/>
      <c r="AK762" s="53">
        <f>IF(AND(W762="X",M762&lt;=$AJ$2),"YES","")</f>
        <v/>
      </c>
      <c r="AL762" s="54">
        <f>IF(AND(W762="X",M762&lt;=$AJ$2),S762,"")</f>
        <v/>
      </c>
      <c r="AM762" s="35" t="n"/>
      <c r="AN762" s="35">
        <f>IF(AND(W762="X",M762&gt;$AJ$2),S762,"")</f>
        <v/>
      </c>
      <c r="AO762" s="35">
        <f>IF(AND(W762="",M762&gt;0,$AJ$2&gt;M762,L762=""),1,0)</f>
        <v/>
      </c>
      <c r="AP762" s="35">
        <f>IF(AND(AK762="YES",W762="X"),"X","")</f>
        <v/>
      </c>
      <c r="AQ762" s="55">
        <f>IF(AP762="X",100%,0%)</f>
        <v/>
      </c>
      <c r="AR762" s="25">
        <f>IF(AND(T762&gt;0,L762=""),H762,"")</f>
        <v/>
      </c>
      <c r="AS762" s="25">
        <f>IF(AND(D762&gt;0,H762=0,G762=""),1,"")</f>
        <v/>
      </c>
      <c r="AT762" s="25">
        <f>IF(G762="BLOQ",1,"")</f>
        <v/>
      </c>
      <c r="AU762" s="25">
        <f>IF(L762="BLOQ",1,"")</f>
        <v/>
      </c>
      <c r="AV762" s="25">
        <f>MONTH(F762)</f>
        <v/>
      </c>
      <c r="AW762" s="65">
        <f>IF(AP762="",100%,0%)</f>
        <v/>
      </c>
      <c r="AX762" s="56" t="n"/>
      <c r="AY762" s="24">
        <f>IF(M762=0,"",M762-$AX$2)</f>
        <v/>
      </c>
      <c r="AZ762" s="66">
        <f>IF(AND(W762="",AY762&gt;0,AY762&lt;15),1,0)</f>
        <v/>
      </c>
      <c r="BA762" s="24">
        <f>IF(AND(W762="",AY762&gt;0,AY762&lt;15),T762,"")</f>
        <v/>
      </c>
      <c r="BB762" s="87">
        <f>IF(R762&lt;Q762,"X","")</f>
        <v/>
      </c>
      <c r="BC762" s="190" t="inlineStr">
        <is>
          <t>NO</t>
        </is>
      </c>
      <c r="BD762" s="191" t="inlineStr">
        <is>
          <t>SI</t>
        </is>
      </c>
    </row>
    <row r="763" ht="15" customHeight="1" s="162">
      <c r="A763" s="7" t="n">
        <v>762</v>
      </c>
      <c r="B763" t="inlineStr">
        <is>
          <t>1220100242001</t>
        </is>
      </c>
      <c r="C763" t="inlineStr">
        <is>
          <t>CBL FLEX 1XAWG24 600V PVDF AMAR/VER ROHS</t>
        </is>
      </c>
      <c r="D763" t="inlineStr">
        <is>
          <t>1800108783</t>
        </is>
      </c>
      <c r="E763" t="inlineStr">
        <is>
          <t>50</t>
        </is>
      </c>
      <c r="F763" s="163" t="n">
        <v>45457</v>
      </c>
      <c r="G763" t="inlineStr"/>
      <c r="H763" t="inlineStr">
        <is>
          <t>4200571556</t>
        </is>
      </c>
      <c r="I763" t="inlineStr">
        <is>
          <t>160</t>
        </is>
      </c>
      <c r="J763" s="163" t="n">
        <v>45492</v>
      </c>
      <c r="K763" s="163" t="n">
        <v>45497</v>
      </c>
      <c r="L763" t="inlineStr"/>
      <c r="M763" s="163" t="n">
        <v>45499</v>
      </c>
      <c r="N763" s="164" t="n">
        <v>85</v>
      </c>
      <c r="O763" s="164" t="n">
        <v>8</v>
      </c>
      <c r="P763" t="inlineStr">
        <is>
          <t>Liberado</t>
        </is>
      </c>
      <c r="Q763" s="166" t="n">
        <v>100</v>
      </c>
      <c r="R763" s="166" t="n">
        <v>100</v>
      </c>
      <c r="S763" s="166" t="n">
        <v>100</v>
      </c>
      <c r="T763" s="166" t="n">
        <v>0</v>
      </c>
      <c r="U763" s="166" t="n">
        <v>100</v>
      </c>
      <c r="V763" s="166" t="n">
        <v>0</v>
      </c>
      <c r="W763" t="inlineStr">
        <is>
          <t>X</t>
        </is>
      </c>
      <c r="X763" t="inlineStr">
        <is>
          <t>0.00</t>
        </is>
      </c>
      <c r="Y763" t="inlineStr"/>
      <c r="Z763" t="inlineStr">
        <is>
          <t>TTI INC.</t>
        </is>
      </c>
      <c r="AA763" t="inlineStr">
        <is>
          <t>TE CONNECTIVITY</t>
        </is>
      </c>
      <c r="AB763" t="inlineStr">
        <is>
          <t>44A0111-24-45</t>
        </is>
      </c>
      <c r="AC763" t="inlineStr"/>
      <c r="AD763" s="164" t="n">
        <v>0</v>
      </c>
      <c r="AE763" s="185" t="n">
        <v>0</v>
      </c>
      <c r="AG763" s="167" t="inlineStr">
        <is>
          <t>7218|JA2581_1001</t>
        </is>
      </c>
      <c r="AH763" s="47">
        <f>IF(M763=0,"-",M763-J763)</f>
        <v/>
      </c>
      <c r="AI763" s="46">
        <f>IF(AND(S763=0,M763&gt;0,L763=0),IF(AH763&gt;=120,"VERY HIGH",IF(AH763&gt;=90,"HIGH",IF(AH763&gt;=60,"MEDIUM",IF(AH763&lt;60,"LOW")))),"-")</f>
        <v/>
      </c>
      <c r="AJ763" s="12" t="n"/>
      <c r="AK763" s="53">
        <f>IF(AND(W763="X",M763&lt;=$AJ$2),"YES","")</f>
        <v/>
      </c>
      <c r="AL763" s="54">
        <f>IF(AND(W763="X",M763&lt;=$AJ$2),S763,"")</f>
        <v/>
      </c>
      <c r="AM763" s="35" t="n"/>
      <c r="AN763" s="35">
        <f>IF(AND(W763="X",M763&gt;$AJ$2),S763,"")</f>
        <v/>
      </c>
      <c r="AO763" s="35">
        <f>IF(AND(W763="",M763&gt;0,$AJ$2&gt;M763,L763=""),1,0)</f>
        <v/>
      </c>
      <c r="AP763" s="35">
        <f>IF(AND(AK763="YES",W763="X"),"X","")</f>
        <v/>
      </c>
      <c r="AQ763" s="55">
        <f>IF(AP763="X",100%,0%)</f>
        <v/>
      </c>
      <c r="AR763" s="25">
        <f>IF(AND(T763&gt;0,L763=""),H763,"")</f>
        <v/>
      </c>
      <c r="AS763" s="25">
        <f>IF(AND(D763&gt;0,H763=0,G763=""),1,"")</f>
        <v/>
      </c>
      <c r="AT763" s="25">
        <f>IF(G763="BLOQ",1,"")</f>
        <v/>
      </c>
      <c r="AU763" s="25">
        <f>IF(L763="BLOQ",1,"")</f>
        <v/>
      </c>
      <c r="AV763" s="25">
        <f>MONTH(F763)</f>
        <v/>
      </c>
      <c r="AW763" s="65">
        <f>IF(AP763="",100%,0%)</f>
        <v/>
      </c>
      <c r="AX763" s="56" t="n"/>
      <c r="AY763" s="24">
        <f>IF(M763=0,"",M763-$AX$2)</f>
        <v/>
      </c>
      <c r="AZ763" s="66">
        <f>IF(AND(W763="",AY763&gt;0,AY763&lt;15),1,0)</f>
        <v/>
      </c>
      <c r="BA763" s="24">
        <f>IF(AND(W763="",AY763&gt;0,AY763&lt;15),T763,"")</f>
        <v/>
      </c>
      <c r="BB763" s="87">
        <f>IF(R763&lt;Q763,"X","")</f>
        <v/>
      </c>
      <c r="BC763" s="190" t="inlineStr">
        <is>
          <t>NO</t>
        </is>
      </c>
      <c r="BD763" s="191" t="inlineStr">
        <is>
          <t>SI</t>
        </is>
      </c>
    </row>
    <row r="764" ht="15" customHeight="1" s="162">
      <c r="A764" s="7" t="n">
        <v>763</v>
      </c>
      <c r="B764" t="inlineStr">
        <is>
          <t>1221100122500</t>
        </is>
      </c>
      <c r="C764" t="inlineStr">
        <is>
          <t>CBL APANT 1XAWG12 PVDF 600V AV</t>
        </is>
      </c>
      <c r="D764" t="inlineStr">
        <is>
          <t>1800108783</t>
        </is>
      </c>
      <c r="E764" t="inlineStr">
        <is>
          <t>60</t>
        </is>
      </c>
      <c r="F764" s="163" t="n">
        <v>45457</v>
      </c>
      <c r="G764" t="inlineStr"/>
      <c r="H764" t="inlineStr">
        <is>
          <t>4200575740</t>
        </is>
      </c>
      <c r="I764" t="inlineStr">
        <is>
          <t>10</t>
        </is>
      </c>
      <c r="J764" s="163" t="n">
        <v>45534</v>
      </c>
      <c r="K764" s="163" t="n">
        <v>45536</v>
      </c>
      <c r="L764" t="inlineStr"/>
      <c r="M764" s="163" t="n">
        <v>45555</v>
      </c>
      <c r="N764" s="164" t="n">
        <v>30</v>
      </c>
      <c r="O764" s="164" t="n">
        <v>8</v>
      </c>
      <c r="P764" t="inlineStr">
        <is>
          <t>Liberado</t>
        </is>
      </c>
      <c r="Q764" s="166" t="n">
        <v>300</v>
      </c>
      <c r="R764" s="166" t="n">
        <v>300</v>
      </c>
      <c r="S764" s="166" t="n">
        <v>300</v>
      </c>
      <c r="T764" s="166" t="n">
        <v>0</v>
      </c>
      <c r="U764" s="166" t="n">
        <v>300</v>
      </c>
      <c r="V764" s="166" t="n">
        <v>0</v>
      </c>
      <c r="W764" t="inlineStr">
        <is>
          <t>X</t>
        </is>
      </c>
      <c r="X764" t="inlineStr">
        <is>
          <t>0.00</t>
        </is>
      </c>
      <c r="Y764" t="inlineStr"/>
      <c r="Z764" t="inlineStr">
        <is>
          <t>TCX MICRO, S.L.U</t>
        </is>
      </c>
      <c r="AA764" t="inlineStr">
        <is>
          <t>RAYCHEM CORP</t>
        </is>
      </c>
      <c r="AB764" t="inlineStr">
        <is>
          <t>44A0111-12-54</t>
        </is>
      </c>
      <c r="AC764" t="inlineStr"/>
      <c r="AD764" s="164" t="n">
        <v>0</v>
      </c>
      <c r="AE764" s="185" t="n">
        <v>0</v>
      </c>
      <c r="AG764" s="167" t="inlineStr">
        <is>
          <t>7218|JA2581_1001</t>
        </is>
      </c>
      <c r="AH764" s="47">
        <f>IF(M764=0,"-",M764-J764)</f>
        <v/>
      </c>
      <c r="AI764" s="46">
        <f>IF(AND(S764=0,M764&gt;0,L764=0),IF(AH764&gt;=120,"VERY HIGH",IF(AH764&gt;=90,"HIGH",IF(AH764&gt;=60,"MEDIUM",IF(AH764&lt;60,"LOW")))),"-")</f>
        <v/>
      </c>
      <c r="AJ764" s="12" t="n"/>
      <c r="AK764" s="53">
        <f>IF(AND(W764="X",M764&lt;=$AJ$2),"YES","")</f>
        <v/>
      </c>
      <c r="AL764" s="54">
        <f>IF(AND(W764="X",M764&lt;=$AJ$2),S764,"")</f>
        <v/>
      </c>
      <c r="AM764" s="35" t="n"/>
      <c r="AN764" s="35">
        <f>IF(AND(W764="X",M764&gt;$AJ$2),S764,"")</f>
        <v/>
      </c>
      <c r="AO764" s="35">
        <f>IF(AND(W764="",M764&gt;0,$AJ$2&gt;M764,L764=""),1,0)</f>
        <v/>
      </c>
      <c r="AP764" s="35">
        <f>IF(AND(AK764="YES",W764="X"),"X","")</f>
        <v/>
      </c>
      <c r="AQ764" s="55">
        <f>IF(AP764="X",100%,0%)</f>
        <v/>
      </c>
      <c r="AR764" s="25">
        <f>IF(AND(T764&gt;0,L764=""),H764,"")</f>
        <v/>
      </c>
      <c r="AS764" s="25">
        <f>IF(AND(D764&gt;0,H764=0,G764=""),1,"")</f>
        <v/>
      </c>
      <c r="AT764" s="25">
        <f>IF(G764="BLOQ",1,"")</f>
        <v/>
      </c>
      <c r="AU764" s="25">
        <f>IF(L764="BLOQ",1,"")</f>
        <v/>
      </c>
      <c r="AV764" s="25">
        <f>MONTH(F764)</f>
        <v/>
      </c>
      <c r="AW764" s="65">
        <f>IF(AP764="",100%,0%)</f>
        <v/>
      </c>
      <c r="AX764" s="56" t="n"/>
      <c r="AY764" s="24">
        <f>IF(M764=0,"",M764-$AX$2)</f>
        <v/>
      </c>
      <c r="AZ764" s="66">
        <f>IF(AND(W764="",AY764&gt;0,AY764&lt;15),1,0)</f>
        <v/>
      </c>
      <c r="BA764" s="24">
        <f>IF(AND(W764="",AY764&gt;0,AY764&lt;15),T764,"")</f>
        <v/>
      </c>
      <c r="BB764" s="87">
        <f>IF(R764&lt;Q764,"X","")</f>
        <v/>
      </c>
      <c r="BC764" s="190" t="inlineStr">
        <is>
          <t>NO</t>
        </is>
      </c>
      <c r="BD764" s="191" t="inlineStr">
        <is>
          <t>SI</t>
        </is>
      </c>
    </row>
    <row r="765" ht="15" customHeight="1" s="162">
      <c r="A765" s="7" t="n">
        <v>764</v>
      </c>
      <c r="B765" t="inlineStr">
        <is>
          <t>1221100182500</t>
        </is>
      </c>
      <c r="C765" t="inlineStr">
        <is>
          <t>CBL APAN 1 COND AWG18 VE DIAM=1,65MM</t>
        </is>
      </c>
      <c r="D765" t="inlineStr">
        <is>
          <t>1800108783</t>
        </is>
      </c>
      <c r="E765" t="inlineStr">
        <is>
          <t>70</t>
        </is>
      </c>
      <c r="F765" s="163" t="n">
        <v>45457</v>
      </c>
      <c r="G765" t="inlineStr"/>
      <c r="H765" t="inlineStr">
        <is>
          <t>4200570149</t>
        </is>
      </c>
      <c r="I765" t="inlineStr">
        <is>
          <t>30</t>
        </is>
      </c>
      <c r="J765" s="163" t="n">
        <v>45483</v>
      </c>
      <c r="K765" s="163" t="n">
        <v>45484</v>
      </c>
      <c r="L765" t="inlineStr"/>
      <c r="M765" s="163" t="n">
        <v>45511</v>
      </c>
      <c r="N765" s="164" t="n">
        <v>30</v>
      </c>
      <c r="O765" s="164" t="n">
        <v>8</v>
      </c>
      <c r="P765" t="inlineStr">
        <is>
          <t>Liberado</t>
        </is>
      </c>
      <c r="Q765" s="165" t="n">
        <v>100</v>
      </c>
      <c r="R765" s="165" t="n">
        <v>100</v>
      </c>
      <c r="S765" s="165" t="n">
        <v>100</v>
      </c>
      <c r="T765" s="165" t="n">
        <v>0</v>
      </c>
      <c r="U765" s="166" t="n">
        <v>100</v>
      </c>
      <c r="V765" s="166" t="n">
        <v>0</v>
      </c>
      <c r="W765" t="inlineStr">
        <is>
          <t>X</t>
        </is>
      </c>
      <c r="X765" t="inlineStr">
        <is>
          <t>0.00</t>
        </is>
      </c>
      <c r="Y765" t="inlineStr"/>
      <c r="Z765" t="inlineStr">
        <is>
          <t>SUMINISTROS CONECTORES PROF.,SA.</t>
        </is>
      </c>
      <c r="AA765" t="inlineStr">
        <is>
          <t>RAYCHEM CORP</t>
        </is>
      </c>
      <c r="AB765" t="inlineStr">
        <is>
          <t>44A0111-18-5</t>
        </is>
      </c>
      <c r="AC765" t="inlineStr"/>
      <c r="AD765" s="164" t="n">
        <v>0</v>
      </c>
      <c r="AE765" s="185" t="n">
        <v>0</v>
      </c>
      <c r="AG765" s="167" t="inlineStr">
        <is>
          <t>7218|JA2581_1001</t>
        </is>
      </c>
      <c r="AH765" s="47">
        <f>IF(M765=0,"-",M765-J765)</f>
        <v/>
      </c>
      <c r="AI765" s="46">
        <f>IF(AND(S765=0,M765&gt;0,L765=0),IF(AH765&gt;=120,"VERY HIGH",IF(AH765&gt;=90,"HIGH",IF(AH765&gt;=60,"MEDIUM",IF(AH765&lt;60,"LOW")))),"-")</f>
        <v/>
      </c>
      <c r="AJ765" s="12" t="n"/>
      <c r="AK765" s="53">
        <f>IF(AND(W765="X",M765&lt;=$AJ$2),"YES","")</f>
        <v/>
      </c>
      <c r="AL765" s="54">
        <f>IF(AND(W765="X",M765&lt;=$AJ$2),S765,"")</f>
        <v/>
      </c>
      <c r="AM765" s="35" t="n"/>
      <c r="AN765" s="35">
        <f>IF(AND(W765="X",M765&gt;$AJ$2),S765,"")</f>
        <v/>
      </c>
      <c r="AO765" s="35">
        <f>IF(AND(W765="",M765&gt;0,$AJ$2&gt;M765,L765=""),1,0)</f>
        <v/>
      </c>
      <c r="AP765" s="35">
        <f>IF(AND(AK765="YES",W765="X"),"X","")</f>
        <v/>
      </c>
      <c r="AQ765" s="55">
        <f>IF(AP765="X",100%,0%)</f>
        <v/>
      </c>
      <c r="AR765" s="25">
        <f>IF(AND(T765&gt;0,L765=""),H765,"")</f>
        <v/>
      </c>
      <c r="AS765" s="25">
        <f>IF(AND(D765&gt;0,H765=0,G765=""),1,"")</f>
        <v/>
      </c>
      <c r="AT765" s="25">
        <f>IF(G765="BLOQ",1,"")</f>
        <v/>
      </c>
      <c r="AU765" s="25">
        <f>IF(L765="BLOQ",1,"")</f>
        <v/>
      </c>
      <c r="AV765" s="25">
        <f>MONTH(F765)</f>
        <v/>
      </c>
      <c r="AW765" s="65">
        <f>IF(AP765="",100%,0%)</f>
        <v/>
      </c>
      <c r="AX765" s="56" t="n"/>
      <c r="AY765" s="24">
        <f>IF(M765=0,"",M765-$AX$2)</f>
        <v/>
      </c>
      <c r="AZ765" s="66">
        <f>IF(AND(W765="",AY765&gt;0,AY765&lt;15),1,0)</f>
        <v/>
      </c>
      <c r="BA765" s="24">
        <f>IF(AND(W765="",AY765&gt;0,AY765&lt;15),T765,"")</f>
        <v/>
      </c>
      <c r="BB765" s="87">
        <f>IF(R765&lt;Q765,"X","")</f>
        <v/>
      </c>
      <c r="BC765" s="190" t="inlineStr">
        <is>
          <t>NO</t>
        </is>
      </c>
      <c r="BD765" s="191" t="inlineStr">
        <is>
          <t>SI</t>
        </is>
      </c>
    </row>
    <row r="766" ht="15" customHeight="1" s="162">
      <c r="A766" s="7" t="n">
        <v>765</v>
      </c>
      <c r="B766" t="inlineStr">
        <is>
          <t>1221200202221</t>
        </is>
      </c>
      <c r="C766" t="inlineStr">
        <is>
          <t>CBL APA 2XAWG20 PVDF 600V CU/SN NE/BL-BL</t>
        </is>
      </c>
      <c r="D766" t="inlineStr">
        <is>
          <t>1800108783</t>
        </is>
      </c>
      <c r="E766" t="inlineStr">
        <is>
          <t>80</t>
        </is>
      </c>
      <c r="F766" s="163" t="n">
        <v>45457</v>
      </c>
      <c r="G766" t="inlineStr"/>
      <c r="H766" t="inlineStr">
        <is>
          <t>4200571560</t>
        </is>
      </c>
      <c r="I766" t="inlineStr">
        <is>
          <t>120</t>
        </is>
      </c>
      <c r="J766" s="163" t="n">
        <v>45492</v>
      </c>
      <c r="K766" s="163" t="n">
        <v>45576</v>
      </c>
      <c r="L766" t="inlineStr"/>
      <c r="M766" s="163" t="n">
        <v>45604</v>
      </c>
      <c r="N766" s="164" t="n">
        <v>35</v>
      </c>
      <c r="O766" s="164" t="n">
        <v>8</v>
      </c>
      <c r="P766" t="inlineStr">
        <is>
          <t>Liberado</t>
        </is>
      </c>
      <c r="Q766" s="165" t="n">
        <v>600</v>
      </c>
      <c r="R766" s="165" t="n">
        <v>600</v>
      </c>
      <c r="S766" s="165" t="n">
        <v>600</v>
      </c>
      <c r="T766" s="165" t="n">
        <v>0</v>
      </c>
      <c r="U766" s="166" t="n">
        <v>0</v>
      </c>
      <c r="V766" s="166" t="n">
        <v>0</v>
      </c>
      <c r="W766" t="inlineStr">
        <is>
          <t>X</t>
        </is>
      </c>
      <c r="X766" t="inlineStr">
        <is>
          <t>0.00</t>
        </is>
      </c>
      <c r="Y766" t="inlineStr"/>
      <c r="Z766" t="inlineStr">
        <is>
          <t>SUMINISTROS CONECTORES PROF.,SA.</t>
        </is>
      </c>
      <c r="AA766" t="inlineStr">
        <is>
          <t>TE CONNECTIVITY</t>
        </is>
      </c>
      <c r="AB766" t="inlineStr">
        <is>
          <t>44A1121-20-0/9-9</t>
        </is>
      </c>
      <c r="AC766" t="inlineStr"/>
      <c r="AD766" s="164" t="n">
        <v>2</v>
      </c>
      <c r="AE766" s="185" t="n">
        <v>0</v>
      </c>
      <c r="AG766" s="167" t="inlineStr">
        <is>
          <t>7218|JA2581_1001</t>
        </is>
      </c>
      <c r="AH766" s="47">
        <f>IF(M766=0,"-",M766-J766)</f>
        <v/>
      </c>
      <c r="AI766" s="46">
        <f>IF(AND(S766=0,M766&gt;0,L766=0),IF(AH766&gt;=120,"VERY HIGH",IF(AH766&gt;=90,"HIGH",IF(AH766&gt;=60,"MEDIUM",IF(AH766&lt;60,"LOW")))),"-")</f>
        <v/>
      </c>
      <c r="AJ766" s="12" t="n"/>
      <c r="AK766" s="53">
        <f>IF(AND(W766="X",M766&lt;=$AJ$2),"YES","")</f>
        <v/>
      </c>
      <c r="AL766" s="54">
        <f>IF(AND(W766="X",M766&lt;=$AJ$2),S766,"")</f>
        <v/>
      </c>
      <c r="AM766" s="35" t="n"/>
      <c r="AN766" s="35">
        <f>IF(AND(W766="X",M766&gt;$AJ$2),S766,"")</f>
        <v/>
      </c>
      <c r="AO766" s="35">
        <f>IF(AND(W766="",M766&gt;0,$AJ$2&gt;M766,L766=""),1,0)</f>
        <v/>
      </c>
      <c r="AP766" s="35">
        <f>IF(AND(AK766="YES",W766="X"),"X","")</f>
        <v/>
      </c>
      <c r="AQ766" s="55">
        <f>IF(AP766="X",100%,0%)</f>
        <v/>
      </c>
      <c r="AR766" s="25">
        <f>IF(AND(T766&gt;0,L766=""),H766,"")</f>
        <v/>
      </c>
      <c r="AS766" s="25">
        <f>IF(AND(D766&gt;0,H766=0,G766=""),1,"")</f>
        <v/>
      </c>
      <c r="AT766" s="25">
        <f>IF(G766="BLOQ",1,"")</f>
        <v/>
      </c>
      <c r="AU766" s="25">
        <f>IF(L766="BLOQ",1,"")</f>
        <v/>
      </c>
      <c r="AV766" s="25">
        <f>MONTH(F766)</f>
        <v/>
      </c>
      <c r="AW766" s="65">
        <f>IF(AP766="",100%,0%)</f>
        <v/>
      </c>
      <c r="AX766" s="56" t="n"/>
      <c r="AY766" s="24">
        <f>IF(M766=0,"",M766-$AX$2)</f>
        <v/>
      </c>
      <c r="AZ766" s="66">
        <f>IF(AND(W766="",AY766&gt;0,AY766&lt;15),1,0)</f>
        <v/>
      </c>
      <c r="BA766" s="24">
        <f>IF(AND(W766="",AY766&gt;0,AY766&lt;15),T766,"")</f>
        <v/>
      </c>
      <c r="BB766" s="87">
        <f>IF(R766&lt;Q766,"X","")</f>
        <v/>
      </c>
      <c r="BC766" s="190" t="inlineStr">
        <is>
          <t>NO</t>
        </is>
      </c>
      <c r="BD766" s="191" t="inlineStr">
        <is>
          <t>SI</t>
        </is>
      </c>
    </row>
    <row r="767" ht="15" customHeight="1" s="162">
      <c r="A767" s="7" t="n">
        <v>766</v>
      </c>
      <c r="B767" t="inlineStr">
        <is>
          <t>1221200222900</t>
        </is>
      </c>
      <c r="C767" t="inlineStr">
        <is>
          <t>CBL APANT 2XAWG22 PVDF 600V BL/NE-BL</t>
        </is>
      </c>
      <c r="D767" t="inlineStr">
        <is>
          <t>1800108783</t>
        </is>
      </c>
      <c r="E767" t="inlineStr">
        <is>
          <t>90</t>
        </is>
      </c>
      <c r="F767" s="163" t="n">
        <v>45457</v>
      </c>
      <c r="G767" t="inlineStr"/>
      <c r="H767" t="inlineStr">
        <is>
          <t>4200567987</t>
        </is>
      </c>
      <c r="I767" t="inlineStr">
        <is>
          <t>120</t>
        </is>
      </c>
      <c r="J767" s="163" t="n">
        <v>45463</v>
      </c>
      <c r="K767" s="163" t="n">
        <v>45611</v>
      </c>
      <c r="L767" t="inlineStr"/>
      <c r="M767" s="163" t="n">
        <v>45603</v>
      </c>
      <c r="N767" s="164" t="n">
        <v>45</v>
      </c>
      <c r="O767" s="164" t="n">
        <v>8</v>
      </c>
      <c r="P767" t="inlineStr">
        <is>
          <t>Liberado</t>
        </is>
      </c>
      <c r="Q767" s="165" t="n">
        <v>1500</v>
      </c>
      <c r="R767" s="165" t="n">
        <v>1500</v>
      </c>
      <c r="S767" s="165" t="n">
        <v>1500</v>
      </c>
      <c r="T767" s="165" t="n">
        <v>0</v>
      </c>
      <c r="U767" s="166" t="n">
        <v>1500</v>
      </c>
      <c r="V767" s="166" t="n">
        <v>0</v>
      </c>
      <c r="W767" t="inlineStr">
        <is>
          <t>X</t>
        </is>
      </c>
      <c r="X767" t="inlineStr">
        <is>
          <t>0.00</t>
        </is>
      </c>
      <c r="Y767" t="inlineStr"/>
      <c r="Z767" t="inlineStr">
        <is>
          <t>SUMINISTROS CONECTORES PROF.,SA.</t>
        </is>
      </c>
      <c r="AA767" t="inlineStr">
        <is>
          <t>TE CONNECTIVITY</t>
        </is>
      </c>
      <c r="AB767" t="inlineStr">
        <is>
          <t>44A1121-22-0/9-9</t>
        </is>
      </c>
      <c r="AC767" t="inlineStr"/>
      <c r="AD767" s="164" t="n">
        <v>1</v>
      </c>
      <c r="AE767" s="185" t="n">
        <v>0</v>
      </c>
      <c r="AG767" s="167" t="inlineStr">
        <is>
          <t>7218|JA2581_1001</t>
        </is>
      </c>
      <c r="AH767" s="47">
        <f>IF(M767=0,"-",M767-J767)</f>
        <v/>
      </c>
      <c r="AI767" s="46">
        <f>IF(AND(S767=0,M767&gt;0,L767=0),IF(AH767&gt;=120,"VERY HIGH",IF(AH767&gt;=90,"HIGH",IF(AH767&gt;=60,"MEDIUM",IF(AH767&lt;60,"LOW")))),"-")</f>
        <v/>
      </c>
      <c r="AJ767" s="12" t="n"/>
      <c r="AK767" s="53">
        <f>IF(AND(W767="X",M767&lt;=$AJ$2),"YES","")</f>
        <v/>
      </c>
      <c r="AL767" s="54">
        <f>IF(AND(W767="X",M767&lt;=$AJ$2),S767,"")</f>
        <v/>
      </c>
      <c r="AM767" s="35" t="n"/>
      <c r="AN767" s="35">
        <f>IF(AND(W767="X",M767&gt;$AJ$2),S767,"")</f>
        <v/>
      </c>
      <c r="AO767" s="35">
        <f>IF(AND(W767="",M767&gt;0,$AJ$2&gt;M767,L767=""),1,0)</f>
        <v/>
      </c>
      <c r="AP767" s="35">
        <f>IF(AND(AK767="YES",W767="X"),"X","")</f>
        <v/>
      </c>
      <c r="AQ767" s="55">
        <f>IF(AP767="X",100%,0%)</f>
        <v/>
      </c>
      <c r="AR767" s="25">
        <f>IF(AND(T767&gt;0,L767=""),H767,"")</f>
        <v/>
      </c>
      <c r="AS767" s="25">
        <f>IF(AND(D767&gt;0,H767=0,G767=""),1,"")</f>
        <v/>
      </c>
      <c r="AT767" s="25">
        <f>IF(G767="BLOQ",1,"")</f>
        <v/>
      </c>
      <c r="AU767" s="25">
        <f>IF(L767="BLOQ",1,"")</f>
        <v/>
      </c>
      <c r="AV767" s="25">
        <f>MONTH(F767)</f>
        <v/>
      </c>
      <c r="AW767" s="65">
        <f>IF(AP767="",100%,0%)</f>
        <v/>
      </c>
      <c r="AX767" s="56" t="n"/>
      <c r="AY767" s="24">
        <f>IF(M767=0,"",M767-$AX$2)</f>
        <v/>
      </c>
      <c r="AZ767" s="66">
        <f>IF(AND(W767="",AY767&gt;0,AY767&lt;15),1,0)</f>
        <v/>
      </c>
      <c r="BA767" s="24">
        <f>IF(AND(W767="",AY767&gt;0,AY767&lt;15),T767,"")</f>
        <v/>
      </c>
      <c r="BB767" s="87">
        <f>IF(R767&lt;Q767,"X","")</f>
        <v/>
      </c>
      <c r="BC767" s="190" t="inlineStr">
        <is>
          <t>NO</t>
        </is>
      </c>
      <c r="BD767" s="191" t="inlineStr">
        <is>
          <t>SI</t>
        </is>
      </c>
    </row>
    <row r="768" ht="15" customHeight="1" s="162">
      <c r="A768" s="7" t="n">
        <v>767</v>
      </c>
      <c r="B768" t="inlineStr">
        <is>
          <t>1221300222000.LO</t>
        </is>
      </c>
      <c r="C768" t="inlineStr">
        <is>
          <t>CBL APAN 3XAWG22 600V PVDF RO/AM/AZ ROHS</t>
        </is>
      </c>
      <c r="D768" t="inlineStr">
        <is>
          <t>1800108783</t>
        </is>
      </c>
      <c r="E768" t="inlineStr">
        <is>
          <t>100</t>
        </is>
      </c>
      <c r="F768" s="163" t="n">
        <v>45457</v>
      </c>
      <c r="G768" t="inlineStr"/>
      <c r="H768" t="inlineStr">
        <is>
          <t>4200571560</t>
        </is>
      </c>
      <c r="I768" t="inlineStr">
        <is>
          <t>130</t>
        </is>
      </c>
      <c r="J768" s="163" t="n">
        <v>45492</v>
      </c>
      <c r="K768" s="163" t="n">
        <v>45576</v>
      </c>
      <c r="L768" t="inlineStr"/>
      <c r="M768" s="163" t="n">
        <v>45575</v>
      </c>
      <c r="N768" s="164" t="n">
        <v>85</v>
      </c>
      <c r="O768" s="164" t="n">
        <v>8</v>
      </c>
      <c r="P768" t="inlineStr">
        <is>
          <t>Liberado</t>
        </is>
      </c>
      <c r="Q768" s="165" t="n">
        <v>500</v>
      </c>
      <c r="R768" s="165" t="n">
        <v>500</v>
      </c>
      <c r="S768" s="165" t="n">
        <v>500</v>
      </c>
      <c r="T768" s="165" t="n">
        <v>0</v>
      </c>
      <c r="U768" s="166" t="n">
        <v>500</v>
      </c>
      <c r="V768" s="166" t="n">
        <v>0</v>
      </c>
      <c r="W768" t="inlineStr">
        <is>
          <t>X</t>
        </is>
      </c>
      <c r="X768" t="inlineStr">
        <is>
          <t>0.00</t>
        </is>
      </c>
      <c r="Y768" t="inlineStr"/>
      <c r="Z768" t="inlineStr">
        <is>
          <t>SUMINISTROS CONECTORES PROF.,SA.</t>
        </is>
      </c>
      <c r="AA768" t="inlineStr">
        <is>
          <t>TE CONNECTIVITY</t>
        </is>
      </c>
      <c r="AB768" t="inlineStr">
        <is>
          <t>44A1131-22-2/4/6-9</t>
        </is>
      </c>
      <c r="AC768" t="inlineStr"/>
      <c r="AD768" s="164" t="n">
        <v>1</v>
      </c>
      <c r="AE768" s="185" t="n">
        <v>0</v>
      </c>
      <c r="AG768" s="167" t="inlineStr">
        <is>
          <t>7218|JA2581_1001</t>
        </is>
      </c>
      <c r="AH768" s="47">
        <f>IF(M768=0,"-",M768-J768)</f>
        <v/>
      </c>
      <c r="AI768" s="46">
        <f>IF(AND(S768=0,M768&gt;0,L768=0),IF(AH768&gt;=120,"VERY HIGH",IF(AH768&gt;=90,"HIGH",IF(AH768&gt;=60,"MEDIUM",IF(AH768&lt;60,"LOW")))),"-")</f>
        <v/>
      </c>
      <c r="AJ768" s="12" t="n"/>
      <c r="AK768" s="53">
        <f>IF(AND(W768="X",M768&lt;=$AJ$2),"YES","")</f>
        <v/>
      </c>
      <c r="AL768" s="54">
        <f>IF(AND(W768="X",M768&lt;=$AJ$2),S768,"")</f>
        <v/>
      </c>
      <c r="AM768" s="35" t="n"/>
      <c r="AN768" s="35">
        <f>IF(AND(W768="X",M768&gt;$AJ$2),S768,"")</f>
        <v/>
      </c>
      <c r="AO768" s="35">
        <f>IF(AND(W768="",M768&gt;0,$AJ$2&gt;M768,L768=""),1,0)</f>
        <v/>
      </c>
      <c r="AP768" s="35">
        <f>IF(AND(AK768="YES",W768="X"),"X","")</f>
        <v/>
      </c>
      <c r="AQ768" s="55">
        <f>IF(AP768="X",100%,0%)</f>
        <v/>
      </c>
      <c r="AR768" s="25">
        <f>IF(AND(T768&gt;0,L768=""),H768,"")</f>
        <v/>
      </c>
      <c r="AS768" s="25">
        <f>IF(AND(D768&gt;0,H768=0,G768=""),1,"")</f>
        <v/>
      </c>
      <c r="AT768" s="25">
        <f>IF(G768="BLOQ",1,"")</f>
        <v/>
      </c>
      <c r="AU768" s="25">
        <f>IF(L768="BLOQ",1,"")</f>
        <v/>
      </c>
      <c r="AV768" s="25">
        <f>MONTH(F768)</f>
        <v/>
      </c>
      <c r="AW768" s="65">
        <f>IF(AP768="",100%,0%)</f>
        <v/>
      </c>
      <c r="AX768" s="56" t="n"/>
      <c r="AY768" s="24">
        <f>IF(M768=0,"",M768-$AX$2)</f>
        <v/>
      </c>
      <c r="AZ768" s="66">
        <f>IF(AND(W768="",AY768&gt;0,AY768&lt;15),1,0)</f>
        <v/>
      </c>
      <c r="BA768" s="24">
        <f>IF(AND(W768="",AY768&gt;0,AY768&lt;15),T768,"")</f>
        <v/>
      </c>
      <c r="BB768" s="87">
        <f>IF(R768&lt;Q768,"X","")</f>
        <v/>
      </c>
      <c r="BC768" s="190" t="inlineStr">
        <is>
          <t>NO</t>
        </is>
      </c>
      <c r="BD768" s="191" t="inlineStr">
        <is>
          <t>SI</t>
        </is>
      </c>
    </row>
    <row r="769" ht="15" customHeight="1" s="162">
      <c r="A769" s="7" t="n">
        <v>768</v>
      </c>
      <c r="B769" t="inlineStr">
        <is>
          <t>1221400222402.LO</t>
        </is>
      </c>
      <c r="C769" t="inlineStr">
        <is>
          <t>CBL APANT 4XAWG22 CU-SN NE-RO-VE-BL/BL</t>
        </is>
      </c>
      <c r="D769" t="inlineStr">
        <is>
          <t>1800108783</t>
        </is>
      </c>
      <c r="E769" t="inlineStr">
        <is>
          <t>110</t>
        </is>
      </c>
      <c r="F769" s="163" t="n">
        <v>45457</v>
      </c>
      <c r="G769" t="inlineStr"/>
      <c r="H769" t="inlineStr">
        <is>
          <t>4200569218</t>
        </is>
      </c>
      <c r="I769" t="inlineStr">
        <is>
          <t>210</t>
        </is>
      </c>
      <c r="J769" s="163" t="n">
        <v>45476</v>
      </c>
      <c r="K769" s="163" t="n">
        <v>45891</v>
      </c>
      <c r="L769" t="inlineStr"/>
      <c r="M769" s="163" t="n">
        <v>45849</v>
      </c>
      <c r="N769" s="164" t="n">
        <v>85</v>
      </c>
      <c r="O769" s="164" t="n">
        <v>8</v>
      </c>
      <c r="P769" t="inlineStr">
        <is>
          <t>Liberado</t>
        </is>
      </c>
      <c r="Q769" s="165" t="n">
        <v>100</v>
      </c>
      <c r="R769" s="165" t="n">
        <v>977</v>
      </c>
      <c r="S769" s="165" t="n">
        <v>977</v>
      </c>
      <c r="T769" s="165" t="n">
        <v>0</v>
      </c>
      <c r="U769" s="166" t="n">
        <v>977</v>
      </c>
      <c r="V769" s="166" t="n">
        <v>0</v>
      </c>
      <c r="W769" t="inlineStr">
        <is>
          <t>X</t>
        </is>
      </c>
      <c r="X769" t="inlineStr">
        <is>
          <t>0.00</t>
        </is>
      </c>
      <c r="Y769" t="inlineStr"/>
      <c r="Z769" t="inlineStr">
        <is>
          <t>ARROW IBERIA ELECTRONICA SLU</t>
        </is>
      </c>
      <c r="AA769" t="inlineStr">
        <is>
          <t>TYCO ELECTR. FRANCE</t>
        </is>
      </c>
      <c r="AB769" t="inlineStr">
        <is>
          <t>44A1141-22-0/2/5/9-9</t>
        </is>
      </c>
      <c r="AC769" t="inlineStr"/>
      <c r="AD769" s="164" t="n">
        <v>1</v>
      </c>
      <c r="AE769" s="185" t="n">
        <v>0</v>
      </c>
      <c r="AG769" s="167" t="inlineStr">
        <is>
          <t>7218|JA2581_1001</t>
        </is>
      </c>
      <c r="AH769" s="47">
        <f>IF(M769=0,"-",M769-J769)</f>
        <v/>
      </c>
      <c r="AI769" s="46">
        <f>IF(AND(S769=0,M769&gt;0,L769=0),IF(AH769&gt;=120,"VERY HIGH",IF(AH769&gt;=90,"HIGH",IF(AH769&gt;=60,"MEDIUM",IF(AH769&lt;60,"LOW")))),"-")</f>
        <v/>
      </c>
      <c r="AJ769" s="12" t="n"/>
      <c r="AK769" s="53">
        <f>IF(AND(W769="X",M769&lt;=$AJ$2),"YES","")</f>
        <v/>
      </c>
      <c r="AL769" s="54">
        <f>IF(AND(W769="X",M769&lt;=$AJ$2),S769,"")</f>
        <v/>
      </c>
      <c r="AM769" s="35" t="n"/>
      <c r="AN769" s="35">
        <f>IF(AND(W769="X",M769&gt;$AJ$2),S769,"")</f>
        <v/>
      </c>
      <c r="AO769" s="35">
        <f>IF(AND(W769="",M769&gt;0,$AJ$2&gt;M769,L769=""),1,0)</f>
        <v/>
      </c>
      <c r="AP769" s="35">
        <f>IF(AND(AK769="YES",W769="X"),"X","")</f>
        <v/>
      </c>
      <c r="AQ769" s="55">
        <f>IF(AP769="X",100%,0%)</f>
        <v/>
      </c>
      <c r="AR769" s="25">
        <f>IF(AND(T769&gt;0,L769=""),H769,"")</f>
        <v/>
      </c>
      <c r="AS769" s="25">
        <f>IF(AND(D769&gt;0,H769=0,G769=""),1,"")</f>
        <v/>
      </c>
      <c r="AT769" s="25">
        <f>IF(G769="BLOQ",1,"")</f>
        <v/>
      </c>
      <c r="AU769" s="25">
        <f>IF(L769="BLOQ",1,"")</f>
        <v/>
      </c>
      <c r="AV769" s="25">
        <f>MONTH(F769)</f>
        <v/>
      </c>
      <c r="AW769" s="65">
        <f>IF(AP769="",100%,0%)</f>
        <v/>
      </c>
      <c r="AX769" s="56" t="n"/>
      <c r="AY769" s="24">
        <f>IF(M769=0,"",M769-$AX$2)</f>
        <v/>
      </c>
      <c r="AZ769" s="66">
        <f>IF(AND(W769="",AY769&gt;0,AY769&lt;15),1,0)</f>
        <v/>
      </c>
      <c r="BA769" s="24">
        <f>IF(AND(W769="",AY769&gt;0,AY769&lt;15),T769,"")</f>
        <v/>
      </c>
      <c r="BB769" s="87">
        <f>IF(R769&lt;Q769,"X","")</f>
        <v/>
      </c>
      <c r="BC769" s="190" t="inlineStr">
        <is>
          <t>NO</t>
        </is>
      </c>
      <c r="BD769" s="191" t="inlineStr">
        <is>
          <t>SI</t>
        </is>
      </c>
    </row>
    <row r="770" ht="15" customHeight="1" s="162">
      <c r="A770" s="7" t="n">
        <v>769</v>
      </c>
      <c r="B770" t="inlineStr">
        <is>
          <t>1222200182010.LO</t>
        </is>
      </c>
      <c r="C770" t="inlineStr">
        <is>
          <t>CBLTRENZ 2XAWG18 PVDF 600V NE/RO ROHS</t>
        </is>
      </c>
      <c r="D770" t="inlineStr">
        <is>
          <t>1800108783</t>
        </is>
      </c>
      <c r="E770" t="inlineStr">
        <is>
          <t>130</t>
        </is>
      </c>
      <c r="F770" s="163" t="n">
        <v>45457</v>
      </c>
      <c r="G770" t="inlineStr"/>
      <c r="H770" t="inlineStr">
        <is>
          <t>4200571560</t>
        </is>
      </c>
      <c r="I770" t="inlineStr">
        <is>
          <t>140</t>
        </is>
      </c>
      <c r="J770" s="163" t="n">
        <v>45492</v>
      </c>
      <c r="K770" s="163" t="n">
        <v>45576</v>
      </c>
      <c r="L770" t="inlineStr"/>
      <c r="M770" s="163" t="n">
        <v>45604</v>
      </c>
      <c r="N770" s="164" t="n">
        <v>65</v>
      </c>
      <c r="O770" s="164" t="n">
        <v>8</v>
      </c>
      <c r="P770" t="inlineStr">
        <is>
          <t>Liberado</t>
        </is>
      </c>
      <c r="Q770" s="165" t="n">
        <v>300</v>
      </c>
      <c r="R770" s="165" t="n">
        <v>300</v>
      </c>
      <c r="S770" s="165" t="n">
        <v>300</v>
      </c>
      <c r="T770" s="165" t="n">
        <v>0</v>
      </c>
      <c r="U770" s="166" t="n">
        <v>300</v>
      </c>
      <c r="V770" s="166" t="n">
        <v>0</v>
      </c>
      <c r="W770" t="inlineStr">
        <is>
          <t>X</t>
        </is>
      </c>
      <c r="X770" t="inlineStr">
        <is>
          <t>0.00</t>
        </is>
      </c>
      <c r="Y770" t="inlineStr"/>
      <c r="Z770" t="inlineStr">
        <is>
          <t>SUMINISTROS CONECTORES PROF.,SA.</t>
        </is>
      </c>
      <c r="AA770" t="inlineStr">
        <is>
          <t>TE CONNECTIVITY</t>
        </is>
      </c>
      <c r="AB770" t="inlineStr">
        <is>
          <t>44A0121-18-0/2</t>
        </is>
      </c>
      <c r="AC770" t="inlineStr"/>
      <c r="AD770" s="164" t="n">
        <v>2</v>
      </c>
      <c r="AE770" s="185" t="n">
        <v>0</v>
      </c>
      <c r="AG770" s="167" t="inlineStr">
        <is>
          <t>7218|JA2581_1001</t>
        </is>
      </c>
      <c r="AH770" s="47">
        <f>IF(M770=0,"-",M770-J770)</f>
        <v/>
      </c>
      <c r="AI770" s="46">
        <f>IF(AND(S770=0,M770&gt;0,L770=0),IF(AH770&gt;=120,"VERY HIGH",IF(AH770&gt;=90,"HIGH",IF(AH770&gt;=60,"MEDIUM",IF(AH770&lt;60,"LOW")))),"-")</f>
        <v/>
      </c>
      <c r="AJ770" s="12" t="n"/>
      <c r="AK770" s="53">
        <f>IF(AND(W770="X",M770&lt;=$AJ$2),"YES","")</f>
        <v/>
      </c>
      <c r="AL770" s="54">
        <f>IF(AND(W770="X",M770&lt;=$AJ$2),S770,"")</f>
        <v/>
      </c>
      <c r="AM770" s="35" t="n"/>
      <c r="AN770" s="35">
        <f>IF(AND(W770="X",M770&gt;$AJ$2),S770,"")</f>
        <v/>
      </c>
      <c r="AO770" s="35">
        <f>IF(AND(W770="",M770&gt;0,$AJ$2&gt;M770,L770=""),1,0)</f>
        <v/>
      </c>
      <c r="AP770" s="35">
        <f>IF(AND(AK770="YES",W770="X"),"X","")</f>
        <v/>
      </c>
      <c r="AQ770" s="55">
        <f>IF(AP770="X",100%,0%)</f>
        <v/>
      </c>
      <c r="AR770" s="25">
        <f>IF(AND(T770&gt;0,L770=""),H770,"")</f>
        <v/>
      </c>
      <c r="AS770" s="25">
        <f>IF(AND(D770&gt;0,H770=0,G770=""),1,"")</f>
        <v/>
      </c>
      <c r="AT770" s="25">
        <f>IF(G770="BLOQ",1,"")</f>
        <v/>
      </c>
      <c r="AU770" s="25">
        <f>IF(L770="BLOQ",1,"")</f>
        <v/>
      </c>
      <c r="AV770" s="25">
        <f>MONTH(F770)</f>
        <v/>
      </c>
      <c r="AW770" s="65">
        <f>IF(AP770="",100%,0%)</f>
        <v/>
      </c>
      <c r="AX770" s="56" t="n"/>
      <c r="AY770" s="24">
        <f>IF(M770=0,"",M770-$AX$2)</f>
        <v/>
      </c>
      <c r="AZ770" s="66">
        <f>IF(AND(W770="",AY770&gt;0,AY770&lt;15),1,0)</f>
        <v/>
      </c>
      <c r="BA770" s="24">
        <f>IF(AND(W770="",AY770&gt;0,AY770&lt;15),T770,"")</f>
        <v/>
      </c>
      <c r="BB770" s="87">
        <f>IF(R770&lt;Q770,"X","")</f>
        <v/>
      </c>
      <c r="BC770" s="190" t="inlineStr">
        <is>
          <t>NO</t>
        </is>
      </c>
      <c r="BD770" s="191" t="inlineStr">
        <is>
          <t>SI</t>
        </is>
      </c>
    </row>
    <row r="771" ht="15" customHeight="1" s="162">
      <c r="A771" s="7" t="n">
        <v>770</v>
      </c>
      <c r="B771" t="inlineStr">
        <is>
          <t>1222200202210</t>
        </is>
      </c>
      <c r="C771" t="inlineStr">
        <is>
          <t>CBL FLEX 2XAWG20 PVDF 600V NE/BL</t>
        </is>
      </c>
      <c r="D771" t="inlineStr">
        <is>
          <t>1800108783</t>
        </is>
      </c>
      <c r="E771" t="inlineStr">
        <is>
          <t>140</t>
        </is>
      </c>
      <c r="F771" s="163" t="n">
        <v>45457</v>
      </c>
      <c r="G771" t="inlineStr"/>
      <c r="H771" t="inlineStr">
        <is>
          <t>4200569380</t>
        </is>
      </c>
      <c r="I771" t="inlineStr">
        <is>
          <t>510</t>
        </is>
      </c>
      <c r="J771" s="163" t="n">
        <v>45477</v>
      </c>
      <c r="K771" s="163" t="n">
        <v>45561</v>
      </c>
      <c r="L771" t="inlineStr"/>
      <c r="M771" s="163" t="n">
        <v>45551</v>
      </c>
      <c r="N771" s="164" t="n">
        <v>60</v>
      </c>
      <c r="O771" s="164" t="n">
        <v>8</v>
      </c>
      <c r="P771" t="inlineStr">
        <is>
          <t>Liberado</t>
        </is>
      </c>
      <c r="Q771" s="165" t="n">
        <v>600</v>
      </c>
      <c r="R771" s="165" t="n">
        <v>600</v>
      </c>
      <c r="S771" s="165" t="n">
        <v>600</v>
      </c>
      <c r="T771" s="165" t="n">
        <v>0</v>
      </c>
      <c r="U771" s="166" t="n">
        <v>0</v>
      </c>
      <c r="V771" s="166" t="n">
        <v>0</v>
      </c>
      <c r="W771" t="inlineStr">
        <is>
          <t>X</t>
        </is>
      </c>
      <c r="X771" t="inlineStr">
        <is>
          <t>0.00</t>
        </is>
      </c>
      <c r="Y771" t="inlineStr"/>
      <c r="Z771" t="inlineStr">
        <is>
          <t>TTI INC.</t>
        </is>
      </c>
      <c r="AA771" t="inlineStr">
        <is>
          <t>TE CONNECTIVITY</t>
        </is>
      </c>
      <c r="AB771" t="inlineStr">
        <is>
          <t>44A0121-20-0/9</t>
        </is>
      </c>
      <c r="AC771" t="inlineStr"/>
      <c r="AD771" s="164" t="n">
        <v>0</v>
      </c>
      <c r="AE771" s="185" t="n">
        <v>0</v>
      </c>
      <c r="AG771" s="167" t="inlineStr">
        <is>
          <t>7218|JA2581_1001</t>
        </is>
      </c>
      <c r="AH771" s="47">
        <f>IF(M771=0,"-",M771-J771)</f>
        <v/>
      </c>
      <c r="AI771" s="46">
        <f>IF(AND(S771=0,M771&gt;0,L771=0),IF(AH771&gt;=120,"VERY HIGH",IF(AH771&gt;=90,"HIGH",IF(AH771&gt;=60,"MEDIUM",IF(AH771&lt;60,"LOW")))),"-")</f>
        <v/>
      </c>
      <c r="AJ771" s="12" t="n"/>
      <c r="AK771" s="53">
        <f>IF(AND(W771="X",M771&lt;=$AJ$2),"YES","")</f>
        <v/>
      </c>
      <c r="AL771" s="54">
        <f>IF(AND(W771="X",M771&lt;=$AJ$2),S771,"")</f>
        <v/>
      </c>
      <c r="AM771" s="35" t="n"/>
      <c r="AN771" s="35">
        <f>IF(AND(W771="X",M771&gt;$AJ$2),S771,"")</f>
        <v/>
      </c>
      <c r="AO771" s="35">
        <f>IF(AND(W771="",M771&gt;0,$AJ$2&gt;M771,L771=""),1,0)</f>
        <v/>
      </c>
      <c r="AP771" s="35">
        <f>IF(AND(AK771="YES",W771="X"),"X","")</f>
        <v/>
      </c>
      <c r="AQ771" s="55">
        <f>IF(AP771="X",100%,0%)</f>
        <v/>
      </c>
      <c r="AR771" s="25">
        <f>IF(AND(T771&gt;0,L771=""),H771,"")</f>
        <v/>
      </c>
      <c r="AS771" s="25">
        <f>IF(AND(D771&gt;0,H771=0,G771=""),1,"")</f>
        <v/>
      </c>
      <c r="AT771" s="25">
        <f>IF(G771="BLOQ",1,"")</f>
        <v/>
      </c>
      <c r="AU771" s="25">
        <f>IF(L771="BLOQ",1,"")</f>
        <v/>
      </c>
      <c r="AV771" s="25">
        <f>MONTH(F771)</f>
        <v/>
      </c>
      <c r="AW771" s="65">
        <f>IF(AP771="",100%,0%)</f>
        <v/>
      </c>
      <c r="AX771" s="56" t="n"/>
      <c r="AY771" s="24">
        <f>IF(M771=0,"",M771-$AX$2)</f>
        <v/>
      </c>
      <c r="AZ771" s="66">
        <f>IF(AND(W771="",AY771&gt;0,AY771&lt;15),1,0)</f>
        <v/>
      </c>
      <c r="BA771" s="24">
        <f>IF(AND(W771="",AY771&gt;0,AY771&lt;15),T771,"")</f>
        <v/>
      </c>
      <c r="BB771" s="87">
        <f>IF(R771&lt;Q771,"X","")</f>
        <v/>
      </c>
      <c r="BC771" s="190" t="inlineStr">
        <is>
          <t>NO</t>
        </is>
      </c>
      <c r="BD771" s="191" t="inlineStr">
        <is>
          <t>SI</t>
        </is>
      </c>
    </row>
    <row r="772" ht="15" customHeight="1" s="162">
      <c r="A772" s="7" t="n">
        <v>771</v>
      </c>
      <c r="B772" t="inlineStr">
        <is>
          <t>1229991079506</t>
        </is>
      </c>
      <c r="C772" t="inlineStr">
        <is>
          <t>CBL FLEX TRENZ 2XAWG20 600V PVDF NGR/ROJ</t>
        </is>
      </c>
      <c r="D772" t="inlineStr">
        <is>
          <t>1800108783</t>
        </is>
      </c>
      <c r="E772" t="inlineStr">
        <is>
          <t>150</t>
        </is>
      </c>
      <c r="F772" s="163" t="n">
        <v>45457</v>
      </c>
      <c r="G772" t="inlineStr"/>
      <c r="H772" t="inlineStr">
        <is>
          <t>4200571560</t>
        </is>
      </c>
      <c r="I772" t="inlineStr">
        <is>
          <t>150</t>
        </is>
      </c>
      <c r="J772" s="163" t="n">
        <v>45492</v>
      </c>
      <c r="K772" s="163" t="n">
        <v>45576</v>
      </c>
      <c r="L772" t="inlineStr"/>
      <c r="M772" s="163" t="n">
        <v>45593</v>
      </c>
      <c r="N772" s="164" t="n">
        <v>40</v>
      </c>
      <c r="O772" s="164" t="n">
        <v>8</v>
      </c>
      <c r="P772" t="inlineStr">
        <is>
          <t>Liberado</t>
        </is>
      </c>
      <c r="Q772" s="165" t="n">
        <v>300</v>
      </c>
      <c r="R772" s="165" t="n">
        <v>300</v>
      </c>
      <c r="S772" s="165" t="n">
        <v>300</v>
      </c>
      <c r="T772" s="165" t="n">
        <v>0</v>
      </c>
      <c r="U772" s="166" t="n">
        <v>0</v>
      </c>
      <c r="V772" s="166" t="n">
        <v>0</v>
      </c>
      <c r="W772" t="inlineStr">
        <is>
          <t>X</t>
        </is>
      </c>
      <c r="X772" t="inlineStr">
        <is>
          <t>0.00</t>
        </is>
      </c>
      <c r="Y772" t="inlineStr"/>
      <c r="Z772" t="inlineStr">
        <is>
          <t>SUMINISTROS CONECTORES PROF.,SA.</t>
        </is>
      </c>
      <c r="AA772" t="inlineStr">
        <is>
          <t>TE CONNECTIVITY</t>
        </is>
      </c>
      <c r="AB772" t="inlineStr">
        <is>
          <t>44A0121-20-0/2</t>
        </is>
      </c>
      <c r="AC772" t="inlineStr"/>
      <c r="AD772" s="164" t="n">
        <v>1</v>
      </c>
      <c r="AE772" s="185" t="n">
        <v>0</v>
      </c>
      <c r="AG772" s="167" t="inlineStr">
        <is>
          <t>7218|JA2581_1001</t>
        </is>
      </c>
      <c r="AH772" s="47">
        <f>IF(M772=0,"-",M772-J772)</f>
        <v/>
      </c>
      <c r="AI772" s="46">
        <f>IF(AND(S772=0,M772&gt;0,L772=0),IF(AH772&gt;=120,"VERY HIGH",IF(AH772&gt;=90,"HIGH",IF(AH772&gt;=60,"MEDIUM",IF(AH772&lt;60,"LOW")))),"-")</f>
        <v/>
      </c>
      <c r="AJ772" s="12" t="n"/>
      <c r="AK772" s="53">
        <f>IF(AND(W772="X",M772&lt;=$AJ$2),"YES","")</f>
        <v/>
      </c>
      <c r="AL772" s="54">
        <f>IF(AND(W772="X",M772&lt;=$AJ$2),S772,"")</f>
        <v/>
      </c>
      <c r="AM772" s="35" t="n"/>
      <c r="AN772" s="35">
        <f>IF(AND(W772="X",M772&gt;$AJ$2),S772,"")</f>
        <v/>
      </c>
      <c r="AO772" s="35">
        <f>IF(AND(W772="",M772&gt;0,$AJ$2&gt;M772,L772=""),1,0)</f>
        <v/>
      </c>
      <c r="AP772" s="35">
        <f>IF(AND(AK772="YES",W772="X"),"X","")</f>
        <v/>
      </c>
      <c r="AQ772" s="55">
        <f>IF(AP772="X",100%,0%)</f>
        <v/>
      </c>
      <c r="AR772" s="25">
        <f>IF(AND(T772&gt;0,L772=""),H772,"")</f>
        <v/>
      </c>
      <c r="AS772" s="25">
        <f>IF(AND(D772&gt;0,H772=0,G772=""),1,"")</f>
        <v/>
      </c>
      <c r="AT772" s="25">
        <f>IF(G772="BLOQ",1,"")</f>
        <v/>
      </c>
      <c r="AU772" s="25">
        <f>IF(L772="BLOQ",1,"")</f>
        <v/>
      </c>
      <c r="AV772" s="25">
        <f>MONTH(F772)</f>
        <v/>
      </c>
      <c r="AW772" s="65">
        <f>IF(AP772="",100%,0%)</f>
        <v/>
      </c>
      <c r="AX772" s="56" t="n"/>
      <c r="AY772" s="24">
        <f>IF(M772=0,"",M772-$AX$2)</f>
        <v/>
      </c>
      <c r="AZ772" s="66">
        <f>IF(AND(W772="",AY772&gt;0,AY772&lt;15),1,0)</f>
        <v/>
      </c>
      <c r="BA772" s="24">
        <f>IF(AND(W772="",AY772&gt;0,AY772&lt;15),T772,"")</f>
        <v/>
      </c>
      <c r="BB772" s="87">
        <f>IF(R772&lt;Q772,"X","")</f>
        <v/>
      </c>
      <c r="BC772" s="190" t="inlineStr">
        <is>
          <t>NO</t>
        </is>
      </c>
      <c r="BD772" s="190" t="inlineStr">
        <is>
          <t>NO</t>
        </is>
      </c>
    </row>
    <row r="773" ht="15" customHeight="1" s="162">
      <c r="A773" s="7" t="n">
        <v>772</v>
      </c>
      <c r="B773" t="inlineStr">
        <is>
          <t>1233090000040</t>
        </is>
      </c>
      <c r="C773" t="inlineStr">
        <is>
          <t>CUERDA 0,060" PA WAX NYLON M43435-I-4-B</t>
        </is>
      </c>
      <c r="D773" t="inlineStr">
        <is>
          <t>1800108783</t>
        </is>
      </c>
      <c r="E773" t="inlineStr">
        <is>
          <t>160</t>
        </is>
      </c>
      <c r="F773" s="163" t="n">
        <v>45457</v>
      </c>
      <c r="G773" t="inlineStr"/>
      <c r="H773" t="inlineStr">
        <is>
          <t>4200568066</t>
        </is>
      </c>
      <c r="I773" t="inlineStr">
        <is>
          <t>10</t>
        </is>
      </c>
      <c r="J773" s="163" t="n">
        <v>45464</v>
      </c>
      <c r="K773" s="163" t="n">
        <v>45470</v>
      </c>
      <c r="L773" t="inlineStr"/>
      <c r="M773" s="163" t="n">
        <v>45506</v>
      </c>
      <c r="N773" s="164" t="n">
        <v>30</v>
      </c>
      <c r="O773" s="164" t="n">
        <v>8</v>
      </c>
      <c r="P773" t="inlineStr">
        <is>
          <t>Liberado</t>
        </is>
      </c>
      <c r="Q773" s="165" t="n">
        <v>200</v>
      </c>
      <c r="R773" s="165" t="n">
        <v>457</v>
      </c>
      <c r="S773" s="165" t="n">
        <v>457</v>
      </c>
      <c r="T773" s="165" t="n">
        <v>0</v>
      </c>
      <c r="U773" s="166" t="n">
        <v>457</v>
      </c>
      <c r="V773" s="166" t="n">
        <v>0</v>
      </c>
      <c r="W773" t="inlineStr">
        <is>
          <t>X</t>
        </is>
      </c>
      <c r="X773" t="inlineStr">
        <is>
          <t>0.00</t>
        </is>
      </c>
      <c r="Y773" t="inlineStr"/>
      <c r="Z773" t="inlineStr">
        <is>
          <t>SUMINISTROS CONECTORES PROF.,SA.</t>
        </is>
      </c>
      <c r="AA773" t="inlineStr">
        <is>
          <t>FEDERAL SPEC.</t>
        </is>
      </c>
      <c r="AB773" t="inlineStr">
        <is>
          <t>AA52080-B-4 BLACK</t>
        </is>
      </c>
      <c r="AC773" t="inlineStr"/>
      <c r="AD773" s="164" t="n">
        <v>0</v>
      </c>
      <c r="AE773" s="185" t="n">
        <v>0</v>
      </c>
      <c r="AG773" s="167" t="inlineStr">
        <is>
          <t>7218|JA2581_1001</t>
        </is>
      </c>
      <c r="AH773" s="47">
        <f>IF(M773=0,"-",M773-J773)</f>
        <v/>
      </c>
      <c r="AI773" s="46">
        <f>IF(AND(S773=0,M773&gt;0,L773=0),IF(AH773&gt;=120,"VERY HIGH",IF(AH773&gt;=90,"HIGH",IF(AH773&gt;=60,"MEDIUM",IF(AH773&lt;60,"LOW")))),"-")</f>
        <v/>
      </c>
      <c r="AJ773" s="12" t="n"/>
      <c r="AK773" s="53">
        <f>IF(AND(W773="X",M773&lt;=$AJ$2),"YES","")</f>
        <v/>
      </c>
      <c r="AL773" s="54">
        <f>IF(AND(W773="X",M773&lt;=$AJ$2),S773,"")</f>
        <v/>
      </c>
      <c r="AM773" s="35" t="n"/>
      <c r="AN773" s="35">
        <f>IF(AND(W773="X",M773&gt;$AJ$2),S773,"")</f>
        <v/>
      </c>
      <c r="AO773" s="35">
        <f>IF(AND(W773="",M773&gt;0,$AJ$2&gt;M773,L773=""),1,0)</f>
        <v/>
      </c>
      <c r="AP773" s="35">
        <f>IF(AND(AK773="YES",W773="X"),"X","")</f>
        <v/>
      </c>
      <c r="AQ773" s="55">
        <f>IF(AP773="X",100%,0%)</f>
        <v/>
      </c>
      <c r="AR773" s="25">
        <f>IF(AND(T773&gt;0,L773=""),H773,"")</f>
        <v/>
      </c>
      <c r="AS773" s="25">
        <f>IF(AND(D773&gt;0,H773=0,G773=""),1,"")</f>
        <v/>
      </c>
      <c r="AT773" s="25">
        <f>IF(G773="BLOQ",1,"")</f>
        <v/>
      </c>
      <c r="AU773" s="25">
        <f>IF(L773="BLOQ",1,"")</f>
        <v/>
      </c>
      <c r="AV773" s="25">
        <f>MONTH(F773)</f>
        <v/>
      </c>
      <c r="AW773" s="65">
        <f>IF(AP773="",100%,0%)</f>
        <v/>
      </c>
      <c r="AX773" s="56" t="n"/>
      <c r="AY773" s="24">
        <f>IF(M773=0,"",M773-$AX$2)</f>
        <v/>
      </c>
      <c r="AZ773" s="66">
        <f>IF(AND(W773="",AY773&gt;0,AY773&lt;15),1,0)</f>
        <v/>
      </c>
      <c r="BA773" s="24">
        <f>IF(AND(W773="",AY773&gt;0,AY773&lt;15),T773,"")</f>
        <v/>
      </c>
      <c r="BB773" s="87">
        <f>IF(R773&lt;Q773,"X","")</f>
        <v/>
      </c>
      <c r="BC773" s="190" t="inlineStr">
        <is>
          <t>NO</t>
        </is>
      </c>
      <c r="BD773" s="191" t="inlineStr">
        <is>
          <t>SI</t>
        </is>
      </c>
    </row>
    <row r="774" ht="15" customHeight="1" s="162">
      <c r="A774" s="7" t="n">
        <v>773</v>
      </c>
      <c r="B774" t="inlineStr">
        <is>
          <t>1233090000040</t>
        </is>
      </c>
      <c r="C774" t="inlineStr">
        <is>
          <t>CUERDA 0,060" PA WAX NYLON M43435-I-4-B</t>
        </is>
      </c>
      <c r="D774" t="inlineStr">
        <is>
          <t>1800108783</t>
        </is>
      </c>
      <c r="E774" t="inlineStr">
        <is>
          <t>160</t>
        </is>
      </c>
      <c r="F774" s="163" t="n">
        <v>45457</v>
      </c>
      <c r="G774" t="inlineStr"/>
      <c r="H774" t="inlineStr">
        <is>
          <t>4200568063</t>
        </is>
      </c>
      <c r="I774" t="inlineStr">
        <is>
          <t>10</t>
        </is>
      </c>
      <c r="J774" s="163" t="n">
        <v>45464</v>
      </c>
      <c r="K774" s="163" t="inlineStr"/>
      <c r="L774" t="inlineStr">
        <is>
          <t>BORR</t>
        </is>
      </c>
      <c r="M774" s="163" t="n">
        <v>45488</v>
      </c>
      <c r="N774" s="164" t="n">
        <v>30</v>
      </c>
      <c r="O774" s="164" t="n">
        <v>8</v>
      </c>
      <c r="P774" t="inlineStr"/>
      <c r="Q774" s="165" t="n">
        <v>200</v>
      </c>
      <c r="R774" s="165" t="n">
        <v>457.2</v>
      </c>
      <c r="S774" s="165" t="n">
        <v>0</v>
      </c>
      <c r="T774" s="165" t="n">
        <v>457.2</v>
      </c>
      <c r="U774" s="166" t="n">
        <v>0</v>
      </c>
      <c r="V774" s="166" t="n">
        <v>0</v>
      </c>
      <c r="W774" t="inlineStr"/>
      <c r="X774" t="inlineStr">
        <is>
          <t>36.58</t>
        </is>
      </c>
      <c r="Y774" t="inlineStr"/>
      <c r="Z774" t="inlineStr">
        <is>
          <t>Technipol Suministros, S.L.</t>
        </is>
      </c>
      <c r="AA774" t="inlineStr">
        <is>
          <t>FEDERAL SPEC.</t>
        </is>
      </c>
      <c r="AB774" t="inlineStr">
        <is>
          <t>AA52080-B-4 BLACK</t>
        </is>
      </c>
      <c r="AC774" t="inlineStr"/>
      <c r="AD774" s="164" t="n">
        <v>0</v>
      </c>
      <c r="AE774" s="185" t="n">
        <v>0</v>
      </c>
      <c r="AG774" s="167" t="inlineStr">
        <is>
          <t>7218|JA2581_1001</t>
        </is>
      </c>
      <c r="AH774" s="47">
        <f>IF(M774=0,"-",M774-J774)</f>
        <v/>
      </c>
      <c r="AI774" s="46">
        <f>IF(AND(S774=0,M774&gt;0,L774=0),IF(AH774&gt;=120,"VERY HIGH",IF(AH774&gt;=90,"HIGH",IF(AH774&gt;=60,"MEDIUM",IF(AH774&lt;60,"LOW")))),"-")</f>
        <v/>
      </c>
      <c r="AJ774" s="12" t="n"/>
      <c r="AK774" s="53">
        <f>IF(AND(W774="X",M774&lt;=$AJ$2),"YES","")</f>
        <v/>
      </c>
      <c r="AL774" s="54">
        <f>IF(AND(W774="X",M774&lt;=$AJ$2),S774,"")</f>
        <v/>
      </c>
      <c r="AM774" s="35" t="n"/>
      <c r="AN774" s="35">
        <f>IF(AND(W774="X",M774&gt;$AJ$2),S774,"")</f>
        <v/>
      </c>
      <c r="AO774" s="35">
        <f>IF(AND(W774="",M774&gt;0,$AJ$2&gt;M774,L774=""),1,0)</f>
        <v/>
      </c>
      <c r="AP774" s="35">
        <f>IF(AND(AK774="YES",W774="X"),"X","")</f>
        <v/>
      </c>
      <c r="AQ774" s="55">
        <f>IF(AP774="X",100%,0%)</f>
        <v/>
      </c>
      <c r="AR774" s="25">
        <f>IF(AND(T774&gt;0,L774=""),H774,"")</f>
        <v/>
      </c>
      <c r="AS774" s="25">
        <f>IF(AND(D774&gt;0,H774=0,G774=""),1,"")</f>
        <v/>
      </c>
      <c r="AT774" s="25">
        <f>IF(G774="BLOQ",1,"")</f>
        <v/>
      </c>
      <c r="AU774" s="25">
        <f>IF(L774="BLOQ",1,"")</f>
        <v/>
      </c>
      <c r="AV774" s="25">
        <f>MONTH(F774)</f>
        <v/>
      </c>
      <c r="AW774" s="65">
        <f>IF(AP774="",100%,0%)</f>
        <v/>
      </c>
      <c r="AX774" s="56" t="n"/>
      <c r="AY774" s="24">
        <f>IF(M774=0,"",M774-$AX$2)</f>
        <v/>
      </c>
      <c r="AZ774" s="66">
        <f>IF(AND(W774="",AY774&gt;0,AY774&lt;15),1,0)</f>
        <v/>
      </c>
      <c r="BA774" s="24">
        <f>IF(AND(W774="",AY774&gt;0,AY774&lt;15),T774,"")</f>
        <v/>
      </c>
      <c r="BB774" s="87">
        <f>IF(R774&lt;Q774,"X","")</f>
        <v/>
      </c>
      <c r="BC774" s="190" t="inlineStr">
        <is>
          <t>NO</t>
        </is>
      </c>
      <c r="BD774" s="191" t="inlineStr">
        <is>
          <t>SI</t>
        </is>
      </c>
    </row>
    <row r="775" ht="15" customHeight="1" s="162">
      <c r="A775" s="7" t="n">
        <v>774</v>
      </c>
      <c r="B775" t="inlineStr">
        <is>
          <t>1204800600000</t>
        </is>
      </c>
      <c r="C775" t="inlineStr">
        <is>
          <t>CNC CIR PANEL 08-35 6P (M) AWG22 ROJO</t>
        </is>
      </c>
      <c r="D775" t="inlineStr">
        <is>
          <t>1800108784</t>
        </is>
      </c>
      <c r="E775" t="inlineStr">
        <is>
          <t>10</t>
        </is>
      </c>
      <c r="F775" s="163" t="n">
        <v>45457</v>
      </c>
      <c r="G775" t="inlineStr"/>
      <c r="H775" t="inlineStr">
        <is>
          <t>4200573052</t>
        </is>
      </c>
      <c r="I775" t="inlineStr">
        <is>
          <t>30</t>
        </is>
      </c>
      <c r="J775" s="163" t="n">
        <v>45504</v>
      </c>
      <c r="K775" s="163" t="n">
        <v>45607</v>
      </c>
      <c r="L775" t="inlineStr"/>
      <c r="M775" s="163" t="n">
        <v>45623</v>
      </c>
      <c r="N775" s="164" t="n">
        <v>56</v>
      </c>
      <c r="O775" s="164" t="n">
        <v>8</v>
      </c>
      <c r="P775" t="inlineStr">
        <is>
          <t>Liberado</t>
        </is>
      </c>
      <c r="Q775" s="165" t="n">
        <v>2</v>
      </c>
      <c r="R775" s="165" t="n">
        <v>2</v>
      </c>
      <c r="S775" s="165" t="n">
        <v>2</v>
      </c>
      <c r="T775" s="165" t="n">
        <v>0</v>
      </c>
      <c r="U775" s="166" t="n">
        <v>2</v>
      </c>
      <c r="V775" s="166" t="n">
        <v>0</v>
      </c>
      <c r="W775" t="inlineStr">
        <is>
          <t>X</t>
        </is>
      </c>
      <c r="X775" t="inlineStr">
        <is>
          <t>0.00</t>
        </is>
      </c>
      <c r="Y775" t="inlineStr"/>
      <c r="Z775" t="inlineStr">
        <is>
          <t>SOURIAU</t>
        </is>
      </c>
      <c r="AA775" t="inlineStr">
        <is>
          <t>SOURIAU/FCI</t>
        </is>
      </c>
      <c r="AB775" t="inlineStr">
        <is>
          <t>8STA0 08-35PN</t>
        </is>
      </c>
      <c r="AC775" t="inlineStr"/>
      <c r="AD775" s="164" t="n">
        <v>1</v>
      </c>
      <c r="AE775" s="185" t="n">
        <v>0</v>
      </c>
      <c r="AG775" s="167" t="inlineStr">
        <is>
          <t>7218|JA2581_1001</t>
        </is>
      </c>
      <c r="AH775" s="47">
        <f>IF(M775=0,"-",M775-J775)</f>
        <v/>
      </c>
      <c r="AI775" s="46">
        <f>IF(AND(S775=0,M775&gt;0,L775=0),IF(AH775&gt;=120,"VERY HIGH",IF(AH775&gt;=90,"HIGH",IF(AH775&gt;=60,"MEDIUM",IF(AH775&lt;60,"LOW")))),"-")</f>
        <v/>
      </c>
      <c r="AJ775" s="12" t="n"/>
      <c r="AK775" s="53">
        <f>IF(AND(W775="X",M775&lt;=$AJ$2),"YES","")</f>
        <v/>
      </c>
      <c r="AL775" s="54">
        <f>IF(AND(W775="X",M775&lt;=$AJ$2),S775,"")</f>
        <v/>
      </c>
      <c r="AM775" s="35" t="n"/>
      <c r="AN775" s="35">
        <f>IF(AND(W775="X",M775&gt;$AJ$2),S775,"")</f>
        <v/>
      </c>
      <c r="AO775" s="35">
        <f>IF(AND(W775="",M775&gt;0,$AJ$2&gt;M775,L775=""),1,0)</f>
        <v/>
      </c>
      <c r="AP775" s="35">
        <f>IF(AND(AK775="YES",W775="X"),"X","")</f>
        <v/>
      </c>
      <c r="AQ775" s="55">
        <f>IF(AP775="X",100%,0%)</f>
        <v/>
      </c>
      <c r="AR775" s="25">
        <f>IF(AND(T775&gt;0,L775=""),H775,"")</f>
        <v/>
      </c>
      <c r="AS775" s="25">
        <f>IF(AND(D775&gt;0,H775=0,G775=""),1,"")</f>
        <v/>
      </c>
      <c r="AT775" s="25">
        <f>IF(G775="BLOQ",1,"")</f>
        <v/>
      </c>
      <c r="AU775" s="25">
        <f>IF(L775="BLOQ",1,"")</f>
        <v/>
      </c>
      <c r="AV775" s="25">
        <f>MONTH(F775)</f>
        <v/>
      </c>
      <c r="AW775" s="65">
        <f>IF(AP775="",100%,0%)</f>
        <v/>
      </c>
      <c r="AX775" s="56" t="n"/>
      <c r="AY775" s="24">
        <f>IF(M775=0,"",M775-$AX$2)</f>
        <v/>
      </c>
      <c r="AZ775" s="66">
        <f>IF(AND(W775="",AY775&gt;0,AY775&lt;15),1,0)</f>
        <v/>
      </c>
      <c r="BA775" s="24">
        <f>IF(AND(W775="",AY775&gt;0,AY775&lt;15),T775,"")</f>
        <v/>
      </c>
      <c r="BB775" s="87">
        <f>IF(R775&lt;Q775,"X","")</f>
        <v/>
      </c>
      <c r="BC775" s="190" t="inlineStr">
        <is>
          <t>NO</t>
        </is>
      </c>
      <c r="BD775" s="191" t="inlineStr">
        <is>
          <t>SI</t>
        </is>
      </c>
    </row>
    <row r="776" ht="15" customHeight="1" s="162">
      <c r="A776" s="7" t="n">
        <v>775</v>
      </c>
      <c r="B776" t="inlineStr">
        <is>
          <t>1209990080100</t>
        </is>
      </c>
      <c r="C776" t="inlineStr">
        <is>
          <t>PIN M ENGASTAR #22 WIRED END NSA937910</t>
        </is>
      </c>
      <c r="D776" t="inlineStr">
        <is>
          <t>1800108784</t>
        </is>
      </c>
      <c r="E776" t="inlineStr">
        <is>
          <t>20</t>
        </is>
      </c>
      <c r="F776" s="163" t="n">
        <v>45457</v>
      </c>
      <c r="G776" t="inlineStr"/>
      <c r="H776" t="inlineStr">
        <is>
          <t>4200573048</t>
        </is>
      </c>
      <c r="I776" t="inlineStr">
        <is>
          <t>20</t>
        </is>
      </c>
      <c r="J776" s="163" t="n">
        <v>45504</v>
      </c>
      <c r="K776" s="163" t="n">
        <v>45504</v>
      </c>
      <c r="L776" t="inlineStr"/>
      <c r="M776" s="163" t="n">
        <v>45632</v>
      </c>
      <c r="N776" s="164" t="n">
        <v>30</v>
      </c>
      <c r="O776" s="164" t="n">
        <v>8</v>
      </c>
      <c r="P776" t="inlineStr">
        <is>
          <t>Liberado</t>
        </is>
      </c>
      <c r="Q776" s="165" t="n">
        <v>1000</v>
      </c>
      <c r="R776" s="165" t="n">
        <v>1000</v>
      </c>
      <c r="S776" s="165" t="n">
        <v>1000</v>
      </c>
      <c r="T776" s="165" t="n">
        <v>0</v>
      </c>
      <c r="U776" s="166" t="n">
        <v>1000</v>
      </c>
      <c r="V776" s="166" t="n">
        <v>0</v>
      </c>
      <c r="W776" t="inlineStr">
        <is>
          <t>X</t>
        </is>
      </c>
      <c r="X776" t="inlineStr">
        <is>
          <t>0.00</t>
        </is>
      </c>
      <c r="Y776" t="inlineStr"/>
      <c r="Z776" t="inlineStr">
        <is>
          <t>PEI GENESISUK LTD</t>
        </is>
      </c>
      <c r="AA776" t="inlineStr">
        <is>
          <t>SOURIAU/FCI</t>
        </is>
      </c>
      <c r="AB776" t="inlineStr">
        <is>
          <t>8559-122</t>
        </is>
      </c>
      <c r="AC776" t="inlineStr"/>
      <c r="AD776" s="164" t="n">
        <v>0</v>
      </c>
      <c r="AE776" s="185" t="n">
        <v>0</v>
      </c>
      <c r="AG776" s="167" t="inlineStr">
        <is>
          <t>7218|JA2581_1001</t>
        </is>
      </c>
      <c r="AH776" s="47">
        <f>IF(M776=0,"-",M776-J776)</f>
        <v/>
      </c>
      <c r="AI776" s="46">
        <f>IF(AND(S776=0,M776&gt;0,L776=0),IF(AH776&gt;=120,"VERY HIGH",IF(AH776&gt;=90,"HIGH",IF(AH776&gt;=60,"MEDIUM",IF(AH776&lt;60,"LOW")))),"-")</f>
        <v/>
      </c>
      <c r="AJ776" s="12" t="n"/>
      <c r="AK776" s="53">
        <f>IF(AND(W776="X",M776&lt;=$AJ$2),"YES","")</f>
        <v/>
      </c>
      <c r="AL776" s="54">
        <f>IF(AND(W776="X",M776&lt;=$AJ$2),S776,"")</f>
        <v/>
      </c>
      <c r="AM776" s="35" t="n"/>
      <c r="AN776" s="35">
        <f>IF(AND(W776="X",M776&gt;$AJ$2),S776,"")</f>
        <v/>
      </c>
      <c r="AO776" s="35">
        <f>IF(AND(W776="",M776&gt;0,$AJ$2&gt;M776,L776=""),1,0)</f>
        <v/>
      </c>
      <c r="AP776" s="35">
        <f>IF(AND(AK776="YES",W776="X"),"X","")</f>
        <v/>
      </c>
      <c r="AQ776" s="55">
        <f>IF(AP776="X",100%,0%)</f>
        <v/>
      </c>
      <c r="AR776" s="25">
        <f>IF(AND(T776&gt;0,L776=""),H776,"")</f>
        <v/>
      </c>
      <c r="AS776" s="25">
        <f>IF(AND(D776&gt;0,H776=0,G776=""),1,"")</f>
        <v/>
      </c>
      <c r="AT776" s="25">
        <f>IF(G776="BLOQ",1,"")</f>
        <v/>
      </c>
      <c r="AU776" s="25">
        <f>IF(L776="BLOQ",1,"")</f>
        <v/>
      </c>
      <c r="AV776" s="25">
        <f>MONTH(F776)</f>
        <v/>
      </c>
      <c r="AW776" s="65">
        <f>IF(AP776="",100%,0%)</f>
        <v/>
      </c>
      <c r="AX776" s="56" t="n"/>
      <c r="AY776" s="24">
        <f>IF(M776=0,"",M776-$AX$2)</f>
        <v/>
      </c>
      <c r="AZ776" s="66">
        <f>IF(AND(W776="",AY776&gt;0,AY776&lt;15),1,0)</f>
        <v/>
      </c>
      <c r="BA776" s="24">
        <f>IF(AND(W776="",AY776&gt;0,AY776&lt;15),T776,"")</f>
        <v/>
      </c>
      <c r="BB776" s="87">
        <f>IF(R776&lt;Q776,"X","")</f>
        <v/>
      </c>
      <c r="BC776" s="190" t="inlineStr">
        <is>
          <t>NO</t>
        </is>
      </c>
      <c r="BD776" s="191" t="inlineStr">
        <is>
          <t>SI</t>
        </is>
      </c>
    </row>
    <row r="777" ht="15" customHeight="1" s="162">
      <c r="A777" s="7" t="n">
        <v>776</v>
      </c>
      <c r="B777" t="inlineStr">
        <is>
          <t>1215500702900</t>
        </is>
      </c>
      <c r="C777" t="inlineStr">
        <is>
          <t>CNC TWINAX CABLE CRIMP JACK</t>
        </is>
      </c>
      <c r="D777" t="inlineStr">
        <is>
          <t>1800108784</t>
        </is>
      </c>
      <c r="E777" t="inlineStr">
        <is>
          <t>30</t>
        </is>
      </c>
      <c r="F777" s="163" t="n">
        <v>45457</v>
      </c>
      <c r="G777" t="inlineStr"/>
      <c r="H777" t="inlineStr">
        <is>
          <t>4200573125</t>
        </is>
      </c>
      <c r="I777" t="inlineStr">
        <is>
          <t>60</t>
        </is>
      </c>
      <c r="J777" s="163" t="n">
        <v>45505</v>
      </c>
      <c r="K777" s="163" t="n">
        <v>45638</v>
      </c>
      <c r="L777" t="inlineStr"/>
      <c r="M777" s="163" t="n">
        <v>45523</v>
      </c>
      <c r="N777" s="164" t="n">
        <v>40</v>
      </c>
      <c r="O777" s="164" t="n">
        <v>8</v>
      </c>
      <c r="P777" t="inlineStr">
        <is>
          <t>Liberado</t>
        </is>
      </c>
      <c r="Q777" s="165" t="n">
        <v>3</v>
      </c>
      <c r="R777" s="165" t="n">
        <v>3</v>
      </c>
      <c r="S777" s="165" t="n">
        <v>3</v>
      </c>
      <c r="T777" s="165" t="n">
        <v>0</v>
      </c>
      <c r="U777" s="166" t="n">
        <v>3</v>
      </c>
      <c r="V777" s="166" t="n">
        <v>0</v>
      </c>
      <c r="W777" t="inlineStr">
        <is>
          <t>X</t>
        </is>
      </c>
      <c r="X777" t="inlineStr">
        <is>
          <t>0.00</t>
        </is>
      </c>
      <c r="Y777" t="inlineStr"/>
      <c r="Z777" t="inlineStr">
        <is>
          <t>ICOMPPLUS ELECTRONICS S.L</t>
        </is>
      </c>
      <c r="AA777" t="inlineStr">
        <is>
          <t>TROMPETER</t>
        </is>
      </c>
      <c r="AB777" t="inlineStr">
        <is>
          <t>CJ70-29</t>
        </is>
      </c>
      <c r="AC777" t="inlineStr"/>
      <c r="AD777" s="164" t="n">
        <v>1</v>
      </c>
      <c r="AE777" s="185" t="n">
        <v>1</v>
      </c>
      <c r="AG777" s="167" t="inlineStr">
        <is>
          <t>7218|JA2581_1001</t>
        </is>
      </c>
      <c r="AH777" s="47">
        <f>IF(M777=0,"-",M777-J777)</f>
        <v/>
      </c>
      <c r="AI777" s="46">
        <f>IF(AND(S777=0,M777&gt;0,L777=0),IF(AH777&gt;=120,"VERY HIGH",IF(AH777&gt;=90,"HIGH",IF(AH777&gt;=60,"MEDIUM",IF(AH777&lt;60,"LOW")))),"-")</f>
        <v/>
      </c>
      <c r="AJ777" s="12" t="n"/>
      <c r="AK777" s="53">
        <f>IF(AND(W777="X",M777&lt;=$AJ$2),"YES","")</f>
        <v/>
      </c>
      <c r="AL777" s="54">
        <f>IF(AND(W777="X",M777&lt;=$AJ$2),S777,"")</f>
        <v/>
      </c>
      <c r="AM777" s="35" t="n"/>
      <c r="AN777" s="35">
        <f>IF(AND(W777="X",M777&gt;$AJ$2),S777,"")</f>
        <v/>
      </c>
      <c r="AO777" s="35">
        <f>IF(AND(W777="",M777&gt;0,$AJ$2&gt;M777,L777=""),1,0)</f>
        <v/>
      </c>
      <c r="AP777" s="35">
        <f>IF(AND(AK777="YES",W777="X"),"X","")</f>
        <v/>
      </c>
      <c r="AQ777" s="55">
        <f>IF(AP777="X",100%,0%)</f>
        <v/>
      </c>
      <c r="AR777" s="25">
        <f>IF(AND(T777&gt;0,L777=""),H777,"")</f>
        <v/>
      </c>
      <c r="AS777" s="25">
        <f>IF(AND(D777&gt;0,H777=0,G777=""),1,"")</f>
        <v/>
      </c>
      <c r="AT777" s="25">
        <f>IF(G777="BLOQ",1,"")</f>
        <v/>
      </c>
      <c r="AU777" s="25">
        <f>IF(L777="BLOQ",1,"")</f>
        <v/>
      </c>
      <c r="AV777" s="25">
        <f>MONTH(F777)</f>
        <v/>
      </c>
      <c r="AW777" s="65">
        <f>IF(AP777="",100%,0%)</f>
        <v/>
      </c>
      <c r="AX777" s="56" t="n"/>
      <c r="AY777" s="24">
        <f>IF(M777=0,"",M777-$AX$2)</f>
        <v/>
      </c>
      <c r="AZ777" s="66">
        <f>IF(AND(W777="",AY777&gt;0,AY777&lt;15),1,0)</f>
        <v/>
      </c>
      <c r="BA777" s="24">
        <f>IF(AND(W777="",AY777&gt;0,AY777&lt;15),T777,"")</f>
        <v/>
      </c>
      <c r="BB777" s="87">
        <f>IF(R777&lt;Q777,"X","")</f>
        <v/>
      </c>
      <c r="BC777" s="190" t="inlineStr">
        <is>
          <t>NO</t>
        </is>
      </c>
      <c r="BD777" s="191" t="inlineStr">
        <is>
          <t>SI</t>
        </is>
      </c>
    </row>
    <row r="778" ht="15" customHeight="1" s="162">
      <c r="A778" s="7" t="n">
        <v>777</v>
      </c>
      <c r="B778" t="inlineStr">
        <is>
          <t>1219990110080</t>
        </is>
      </c>
      <c r="C778" t="inlineStr">
        <is>
          <t>PIN M ENGASTAR #20 WIRED END NSA937910</t>
        </is>
      </c>
      <c r="D778" t="inlineStr">
        <is>
          <t>1800108784</t>
        </is>
      </c>
      <c r="E778" t="inlineStr">
        <is>
          <t>40</t>
        </is>
      </c>
      <c r="F778" s="163" t="n">
        <v>45457</v>
      </c>
      <c r="G778" t="inlineStr"/>
      <c r="H778" t="inlineStr">
        <is>
          <t>4200573052</t>
        </is>
      </c>
      <c r="I778" t="inlineStr">
        <is>
          <t>100</t>
        </is>
      </c>
      <c r="J778" s="163" t="n">
        <v>45504</v>
      </c>
      <c r="K778" s="163" t="n">
        <v>45607</v>
      </c>
      <c r="L778" t="inlineStr"/>
      <c r="M778" s="163" t="n">
        <v>45593</v>
      </c>
      <c r="N778" s="164" t="n">
        <v>30</v>
      </c>
      <c r="O778" s="164" t="n">
        <v>8</v>
      </c>
      <c r="P778" t="inlineStr">
        <is>
          <t>Liberado</t>
        </is>
      </c>
      <c r="Q778" s="165" t="n">
        <v>1000</v>
      </c>
      <c r="R778" s="165" t="n">
        <v>1000</v>
      </c>
      <c r="S778" s="165" t="n">
        <v>1000</v>
      </c>
      <c r="T778" s="165" t="n">
        <v>0</v>
      </c>
      <c r="U778" s="166" t="n">
        <v>1000</v>
      </c>
      <c r="V778" s="166" t="n">
        <v>0</v>
      </c>
      <c r="W778" t="inlineStr">
        <is>
          <t>X</t>
        </is>
      </c>
      <c r="X778" t="inlineStr">
        <is>
          <t>0.00</t>
        </is>
      </c>
      <c r="Y778" t="inlineStr"/>
      <c r="Z778" t="inlineStr">
        <is>
          <t>SOURIAU</t>
        </is>
      </c>
      <c r="AA778" t="inlineStr">
        <is>
          <t>SOURIAU/FCI</t>
        </is>
      </c>
      <c r="AB778" t="inlineStr">
        <is>
          <t>EN3155-016-M-20-18</t>
        </is>
      </c>
      <c r="AC778" t="inlineStr"/>
      <c r="AD778" s="164" t="n">
        <v>1</v>
      </c>
      <c r="AE778" s="185" t="n">
        <v>1</v>
      </c>
      <c r="AG778" s="167" t="inlineStr">
        <is>
          <t>7218|JA2581_1001</t>
        </is>
      </c>
      <c r="AH778" s="47">
        <f>IF(M778=0,"-",M778-J778)</f>
        <v/>
      </c>
      <c r="AI778" s="46">
        <f>IF(AND(S778=0,M778&gt;0,L778=0),IF(AH778&gt;=120,"VERY HIGH",IF(AH778&gt;=90,"HIGH",IF(AH778&gt;=60,"MEDIUM",IF(AH778&lt;60,"LOW")))),"-")</f>
        <v/>
      </c>
      <c r="AJ778" s="12" t="n"/>
      <c r="AK778" s="53">
        <f>IF(AND(W778="X",M778&lt;=$AJ$2),"YES","")</f>
        <v/>
      </c>
      <c r="AL778" s="54">
        <f>IF(AND(W778="X",M778&lt;=$AJ$2),S778,"")</f>
        <v/>
      </c>
      <c r="AM778" s="35" t="n"/>
      <c r="AN778" s="35">
        <f>IF(AND(W778="X",M778&gt;$AJ$2),S778,"")</f>
        <v/>
      </c>
      <c r="AO778" s="35">
        <f>IF(AND(W778="",M778&gt;0,$AJ$2&gt;M778,L778=""),1,0)</f>
        <v/>
      </c>
      <c r="AP778" s="35">
        <f>IF(AND(AK778="YES",W778="X"),"X","")</f>
        <v/>
      </c>
      <c r="AQ778" s="55">
        <f>IF(AP778="X",100%,0%)</f>
        <v/>
      </c>
      <c r="AR778" s="25">
        <f>IF(AND(T778&gt;0,L778=""),H778,"")</f>
        <v/>
      </c>
      <c r="AS778" s="25">
        <f>IF(AND(D778&gt;0,H778=0,G778=""),1,"")</f>
        <v/>
      </c>
      <c r="AT778" s="25">
        <f>IF(G778="BLOQ",1,"")</f>
        <v/>
      </c>
      <c r="AU778" s="25">
        <f>IF(L778="BLOQ",1,"")</f>
        <v/>
      </c>
      <c r="AV778" s="25">
        <f>MONTH(F778)</f>
        <v/>
      </c>
      <c r="AW778" s="65">
        <f>IF(AP778="",100%,0%)</f>
        <v/>
      </c>
      <c r="AX778" s="56" t="n"/>
      <c r="AY778" s="24">
        <f>IF(M778=0,"",M778-$AX$2)</f>
        <v/>
      </c>
      <c r="AZ778" s="66">
        <f>IF(AND(W778="",AY778&gt;0,AY778&lt;15),1,0)</f>
        <v/>
      </c>
      <c r="BA778" s="24">
        <f>IF(AND(W778="",AY778&gt;0,AY778&lt;15),T778,"")</f>
        <v/>
      </c>
      <c r="BB778" s="87">
        <f>IF(R778&lt;Q778,"X","")</f>
        <v/>
      </c>
      <c r="BC778" s="190" t="inlineStr">
        <is>
          <t>NO</t>
        </is>
      </c>
      <c r="BD778" s="191" t="inlineStr">
        <is>
          <t>SI</t>
        </is>
      </c>
    </row>
    <row r="779" ht="15" customHeight="1" s="162">
      <c r="A779" s="7" t="n">
        <v>778</v>
      </c>
      <c r="B779" t="inlineStr">
        <is>
          <t>1233590160200</t>
        </is>
      </c>
      <c r="C779" t="inlineStr">
        <is>
          <t>CLAMP MODULE 8559S</t>
        </is>
      </c>
      <c r="D779" t="inlineStr">
        <is>
          <t>1800108784</t>
        </is>
      </c>
      <c r="E779" t="inlineStr">
        <is>
          <t>50</t>
        </is>
      </c>
      <c r="F779" s="163" t="n">
        <v>45457</v>
      </c>
      <c r="G779" t="inlineStr"/>
      <c r="H779" t="inlineStr">
        <is>
          <t>4200573052</t>
        </is>
      </c>
      <c r="I779" t="inlineStr">
        <is>
          <t>110</t>
        </is>
      </c>
      <c r="J779" s="163" t="n">
        <v>45504</v>
      </c>
      <c r="K779" s="163" t="n">
        <v>45607</v>
      </c>
      <c r="L779" t="inlineStr"/>
      <c r="M779" s="163" t="n">
        <v>45629</v>
      </c>
      <c r="N779" s="164" t="n">
        <v>85</v>
      </c>
      <c r="O779" s="164" t="n">
        <v>8</v>
      </c>
      <c r="P779" t="inlineStr">
        <is>
          <t>Liberado</t>
        </is>
      </c>
      <c r="Q779" s="165" t="n">
        <v>40</v>
      </c>
      <c r="R779" s="165" t="n">
        <v>50</v>
      </c>
      <c r="S779" s="165" t="n">
        <v>50</v>
      </c>
      <c r="T779" s="165" t="n">
        <v>0</v>
      </c>
      <c r="U779" s="166" t="n">
        <v>50</v>
      </c>
      <c r="V779" s="166" t="n">
        <v>0</v>
      </c>
      <c r="W779" t="inlineStr">
        <is>
          <t>X</t>
        </is>
      </c>
      <c r="X779" t="inlineStr">
        <is>
          <t>0.00</t>
        </is>
      </c>
      <c r="Y779" t="inlineStr"/>
      <c r="Z779" t="inlineStr">
        <is>
          <t>SOURIAU</t>
        </is>
      </c>
      <c r="AA779" t="inlineStr">
        <is>
          <t>SOURIAU</t>
        </is>
      </c>
      <c r="AB779" t="inlineStr">
        <is>
          <t>8559S</t>
        </is>
      </c>
      <c r="AC779" t="inlineStr"/>
      <c r="AD779" s="164" t="n">
        <v>2</v>
      </c>
      <c r="AE779" s="185" t="n">
        <v>1</v>
      </c>
      <c r="AG779" s="167" t="inlineStr">
        <is>
          <t>7218|JA2581_1001</t>
        </is>
      </c>
      <c r="AH779" s="47">
        <f>IF(M779=0,"-",M779-J779)</f>
        <v/>
      </c>
      <c r="AI779" s="46">
        <f>IF(AND(S779=0,M779&gt;0,L779=0),IF(AH779&gt;=120,"VERY HIGH",IF(AH779&gt;=90,"HIGH",IF(AH779&gt;=60,"MEDIUM",IF(AH779&lt;60,"LOW")))),"-")</f>
        <v/>
      </c>
      <c r="AJ779" s="12" t="n"/>
      <c r="AK779" s="53">
        <f>IF(AND(W779="X",M779&lt;=$AJ$2),"YES","")</f>
        <v/>
      </c>
      <c r="AL779" s="54">
        <f>IF(AND(W779="X",M779&lt;=$AJ$2),S779,"")</f>
        <v/>
      </c>
      <c r="AM779" s="35" t="n"/>
      <c r="AN779" s="35">
        <f>IF(AND(W779="X",M779&gt;$AJ$2),S779,"")</f>
        <v/>
      </c>
      <c r="AO779" s="35">
        <f>IF(AND(W779="",M779&gt;0,$AJ$2&gt;M779,L779=""),1,0)</f>
        <v/>
      </c>
      <c r="AP779" s="35">
        <f>IF(AND(AK779="YES",W779="X"),"X","")</f>
        <v/>
      </c>
      <c r="AQ779" s="55">
        <f>IF(AP779="X",100%,0%)</f>
        <v/>
      </c>
      <c r="AR779" s="25">
        <f>IF(AND(T779&gt;0,L779=""),H779,"")</f>
        <v/>
      </c>
      <c r="AS779" s="25">
        <f>IF(AND(D779&gt;0,H779=0,G779=""),1,"")</f>
        <v/>
      </c>
      <c r="AT779" s="25">
        <f>IF(G779="BLOQ",1,"")</f>
        <v/>
      </c>
      <c r="AU779" s="25">
        <f>IF(L779="BLOQ",1,"")</f>
        <v/>
      </c>
      <c r="AV779" s="25">
        <f>MONTH(F779)</f>
        <v/>
      </c>
      <c r="AW779" s="65">
        <f>IF(AP779="",100%,0%)</f>
        <v/>
      </c>
      <c r="AX779" s="56" t="n"/>
      <c r="AY779" s="24">
        <f>IF(M779=0,"",M779-$AX$2)</f>
        <v/>
      </c>
      <c r="AZ779" s="66">
        <f>IF(AND(W779="",AY779&gt;0,AY779&lt;15),1,0)</f>
        <v/>
      </c>
      <c r="BA779" s="24">
        <f>IF(AND(W779="",AY779&gt;0,AY779&lt;15),T779,"")</f>
        <v/>
      </c>
      <c r="BB779" s="87">
        <f>IF(R779&lt;Q779,"X","")</f>
        <v/>
      </c>
      <c r="BC779" s="190" t="inlineStr">
        <is>
          <t>NO</t>
        </is>
      </c>
      <c r="BD779" s="191" t="inlineStr">
        <is>
          <t>SI</t>
        </is>
      </c>
    </row>
    <row r="780" ht="15" customHeight="1" s="162">
      <c r="A780" s="7" t="n">
        <v>779</v>
      </c>
      <c r="B780" t="inlineStr">
        <is>
          <t>1234524199010</t>
        </is>
      </c>
      <c r="C780" t="inlineStr">
        <is>
          <t>CASQ TERM AUTSLD D=2,65-3,68MM PVDF/SNPB</t>
        </is>
      </c>
      <c r="D780" t="inlineStr">
        <is>
          <t>1800108784</t>
        </is>
      </c>
      <c r="E780" t="inlineStr">
        <is>
          <t>60</t>
        </is>
      </c>
      <c r="F780" s="163" t="n">
        <v>45457</v>
      </c>
      <c r="G780" t="inlineStr"/>
      <c r="H780" t="inlineStr">
        <is>
          <t>4200569198</t>
        </is>
      </c>
      <c r="I780" t="inlineStr">
        <is>
          <t>80</t>
        </is>
      </c>
      <c r="J780" s="163" t="n">
        <v>45476</v>
      </c>
      <c r="K780" s="163" t="n">
        <v>45477</v>
      </c>
      <c r="L780" t="inlineStr"/>
      <c r="M780" s="163" t="n">
        <v>45494</v>
      </c>
      <c r="N780" s="164" t="n">
        <v>40</v>
      </c>
      <c r="O780" s="164" t="n">
        <v>8</v>
      </c>
      <c r="P780" t="inlineStr">
        <is>
          <t>Liberado</t>
        </is>
      </c>
      <c r="Q780" s="165" t="n">
        <v>1000</v>
      </c>
      <c r="R780" s="165" t="n">
        <v>1000</v>
      </c>
      <c r="S780" s="165" t="n">
        <v>1000</v>
      </c>
      <c r="T780" s="165" t="n">
        <v>0</v>
      </c>
      <c r="U780" s="166" t="n">
        <v>0</v>
      </c>
      <c r="V780" s="166" t="n">
        <v>0</v>
      </c>
      <c r="W780" t="inlineStr">
        <is>
          <t>X</t>
        </is>
      </c>
      <c r="X780" t="inlineStr">
        <is>
          <t>0.00</t>
        </is>
      </c>
      <c r="Y780" t="inlineStr"/>
      <c r="Z780" t="inlineStr">
        <is>
          <t>SUMINISTROS CONECTORES PROF.,SA.</t>
        </is>
      </c>
      <c r="AA780" t="inlineStr">
        <is>
          <t>SAE INC.</t>
        </is>
      </c>
      <c r="AB780" t="inlineStr">
        <is>
          <t>M83519/1-2</t>
        </is>
      </c>
      <c r="AC780" t="inlineStr"/>
      <c r="AD780" s="164" t="n">
        <v>0</v>
      </c>
      <c r="AE780" s="185" t="n">
        <v>0</v>
      </c>
      <c r="AG780" s="167" t="inlineStr">
        <is>
          <t>7218|JA2581_1001</t>
        </is>
      </c>
      <c r="AH780" s="47">
        <f>IF(M780=0,"-",M780-J780)</f>
        <v/>
      </c>
      <c r="AI780" s="46">
        <f>IF(AND(S780=0,M780&gt;0,L780=0),IF(AH780&gt;=120,"VERY HIGH",IF(AH780&gt;=90,"HIGH",IF(AH780&gt;=60,"MEDIUM",IF(AH780&lt;60,"LOW")))),"-")</f>
        <v/>
      </c>
      <c r="AJ780" s="12" t="n"/>
      <c r="AK780" s="53">
        <f>IF(AND(W780="X",M780&lt;=$AJ$2),"YES","")</f>
        <v/>
      </c>
      <c r="AL780" s="54">
        <f>IF(AND(W780="X",M780&lt;=$AJ$2),S780,"")</f>
        <v/>
      </c>
      <c r="AM780" s="35" t="n"/>
      <c r="AN780" s="35">
        <f>IF(AND(W780="X",M780&gt;$AJ$2),S780,"")</f>
        <v/>
      </c>
      <c r="AO780" s="35">
        <f>IF(AND(W780="",M780&gt;0,$AJ$2&gt;M780,L780=""),1,0)</f>
        <v/>
      </c>
      <c r="AP780" s="35">
        <f>IF(AND(AK780="YES",W780="X"),"X","")</f>
        <v/>
      </c>
      <c r="AQ780" s="55">
        <f>IF(AP780="X",100%,0%)</f>
        <v/>
      </c>
      <c r="AR780" s="25">
        <f>IF(AND(T780&gt;0,L780=""),H780,"")</f>
        <v/>
      </c>
      <c r="AS780" s="25">
        <f>IF(AND(D780&gt;0,H780=0,G780=""),1,"")</f>
        <v/>
      </c>
      <c r="AT780" s="25">
        <f>IF(G780="BLOQ",1,"")</f>
        <v/>
      </c>
      <c r="AU780" s="25">
        <f>IF(L780="BLOQ",1,"")</f>
        <v/>
      </c>
      <c r="AV780" s="25">
        <f>MONTH(F780)</f>
        <v/>
      </c>
      <c r="AW780" s="65">
        <f>IF(AP780="",100%,0%)</f>
        <v/>
      </c>
      <c r="AX780" s="56" t="n"/>
      <c r="AY780" s="24">
        <f>IF(M780=0,"",M780-$AX$2)</f>
        <v/>
      </c>
      <c r="AZ780" s="66">
        <f>IF(AND(W780="",AY780&gt;0,AY780&lt;15),1,0)</f>
        <v/>
      </c>
      <c r="BA780" s="24">
        <f>IF(AND(W780="",AY780&gt;0,AY780&lt;15),T780,"")</f>
        <v/>
      </c>
      <c r="BB780" s="87">
        <f>IF(R780&lt;Q780,"X","")</f>
        <v/>
      </c>
      <c r="BC780" s="190" t="inlineStr">
        <is>
          <t>NO</t>
        </is>
      </c>
      <c r="BD780" s="191" t="inlineStr">
        <is>
          <t>SI</t>
        </is>
      </c>
    </row>
    <row r="781" ht="15" customHeight="1" s="162">
      <c r="A781" s="7" t="n">
        <v>780</v>
      </c>
      <c r="B781" t="inlineStr">
        <is>
          <t>1237090062100</t>
        </is>
      </c>
      <c r="C781" t="inlineStr">
        <is>
          <t>BORNA RAIL SIZE22 5A 8559N2203B S/SELLAR</t>
        </is>
      </c>
      <c r="D781" t="inlineStr">
        <is>
          <t>1800108784</t>
        </is>
      </c>
      <c r="E781" t="inlineStr">
        <is>
          <t>70</t>
        </is>
      </c>
      <c r="F781" s="163" t="n">
        <v>45457</v>
      </c>
      <c r="G781" t="inlineStr"/>
      <c r="H781" t="inlineStr">
        <is>
          <t>4200573052</t>
        </is>
      </c>
      <c r="I781" t="inlineStr">
        <is>
          <t>120</t>
        </is>
      </c>
      <c r="J781" s="163" t="n">
        <v>45504</v>
      </c>
      <c r="K781" s="163" t="n">
        <v>45607</v>
      </c>
      <c r="L781" t="inlineStr"/>
      <c r="M781" s="163" t="n">
        <v>45593</v>
      </c>
      <c r="N781" s="164" t="n">
        <v>40</v>
      </c>
      <c r="O781" s="164" t="n">
        <v>8</v>
      </c>
      <c r="P781" t="inlineStr">
        <is>
          <t>Liberado</t>
        </is>
      </c>
      <c r="Q781" s="165" t="n">
        <v>90</v>
      </c>
      <c r="R781" s="165" t="n">
        <v>100</v>
      </c>
      <c r="S781" s="165" t="n">
        <v>100</v>
      </c>
      <c r="T781" s="165" t="n">
        <v>0</v>
      </c>
      <c r="U781" s="166" t="n">
        <v>100</v>
      </c>
      <c r="V781" s="166" t="n">
        <v>0</v>
      </c>
      <c r="W781" t="inlineStr">
        <is>
          <t>X</t>
        </is>
      </c>
      <c r="X781" t="inlineStr">
        <is>
          <t>0.00</t>
        </is>
      </c>
      <c r="Y781" t="inlineStr"/>
      <c r="Z781" t="inlineStr">
        <is>
          <t>SOURIAU</t>
        </is>
      </c>
      <c r="AA781" t="inlineStr">
        <is>
          <t>SOURIAU</t>
        </is>
      </c>
      <c r="AB781" t="inlineStr">
        <is>
          <t>8559N2203B</t>
        </is>
      </c>
      <c r="AC781" t="inlineStr"/>
      <c r="AD781" s="164" t="n">
        <v>1</v>
      </c>
      <c r="AE781" s="185" t="n">
        <v>1</v>
      </c>
      <c r="AG781" s="167" t="inlineStr">
        <is>
          <t>7218|JA2581_1001</t>
        </is>
      </c>
      <c r="AH781" s="47">
        <f>IF(M781=0,"-",M781-J781)</f>
        <v/>
      </c>
      <c r="AI781" s="46">
        <f>IF(AND(S781=0,M781&gt;0,L781=0),IF(AH781&gt;=120,"VERY HIGH",IF(AH781&gt;=90,"HIGH",IF(AH781&gt;=60,"MEDIUM",IF(AH781&lt;60,"LOW")))),"-")</f>
        <v/>
      </c>
      <c r="AJ781" s="12" t="n"/>
      <c r="AK781" s="53">
        <f>IF(AND(W781="X",M781&lt;=$AJ$2),"YES","")</f>
        <v/>
      </c>
      <c r="AL781" s="54">
        <f>IF(AND(W781="X",M781&lt;=$AJ$2),S781,"")</f>
        <v/>
      </c>
      <c r="AM781" s="35" t="n"/>
      <c r="AN781" s="35">
        <f>IF(AND(W781="X",M781&gt;$AJ$2),S781,"")</f>
        <v/>
      </c>
      <c r="AO781" s="35">
        <f>IF(AND(W781="",M781&gt;0,$AJ$2&gt;M781,L781=""),1,0)</f>
        <v/>
      </c>
      <c r="AP781" s="35">
        <f>IF(AND(AK781="YES",W781="X"),"X","")</f>
        <v/>
      </c>
      <c r="AQ781" s="55">
        <f>IF(AP781="X",100%,0%)</f>
        <v/>
      </c>
      <c r="AR781" s="25">
        <f>IF(AND(T781&gt;0,L781=""),H781,"")</f>
        <v/>
      </c>
      <c r="AS781" s="25">
        <f>IF(AND(D781&gt;0,H781=0,G781=""),1,"")</f>
        <v/>
      </c>
      <c r="AT781" s="25">
        <f>IF(G781="BLOQ",1,"")</f>
        <v/>
      </c>
      <c r="AU781" s="25">
        <f>IF(L781="BLOQ",1,"")</f>
        <v/>
      </c>
      <c r="AV781" s="25">
        <f>MONTH(F781)</f>
        <v/>
      </c>
      <c r="AW781" s="65">
        <f>IF(AP781="",100%,0%)</f>
        <v/>
      </c>
      <c r="AX781" s="56" t="n"/>
      <c r="AY781" s="24">
        <f>IF(M781=0,"",M781-$AX$2)</f>
        <v/>
      </c>
      <c r="AZ781" s="66">
        <f>IF(AND(W781="",AY781&gt;0,AY781&lt;15),1,0)</f>
        <v/>
      </c>
      <c r="BA781" s="24">
        <f>IF(AND(W781="",AY781&gt;0,AY781&lt;15),T781,"")</f>
        <v/>
      </c>
      <c r="BB781" s="87">
        <f>IF(R781&lt;Q781,"X","")</f>
        <v/>
      </c>
      <c r="BC781" s="190" t="inlineStr">
        <is>
          <t>NO</t>
        </is>
      </c>
      <c r="BD781" s="191" t="inlineStr">
        <is>
          <t>SI</t>
        </is>
      </c>
    </row>
    <row r="782" ht="15" customHeight="1" s="162">
      <c r="A782" s="7" t="n">
        <v>781</v>
      </c>
      <c r="B782" t="inlineStr">
        <is>
          <t>1237090072100</t>
        </is>
      </c>
      <c r="C782" t="inlineStr">
        <is>
          <t>BORNA RAIL SIZE20 7,5A 8559N2002B S/SELL</t>
        </is>
      </c>
      <c r="D782" t="inlineStr">
        <is>
          <t>1800108784</t>
        </is>
      </c>
      <c r="E782" t="inlineStr">
        <is>
          <t>80</t>
        </is>
      </c>
      <c r="F782" s="163" t="n">
        <v>45457</v>
      </c>
      <c r="G782" t="inlineStr"/>
      <c r="H782" t="inlineStr">
        <is>
          <t>4200573052</t>
        </is>
      </c>
      <c r="I782" t="inlineStr">
        <is>
          <t>130</t>
        </is>
      </c>
      <c r="J782" s="163" t="n">
        <v>45504</v>
      </c>
      <c r="K782" s="163" t="n">
        <v>45607</v>
      </c>
      <c r="L782" t="inlineStr"/>
      <c r="M782" s="163" t="n">
        <v>45593</v>
      </c>
      <c r="N782" s="164" t="n">
        <v>90</v>
      </c>
      <c r="O782" s="164" t="n">
        <v>8</v>
      </c>
      <c r="P782" t="inlineStr">
        <is>
          <t>Liberado</t>
        </is>
      </c>
      <c r="Q782" s="165" t="n">
        <v>60</v>
      </c>
      <c r="R782" s="165" t="n">
        <v>100</v>
      </c>
      <c r="S782" s="165" t="n">
        <v>100</v>
      </c>
      <c r="T782" s="165" t="n">
        <v>0</v>
      </c>
      <c r="U782" s="166" t="n">
        <v>100</v>
      </c>
      <c r="V782" s="166" t="n">
        <v>0</v>
      </c>
      <c r="W782" t="inlineStr">
        <is>
          <t>X</t>
        </is>
      </c>
      <c r="X782" t="inlineStr">
        <is>
          <t>0.00</t>
        </is>
      </c>
      <c r="Y782" t="inlineStr"/>
      <c r="Z782" t="inlineStr">
        <is>
          <t>SOURIAU</t>
        </is>
      </c>
      <c r="AA782" t="inlineStr">
        <is>
          <t>SOURIAU</t>
        </is>
      </c>
      <c r="AB782" t="inlineStr">
        <is>
          <t>8559N2002B</t>
        </is>
      </c>
      <c r="AC782" t="inlineStr"/>
      <c r="AD782" s="164" t="n">
        <v>1</v>
      </c>
      <c r="AE782" s="185" t="n">
        <v>1</v>
      </c>
      <c r="AG782" s="167" t="inlineStr">
        <is>
          <t>7218|JA2581_1001</t>
        </is>
      </c>
      <c r="AH782" s="47">
        <f>IF(M782=0,"-",M782-J782)</f>
        <v/>
      </c>
      <c r="AI782" s="46">
        <f>IF(AND(S782=0,M782&gt;0,L782=0),IF(AH782&gt;=120,"VERY HIGH",IF(AH782&gt;=90,"HIGH",IF(AH782&gt;=60,"MEDIUM",IF(AH782&lt;60,"LOW")))),"-")</f>
        <v/>
      </c>
      <c r="AJ782" s="12" t="n"/>
      <c r="AK782" s="53">
        <f>IF(AND(W782="X",M782&lt;=$AJ$2),"YES","")</f>
        <v/>
      </c>
      <c r="AL782" s="54">
        <f>IF(AND(W782="X",M782&lt;=$AJ$2),S782,"")</f>
        <v/>
      </c>
      <c r="AM782" s="35" t="n"/>
      <c r="AN782" s="35">
        <f>IF(AND(W782="X",M782&gt;$AJ$2),S782,"")</f>
        <v/>
      </c>
      <c r="AO782" s="35">
        <f>IF(AND(W782="",M782&gt;0,$AJ$2&gt;M782,L782=""),1,0)</f>
        <v/>
      </c>
      <c r="AP782" s="35">
        <f>IF(AND(AK782="YES",W782="X"),"X","")</f>
        <v/>
      </c>
      <c r="AQ782" s="55">
        <f>IF(AP782="X",100%,0%)</f>
        <v/>
      </c>
      <c r="AR782" s="25">
        <f>IF(AND(T782&gt;0,L782=""),H782,"")</f>
        <v/>
      </c>
      <c r="AS782" s="25">
        <f>IF(AND(D782&gt;0,H782=0,G782=""),1,"")</f>
        <v/>
      </c>
      <c r="AT782" s="25">
        <f>IF(G782="BLOQ",1,"")</f>
        <v/>
      </c>
      <c r="AU782" s="25">
        <f>IF(L782="BLOQ",1,"")</f>
        <v/>
      </c>
      <c r="AV782" s="25">
        <f>MONTH(F782)</f>
        <v/>
      </c>
      <c r="AW782" s="65">
        <f>IF(AP782="",100%,0%)</f>
        <v/>
      </c>
      <c r="AX782" s="56" t="n"/>
      <c r="AY782" s="24">
        <f>IF(M782=0,"",M782-$AX$2)</f>
        <v/>
      </c>
      <c r="AZ782" s="66">
        <f>IF(AND(W782="",AY782&gt;0,AY782&lt;15),1,0)</f>
        <v/>
      </c>
      <c r="BA782" s="24">
        <f>IF(AND(W782="",AY782&gt;0,AY782&lt;15),T782,"")</f>
        <v/>
      </c>
      <c r="BB782" s="87">
        <f>IF(R782&lt;Q782,"X","")</f>
        <v/>
      </c>
      <c r="BC782" s="190" t="inlineStr">
        <is>
          <t>NO</t>
        </is>
      </c>
      <c r="BD782" s="191" t="inlineStr">
        <is>
          <t>SI</t>
        </is>
      </c>
    </row>
    <row r="783" ht="15" customHeight="1" s="162">
      <c r="A783" s="7" t="n">
        <v>782</v>
      </c>
      <c r="B783" t="inlineStr">
        <is>
          <t>1239024433900</t>
        </is>
      </c>
      <c r="C783" t="inlineStr">
        <is>
          <t>MANG AUTOSOLD AWG22 C/TERMIN M83519/2-8</t>
        </is>
      </c>
      <c r="D783" t="inlineStr">
        <is>
          <t>1800108784</t>
        </is>
      </c>
      <c r="E783" t="inlineStr">
        <is>
          <t>90</t>
        </is>
      </c>
      <c r="F783" s="163" t="n">
        <v>45457</v>
      </c>
      <c r="G783" t="inlineStr"/>
      <c r="H783" t="inlineStr">
        <is>
          <t>4200571556</t>
        </is>
      </c>
      <c r="I783" t="inlineStr">
        <is>
          <t>170</t>
        </is>
      </c>
      <c r="J783" s="163" t="n">
        <v>45492</v>
      </c>
      <c r="K783" s="163" t="n">
        <v>45497</v>
      </c>
      <c r="L783" t="inlineStr"/>
      <c r="M783" s="163" t="n">
        <v>45499</v>
      </c>
      <c r="N783" s="164" t="n">
        <v>30</v>
      </c>
      <c r="O783" s="164" t="n">
        <v>8</v>
      </c>
      <c r="P783" t="inlineStr">
        <is>
          <t>Liberado</t>
        </is>
      </c>
      <c r="Q783" s="165" t="n">
        <v>500</v>
      </c>
      <c r="R783" s="165" t="n">
        <v>500</v>
      </c>
      <c r="S783" s="165" t="n">
        <v>0</v>
      </c>
      <c r="T783" s="165" t="n">
        <v>500</v>
      </c>
      <c r="U783" s="166" t="n">
        <v>0</v>
      </c>
      <c r="V783" s="166" t="n">
        <v>0</v>
      </c>
      <c r="W783" t="inlineStr"/>
      <c r="X783" t="inlineStr">
        <is>
          <t>500.00</t>
        </is>
      </c>
      <c r="Y783" t="inlineStr"/>
      <c r="Z783" t="inlineStr">
        <is>
          <t>TTI INC.</t>
        </is>
      </c>
      <c r="AA783" t="inlineStr">
        <is>
          <t>TE CONNECTIVITY</t>
        </is>
      </c>
      <c r="AB783" t="inlineStr">
        <is>
          <t>S02-08-R</t>
        </is>
      </c>
      <c r="AC783" t="inlineStr"/>
      <c r="AD783" s="164" t="n">
        <v>0</v>
      </c>
      <c r="AE783" s="185" t="n">
        <v>0</v>
      </c>
      <c r="AG783" s="167" t="inlineStr">
        <is>
          <t>7218|JA2581_1001</t>
        </is>
      </c>
      <c r="AH783" s="47">
        <f>IF(M783=0,"-",M783-J783)</f>
        <v/>
      </c>
      <c r="AI783" s="46">
        <f>IF(AND(S783=0,M783&gt;0,L783=0),IF(AH783&gt;=120,"VERY HIGH",IF(AH783&gt;=90,"HIGH",IF(AH783&gt;=60,"MEDIUM",IF(AH783&lt;60,"LOW")))),"-")</f>
        <v/>
      </c>
      <c r="AJ783" s="12" t="n"/>
      <c r="AK783" s="53">
        <f>IF(AND(W783="X",M783&lt;=$AJ$2),"YES","")</f>
        <v/>
      </c>
      <c r="AL783" s="54">
        <f>IF(AND(W783="X",M783&lt;=$AJ$2),S783,"")</f>
        <v/>
      </c>
      <c r="AM783" s="35" t="n"/>
      <c r="AN783" s="35">
        <f>IF(AND(W783="X",M783&gt;$AJ$2),S783,"")</f>
        <v/>
      </c>
      <c r="AO783" s="35">
        <f>IF(AND(W783="",M783&gt;0,$AJ$2&gt;M783,L783=""),1,0)</f>
        <v/>
      </c>
      <c r="AP783" s="35">
        <f>IF(AND(AK783="YES",W783="X"),"X","")</f>
        <v/>
      </c>
      <c r="AQ783" s="55">
        <f>IF(AP783="X",100%,0%)</f>
        <v/>
      </c>
      <c r="AR783" s="25">
        <f>IF(AND(T783&gt;0,L783=""),H783,"")</f>
        <v/>
      </c>
      <c r="AS783" s="25">
        <f>IF(AND(D783&gt;0,H783=0,G783=""),1,"")</f>
        <v/>
      </c>
      <c r="AT783" s="25">
        <f>IF(G783="BLOQ",1,"")</f>
        <v/>
      </c>
      <c r="AU783" s="25">
        <f>IF(L783="BLOQ",1,"")</f>
        <v/>
      </c>
      <c r="AV783" s="25">
        <f>MONTH(F783)</f>
        <v/>
      </c>
      <c r="AW783" s="65">
        <f>IF(AP783="",100%,0%)</f>
        <v/>
      </c>
      <c r="AX783" s="56" t="n"/>
      <c r="AY783" s="24">
        <f>IF(M783=0,"",M783-$AX$2)</f>
        <v/>
      </c>
      <c r="AZ783" s="66">
        <f>IF(AND(W783="",AY783&gt;0,AY783&lt;15),1,0)</f>
        <v/>
      </c>
      <c r="BA783" s="24">
        <f>IF(AND(W783="",AY783&gt;0,AY783&lt;15),T783,"")</f>
        <v/>
      </c>
      <c r="BB783" s="87">
        <f>IF(R783&lt;Q783,"X","")</f>
        <v/>
      </c>
      <c r="BC783" s="190" t="inlineStr">
        <is>
          <t>NO</t>
        </is>
      </c>
      <c r="BD783" s="190" t="inlineStr">
        <is>
          <t>NO</t>
        </is>
      </c>
    </row>
    <row r="784" ht="15" customHeight="1" s="162">
      <c r="A784" s="7" t="n">
        <v>783</v>
      </c>
      <c r="B784" t="inlineStr">
        <is>
          <t>1239024593000</t>
        </is>
      </c>
      <c r="C784" t="inlineStr">
        <is>
          <t>MANG AUTOSOLDABLE DI= 5,97MM M83519/2-9</t>
        </is>
      </c>
      <c r="D784" t="inlineStr">
        <is>
          <t>1800108784</t>
        </is>
      </c>
      <c r="E784" t="inlineStr">
        <is>
          <t>100</t>
        </is>
      </c>
      <c r="F784" s="163" t="n">
        <v>45457</v>
      </c>
      <c r="G784" t="inlineStr"/>
      <c r="H784" t="inlineStr">
        <is>
          <t>4200575740</t>
        </is>
      </c>
      <c r="I784" t="inlineStr">
        <is>
          <t>20</t>
        </is>
      </c>
      <c r="J784" s="163" t="n">
        <v>45534</v>
      </c>
      <c r="K784" s="163" t="n">
        <v>45536</v>
      </c>
      <c r="L784" t="inlineStr"/>
      <c r="M784" s="163" t="n">
        <v>45548</v>
      </c>
      <c r="N784" s="164" t="n">
        <v>85</v>
      </c>
      <c r="O784" s="164" t="n">
        <v>8</v>
      </c>
      <c r="P784" t="inlineStr">
        <is>
          <t>Liberado</t>
        </is>
      </c>
      <c r="Q784" s="165" t="n">
        <v>200</v>
      </c>
      <c r="R784" s="165" t="n">
        <v>200</v>
      </c>
      <c r="S784" s="165" t="n">
        <v>200</v>
      </c>
      <c r="T784" s="165" t="n">
        <v>0</v>
      </c>
      <c r="U784" s="166" t="n">
        <v>200</v>
      </c>
      <c r="V784" s="166" t="n">
        <v>0</v>
      </c>
      <c r="W784" t="inlineStr">
        <is>
          <t>X</t>
        </is>
      </c>
      <c r="X784" t="inlineStr">
        <is>
          <t>0.00</t>
        </is>
      </c>
      <c r="Y784" t="inlineStr"/>
      <c r="Z784" t="inlineStr">
        <is>
          <t>TCX MICRO, S.L.U</t>
        </is>
      </c>
      <c r="AA784" t="inlineStr">
        <is>
          <t>RAYCHEM LTD</t>
        </is>
      </c>
      <c r="AB784" t="inlineStr">
        <is>
          <t>S02-09-R</t>
        </is>
      </c>
      <c r="AC784" t="inlineStr"/>
      <c r="AD784" s="164" t="n">
        <v>0</v>
      </c>
      <c r="AE784" s="185" t="n">
        <v>0</v>
      </c>
      <c r="AG784" s="167" t="inlineStr">
        <is>
          <t>7218|JA2581_1001</t>
        </is>
      </c>
      <c r="AH784" s="47">
        <f>IF(M784=0,"-",M784-J784)</f>
        <v/>
      </c>
      <c r="AI784" s="46">
        <f>IF(AND(S784=0,M784&gt;0,L784=0),IF(AH784&gt;=120,"VERY HIGH",IF(AH784&gt;=90,"HIGH",IF(AH784&gt;=60,"MEDIUM",IF(AH784&lt;60,"LOW")))),"-")</f>
        <v/>
      </c>
      <c r="AJ784" s="12" t="n"/>
      <c r="AK784" s="53">
        <f>IF(AND(W784="X",M784&lt;=$AJ$2),"YES","")</f>
        <v/>
      </c>
      <c r="AL784" s="54">
        <f>IF(AND(W784="X",M784&lt;=$AJ$2),S784,"")</f>
        <v/>
      </c>
      <c r="AM784" s="35" t="n"/>
      <c r="AN784" s="35">
        <f>IF(AND(W784="X",M784&gt;$AJ$2),S784,"")</f>
        <v/>
      </c>
      <c r="AO784" s="35">
        <f>IF(AND(W784="",M784&gt;0,$AJ$2&gt;M784,L784=""),1,0)</f>
        <v/>
      </c>
      <c r="AP784" s="35">
        <f>IF(AND(AK784="YES",W784="X"),"X","")</f>
        <v/>
      </c>
      <c r="AQ784" s="55">
        <f>IF(AP784="X",100%,0%)</f>
        <v/>
      </c>
      <c r="AR784" s="25">
        <f>IF(AND(T784&gt;0,L784=""),H784,"")</f>
        <v/>
      </c>
      <c r="AS784" s="25">
        <f>IF(AND(D784&gt;0,H784=0,G784=""),1,"")</f>
        <v/>
      </c>
      <c r="AT784" s="25">
        <f>IF(G784="BLOQ",1,"")</f>
        <v/>
      </c>
      <c r="AU784" s="25">
        <f>IF(L784="BLOQ",1,"")</f>
        <v/>
      </c>
      <c r="AV784" s="25">
        <f>MONTH(F784)</f>
        <v/>
      </c>
      <c r="AW784" s="65">
        <f>IF(AP784="",100%,0%)</f>
        <v/>
      </c>
      <c r="AX784" s="56" t="n"/>
      <c r="AY784" s="24">
        <f>IF(M784=0,"",M784-$AX$2)</f>
        <v/>
      </c>
      <c r="AZ784" s="66">
        <f>IF(AND(W784="",AY784&gt;0,AY784&lt;15),1,0)</f>
        <v/>
      </c>
      <c r="BA784" s="24">
        <f>IF(AND(W784="",AY784&gt;0,AY784&lt;15),T784,"")</f>
        <v/>
      </c>
      <c r="BB784" s="87">
        <f>IF(R784&lt;Q784,"X","")</f>
        <v/>
      </c>
      <c r="BC784" s="190" t="inlineStr">
        <is>
          <t>NO</t>
        </is>
      </c>
      <c r="BD784" s="191" t="inlineStr">
        <is>
          <t>SI</t>
        </is>
      </c>
    </row>
    <row r="785" ht="15" customHeight="1" s="162">
      <c r="A785" s="7" t="n">
        <v>784</v>
      </c>
      <c r="B785" t="inlineStr">
        <is>
          <t>0973528190300</t>
        </is>
      </c>
      <c r="C785" t="inlineStr">
        <is>
          <t>DISTRIBUTION PANEL ASSY</t>
        </is>
      </c>
      <c r="D785" t="inlineStr">
        <is>
          <t>1800108785</t>
        </is>
      </c>
      <c r="E785" t="inlineStr">
        <is>
          <t>10</t>
        </is>
      </c>
      <c r="F785" s="163" t="n">
        <v>45457</v>
      </c>
      <c r="G785" t="inlineStr"/>
      <c r="H785" t="inlineStr">
        <is>
          <t>4200579198</t>
        </is>
      </c>
      <c r="I785" t="inlineStr">
        <is>
          <t>10</t>
        </is>
      </c>
      <c r="J785" s="163" t="n">
        <v>45565</v>
      </c>
      <c r="K785" s="163" t="n">
        <v>45628</v>
      </c>
      <c r="L785" t="inlineStr"/>
      <c r="M785" s="163" t="n">
        <v>45737</v>
      </c>
      <c r="N785" s="164" t="n">
        <v>30</v>
      </c>
      <c r="O785" s="164" t="n">
        <v>8</v>
      </c>
      <c r="P785" t="inlineStr">
        <is>
          <t>Liberado</t>
        </is>
      </c>
      <c r="Q785" s="165" t="n">
        <v>5</v>
      </c>
      <c r="R785" s="165" t="n">
        <v>5</v>
      </c>
      <c r="S785" s="165" t="n">
        <v>5</v>
      </c>
      <c r="T785" s="165" t="n">
        <v>0</v>
      </c>
      <c r="U785" s="166" t="n">
        <v>5</v>
      </c>
      <c r="V785" s="166" t="n">
        <v>0</v>
      </c>
      <c r="W785" t="inlineStr">
        <is>
          <t>X</t>
        </is>
      </c>
      <c r="X785" t="inlineStr">
        <is>
          <t>0.00</t>
        </is>
      </c>
      <c r="Y785" t="inlineStr"/>
      <c r="Z785" t="inlineStr">
        <is>
          <t>AUXITEL, S.L.</t>
        </is>
      </c>
      <c r="AA785" t="inlineStr">
        <is>
          <t>INDRA SISTEMAS S.A.</t>
        </is>
      </c>
      <c r="AB785" t="inlineStr">
        <is>
          <t>0973528190300</t>
        </is>
      </c>
      <c r="AC785" t="inlineStr"/>
      <c r="AD785" s="164" t="n">
        <v>2</v>
      </c>
      <c r="AE785" s="185" t="n">
        <v>0</v>
      </c>
      <c r="AG785" s="167" t="inlineStr">
        <is>
          <t>7218|JA2581_1001</t>
        </is>
      </c>
      <c r="AH785" s="47">
        <f>IF(M785=0,"-",M785-J785)</f>
        <v/>
      </c>
      <c r="AI785" s="46">
        <f>IF(AND(S785=0,M785&gt;0,L785=0),IF(AH785&gt;=120,"VERY HIGH",IF(AH785&gt;=90,"HIGH",IF(AH785&gt;=60,"MEDIUM",IF(AH785&lt;60,"LOW")))),"-")</f>
        <v/>
      </c>
      <c r="AJ785" s="12" t="n"/>
      <c r="AK785" s="53">
        <f>IF(AND(W785="X",M785&lt;=$AJ$2),"YES","")</f>
        <v/>
      </c>
      <c r="AL785" s="54">
        <f>IF(AND(W785="X",M785&lt;=$AJ$2),S785,"")</f>
        <v/>
      </c>
      <c r="AM785" s="35" t="n"/>
      <c r="AN785" s="35">
        <f>IF(AND(W785="X",M785&gt;$AJ$2),S785,"")</f>
        <v/>
      </c>
      <c r="AO785" s="35">
        <f>IF(AND(W785="",M785&gt;0,$AJ$2&gt;M785,L785=""),1,0)</f>
        <v/>
      </c>
      <c r="AP785" s="35">
        <f>IF(AND(AK785="YES",W785="X"),"X","")</f>
        <v/>
      </c>
      <c r="AQ785" s="55">
        <f>IF(AP785="X",100%,0%)</f>
        <v/>
      </c>
      <c r="AR785" s="25">
        <f>IF(AND(T785&gt;0,L785=""),H785,"")</f>
        <v/>
      </c>
      <c r="AS785" s="25">
        <f>IF(AND(D785&gt;0,H785=0,G785=""),1,"")</f>
        <v/>
      </c>
      <c r="AT785" s="25">
        <f>IF(G785="BLOQ",1,"")</f>
        <v/>
      </c>
      <c r="AU785" s="25">
        <f>IF(L785="BLOQ",1,"")</f>
        <v/>
      </c>
      <c r="AV785" s="25">
        <f>MONTH(F785)</f>
        <v/>
      </c>
      <c r="AW785" s="65">
        <f>IF(AP785="",100%,0%)</f>
        <v/>
      </c>
      <c r="AX785" s="56" t="n"/>
      <c r="AY785" s="24">
        <f>IF(M785=0,"",M785-$AX$2)</f>
        <v/>
      </c>
      <c r="AZ785" s="66">
        <f>IF(AND(W785="",AY785&gt;0,AY785&lt;15),1,0)</f>
        <v/>
      </c>
      <c r="BA785" s="24">
        <f>IF(AND(W785="",AY785&gt;0,AY785&lt;15),T785,"")</f>
        <v/>
      </c>
      <c r="BB785" s="87">
        <f>IF(R785&lt;Q785,"X","")</f>
        <v/>
      </c>
      <c r="BC785" s="191" t="inlineStr">
        <is>
          <t>SI</t>
        </is>
      </c>
      <c r="BD785" s="191" t="inlineStr">
        <is>
          <t>SI</t>
        </is>
      </c>
    </row>
    <row r="786" ht="15" customHeight="1" s="162">
      <c r="A786" s="7" t="n">
        <v>785</v>
      </c>
      <c r="B786" t="inlineStr">
        <is>
          <t>1202094770000</t>
        </is>
      </c>
      <c r="C786" t="inlineStr">
        <is>
          <t>ACC CNC SUB-D CIERRE TOR 4-40 UNC</t>
        </is>
      </c>
      <c r="D786" t="inlineStr">
        <is>
          <t>1800108785</t>
        </is>
      </c>
      <c r="E786" t="inlineStr">
        <is>
          <t>20</t>
        </is>
      </c>
      <c r="F786" s="163" t="n">
        <v>45457</v>
      </c>
      <c r="G786" t="inlineStr"/>
      <c r="H786" t="inlineStr">
        <is>
          <t>4200571180</t>
        </is>
      </c>
      <c r="I786" t="inlineStr">
        <is>
          <t>140</t>
        </is>
      </c>
      <c r="J786" s="163" t="n">
        <v>45491</v>
      </c>
      <c r="K786" s="163" t="n">
        <v>45551</v>
      </c>
      <c r="L786" t="inlineStr"/>
      <c r="M786" s="163" t="n">
        <v>45510</v>
      </c>
      <c r="N786" s="164" t="n">
        <v>80</v>
      </c>
      <c r="O786" s="164" t="n">
        <v>8</v>
      </c>
      <c r="P786" t="inlineStr">
        <is>
          <t>Liberado</t>
        </is>
      </c>
      <c r="Q786" s="165" t="n">
        <v>200</v>
      </c>
      <c r="R786" s="165" t="n">
        <v>200</v>
      </c>
      <c r="S786" s="165" t="n">
        <v>200</v>
      </c>
      <c r="T786" s="165" t="n">
        <v>0</v>
      </c>
      <c r="U786" s="166" t="n">
        <v>200</v>
      </c>
      <c r="V786" s="166" t="n">
        <v>0</v>
      </c>
      <c r="W786" t="inlineStr">
        <is>
          <t>X</t>
        </is>
      </c>
      <c r="X786" t="inlineStr">
        <is>
          <t>0.00</t>
        </is>
      </c>
      <c r="Y786" t="inlineStr"/>
      <c r="Z786" t="inlineStr">
        <is>
          <t>TTI INC.</t>
        </is>
      </c>
      <c r="AA786" t="inlineStr">
        <is>
          <t>ITT CANNON</t>
        </is>
      </c>
      <c r="AB786" t="inlineStr">
        <is>
          <t>D20419-18</t>
        </is>
      </c>
      <c r="AC786" t="inlineStr"/>
      <c r="AD786" s="164" t="n">
        <v>0</v>
      </c>
      <c r="AE786" s="185" t="n">
        <v>0</v>
      </c>
      <c r="AG786" s="167" t="inlineStr">
        <is>
          <t>7218|JA2581_1001</t>
        </is>
      </c>
      <c r="AH786" s="47">
        <f>IF(M786=0,"-",M786-J786)</f>
        <v/>
      </c>
      <c r="AI786" s="46">
        <f>IF(AND(S786=0,M786&gt;0,L786=0),IF(AH786&gt;=120,"VERY HIGH",IF(AH786&gt;=90,"HIGH",IF(AH786&gt;=60,"MEDIUM",IF(AH786&lt;60,"LOW")))),"-")</f>
        <v/>
      </c>
      <c r="AJ786" s="12" t="n"/>
      <c r="AK786" s="53">
        <f>IF(AND(W786="X",M786&lt;=$AJ$2),"YES","")</f>
        <v/>
      </c>
      <c r="AL786" s="54">
        <f>IF(AND(W786="X",M786&lt;=$AJ$2),S786,"")</f>
        <v/>
      </c>
      <c r="AM786" s="35" t="n"/>
      <c r="AN786" s="35">
        <f>IF(AND(W786="X",M786&gt;$AJ$2),S786,"")</f>
        <v/>
      </c>
      <c r="AO786" s="35">
        <f>IF(AND(W786="",M786&gt;0,$AJ$2&gt;M786,L786=""),1,0)</f>
        <v/>
      </c>
      <c r="AP786" s="35">
        <f>IF(AND(AK786="YES",W786="X"),"X","")</f>
        <v/>
      </c>
      <c r="AQ786" s="55">
        <f>IF(AP786="X",100%,0%)</f>
        <v/>
      </c>
      <c r="AR786" s="25">
        <f>IF(AND(T786&gt;0,L786=""),H786,"")</f>
        <v/>
      </c>
      <c r="AS786" s="25">
        <f>IF(AND(D786&gt;0,H786=0,G786=""),1,"")</f>
        <v/>
      </c>
      <c r="AT786" s="25">
        <f>IF(G786="BLOQ",1,"")</f>
        <v/>
      </c>
      <c r="AU786" s="25">
        <f>IF(L786="BLOQ",1,"")</f>
        <v/>
      </c>
      <c r="AV786" s="25">
        <f>MONTH(F786)</f>
        <v/>
      </c>
      <c r="AW786" s="65">
        <f>IF(AP786="",100%,0%)</f>
        <v/>
      </c>
      <c r="AX786" s="56" t="n"/>
      <c r="AY786" s="24">
        <f>IF(M786=0,"",M786-$AX$2)</f>
        <v/>
      </c>
      <c r="AZ786" s="66">
        <f>IF(AND(W786="",AY786&gt;0,AY786&lt;15),1,0)</f>
        <v/>
      </c>
      <c r="BA786" s="24">
        <f>IF(AND(W786="",AY786&gt;0,AY786&lt;15),T786,"")</f>
        <v/>
      </c>
      <c r="BB786" s="87">
        <f>IF(R786&lt;Q786,"X","")</f>
        <v/>
      </c>
      <c r="BC786" s="190" t="inlineStr">
        <is>
          <t>NO</t>
        </is>
      </c>
      <c r="BD786" s="191" t="inlineStr">
        <is>
          <t>SI</t>
        </is>
      </c>
    </row>
    <row r="787" ht="15" customHeight="1" s="162">
      <c r="A787" s="7" t="n">
        <v>786</v>
      </c>
      <c r="B787" t="inlineStr">
        <is>
          <t>1219000292300</t>
        </is>
      </c>
      <c r="C787" t="inlineStr">
        <is>
          <t>CAJA PORTACONTACTOS 10P (H) PASO 3,96MM</t>
        </is>
      </c>
      <c r="D787" t="inlineStr">
        <is>
          <t>1800108785</t>
        </is>
      </c>
      <c r="E787" t="inlineStr">
        <is>
          <t>30</t>
        </is>
      </c>
      <c r="F787" s="163" t="n">
        <v>45457</v>
      </c>
      <c r="G787" t="inlineStr"/>
      <c r="H787" t="inlineStr">
        <is>
          <t>4200577705</t>
        </is>
      </c>
      <c r="I787" t="inlineStr">
        <is>
          <t>290</t>
        </is>
      </c>
      <c r="J787" s="163" t="n">
        <v>45553</v>
      </c>
      <c r="K787" s="163" t="n">
        <v>45712</v>
      </c>
      <c r="L787" t="inlineStr"/>
      <c r="M787" s="163" t="n">
        <v>45567</v>
      </c>
      <c r="N787" s="164" t="n">
        <v>80</v>
      </c>
      <c r="O787" s="164" t="n">
        <v>8</v>
      </c>
      <c r="P787" t="inlineStr">
        <is>
          <t>Liberado</t>
        </is>
      </c>
      <c r="Q787" s="165" t="n">
        <v>8</v>
      </c>
      <c r="R787" s="165" t="n">
        <v>10</v>
      </c>
      <c r="S787" s="165" t="n">
        <v>10</v>
      </c>
      <c r="T787" s="165" t="n">
        <v>0</v>
      </c>
      <c r="U787" s="166" t="n">
        <v>10</v>
      </c>
      <c r="V787" s="166" t="n">
        <v>0</v>
      </c>
      <c r="W787" t="inlineStr">
        <is>
          <t>X</t>
        </is>
      </c>
      <c r="X787" t="inlineStr">
        <is>
          <t>0.00</t>
        </is>
      </c>
      <c r="Y787" t="inlineStr"/>
      <c r="Z787" t="inlineStr">
        <is>
          <t>SUMINISTROS CONECTORES PROF.,SA.</t>
        </is>
      </c>
      <c r="AA787" t="inlineStr">
        <is>
          <t>CONEXCON</t>
        </is>
      </c>
      <c r="AB787" t="inlineStr">
        <is>
          <t>3940-2101</t>
        </is>
      </c>
      <c r="AC787" t="inlineStr"/>
      <c r="AD787" s="164" t="n">
        <v>1</v>
      </c>
      <c r="AE787" s="185" t="n">
        <v>1</v>
      </c>
      <c r="AG787" s="167" t="inlineStr">
        <is>
          <t>7218|JA2581_1001</t>
        </is>
      </c>
      <c r="AH787" s="47">
        <f>IF(M787=0,"-",M787-J787)</f>
        <v/>
      </c>
      <c r="AI787" s="46">
        <f>IF(AND(S787=0,M787&gt;0,L787=0),IF(AH787&gt;=120,"VERY HIGH",IF(AH787&gt;=90,"HIGH",IF(AH787&gt;=60,"MEDIUM",IF(AH787&lt;60,"LOW")))),"-")</f>
        <v/>
      </c>
      <c r="AJ787" s="12" t="n"/>
      <c r="AK787" s="53">
        <f>IF(AND(W787="X",M787&lt;=$AJ$2),"YES","")</f>
        <v/>
      </c>
      <c r="AL787" s="54">
        <f>IF(AND(W787="X",M787&lt;=$AJ$2),S787,"")</f>
        <v/>
      </c>
      <c r="AM787" s="35" t="n"/>
      <c r="AN787" s="35">
        <f>IF(AND(W787="X",M787&gt;$AJ$2),S787,"")</f>
        <v/>
      </c>
      <c r="AO787" s="35">
        <f>IF(AND(W787="",M787&gt;0,$AJ$2&gt;M787,L787=""),1,0)</f>
        <v/>
      </c>
      <c r="AP787" s="35">
        <f>IF(AND(AK787="YES",W787="X"),"X","")</f>
        <v/>
      </c>
      <c r="AQ787" s="55">
        <f>IF(AP787="X",100%,0%)</f>
        <v/>
      </c>
      <c r="AR787" s="25">
        <f>IF(AND(T787&gt;0,L787=""),H787,"")</f>
        <v/>
      </c>
      <c r="AS787" s="25">
        <f>IF(AND(D787&gt;0,H787=0,G787=""),1,"")</f>
        <v/>
      </c>
      <c r="AT787" s="25">
        <f>IF(G787="BLOQ",1,"")</f>
        <v/>
      </c>
      <c r="AU787" s="25">
        <f>IF(L787="BLOQ",1,"")</f>
        <v/>
      </c>
      <c r="AV787" s="25">
        <f>MONTH(F787)</f>
        <v/>
      </c>
      <c r="AW787" s="65">
        <f>IF(AP787="",100%,0%)</f>
        <v/>
      </c>
      <c r="AX787" s="56" t="n"/>
      <c r="AY787" s="24">
        <f>IF(M787=0,"",M787-$AX$2)</f>
        <v/>
      </c>
      <c r="AZ787" s="66">
        <f>IF(AND(W787="",AY787&gt;0,AY787&lt;15),1,0)</f>
        <v/>
      </c>
      <c r="BA787" s="24">
        <f>IF(AND(W787="",AY787&gt;0,AY787&lt;15),T787,"")</f>
        <v/>
      </c>
      <c r="BB787" s="87">
        <f>IF(R787&lt;Q787,"X","")</f>
        <v/>
      </c>
      <c r="BC787" s="190" t="inlineStr">
        <is>
          <t>NO</t>
        </is>
      </c>
      <c r="BD787" s="191" t="inlineStr">
        <is>
          <t>SI</t>
        </is>
      </c>
    </row>
    <row r="788" ht="15" customHeight="1" s="162">
      <c r="A788" s="7" t="n">
        <v>787</v>
      </c>
      <c r="B788" t="inlineStr">
        <is>
          <t>1219000990400</t>
        </is>
      </c>
      <c r="C788" t="inlineStr">
        <is>
          <t>CAJA PORTACONTACTOS 9/H CRIMP SERIE SL</t>
        </is>
      </c>
      <c r="D788" t="inlineStr">
        <is>
          <t>1800108785</t>
        </is>
      </c>
      <c r="E788" t="inlineStr">
        <is>
          <t>40</t>
        </is>
      </c>
      <c r="F788" s="163" t="n">
        <v>45457</v>
      </c>
      <c r="G788" t="inlineStr"/>
      <c r="H788" t="inlineStr">
        <is>
          <t>4200570128</t>
        </is>
      </c>
      <c r="I788" t="inlineStr">
        <is>
          <t>120</t>
        </is>
      </c>
      <c r="J788" s="163" t="n">
        <v>45483</v>
      </c>
      <c r="K788" s="163" t="n">
        <v>45484</v>
      </c>
      <c r="L788" t="inlineStr"/>
      <c r="M788" s="163" t="n">
        <v>45497</v>
      </c>
      <c r="N788" s="164" t="n">
        <v>80</v>
      </c>
      <c r="O788" s="164" t="n">
        <v>8</v>
      </c>
      <c r="P788" t="inlineStr">
        <is>
          <t>Liberado</t>
        </is>
      </c>
      <c r="Q788" s="165" t="n">
        <v>100</v>
      </c>
      <c r="R788" s="165" t="n">
        <v>100</v>
      </c>
      <c r="S788" s="165" t="n">
        <v>100</v>
      </c>
      <c r="T788" s="165" t="n">
        <v>0</v>
      </c>
      <c r="U788" s="166" t="n">
        <v>0</v>
      </c>
      <c r="V788" s="166" t="n">
        <v>0</v>
      </c>
      <c r="W788" t="inlineStr">
        <is>
          <t>X</t>
        </is>
      </c>
      <c r="X788" t="inlineStr">
        <is>
          <t>0.00</t>
        </is>
      </c>
      <c r="Y788" t="inlineStr"/>
      <c r="Z788" t="inlineStr">
        <is>
          <t>SUMINISTROS CONECTORES PROF.,SA.</t>
        </is>
      </c>
      <c r="AA788" t="inlineStr">
        <is>
          <t>MOLEX</t>
        </is>
      </c>
      <c r="AB788" t="inlineStr">
        <is>
          <t>50-57-9409</t>
        </is>
      </c>
      <c r="AC788" t="inlineStr"/>
      <c r="AD788" s="164" t="n">
        <v>0</v>
      </c>
      <c r="AE788" s="185" t="n">
        <v>0</v>
      </c>
      <c r="AG788" s="167" t="inlineStr">
        <is>
          <t>7218|JA2581_1001</t>
        </is>
      </c>
      <c r="AH788" s="47">
        <f>IF(M788=0,"-",M788-J788)</f>
        <v/>
      </c>
      <c r="AI788" s="46">
        <f>IF(AND(S788=0,M788&gt;0,L788=0),IF(AH788&gt;=120,"VERY HIGH",IF(AH788&gt;=90,"HIGH",IF(AH788&gt;=60,"MEDIUM",IF(AH788&lt;60,"LOW")))),"-")</f>
        <v/>
      </c>
      <c r="AJ788" s="12" t="n"/>
      <c r="AK788" s="53">
        <f>IF(AND(W788="X",M788&lt;=$AJ$2),"YES","")</f>
        <v/>
      </c>
      <c r="AL788" s="54">
        <f>IF(AND(W788="X",M788&lt;=$AJ$2),S788,"")</f>
        <v/>
      </c>
      <c r="AM788" s="35" t="n"/>
      <c r="AN788" s="35">
        <f>IF(AND(W788="X",M788&gt;$AJ$2),S788,"")</f>
        <v/>
      </c>
      <c r="AO788" s="35">
        <f>IF(AND(W788="",M788&gt;0,$AJ$2&gt;M788,L788=""),1,0)</f>
        <v/>
      </c>
      <c r="AP788" s="35">
        <f>IF(AND(AK788="YES",W788="X"),"X","")</f>
        <v/>
      </c>
      <c r="AQ788" s="55">
        <f>IF(AP788="X",100%,0%)</f>
        <v/>
      </c>
      <c r="AR788" s="25">
        <f>IF(AND(T788&gt;0,L788=""),H788,"")</f>
        <v/>
      </c>
      <c r="AS788" s="25">
        <f>IF(AND(D788&gt;0,H788=0,G788=""),1,"")</f>
        <v/>
      </c>
      <c r="AT788" s="25">
        <f>IF(G788="BLOQ",1,"")</f>
        <v/>
      </c>
      <c r="AU788" s="25">
        <f>IF(L788="BLOQ",1,"")</f>
        <v/>
      </c>
      <c r="AV788" s="25">
        <f>MONTH(F788)</f>
        <v/>
      </c>
      <c r="AW788" s="65">
        <f>IF(AP788="",100%,0%)</f>
        <v/>
      </c>
      <c r="AX788" s="56" t="n"/>
      <c r="AY788" s="24">
        <f>IF(M788=0,"",M788-$AX$2)</f>
        <v/>
      </c>
      <c r="AZ788" s="66">
        <f>IF(AND(W788="",AY788&gt;0,AY788&lt;15),1,0)</f>
        <v/>
      </c>
      <c r="BA788" s="24">
        <f>IF(AND(W788="",AY788&gt;0,AY788&lt;15),T788,"")</f>
        <v/>
      </c>
      <c r="BB788" s="87">
        <f>IF(R788&lt;Q788,"X","")</f>
        <v/>
      </c>
      <c r="BC788" s="190" t="inlineStr">
        <is>
          <t>NO</t>
        </is>
      </c>
      <c r="BD788" s="191" t="inlineStr">
        <is>
          <t>SI</t>
        </is>
      </c>
    </row>
    <row r="789" ht="15" customHeight="1" s="162">
      <c r="A789" s="7" t="n">
        <v>788</v>
      </c>
      <c r="B789" t="inlineStr">
        <is>
          <t>1219090030200</t>
        </is>
      </c>
      <c r="C789" t="inlineStr">
        <is>
          <t>TERMINAL HEMBRA CRIMPAR AWG24-30 MGRID</t>
        </is>
      </c>
      <c r="D789" t="inlineStr">
        <is>
          <t>1800108785</t>
        </is>
      </c>
      <c r="E789" t="inlineStr">
        <is>
          <t>50</t>
        </is>
      </c>
      <c r="F789" s="163" t="n">
        <v>45457</v>
      </c>
      <c r="G789" t="inlineStr"/>
      <c r="H789" t="inlineStr">
        <is>
          <t>4200570128</t>
        </is>
      </c>
      <c r="I789" t="inlineStr">
        <is>
          <t>130</t>
        </is>
      </c>
      <c r="J789" s="163" t="n">
        <v>45483</v>
      </c>
      <c r="K789" s="163" t="n">
        <v>45484</v>
      </c>
      <c r="L789" t="inlineStr"/>
      <c r="M789" s="163" t="n">
        <v>45497</v>
      </c>
      <c r="N789" s="164" t="n">
        <v>50</v>
      </c>
      <c r="O789" s="164" t="n">
        <v>8</v>
      </c>
      <c r="P789" t="inlineStr">
        <is>
          <t>Liberado</t>
        </is>
      </c>
      <c r="Q789" s="165" t="n">
        <v>100</v>
      </c>
      <c r="R789" s="165" t="n">
        <v>100</v>
      </c>
      <c r="S789" s="165" t="n">
        <v>100</v>
      </c>
      <c r="T789" s="165" t="n">
        <v>0</v>
      </c>
      <c r="U789" s="166" t="n">
        <v>100</v>
      </c>
      <c r="V789" s="166" t="n">
        <v>0</v>
      </c>
      <c r="W789" t="inlineStr">
        <is>
          <t>X</t>
        </is>
      </c>
      <c r="X789" t="inlineStr">
        <is>
          <t>0.00</t>
        </is>
      </c>
      <c r="Y789" t="inlineStr"/>
      <c r="Z789" t="inlineStr">
        <is>
          <t>SUMINISTROS CONECTORES PROF.,SA.</t>
        </is>
      </c>
      <c r="AA789" t="inlineStr">
        <is>
          <t>MOLEX</t>
        </is>
      </c>
      <c r="AB789" t="inlineStr">
        <is>
          <t>50394-8052</t>
        </is>
      </c>
      <c r="AC789" t="inlineStr"/>
      <c r="AD789" s="164" t="n">
        <v>0</v>
      </c>
      <c r="AE789" s="185" t="n">
        <v>0</v>
      </c>
      <c r="AG789" s="167" t="inlineStr">
        <is>
          <t>7218|JA2581_1001</t>
        </is>
      </c>
      <c r="AH789" s="47">
        <f>IF(M789=0,"-",M789-J789)</f>
        <v/>
      </c>
      <c r="AI789" s="46">
        <f>IF(AND(S789=0,M789&gt;0,L789=0),IF(AH789&gt;=120,"VERY HIGH",IF(AH789&gt;=90,"HIGH",IF(AH789&gt;=60,"MEDIUM",IF(AH789&lt;60,"LOW")))),"-")</f>
        <v/>
      </c>
      <c r="AJ789" s="12" t="n"/>
      <c r="AK789" s="53">
        <f>IF(AND(W789="X",M789&lt;=$AJ$2),"YES","")</f>
        <v/>
      </c>
      <c r="AL789" s="54">
        <f>IF(AND(W789="X",M789&lt;=$AJ$2),S789,"")</f>
        <v/>
      </c>
      <c r="AM789" s="35" t="n"/>
      <c r="AN789" s="35">
        <f>IF(AND(W789="X",M789&gt;$AJ$2),S789,"")</f>
        <v/>
      </c>
      <c r="AO789" s="35">
        <f>IF(AND(W789="",M789&gt;0,$AJ$2&gt;M789,L789=""),1,0)</f>
        <v/>
      </c>
      <c r="AP789" s="35">
        <f>IF(AND(AK789="YES",W789="X"),"X","")</f>
        <v/>
      </c>
      <c r="AQ789" s="55">
        <f>IF(AP789="X",100%,0%)</f>
        <v/>
      </c>
      <c r="AR789" s="25">
        <f>IF(AND(T789&gt;0,L789=""),H789,"")</f>
        <v/>
      </c>
      <c r="AS789" s="25">
        <f>IF(AND(D789&gt;0,H789=0,G789=""),1,"")</f>
        <v/>
      </c>
      <c r="AT789" s="25">
        <f>IF(G789="BLOQ",1,"")</f>
        <v/>
      </c>
      <c r="AU789" s="25">
        <f>IF(L789="BLOQ",1,"")</f>
        <v/>
      </c>
      <c r="AV789" s="25">
        <f>MONTH(F789)</f>
        <v/>
      </c>
      <c r="AW789" s="65">
        <f>IF(AP789="",100%,0%)</f>
        <v/>
      </c>
      <c r="AX789" s="56" t="n"/>
      <c r="AY789" s="24">
        <f>IF(M789=0,"",M789-$AX$2)</f>
        <v/>
      </c>
      <c r="AZ789" s="66">
        <f>IF(AND(W789="",AY789&gt;0,AY789&lt;15),1,0)</f>
        <v/>
      </c>
      <c r="BA789" s="24">
        <f>IF(AND(W789="",AY789&gt;0,AY789&lt;15),T789,"")</f>
        <v/>
      </c>
      <c r="BB789" s="87">
        <f>IF(R789&lt;Q789,"X","")</f>
        <v/>
      </c>
      <c r="BC789" s="190" t="inlineStr">
        <is>
          <t>NO</t>
        </is>
      </c>
      <c r="BD789" s="191" t="inlineStr">
        <is>
          <t>SI</t>
        </is>
      </c>
    </row>
    <row r="790" ht="15" customHeight="1" s="162">
      <c r="A790" s="7" t="n">
        <v>789</v>
      </c>
      <c r="B790" t="inlineStr">
        <is>
          <t>1219090080000</t>
        </is>
      </c>
      <c r="C790" t="inlineStr">
        <is>
          <t>CONTACTO ENGASTAR AWG18-26 1,14MM</t>
        </is>
      </c>
      <c r="D790" t="inlineStr">
        <is>
          <t>1800108785</t>
        </is>
      </c>
      <c r="E790" t="inlineStr">
        <is>
          <t>60</t>
        </is>
      </c>
      <c r="F790" s="163" t="n">
        <v>45457</v>
      </c>
      <c r="G790" t="inlineStr"/>
      <c r="H790" t="inlineStr">
        <is>
          <t>4200579147</t>
        </is>
      </c>
      <c r="I790" t="inlineStr">
        <is>
          <t>50</t>
        </is>
      </c>
      <c r="J790" s="163" t="n">
        <v>45565</v>
      </c>
      <c r="K790" s="163" t="n">
        <v>45569</v>
      </c>
      <c r="L790" t="inlineStr"/>
      <c r="M790" s="163" t="n">
        <v>45572</v>
      </c>
      <c r="N790" s="164" t="n">
        <v>80</v>
      </c>
      <c r="O790" s="164" t="n">
        <v>8</v>
      </c>
      <c r="P790" t="inlineStr">
        <is>
          <t>Liberado</t>
        </is>
      </c>
      <c r="Q790" s="165" t="n">
        <v>80</v>
      </c>
      <c r="R790" s="165" t="n">
        <v>80</v>
      </c>
      <c r="S790" s="165" t="n">
        <v>80</v>
      </c>
      <c r="T790" s="165" t="n">
        <v>0</v>
      </c>
      <c r="U790" s="166" t="n">
        <v>80</v>
      </c>
      <c r="V790" s="166" t="n">
        <v>0</v>
      </c>
      <c r="W790" t="inlineStr">
        <is>
          <t>X</t>
        </is>
      </c>
      <c r="X790" t="inlineStr">
        <is>
          <t>0.00</t>
        </is>
      </c>
      <c r="Y790" t="inlineStr"/>
      <c r="Z790" t="inlineStr">
        <is>
          <t>CENVALSA, S.L.</t>
        </is>
      </c>
      <c r="AA790" t="inlineStr">
        <is>
          <t>CENVALSA</t>
        </is>
      </c>
      <c r="AB790" t="inlineStr">
        <is>
          <t>3979-2001</t>
        </is>
      </c>
      <c r="AC790" t="inlineStr"/>
      <c r="AD790" s="164" t="n">
        <v>0</v>
      </c>
      <c r="AE790" s="185" t="n">
        <v>0</v>
      </c>
      <c r="AG790" s="167" t="inlineStr">
        <is>
          <t>7218|JA2581_1001</t>
        </is>
      </c>
      <c r="AH790" s="47">
        <f>IF(M790=0,"-",M790-J790)</f>
        <v/>
      </c>
      <c r="AI790" s="46">
        <f>IF(AND(S790=0,M790&gt;0,L790=0),IF(AH790&gt;=120,"VERY HIGH",IF(AH790&gt;=90,"HIGH",IF(AH790&gt;=60,"MEDIUM",IF(AH790&lt;60,"LOW")))),"-")</f>
        <v/>
      </c>
      <c r="AJ790" s="12" t="n"/>
      <c r="AK790" s="53">
        <f>IF(AND(W790="X",M790&lt;=$AJ$2),"YES","")</f>
        <v/>
      </c>
      <c r="AL790" s="54">
        <f>IF(AND(W790="X",M790&lt;=$AJ$2),S790,"")</f>
        <v/>
      </c>
      <c r="AM790" s="35" t="n"/>
      <c r="AN790" s="35">
        <f>IF(AND(W790="X",M790&gt;$AJ$2),S790,"")</f>
        <v/>
      </c>
      <c r="AO790" s="35">
        <f>IF(AND(W790="",M790&gt;0,$AJ$2&gt;M790,L790=""),1,0)</f>
        <v/>
      </c>
      <c r="AP790" s="35">
        <f>IF(AND(AK790="YES",W790="X"),"X","")</f>
        <v/>
      </c>
      <c r="AQ790" s="55">
        <f>IF(AP790="X",100%,0%)</f>
        <v/>
      </c>
      <c r="AR790" s="25">
        <f>IF(AND(T790&gt;0,L790=""),H790,"")</f>
        <v/>
      </c>
      <c r="AS790" s="25">
        <f>IF(AND(D790&gt;0,H790=0,G790=""),1,"")</f>
        <v/>
      </c>
      <c r="AT790" s="25">
        <f>IF(G790="BLOQ",1,"")</f>
        <v/>
      </c>
      <c r="AU790" s="25">
        <f>IF(L790="BLOQ",1,"")</f>
        <v/>
      </c>
      <c r="AV790" s="25">
        <f>MONTH(F790)</f>
        <v/>
      </c>
      <c r="AW790" s="65">
        <f>IF(AP790="",100%,0%)</f>
        <v/>
      </c>
      <c r="AX790" s="56" t="n"/>
      <c r="AY790" s="24">
        <f>IF(M790=0,"",M790-$AX$2)</f>
        <v/>
      </c>
      <c r="AZ790" s="66">
        <f>IF(AND(W790="",AY790&gt;0,AY790&lt;15),1,0)</f>
        <v/>
      </c>
      <c r="BA790" s="24">
        <f>IF(AND(W790="",AY790&gt;0,AY790&lt;15),T790,"")</f>
        <v/>
      </c>
      <c r="BB790" s="87">
        <f>IF(R790&lt;Q790,"X","")</f>
        <v/>
      </c>
      <c r="BC790" s="190" t="inlineStr">
        <is>
          <t>NO</t>
        </is>
      </c>
      <c r="BD790" s="191" t="inlineStr">
        <is>
          <t>SI</t>
        </is>
      </c>
    </row>
    <row r="791" ht="15" customHeight="1" s="162">
      <c r="A791" s="7" t="n">
        <v>790</v>
      </c>
      <c r="B791" t="inlineStr">
        <is>
          <t>1219590030000</t>
        </is>
      </c>
      <c r="C791" t="inlineStr">
        <is>
          <t>TERMINAL PIN P/PASO 2,54MM</t>
        </is>
      </c>
      <c r="D791" t="inlineStr">
        <is>
          <t>1800108785</t>
        </is>
      </c>
      <c r="E791" t="inlineStr">
        <is>
          <t>70</t>
        </is>
      </c>
      <c r="F791" s="163" t="n">
        <v>45457</v>
      </c>
      <c r="G791" t="inlineStr"/>
      <c r="H791" t="inlineStr">
        <is>
          <t>4200568685</t>
        </is>
      </c>
      <c r="I791" t="inlineStr">
        <is>
          <t>10</t>
        </is>
      </c>
      <c r="J791" s="163" t="n">
        <v>45470</v>
      </c>
      <c r="K791" s="163" t="n">
        <v>45471</v>
      </c>
      <c r="L791" t="inlineStr"/>
      <c r="M791" s="163" t="n">
        <v>45488</v>
      </c>
      <c r="N791" s="164" t="n">
        <v>45</v>
      </c>
      <c r="O791" s="164" t="n">
        <v>8</v>
      </c>
      <c r="P791" t="inlineStr">
        <is>
          <t>Liberado</t>
        </is>
      </c>
      <c r="Q791" s="165" t="n">
        <v>60</v>
      </c>
      <c r="R791" s="165" t="n">
        <v>100</v>
      </c>
      <c r="S791" s="165" t="n">
        <v>100</v>
      </c>
      <c r="T791" s="165" t="n">
        <v>0</v>
      </c>
      <c r="U791" s="166" t="n">
        <v>100</v>
      </c>
      <c r="V791" s="166" t="n">
        <v>0</v>
      </c>
      <c r="W791" t="inlineStr">
        <is>
          <t>X</t>
        </is>
      </c>
      <c r="X791" t="inlineStr">
        <is>
          <t>0.00</t>
        </is>
      </c>
      <c r="Y791" t="inlineStr"/>
      <c r="Z791" t="inlineStr">
        <is>
          <t>ARRAY ELECTRONICA PROFESIONAL, S.A.</t>
        </is>
      </c>
      <c r="AA791" t="inlineStr">
        <is>
          <t>ARISTON</t>
        </is>
      </c>
      <c r="AB791" t="inlineStr">
        <is>
          <t>CO 3570</t>
        </is>
      </c>
      <c r="AC791" t="inlineStr"/>
      <c r="AD791" s="164" t="n">
        <v>0</v>
      </c>
      <c r="AE791" s="185" t="n">
        <v>0</v>
      </c>
      <c r="AG791" s="167" t="inlineStr">
        <is>
          <t>7218|JA2581_1001</t>
        </is>
      </c>
      <c r="AH791" s="47">
        <f>IF(M791=0,"-",M791-J791)</f>
        <v/>
      </c>
      <c r="AI791" s="46">
        <f>IF(AND(S791=0,M791&gt;0,L791=0),IF(AH791&gt;=120,"VERY HIGH",IF(AH791&gt;=90,"HIGH",IF(AH791&gt;=60,"MEDIUM",IF(AH791&lt;60,"LOW")))),"-")</f>
        <v/>
      </c>
      <c r="AJ791" s="12" t="n"/>
      <c r="AK791" s="53">
        <f>IF(AND(W791="X",M791&lt;=$AJ$2),"YES","")</f>
        <v/>
      </c>
      <c r="AL791" s="54">
        <f>IF(AND(W791="X",M791&lt;=$AJ$2),S791,"")</f>
        <v/>
      </c>
      <c r="AM791" s="35" t="n"/>
      <c r="AN791" s="35">
        <f>IF(AND(W791="X",M791&gt;$AJ$2),S791,"")</f>
        <v/>
      </c>
      <c r="AO791" s="35">
        <f>IF(AND(W791="",M791&gt;0,$AJ$2&gt;M791,L791=""),1,0)</f>
        <v/>
      </c>
      <c r="AP791" s="35">
        <f>IF(AND(AK791="YES",W791="X"),"X","")</f>
        <v/>
      </c>
      <c r="AQ791" s="55">
        <f>IF(AP791="X",100%,0%)</f>
        <v/>
      </c>
      <c r="AR791" s="25">
        <f>IF(AND(T791&gt;0,L791=""),H791,"")</f>
        <v/>
      </c>
      <c r="AS791" s="25">
        <f>IF(AND(D791&gt;0,H791=0,G791=""),1,"")</f>
        <v/>
      </c>
      <c r="AT791" s="25">
        <f>IF(G791="BLOQ",1,"")</f>
        <v/>
      </c>
      <c r="AU791" s="25">
        <f>IF(L791="BLOQ",1,"")</f>
        <v/>
      </c>
      <c r="AV791" s="25">
        <f>MONTH(F791)</f>
        <v/>
      </c>
      <c r="AW791" s="65">
        <f>IF(AP791="",100%,0%)</f>
        <v/>
      </c>
      <c r="AX791" s="56" t="n"/>
      <c r="AY791" s="24">
        <f>IF(M791=0,"",M791-$AX$2)</f>
        <v/>
      </c>
      <c r="AZ791" s="66">
        <f>IF(AND(W791="",AY791&gt;0,AY791&lt;15),1,0)</f>
        <v/>
      </c>
      <c r="BA791" s="24">
        <f>IF(AND(W791="",AY791&gt;0,AY791&lt;15),T791,"")</f>
        <v/>
      </c>
      <c r="BB791" s="87">
        <f>IF(R791&lt;Q791,"X","")</f>
        <v/>
      </c>
      <c r="BC791" s="190" t="inlineStr">
        <is>
          <t>NO</t>
        </is>
      </c>
      <c r="BD791" s="191" t="inlineStr">
        <is>
          <t>SI</t>
        </is>
      </c>
    </row>
    <row r="792" ht="15" customHeight="1" s="162">
      <c r="A792" s="7" t="n">
        <v>791</v>
      </c>
      <c r="B792" t="inlineStr">
        <is>
          <t>1220114152000</t>
        </is>
      </c>
      <c r="C792" t="inlineStr">
        <is>
          <t>CBL FLEX 1X1,5 MM2 PVC 750V AV H07VK</t>
        </is>
      </c>
      <c r="D792" t="inlineStr">
        <is>
          <t>1800108785</t>
        </is>
      </c>
      <c r="E792" t="inlineStr">
        <is>
          <t>80</t>
        </is>
      </c>
      <c r="F792" s="163" t="n">
        <v>45457</v>
      </c>
      <c r="G792" t="inlineStr"/>
      <c r="H792" t="inlineStr">
        <is>
          <t>4200575330</t>
        </is>
      </c>
      <c r="I792" t="inlineStr">
        <is>
          <t>40</t>
        </is>
      </c>
      <c r="J792" s="163" t="n">
        <v>45531</v>
      </c>
      <c r="K792" s="163" t="n">
        <v>45538</v>
      </c>
      <c r="L792" t="inlineStr"/>
      <c r="M792" s="163" t="n">
        <v>45538</v>
      </c>
      <c r="N792" s="164" t="n">
        <v>30</v>
      </c>
      <c r="O792" s="164" t="n">
        <v>8</v>
      </c>
      <c r="P792" t="inlineStr">
        <is>
          <t>Liberado</t>
        </is>
      </c>
      <c r="Q792" s="165" t="n">
        <v>50</v>
      </c>
      <c r="R792" s="165" t="n">
        <v>200</v>
      </c>
      <c r="S792" s="165" t="n">
        <v>200</v>
      </c>
      <c r="T792" s="165" t="n">
        <v>0</v>
      </c>
      <c r="U792" s="166" t="n">
        <v>0</v>
      </c>
      <c r="V792" s="166" t="n">
        <v>0</v>
      </c>
      <c r="W792" t="inlineStr">
        <is>
          <t>X</t>
        </is>
      </c>
      <c r="X792" t="inlineStr">
        <is>
          <t>0.00</t>
        </is>
      </c>
      <c r="Y792" t="inlineStr"/>
      <c r="Z792" t="inlineStr">
        <is>
          <t>LUJISA, S.A.</t>
        </is>
      </c>
      <c r="AA792" t="inlineStr">
        <is>
          <t>AISMALIBAR</t>
        </is>
      </c>
      <c r="AB792" t="inlineStr">
        <is>
          <t>H07V-K/1X1,5MM2 AMARILLO/VERDE</t>
        </is>
      </c>
      <c r="AC792" t="inlineStr"/>
      <c r="AD792" s="164" t="n">
        <v>0</v>
      </c>
      <c r="AE792" s="185" t="n">
        <v>0</v>
      </c>
      <c r="AG792" s="167" t="inlineStr">
        <is>
          <t>7218|JA2581_1001</t>
        </is>
      </c>
      <c r="AH792" s="47">
        <f>IF(M792=0,"-",M792-J792)</f>
        <v/>
      </c>
      <c r="AI792" s="46">
        <f>IF(AND(S792=0,M792&gt;0,L792=0),IF(AH792&gt;=120,"VERY HIGH",IF(AH792&gt;=90,"HIGH",IF(AH792&gt;=60,"MEDIUM",IF(AH792&lt;60,"LOW")))),"-")</f>
        <v/>
      </c>
      <c r="AJ792" s="12" t="n"/>
      <c r="AK792" s="53">
        <f>IF(AND(W792="X",M792&lt;=$AJ$2),"YES","")</f>
        <v/>
      </c>
      <c r="AL792" s="54">
        <f>IF(AND(W792="X",M792&lt;=$AJ$2),S792,"")</f>
        <v/>
      </c>
      <c r="AM792" s="35" t="n"/>
      <c r="AN792" s="35">
        <f>IF(AND(W792="X",M792&gt;$AJ$2),S792,"")</f>
        <v/>
      </c>
      <c r="AO792" s="35">
        <f>IF(AND(W792="",M792&gt;0,$AJ$2&gt;M792,L792=""),1,0)</f>
        <v/>
      </c>
      <c r="AP792" s="35">
        <f>IF(AND(AK792="YES",W792="X"),"X","")</f>
        <v/>
      </c>
      <c r="AQ792" s="55">
        <f>IF(AP792="X",100%,0%)</f>
        <v/>
      </c>
      <c r="AR792" s="25">
        <f>IF(AND(T792&gt;0,L792=""),H792,"")</f>
        <v/>
      </c>
      <c r="AS792" s="25">
        <f>IF(AND(D792&gt;0,H792=0,G792=""),1,"")</f>
        <v/>
      </c>
      <c r="AT792" s="25">
        <f>IF(G792="BLOQ",1,"")</f>
        <v/>
      </c>
      <c r="AU792" s="25">
        <f>IF(L792="BLOQ",1,"")</f>
        <v/>
      </c>
      <c r="AV792" s="25">
        <f>MONTH(F792)</f>
        <v/>
      </c>
      <c r="AW792" s="65">
        <f>IF(AP792="",100%,0%)</f>
        <v/>
      </c>
      <c r="AX792" s="56" t="n"/>
      <c r="AY792" s="24">
        <f>IF(M792=0,"",M792-$AX$2)</f>
        <v/>
      </c>
      <c r="AZ792" s="66">
        <f>IF(AND(W792="",AY792&gt;0,AY792&lt;15),1,0)</f>
        <v/>
      </c>
      <c r="BA792" s="24">
        <f>IF(AND(W792="",AY792&gt;0,AY792&lt;15),T792,"")</f>
        <v/>
      </c>
      <c r="BB792" s="87">
        <f>IF(R792&lt;Q792,"X","")</f>
        <v/>
      </c>
      <c r="BC792" s="190" t="inlineStr">
        <is>
          <t>NO</t>
        </is>
      </c>
      <c r="BD792" s="191" t="inlineStr">
        <is>
          <t>SI</t>
        </is>
      </c>
    </row>
    <row r="793" ht="15" customHeight="1" s="162">
      <c r="A793" s="7" t="n">
        <v>792</v>
      </c>
      <c r="B793" t="inlineStr">
        <is>
          <t>1220114153000</t>
        </is>
      </c>
      <c r="C793" t="inlineStr">
        <is>
          <t>CBL FLEX 1X1,5MM2 PVC 450/750V H07V-K NE</t>
        </is>
      </c>
      <c r="D793" t="inlineStr">
        <is>
          <t>1800108785</t>
        </is>
      </c>
      <c r="E793" t="inlineStr">
        <is>
          <t>90</t>
        </is>
      </c>
      <c r="F793" s="163" t="n">
        <v>45457</v>
      </c>
      <c r="G793" t="inlineStr"/>
      <c r="H793" t="inlineStr">
        <is>
          <t>4200570846</t>
        </is>
      </c>
      <c r="I793" t="inlineStr">
        <is>
          <t>60</t>
        </is>
      </c>
      <c r="J793" s="163" t="n">
        <v>45489</v>
      </c>
      <c r="K793" s="163" t="n">
        <v>45527</v>
      </c>
      <c r="L793" t="inlineStr"/>
      <c r="M793" s="163" t="n">
        <v>45495</v>
      </c>
      <c r="N793" s="164" t="n">
        <v>85</v>
      </c>
      <c r="O793" s="164" t="n">
        <v>8</v>
      </c>
      <c r="P793" t="inlineStr">
        <is>
          <t>Liberado</t>
        </is>
      </c>
      <c r="Q793" s="165" t="n">
        <v>50</v>
      </c>
      <c r="R793" s="165" t="n">
        <v>200</v>
      </c>
      <c r="S793" s="165" t="n">
        <v>200</v>
      </c>
      <c r="T793" s="165" t="n">
        <v>0</v>
      </c>
      <c r="U793" s="166" t="n">
        <v>200</v>
      </c>
      <c r="V793" s="166" t="n">
        <v>0</v>
      </c>
      <c r="W793" t="inlineStr">
        <is>
          <t>X</t>
        </is>
      </c>
      <c r="X793" t="inlineStr">
        <is>
          <t>0.00</t>
        </is>
      </c>
      <c r="Y793" t="inlineStr"/>
      <c r="Z793" t="inlineStr">
        <is>
          <t>(AEMSA)ALMACENES ELECTRICOS MADRILE</t>
        </is>
      </c>
      <c r="AA793" t="inlineStr">
        <is>
          <t>GENERAL CABLE</t>
        </is>
      </c>
      <c r="AB793" t="inlineStr">
        <is>
          <t>1174106NG</t>
        </is>
      </c>
      <c r="AC793" t="inlineStr"/>
      <c r="AD793" s="164" t="n">
        <v>0</v>
      </c>
      <c r="AE793" s="185" t="n">
        <v>0</v>
      </c>
      <c r="AG793" s="167" t="inlineStr">
        <is>
          <t>7218|JA2581_1001</t>
        </is>
      </c>
      <c r="AH793" s="47">
        <f>IF(M793=0,"-",M793-J793)</f>
        <v/>
      </c>
      <c r="AI793" s="46">
        <f>IF(AND(S793=0,M793&gt;0,L793=0),IF(AH793&gt;=120,"VERY HIGH",IF(AH793&gt;=90,"HIGH",IF(AH793&gt;=60,"MEDIUM",IF(AH793&lt;60,"LOW")))),"-")</f>
        <v/>
      </c>
      <c r="AJ793" s="12" t="n"/>
      <c r="AK793" s="53">
        <f>IF(AND(W793="X",M793&lt;=$AJ$2),"YES","")</f>
        <v/>
      </c>
      <c r="AL793" s="54">
        <f>IF(AND(W793="X",M793&lt;=$AJ$2),S793,"")</f>
        <v/>
      </c>
      <c r="AM793" s="35" t="n"/>
      <c r="AN793" s="35">
        <f>IF(AND(W793="X",M793&gt;$AJ$2),S793,"")</f>
        <v/>
      </c>
      <c r="AO793" s="35">
        <f>IF(AND(W793="",M793&gt;0,$AJ$2&gt;M793,L793=""),1,0)</f>
        <v/>
      </c>
      <c r="AP793" s="35">
        <f>IF(AND(AK793="YES",W793="X"),"X","")</f>
        <v/>
      </c>
      <c r="AQ793" s="55">
        <f>IF(AP793="X",100%,0%)</f>
        <v/>
      </c>
      <c r="AR793" s="25">
        <f>IF(AND(T793&gt;0,L793=""),H793,"")</f>
        <v/>
      </c>
      <c r="AS793" s="25">
        <f>IF(AND(D793&gt;0,H793=0,G793=""),1,"")</f>
        <v/>
      </c>
      <c r="AT793" s="25">
        <f>IF(G793="BLOQ",1,"")</f>
        <v/>
      </c>
      <c r="AU793" s="25">
        <f>IF(L793="BLOQ",1,"")</f>
        <v/>
      </c>
      <c r="AV793" s="25">
        <f>MONTH(F793)</f>
        <v/>
      </c>
      <c r="AW793" s="65">
        <f>IF(AP793="",100%,0%)</f>
        <v/>
      </c>
      <c r="AX793" s="56" t="n"/>
      <c r="AY793" s="24">
        <f>IF(M793=0,"",M793-$AX$2)</f>
        <v/>
      </c>
      <c r="AZ793" s="66">
        <f>IF(AND(W793="",AY793&gt;0,AY793&lt;15),1,0)</f>
        <v/>
      </c>
      <c r="BA793" s="24">
        <f>IF(AND(W793="",AY793&gt;0,AY793&lt;15),T793,"")</f>
        <v/>
      </c>
      <c r="BB793" s="87">
        <f>IF(R793&lt;Q793,"X","")</f>
        <v/>
      </c>
      <c r="BC793" s="190" t="inlineStr">
        <is>
          <t>NO</t>
        </is>
      </c>
      <c r="BD793" s="191" t="inlineStr">
        <is>
          <t>SI</t>
        </is>
      </c>
    </row>
    <row r="794" ht="15" customHeight="1" s="162">
      <c r="A794" s="7" t="n">
        <v>793</v>
      </c>
      <c r="B794" t="inlineStr">
        <is>
          <t>1220114153600</t>
        </is>
      </c>
      <c r="C794" t="inlineStr">
        <is>
          <t>CBL FLEX 1X1,5MM2 PVC 450/750V H07V-K AZ</t>
        </is>
      </c>
      <c r="D794" t="inlineStr">
        <is>
          <t>1800108785</t>
        </is>
      </c>
      <c r="E794" t="inlineStr">
        <is>
          <t>100</t>
        </is>
      </c>
      <c r="F794" s="163" t="n">
        <v>45457</v>
      </c>
      <c r="G794" t="inlineStr"/>
      <c r="H794" t="inlineStr">
        <is>
          <t>4200571213</t>
        </is>
      </c>
      <c r="I794" t="inlineStr">
        <is>
          <t>10</t>
        </is>
      </c>
      <c r="J794" s="163" t="n">
        <v>45491</v>
      </c>
      <c r="K794" s="163" t="n">
        <v>45491</v>
      </c>
      <c r="L794" t="inlineStr"/>
      <c r="M794" s="163" t="n">
        <v>45499</v>
      </c>
      <c r="N794" s="164" t="n">
        <v>30</v>
      </c>
      <c r="O794" s="164" t="n">
        <v>8</v>
      </c>
      <c r="P794" t="inlineStr">
        <is>
          <t>Liberado</t>
        </is>
      </c>
      <c r="Q794" s="165" t="n">
        <v>50</v>
      </c>
      <c r="R794" s="165" t="n">
        <v>200</v>
      </c>
      <c r="S794" s="165" t="n">
        <v>200</v>
      </c>
      <c r="T794" s="165" t="n">
        <v>0</v>
      </c>
      <c r="U794" s="166" t="n">
        <v>200</v>
      </c>
      <c r="V794" s="166" t="n">
        <v>0</v>
      </c>
      <c r="W794" t="inlineStr">
        <is>
          <t>X</t>
        </is>
      </c>
      <c r="X794" t="inlineStr">
        <is>
          <t>0.00</t>
        </is>
      </c>
      <c r="Y794" t="inlineStr"/>
      <c r="Z794" t="inlineStr">
        <is>
          <t>CERVI, S.L.</t>
        </is>
      </c>
      <c r="AA794" t="inlineStr">
        <is>
          <t>CERVI</t>
        </is>
      </c>
      <c r="AB794" t="inlineStr">
        <is>
          <t>06901416</t>
        </is>
      </c>
      <c r="AC794" t="inlineStr"/>
      <c r="AD794" s="164" t="n">
        <v>0</v>
      </c>
      <c r="AE794" s="185" t="n">
        <v>0</v>
      </c>
      <c r="AG794" s="167" t="inlineStr">
        <is>
          <t>7218|JA2581_1001</t>
        </is>
      </c>
      <c r="AH794" s="47">
        <f>IF(M794=0,"-",M794-J794)</f>
        <v/>
      </c>
      <c r="AI794" s="46">
        <f>IF(AND(S794=0,M794&gt;0,L794=0),IF(AH794&gt;=120,"VERY HIGH",IF(AH794&gt;=90,"HIGH",IF(AH794&gt;=60,"MEDIUM",IF(AH794&lt;60,"LOW")))),"-")</f>
        <v/>
      </c>
      <c r="AJ794" s="12" t="n"/>
      <c r="AK794" s="53">
        <f>IF(AND(W794="X",M794&lt;=$AJ$2),"YES","")</f>
        <v/>
      </c>
      <c r="AL794" s="54">
        <f>IF(AND(W794="X",M794&lt;=$AJ$2),S794,"")</f>
        <v/>
      </c>
      <c r="AM794" s="35" t="n"/>
      <c r="AN794" s="35">
        <f>IF(AND(W794="X",M794&gt;$AJ$2),S794,"")</f>
        <v/>
      </c>
      <c r="AO794" s="35">
        <f>IF(AND(W794="",M794&gt;0,$AJ$2&gt;M794,L794=""),1,0)</f>
        <v/>
      </c>
      <c r="AP794" s="35">
        <f>IF(AND(AK794="YES",W794="X"),"X","")</f>
        <v/>
      </c>
      <c r="AQ794" s="55">
        <f>IF(AP794="X",100%,0%)</f>
        <v/>
      </c>
      <c r="AR794" s="25">
        <f>IF(AND(T794&gt;0,L794=""),H794,"")</f>
        <v/>
      </c>
      <c r="AS794" s="25">
        <f>IF(AND(D794&gt;0,H794=0,G794=""),1,"")</f>
        <v/>
      </c>
      <c r="AT794" s="25">
        <f>IF(G794="BLOQ",1,"")</f>
        <v/>
      </c>
      <c r="AU794" s="25">
        <f>IF(L794="BLOQ",1,"")</f>
        <v/>
      </c>
      <c r="AV794" s="25">
        <f>MONTH(F794)</f>
        <v/>
      </c>
      <c r="AW794" s="65">
        <f>IF(AP794="",100%,0%)</f>
        <v/>
      </c>
      <c r="AX794" s="56" t="n"/>
      <c r="AY794" s="24">
        <f>IF(M794=0,"",M794-$AX$2)</f>
        <v/>
      </c>
      <c r="AZ794" s="66">
        <f>IF(AND(W794="",AY794&gt;0,AY794&lt;15),1,0)</f>
        <v/>
      </c>
      <c r="BA794" s="24">
        <f>IF(AND(W794="",AY794&gt;0,AY794&lt;15),T794,"")</f>
        <v/>
      </c>
      <c r="BB794" s="87">
        <f>IF(R794&lt;Q794,"X","")</f>
        <v/>
      </c>
      <c r="BC794" s="190" t="inlineStr">
        <is>
          <t>NO</t>
        </is>
      </c>
      <c r="BD794" s="191" t="inlineStr">
        <is>
          <t>SI</t>
        </is>
      </c>
    </row>
    <row r="795" ht="15" customHeight="1" s="162">
      <c r="A795" s="7" t="n">
        <v>794</v>
      </c>
      <c r="B795" t="inlineStr">
        <is>
          <t>1220114153800</t>
        </is>
      </c>
      <c r="C795" t="inlineStr">
        <is>
          <t>CBL FLEX 1X1,5 MM2 PVC 750V GR H07VK</t>
        </is>
      </c>
      <c r="D795" t="inlineStr">
        <is>
          <t>1800108785</t>
        </is>
      </c>
      <c r="E795" t="inlineStr">
        <is>
          <t>110</t>
        </is>
      </c>
      <c r="F795" s="163" t="n">
        <v>45457</v>
      </c>
      <c r="G795" t="inlineStr"/>
      <c r="H795" t="inlineStr">
        <is>
          <t>4200570846</t>
        </is>
      </c>
      <c r="I795" t="inlineStr">
        <is>
          <t>70</t>
        </is>
      </c>
      <c r="J795" s="163" t="n">
        <v>45489</v>
      </c>
      <c r="K795" s="163" t="n">
        <v>45527</v>
      </c>
      <c r="L795" t="inlineStr"/>
      <c r="M795" s="163" t="n">
        <v>45495</v>
      </c>
      <c r="N795" s="164" t="n">
        <v>55</v>
      </c>
      <c r="O795" s="164" t="n">
        <v>8</v>
      </c>
      <c r="P795" t="inlineStr">
        <is>
          <t>Liberado</t>
        </is>
      </c>
      <c r="Q795" s="165" t="n">
        <v>50</v>
      </c>
      <c r="R795" s="165" t="n">
        <v>200</v>
      </c>
      <c r="S795" s="165" t="n">
        <v>200</v>
      </c>
      <c r="T795" s="165" t="n">
        <v>0</v>
      </c>
      <c r="U795" s="166" t="n">
        <v>200</v>
      </c>
      <c r="V795" s="166" t="n">
        <v>0</v>
      </c>
      <c r="W795" t="inlineStr">
        <is>
          <t>X</t>
        </is>
      </c>
      <c r="X795" t="inlineStr">
        <is>
          <t>0.00</t>
        </is>
      </c>
      <c r="Y795" t="inlineStr"/>
      <c r="Z795" t="inlineStr">
        <is>
          <t>(AEMSA)ALMACENES ELECTRICOS MADRILE</t>
        </is>
      </c>
      <c r="AA795" t="inlineStr">
        <is>
          <t>GENERAL CABLE</t>
        </is>
      </c>
      <c r="AB795" t="inlineStr">
        <is>
          <t>GENLIS-F H07V-K/1X1,5MM2 GRIS</t>
        </is>
      </c>
      <c r="AC795" t="inlineStr"/>
      <c r="AD795" s="164" t="n">
        <v>0</v>
      </c>
      <c r="AE795" s="185" t="n">
        <v>0</v>
      </c>
      <c r="AG795" s="167" t="inlineStr">
        <is>
          <t>7218|JA2581_1001</t>
        </is>
      </c>
      <c r="AH795" s="47">
        <f>IF(M795=0,"-",M795-J795)</f>
        <v/>
      </c>
      <c r="AI795" s="46">
        <f>IF(AND(S795=0,M795&gt;0,L795=0),IF(AH795&gt;=120,"VERY HIGH",IF(AH795&gt;=90,"HIGH",IF(AH795&gt;=60,"MEDIUM",IF(AH795&lt;60,"LOW")))),"-")</f>
        <v/>
      </c>
      <c r="AJ795" s="12" t="n"/>
      <c r="AK795" s="53">
        <f>IF(AND(W795="X",M795&lt;=$AJ$2),"YES","")</f>
        <v/>
      </c>
      <c r="AL795" s="54">
        <f>IF(AND(W795="X",M795&lt;=$AJ$2),S795,"")</f>
        <v/>
      </c>
      <c r="AM795" s="35" t="n"/>
      <c r="AN795" s="35">
        <f>IF(AND(W795="X",M795&gt;$AJ$2),S795,"")</f>
        <v/>
      </c>
      <c r="AO795" s="35">
        <f>IF(AND(W795="",M795&gt;0,$AJ$2&gt;M795,L795=""),1,0)</f>
        <v/>
      </c>
      <c r="AP795" s="35">
        <f>IF(AND(AK795="YES",W795="X"),"X","")</f>
        <v/>
      </c>
      <c r="AQ795" s="55">
        <f>IF(AP795="X",100%,0%)</f>
        <v/>
      </c>
      <c r="AR795" s="25">
        <f>IF(AND(T795&gt;0,L795=""),H795,"")</f>
        <v/>
      </c>
      <c r="AS795" s="25">
        <f>IF(AND(D795&gt;0,H795=0,G795=""),1,"")</f>
        <v/>
      </c>
      <c r="AT795" s="25">
        <f>IF(G795="BLOQ",1,"")</f>
        <v/>
      </c>
      <c r="AU795" s="25">
        <f>IF(L795="BLOQ",1,"")</f>
        <v/>
      </c>
      <c r="AV795" s="25">
        <f>MONTH(F795)</f>
        <v/>
      </c>
      <c r="AW795" s="65">
        <f>IF(AP795="",100%,0%)</f>
        <v/>
      </c>
      <c r="AX795" s="56" t="n"/>
      <c r="AY795" s="24">
        <f>IF(M795=0,"",M795-$AX$2)</f>
        <v/>
      </c>
      <c r="AZ795" s="66">
        <f>IF(AND(W795="",AY795&gt;0,AY795&lt;15),1,0)</f>
        <v/>
      </c>
      <c r="BA795" s="24">
        <f>IF(AND(W795="",AY795&gt;0,AY795&lt;15),T795,"")</f>
        <v/>
      </c>
      <c r="BB795" s="87">
        <f>IF(R795&lt;Q795,"X","")</f>
        <v/>
      </c>
      <c r="BC795" s="190" t="inlineStr">
        <is>
          <t>NO</t>
        </is>
      </c>
      <c r="BD795" s="191" t="inlineStr">
        <is>
          <t>SI</t>
        </is>
      </c>
    </row>
    <row r="796" ht="15" customHeight="1" s="162">
      <c r="A796" s="7" t="n">
        <v>795</v>
      </c>
      <c r="B796" t="inlineStr">
        <is>
          <t>1220114252000</t>
        </is>
      </c>
      <c r="C796" t="inlineStr">
        <is>
          <t>CBL FLEX 1X2,5 MM2 PVC 750V AV H07VK</t>
        </is>
      </c>
      <c r="D796" t="inlineStr">
        <is>
          <t>1800108785</t>
        </is>
      </c>
      <c r="E796" t="inlineStr">
        <is>
          <t>120</t>
        </is>
      </c>
      <c r="F796" s="163" t="n">
        <v>45457</v>
      </c>
      <c r="G796" t="inlineStr"/>
      <c r="H796" t="inlineStr">
        <is>
          <t>4200570846</t>
        </is>
      </c>
      <c r="I796" t="inlineStr">
        <is>
          <t>80</t>
        </is>
      </c>
      <c r="J796" s="163" t="n">
        <v>45489</v>
      </c>
      <c r="K796" s="163" t="n">
        <v>45527</v>
      </c>
      <c r="L796" t="inlineStr"/>
      <c r="M796" s="163" t="n">
        <v>45495</v>
      </c>
      <c r="N796" s="164" t="n">
        <v>30</v>
      </c>
      <c r="O796" s="164" t="n">
        <v>8</v>
      </c>
      <c r="P796" t="inlineStr">
        <is>
          <t>Liberado</t>
        </is>
      </c>
      <c r="Q796" s="165" t="n">
        <v>50</v>
      </c>
      <c r="R796" s="165" t="n">
        <v>200</v>
      </c>
      <c r="S796" s="165" t="n">
        <v>200</v>
      </c>
      <c r="T796" s="165" t="n">
        <v>0</v>
      </c>
      <c r="U796" s="166" t="n">
        <v>200</v>
      </c>
      <c r="V796" s="166" t="n">
        <v>0</v>
      </c>
      <c r="W796" t="inlineStr">
        <is>
          <t>X</t>
        </is>
      </c>
      <c r="X796" t="inlineStr">
        <is>
          <t>0.00</t>
        </is>
      </c>
      <c r="Y796" t="inlineStr"/>
      <c r="Z796" t="inlineStr">
        <is>
          <t>(AEMSA)ALMACENES ELECTRICOS MADRILE</t>
        </is>
      </c>
      <c r="AA796" t="inlineStr">
        <is>
          <t>GENERAL CABLE</t>
        </is>
      </c>
      <c r="AB796" t="inlineStr">
        <is>
          <t>GENLIS-F H07V-K/1X2,5MM2 AMARILLO/VERDE</t>
        </is>
      </c>
      <c r="AC796" t="inlineStr"/>
      <c r="AD796" s="164" t="n">
        <v>0</v>
      </c>
      <c r="AE796" s="185" t="n">
        <v>0</v>
      </c>
      <c r="AG796" s="167" t="inlineStr">
        <is>
          <t>7218|JA2581_1001</t>
        </is>
      </c>
      <c r="AH796" s="47">
        <f>IF(M796=0,"-",M796-J796)</f>
        <v/>
      </c>
      <c r="AI796" s="46">
        <f>IF(AND(S796=0,M796&gt;0,L796=0),IF(AH796&gt;=120,"VERY HIGH",IF(AH796&gt;=90,"HIGH",IF(AH796&gt;=60,"MEDIUM",IF(AH796&lt;60,"LOW")))),"-")</f>
        <v/>
      </c>
      <c r="AJ796" s="12" t="n"/>
      <c r="AK796" s="53">
        <f>IF(AND(W796="X",M796&lt;=$AJ$2),"YES","")</f>
        <v/>
      </c>
      <c r="AL796" s="54">
        <f>IF(AND(W796="X",M796&lt;=$AJ$2),S796,"")</f>
        <v/>
      </c>
      <c r="AM796" s="35" t="n"/>
      <c r="AN796" s="35">
        <f>IF(AND(W796="X",M796&gt;$AJ$2),S796,"")</f>
        <v/>
      </c>
      <c r="AO796" s="35">
        <f>IF(AND(W796="",M796&gt;0,$AJ$2&gt;M796,L796=""),1,0)</f>
        <v/>
      </c>
      <c r="AP796" s="35">
        <f>IF(AND(AK796="YES",W796="X"),"X","")</f>
        <v/>
      </c>
      <c r="AQ796" s="55">
        <f>IF(AP796="X",100%,0%)</f>
        <v/>
      </c>
      <c r="AR796" s="25">
        <f>IF(AND(T796&gt;0,L796=""),H796,"")</f>
        <v/>
      </c>
      <c r="AS796" s="25">
        <f>IF(AND(D796&gt;0,H796=0,G796=""),1,"")</f>
        <v/>
      </c>
      <c r="AT796" s="25">
        <f>IF(G796="BLOQ",1,"")</f>
        <v/>
      </c>
      <c r="AU796" s="25">
        <f>IF(L796="BLOQ",1,"")</f>
        <v/>
      </c>
      <c r="AV796" s="25">
        <f>MONTH(F796)</f>
        <v/>
      </c>
      <c r="AW796" s="65">
        <f>IF(AP796="",100%,0%)</f>
        <v/>
      </c>
      <c r="AX796" s="56" t="n"/>
      <c r="AY796" s="24">
        <f>IF(M796=0,"",M796-$AX$2)</f>
        <v/>
      </c>
      <c r="AZ796" s="66">
        <f>IF(AND(W796="",AY796&gt;0,AY796&lt;15),1,0)</f>
        <v/>
      </c>
      <c r="BA796" s="24">
        <f>IF(AND(W796="",AY796&gt;0,AY796&lt;15),T796,"")</f>
        <v/>
      </c>
      <c r="BB796" s="87">
        <f>IF(R796&lt;Q796,"X","")</f>
        <v/>
      </c>
      <c r="BC796" s="190" t="inlineStr">
        <is>
          <t>NO</t>
        </is>
      </c>
      <c r="BD796" s="191" t="inlineStr">
        <is>
          <t>SI</t>
        </is>
      </c>
    </row>
    <row r="797" ht="15" customHeight="1" s="162">
      <c r="A797" s="7" t="n">
        <v>796</v>
      </c>
      <c r="B797" t="inlineStr">
        <is>
          <t>1220114253000</t>
        </is>
      </c>
      <c r="C797" t="inlineStr">
        <is>
          <t>CBL FLEX 1X2,5 MM2 PVC 750V NE H07VK</t>
        </is>
      </c>
      <c r="D797" t="inlineStr">
        <is>
          <t>1800108785</t>
        </is>
      </c>
      <c r="E797" t="inlineStr">
        <is>
          <t>130</t>
        </is>
      </c>
      <c r="F797" s="163" t="n">
        <v>45457</v>
      </c>
      <c r="G797" t="inlineStr"/>
      <c r="H797" t="inlineStr">
        <is>
          <t>4200570846</t>
        </is>
      </c>
      <c r="I797" t="inlineStr">
        <is>
          <t>90</t>
        </is>
      </c>
      <c r="J797" s="163" t="n">
        <v>45489</v>
      </c>
      <c r="K797" s="163" t="n">
        <v>45527</v>
      </c>
      <c r="L797" t="inlineStr"/>
      <c r="M797" s="163" t="n">
        <v>45495</v>
      </c>
      <c r="N797" s="164" t="n">
        <v>30</v>
      </c>
      <c r="O797" s="164" t="n">
        <v>8</v>
      </c>
      <c r="P797" t="inlineStr">
        <is>
          <t>Liberado</t>
        </is>
      </c>
      <c r="Q797" s="165" t="n">
        <v>50</v>
      </c>
      <c r="R797" s="165" t="n">
        <v>200</v>
      </c>
      <c r="S797" s="165" t="n">
        <v>200</v>
      </c>
      <c r="T797" s="165" t="n">
        <v>0</v>
      </c>
      <c r="U797" s="166" t="n">
        <v>200</v>
      </c>
      <c r="V797" s="166" t="n">
        <v>0</v>
      </c>
      <c r="W797" t="inlineStr">
        <is>
          <t>X</t>
        </is>
      </c>
      <c r="X797" t="inlineStr">
        <is>
          <t>0.00</t>
        </is>
      </c>
      <c r="Y797" t="inlineStr"/>
      <c r="Z797" t="inlineStr">
        <is>
          <t>(AEMSA)ALMACENES ELECTRICOS MADRILE</t>
        </is>
      </c>
      <c r="AA797" t="inlineStr">
        <is>
          <t>GENERAL CABLE</t>
        </is>
      </c>
      <c r="AB797" t="inlineStr">
        <is>
          <t>GENLIS-F H07V-K/1X2,5MM2 NEGRO</t>
        </is>
      </c>
      <c r="AC797" t="inlineStr"/>
      <c r="AD797" s="164" t="n">
        <v>0</v>
      </c>
      <c r="AE797" s="185" t="n">
        <v>0</v>
      </c>
      <c r="AG797" s="167" t="inlineStr">
        <is>
          <t>7218|JA2581_1001</t>
        </is>
      </c>
      <c r="AH797" s="47">
        <f>IF(M797=0,"-",M797-J797)</f>
        <v/>
      </c>
      <c r="AI797" s="46">
        <f>IF(AND(S797=0,M797&gt;0,L797=0),IF(AH797&gt;=120,"VERY HIGH",IF(AH797&gt;=90,"HIGH",IF(AH797&gt;=60,"MEDIUM",IF(AH797&lt;60,"LOW")))),"-")</f>
        <v/>
      </c>
      <c r="AJ797" s="12" t="n"/>
      <c r="AK797" s="53">
        <f>IF(AND(W797="X",M797&lt;=$AJ$2),"YES","")</f>
        <v/>
      </c>
      <c r="AL797" s="54">
        <f>IF(AND(W797="X",M797&lt;=$AJ$2),S797,"")</f>
        <v/>
      </c>
      <c r="AM797" s="35" t="n"/>
      <c r="AN797" s="35">
        <f>IF(AND(W797="X",M797&gt;$AJ$2),S797,"")</f>
        <v/>
      </c>
      <c r="AO797" s="35">
        <f>IF(AND(W797="",M797&gt;0,$AJ$2&gt;M797,L797=""),1,0)</f>
        <v/>
      </c>
      <c r="AP797" s="35">
        <f>IF(AND(AK797="YES",W797="X"),"X","")</f>
        <v/>
      </c>
      <c r="AQ797" s="55">
        <f>IF(AP797="X",100%,0%)</f>
        <v/>
      </c>
      <c r="AR797" s="25">
        <f>IF(AND(T797&gt;0,L797=""),H797,"")</f>
        <v/>
      </c>
      <c r="AS797" s="25">
        <f>IF(AND(D797&gt;0,H797=0,G797=""),1,"")</f>
        <v/>
      </c>
      <c r="AT797" s="25">
        <f>IF(G797="BLOQ",1,"")</f>
        <v/>
      </c>
      <c r="AU797" s="25">
        <f>IF(L797="BLOQ",1,"")</f>
        <v/>
      </c>
      <c r="AV797" s="25">
        <f>MONTH(F797)</f>
        <v/>
      </c>
      <c r="AW797" s="65">
        <f>IF(AP797="",100%,0%)</f>
        <v/>
      </c>
      <c r="AX797" s="56" t="n"/>
      <c r="AY797" s="24">
        <f>IF(M797=0,"",M797-$AX$2)</f>
        <v/>
      </c>
      <c r="AZ797" s="66">
        <f>IF(AND(W797="",AY797&gt;0,AY797&lt;15),1,0)</f>
        <v/>
      </c>
      <c r="BA797" s="24">
        <f>IF(AND(W797="",AY797&gt;0,AY797&lt;15),T797,"")</f>
        <v/>
      </c>
      <c r="BB797" s="87">
        <f>IF(R797&lt;Q797,"X","")</f>
        <v/>
      </c>
      <c r="BC797" s="190" t="inlineStr">
        <is>
          <t>NO</t>
        </is>
      </c>
      <c r="BD797" s="191" t="inlineStr">
        <is>
          <t>SI</t>
        </is>
      </c>
    </row>
    <row r="798" ht="15" customHeight="1" s="162">
      <c r="A798" s="7" t="n">
        <v>797</v>
      </c>
      <c r="B798" t="inlineStr">
        <is>
          <t>1220114253100</t>
        </is>
      </c>
      <c r="C798" t="inlineStr">
        <is>
          <t>CBL FLEX 1X2,5 MM2 PVC 750V MA H07VK</t>
        </is>
      </c>
      <c r="D798" t="inlineStr">
        <is>
          <t>1800108785</t>
        </is>
      </c>
      <c r="E798" t="inlineStr">
        <is>
          <t>140</t>
        </is>
      </c>
      <c r="F798" s="163" t="n">
        <v>45457</v>
      </c>
      <c r="G798" t="inlineStr"/>
      <c r="H798" t="inlineStr">
        <is>
          <t>4200570846</t>
        </is>
      </c>
      <c r="I798" t="inlineStr">
        <is>
          <t>100</t>
        </is>
      </c>
      <c r="J798" s="163" t="n">
        <v>45489</v>
      </c>
      <c r="K798" s="163" t="n">
        <v>45527</v>
      </c>
      <c r="L798" t="inlineStr"/>
      <c r="M798" s="163" t="n">
        <v>45495</v>
      </c>
      <c r="N798" s="164" t="n">
        <v>55</v>
      </c>
      <c r="O798" s="164" t="n">
        <v>8</v>
      </c>
      <c r="P798" t="inlineStr">
        <is>
          <t>Liberado</t>
        </is>
      </c>
      <c r="Q798" s="166" t="n">
        <v>50</v>
      </c>
      <c r="R798" s="166" t="n">
        <v>200</v>
      </c>
      <c r="S798" s="166" t="n">
        <v>200</v>
      </c>
      <c r="T798" s="166" t="n">
        <v>0</v>
      </c>
      <c r="U798" s="166" t="n">
        <v>200</v>
      </c>
      <c r="V798" s="166" t="n">
        <v>0</v>
      </c>
      <c r="W798" t="inlineStr">
        <is>
          <t>X</t>
        </is>
      </c>
      <c r="X798" t="inlineStr">
        <is>
          <t>0.00</t>
        </is>
      </c>
      <c r="Y798" t="inlineStr"/>
      <c r="Z798" t="inlineStr">
        <is>
          <t>(AEMSA)ALMACENES ELECTRICOS MADRILE</t>
        </is>
      </c>
      <c r="AA798" t="inlineStr">
        <is>
          <t>GENERAL CABLE</t>
        </is>
      </c>
      <c r="AB798" t="inlineStr">
        <is>
          <t>GENLIS-F H07V-K/1X2,5MM2 MARRON</t>
        </is>
      </c>
      <c r="AC798" t="inlineStr"/>
      <c r="AD798" s="164" t="n">
        <v>0</v>
      </c>
      <c r="AE798" s="185" t="n">
        <v>0</v>
      </c>
      <c r="AG798" s="167" t="inlineStr">
        <is>
          <t>7218|JA2581_1001</t>
        </is>
      </c>
      <c r="AH798" s="47">
        <f>IF(M798=0,"-",M798-J798)</f>
        <v/>
      </c>
      <c r="AI798" s="46">
        <f>IF(AND(S798=0,M798&gt;0,L798=0),IF(AH798&gt;=120,"VERY HIGH",IF(AH798&gt;=90,"HIGH",IF(AH798&gt;=60,"MEDIUM",IF(AH798&lt;60,"LOW")))),"-")</f>
        <v/>
      </c>
      <c r="AJ798" s="12" t="n"/>
      <c r="AK798" s="53">
        <f>IF(AND(W798="X",M798&lt;=$AJ$2),"YES","")</f>
        <v/>
      </c>
      <c r="AL798" s="54">
        <f>IF(AND(W798="X",M798&lt;=$AJ$2),S798,"")</f>
        <v/>
      </c>
      <c r="AM798" s="35" t="n"/>
      <c r="AN798" s="35">
        <f>IF(AND(W798="X",M798&gt;$AJ$2),S798,"")</f>
        <v/>
      </c>
      <c r="AO798" s="35">
        <f>IF(AND(W798="",M798&gt;0,$AJ$2&gt;M798,L798=""),1,0)</f>
        <v/>
      </c>
      <c r="AP798" s="35">
        <f>IF(AND(AK798="YES",W798="X"),"X","")</f>
        <v/>
      </c>
      <c r="AQ798" s="55">
        <f>IF(AP798="X",100%,0%)</f>
        <v/>
      </c>
      <c r="AR798" s="25">
        <f>IF(AND(T798&gt;0,L798=""),H798,"")</f>
        <v/>
      </c>
      <c r="AS798" s="25">
        <f>IF(AND(D798&gt;0,H798=0,G798=""),1,"")</f>
        <v/>
      </c>
      <c r="AT798" s="25">
        <f>IF(G798="BLOQ",1,"")</f>
        <v/>
      </c>
      <c r="AU798" s="25">
        <f>IF(L798="BLOQ",1,"")</f>
        <v/>
      </c>
      <c r="AV798" s="25">
        <f>MONTH(F798)</f>
        <v/>
      </c>
      <c r="AW798" s="65">
        <f>IF(AP798="",100%,0%)</f>
        <v/>
      </c>
      <c r="AX798" s="56" t="n"/>
      <c r="AY798" s="24">
        <f>IF(M798=0,"",M798-$AX$2)</f>
        <v/>
      </c>
      <c r="AZ798" s="66">
        <f>IF(AND(W798="",AY798&gt;0,AY798&lt;15),1,0)</f>
        <v/>
      </c>
      <c r="BA798" s="24">
        <f>IF(AND(W798="",AY798&gt;0,AY798&lt;15),T798,"")</f>
        <v/>
      </c>
      <c r="BB798" s="87">
        <f>IF(R798&lt;Q798,"X","")</f>
        <v/>
      </c>
      <c r="BC798" s="190" t="inlineStr">
        <is>
          <t>NO</t>
        </is>
      </c>
      <c r="BD798" s="191" t="inlineStr">
        <is>
          <t>SI</t>
        </is>
      </c>
    </row>
    <row r="799" ht="15" customHeight="1" s="162">
      <c r="A799" s="7" t="n">
        <v>798</v>
      </c>
      <c r="B799" t="inlineStr">
        <is>
          <t>1220114253800</t>
        </is>
      </c>
      <c r="C799" t="inlineStr">
        <is>
          <t>CBL FLEX 1X2,5 MM2 PVC 750V GR H07VK</t>
        </is>
      </c>
      <c r="D799" t="inlineStr">
        <is>
          <t>1800108785</t>
        </is>
      </c>
      <c r="E799" t="inlineStr">
        <is>
          <t>150</t>
        </is>
      </c>
      <c r="F799" s="163" t="n">
        <v>45457</v>
      </c>
      <c r="G799" t="inlineStr"/>
      <c r="H799" t="inlineStr">
        <is>
          <t>4200575330</t>
        </is>
      </c>
      <c r="I799" t="inlineStr">
        <is>
          <t>50</t>
        </is>
      </c>
      <c r="J799" s="163" t="n">
        <v>45531</v>
      </c>
      <c r="K799" s="163" t="n">
        <v>45538</v>
      </c>
      <c r="L799" t="inlineStr"/>
      <c r="M799" s="163" t="n">
        <v>45538</v>
      </c>
      <c r="N799" s="164" t="n">
        <v>30</v>
      </c>
      <c r="O799" s="164" t="n">
        <v>8</v>
      </c>
      <c r="P799" t="inlineStr">
        <is>
          <t>Liberado</t>
        </is>
      </c>
      <c r="Q799" s="166" t="n">
        <v>50</v>
      </c>
      <c r="R799" s="166" t="n">
        <v>200</v>
      </c>
      <c r="S799" s="166" t="n">
        <v>200</v>
      </c>
      <c r="T799" s="166" t="n">
        <v>0</v>
      </c>
      <c r="U799" s="166" t="n">
        <v>200</v>
      </c>
      <c r="V799" s="166" t="n">
        <v>0</v>
      </c>
      <c r="W799" t="inlineStr">
        <is>
          <t>X</t>
        </is>
      </c>
      <c r="X799" t="inlineStr">
        <is>
          <t>0.00</t>
        </is>
      </c>
      <c r="Y799" t="inlineStr"/>
      <c r="Z799" t="inlineStr">
        <is>
          <t>LUJISA, S.A.</t>
        </is>
      </c>
      <c r="AA799" t="inlineStr">
        <is>
          <t>AISMALIBAR</t>
        </is>
      </c>
      <c r="AB799" t="inlineStr">
        <is>
          <t>H07V-K/1X2,5MM2 GRIS</t>
        </is>
      </c>
      <c r="AC799" t="inlineStr"/>
      <c r="AD799" s="164" t="n">
        <v>0</v>
      </c>
      <c r="AE799" s="185" t="n">
        <v>0</v>
      </c>
      <c r="AG799" s="167" t="inlineStr">
        <is>
          <t>7218|JA2581_1001</t>
        </is>
      </c>
      <c r="AH799" s="47">
        <f>IF(M799=0,"-",M799-J799)</f>
        <v/>
      </c>
      <c r="AI799" s="46">
        <f>IF(AND(S799=0,M799&gt;0,L799=0),IF(AH799&gt;=120,"VERY HIGH",IF(AH799&gt;=90,"HIGH",IF(AH799&gt;=60,"MEDIUM",IF(AH799&lt;60,"LOW")))),"-")</f>
        <v/>
      </c>
      <c r="AJ799" s="12" t="n"/>
      <c r="AK799" s="53">
        <f>IF(AND(W799="X",M799&lt;=$AJ$2),"YES","")</f>
        <v/>
      </c>
      <c r="AL799" s="54">
        <f>IF(AND(W799="X",M799&lt;=$AJ$2),S799,"")</f>
        <v/>
      </c>
      <c r="AM799" s="35" t="n"/>
      <c r="AN799" s="35">
        <f>IF(AND(W799="X",M799&gt;$AJ$2),S799,"")</f>
        <v/>
      </c>
      <c r="AO799" s="35">
        <f>IF(AND(W799="",M799&gt;0,$AJ$2&gt;M799,L799=""),1,0)</f>
        <v/>
      </c>
      <c r="AP799" s="35">
        <f>IF(AND(AK799="YES",W799="X"),"X","")</f>
        <v/>
      </c>
      <c r="AQ799" s="55">
        <f>IF(AP799="X",100%,0%)</f>
        <v/>
      </c>
      <c r="AR799" s="25">
        <f>IF(AND(T799&gt;0,L799=""),H799,"")</f>
        <v/>
      </c>
      <c r="AS799" s="25">
        <f>IF(AND(D799&gt;0,H799=0,G799=""),1,"")</f>
        <v/>
      </c>
      <c r="AT799" s="25">
        <f>IF(G799="BLOQ",1,"")</f>
        <v/>
      </c>
      <c r="AU799" s="25">
        <f>IF(L799="BLOQ",1,"")</f>
        <v/>
      </c>
      <c r="AV799" s="25">
        <f>MONTH(F799)</f>
        <v/>
      </c>
      <c r="AW799" s="65">
        <f>IF(AP799="",100%,0%)</f>
        <v/>
      </c>
      <c r="AX799" s="56" t="n"/>
      <c r="AY799" s="24">
        <f>IF(M799=0,"",M799-$AX$2)</f>
        <v/>
      </c>
      <c r="AZ799" s="66">
        <f>IF(AND(W799="",AY799&gt;0,AY799&lt;15),1,0)</f>
        <v/>
      </c>
      <c r="BA799" s="24">
        <f>IF(AND(W799="",AY799&gt;0,AY799&lt;15),T799,"")</f>
        <v/>
      </c>
      <c r="BB799" s="87">
        <f>IF(R799&lt;Q799,"X","")</f>
        <v/>
      </c>
      <c r="BC799" s="190" t="inlineStr">
        <is>
          <t>NO</t>
        </is>
      </c>
      <c r="BD799" s="191" t="inlineStr">
        <is>
          <t>SI</t>
        </is>
      </c>
    </row>
    <row r="800" ht="15" customHeight="1" s="162">
      <c r="A800" s="7" t="n">
        <v>799</v>
      </c>
      <c r="B800" t="inlineStr">
        <is>
          <t>1221200243200.LO</t>
        </is>
      </c>
      <c r="C800" t="inlineStr">
        <is>
          <t>CBL AP 2XAWG24 ASCB-D/CEPT-E1 125R FLPLM</t>
        </is>
      </c>
      <c r="D800" t="inlineStr">
        <is>
          <t>1800108785</t>
        </is>
      </c>
      <c r="E800" t="inlineStr">
        <is>
          <t>160</t>
        </is>
      </c>
      <c r="F800" s="163" t="n">
        <v>45457</v>
      </c>
      <c r="G800" t="inlineStr"/>
      <c r="H800" t="inlineStr">
        <is>
          <t>4200575045</t>
        </is>
      </c>
      <c r="I800" t="inlineStr">
        <is>
          <t>10</t>
        </is>
      </c>
      <c r="J800" s="163" t="n">
        <v>45526</v>
      </c>
      <c r="K800" s="163" t="n">
        <v>45527</v>
      </c>
      <c r="L800" t="inlineStr"/>
      <c r="M800" s="163" t="n">
        <v>45547</v>
      </c>
      <c r="N800" s="164" t="n">
        <v>40</v>
      </c>
      <c r="O800" s="164" t="n">
        <v>8</v>
      </c>
      <c r="P800" t="inlineStr">
        <is>
          <t>Liberado</t>
        </is>
      </c>
      <c r="Q800" s="166" t="n">
        <v>300</v>
      </c>
      <c r="R800" s="166" t="n">
        <v>300</v>
      </c>
      <c r="S800" s="166" t="n">
        <v>300</v>
      </c>
      <c r="T800" s="166" t="n">
        <v>0</v>
      </c>
      <c r="U800" s="166" t="n">
        <v>300</v>
      </c>
      <c r="V800" s="166" t="n">
        <v>0</v>
      </c>
      <c r="W800" t="inlineStr">
        <is>
          <t>X</t>
        </is>
      </c>
      <c r="X800" t="inlineStr">
        <is>
          <t>0.00</t>
        </is>
      </c>
      <c r="Y800" t="inlineStr"/>
      <c r="Z800" t="inlineStr">
        <is>
          <t>SUMINISTROS CONECTORES PROF.,SA.</t>
        </is>
      </c>
      <c r="AA800" t="inlineStr">
        <is>
          <t>ELECTRONIC CBL SPEC</t>
        </is>
      </c>
      <c r="AB800" t="inlineStr">
        <is>
          <t>322402</t>
        </is>
      </c>
      <c r="AC800" t="inlineStr"/>
      <c r="AD800" s="164" t="n">
        <v>0</v>
      </c>
      <c r="AE800" s="185" t="n">
        <v>0</v>
      </c>
      <c r="AG800" s="167" t="inlineStr">
        <is>
          <t>7218|JA2581_1001</t>
        </is>
      </c>
      <c r="AH800" s="47">
        <f>IF(M800=0,"-",M800-J800)</f>
        <v/>
      </c>
      <c r="AI800" s="46">
        <f>IF(AND(S800=0,M800&gt;0,L800=0),IF(AH800&gt;=120,"VERY HIGH",IF(AH800&gt;=90,"HIGH",IF(AH800&gt;=60,"MEDIUM",IF(AH800&lt;60,"LOW")))),"-")</f>
        <v/>
      </c>
      <c r="AJ800" s="12" t="n"/>
      <c r="AK800" s="53">
        <f>IF(AND(W800="X",M800&lt;=$AJ$2),"YES","")</f>
        <v/>
      </c>
      <c r="AL800" s="54">
        <f>IF(AND(W800="X",M800&lt;=$AJ$2),S800,"")</f>
        <v/>
      </c>
      <c r="AM800" s="35" t="n"/>
      <c r="AN800" s="35">
        <f>IF(AND(W800="X",M800&gt;$AJ$2),S800,"")</f>
        <v/>
      </c>
      <c r="AO800" s="35">
        <f>IF(AND(W800="",M800&gt;0,$AJ$2&gt;M800,L800=""),1,0)</f>
        <v/>
      </c>
      <c r="AP800" s="35">
        <f>IF(AND(AK800="YES",W800="X"),"X","")</f>
        <v/>
      </c>
      <c r="AQ800" s="55">
        <f>IF(AP800="X",100%,0%)</f>
        <v/>
      </c>
      <c r="AR800" s="25">
        <f>IF(AND(T800&gt;0,L800=""),H800,"")</f>
        <v/>
      </c>
      <c r="AS800" s="25">
        <f>IF(AND(D800&gt;0,H800=0,G800=""),1,"")</f>
        <v/>
      </c>
      <c r="AT800" s="25">
        <f>IF(G800="BLOQ",1,"")</f>
        <v/>
      </c>
      <c r="AU800" s="25">
        <f>IF(L800="BLOQ",1,"")</f>
        <v/>
      </c>
      <c r="AV800" s="25">
        <f>MONTH(F800)</f>
        <v/>
      </c>
      <c r="AW800" s="65">
        <f>IF(AP800="",100%,0%)</f>
        <v/>
      </c>
      <c r="AX800" s="56" t="n"/>
      <c r="AY800" s="24">
        <f>IF(M800=0,"",M800-$AX$2)</f>
        <v/>
      </c>
      <c r="AZ800" s="66">
        <f>IF(AND(W800="",AY800&gt;0,AY800&lt;15),1,0)</f>
        <v/>
      </c>
      <c r="BA800" s="24">
        <f>IF(AND(W800="",AY800&gt;0,AY800&lt;15),T800,"")</f>
        <v/>
      </c>
      <c r="BB800" s="87">
        <f>IF(R800&lt;Q800,"X","")</f>
        <v/>
      </c>
      <c r="BC800" s="190" t="inlineStr">
        <is>
          <t>NO</t>
        </is>
      </c>
      <c r="BD800" s="191" t="inlineStr">
        <is>
          <t>SI</t>
        </is>
      </c>
    </row>
    <row r="801" ht="15" customHeight="1" s="162">
      <c r="A801" s="7" t="n">
        <v>800</v>
      </c>
      <c r="B801" t="inlineStr">
        <is>
          <t>1231024740900</t>
        </is>
      </c>
      <c r="C801" t="inlineStr">
        <is>
          <t>TUBO TERMORRETRACTIL 7,44-1,65MM L=30MM</t>
        </is>
      </c>
      <c r="D801" t="inlineStr">
        <is>
          <t>1800108785</t>
        </is>
      </c>
      <c r="E801" t="inlineStr">
        <is>
          <t>170</t>
        </is>
      </c>
      <c r="F801" s="163" t="n">
        <v>45457</v>
      </c>
      <c r="G801" t="inlineStr"/>
      <c r="H801" t="inlineStr">
        <is>
          <t>4200573771</t>
        </is>
      </c>
      <c r="I801" t="inlineStr">
        <is>
          <t>50</t>
        </is>
      </c>
      <c r="J801" s="163" t="n">
        <v>45510</v>
      </c>
      <c r="K801" s="163" t="n">
        <v>45636</v>
      </c>
      <c r="L801" t="inlineStr"/>
      <c r="M801" s="163" t="n">
        <v>45524</v>
      </c>
      <c r="N801" s="164" t="n">
        <v>60</v>
      </c>
      <c r="O801" s="164" t="n">
        <v>8</v>
      </c>
      <c r="P801" t="inlineStr">
        <is>
          <t>Liberado</t>
        </is>
      </c>
      <c r="Q801" s="166" t="n">
        <v>200</v>
      </c>
      <c r="R801" s="166" t="n">
        <v>200</v>
      </c>
      <c r="S801" s="166" t="n">
        <v>200</v>
      </c>
      <c r="T801" s="166" t="n">
        <v>0</v>
      </c>
      <c r="U801" s="166" t="n">
        <v>200</v>
      </c>
      <c r="V801" s="166" t="n">
        <v>0</v>
      </c>
      <c r="W801" t="inlineStr">
        <is>
          <t>X</t>
        </is>
      </c>
      <c r="X801" t="inlineStr">
        <is>
          <t>0.00</t>
        </is>
      </c>
      <c r="Y801" t="inlineStr"/>
      <c r="Z801" t="inlineStr">
        <is>
          <t>ICOMPPLUS ELECTRONICS S.L</t>
        </is>
      </c>
      <c r="AA801" t="inlineStr">
        <is>
          <t>TYCO ELECTR. FRANCE</t>
        </is>
      </c>
      <c r="AB801" t="inlineStr">
        <is>
          <t>ES-CAP-NO.2-B9-X-30MM</t>
        </is>
      </c>
      <c r="AC801" t="inlineStr"/>
      <c r="AD801" s="164" t="n">
        <v>1</v>
      </c>
      <c r="AE801" s="185" t="n">
        <v>1</v>
      </c>
      <c r="AG801" s="167" t="inlineStr">
        <is>
          <t>7218|JA2581_1001</t>
        </is>
      </c>
      <c r="AH801" s="47">
        <f>IF(M801=0,"-",M801-J801)</f>
        <v/>
      </c>
      <c r="AI801" s="46">
        <f>IF(AND(S801=0,M801&gt;0,L801=0),IF(AH801&gt;=120,"VERY HIGH",IF(AH801&gt;=90,"HIGH",IF(AH801&gt;=60,"MEDIUM",IF(AH801&lt;60,"LOW")))),"-")</f>
        <v/>
      </c>
      <c r="AJ801" s="12" t="n"/>
      <c r="AK801" s="53">
        <f>IF(AND(W801="X",M801&lt;=$AJ$2),"YES","")</f>
        <v/>
      </c>
      <c r="AL801" s="54">
        <f>IF(AND(W801="X",M801&lt;=$AJ$2),S801,"")</f>
        <v/>
      </c>
      <c r="AM801" s="35" t="n"/>
      <c r="AN801" s="35">
        <f>IF(AND(W801="X",M801&gt;$AJ$2),S801,"")</f>
        <v/>
      </c>
      <c r="AO801" s="35">
        <f>IF(AND(W801="",M801&gt;0,$AJ$2&gt;M801,L801=""),1,0)</f>
        <v/>
      </c>
      <c r="AP801" s="35">
        <f>IF(AND(AK801="YES",W801="X"),"X","")</f>
        <v/>
      </c>
      <c r="AQ801" s="55">
        <f>IF(AP801="X",100%,0%)</f>
        <v/>
      </c>
      <c r="AR801" s="25">
        <f>IF(AND(T801&gt;0,L801=""),H801,"")</f>
        <v/>
      </c>
      <c r="AS801" s="25">
        <f>IF(AND(D801&gt;0,H801=0,G801=""),1,"")</f>
        <v/>
      </c>
      <c r="AT801" s="25">
        <f>IF(G801="BLOQ",1,"")</f>
        <v/>
      </c>
      <c r="AU801" s="25">
        <f>IF(L801="BLOQ",1,"")</f>
        <v/>
      </c>
      <c r="AV801" s="25">
        <f>MONTH(F801)</f>
        <v/>
      </c>
      <c r="AW801" s="65">
        <f>IF(AP801="",100%,0%)</f>
        <v/>
      </c>
      <c r="AX801" s="56" t="n"/>
      <c r="AY801" s="24">
        <f>IF(M801=0,"",M801-$AX$2)</f>
        <v/>
      </c>
      <c r="AZ801" s="66">
        <f>IF(AND(W801="",AY801&gt;0,AY801&lt;15),1,0)</f>
        <v/>
      </c>
      <c r="BA801" s="24">
        <f>IF(AND(W801="",AY801&gt;0,AY801&lt;15),T801,"")</f>
        <v/>
      </c>
      <c r="BB801" s="87">
        <f>IF(R801&lt;Q801,"X","")</f>
        <v/>
      </c>
      <c r="BC801" s="190" t="inlineStr">
        <is>
          <t>NO</t>
        </is>
      </c>
      <c r="BD801" s="191" t="inlineStr">
        <is>
          <t>SI</t>
        </is>
      </c>
    </row>
    <row r="802" ht="15" customHeight="1" s="162">
      <c r="A802" s="7" t="n">
        <v>801</v>
      </c>
      <c r="B802" t="inlineStr">
        <is>
          <t>1238524350200</t>
        </is>
      </c>
      <c r="C802" t="inlineStr">
        <is>
          <t>TERMINAL PREAISLADO REDONDO D=3,5MM ROJO</t>
        </is>
      </c>
      <c r="D802" t="inlineStr">
        <is>
          <t>1800108785</t>
        </is>
      </c>
      <c r="E802" t="inlineStr">
        <is>
          <t>180</t>
        </is>
      </c>
      <c r="F802" s="163" t="n">
        <v>45457</v>
      </c>
      <c r="G802" t="inlineStr"/>
      <c r="H802" t="inlineStr">
        <is>
          <t>4200574756</t>
        </is>
      </c>
      <c r="I802" t="inlineStr">
        <is>
          <t>30</t>
        </is>
      </c>
      <c r="J802" s="163" t="n">
        <v>45523</v>
      </c>
      <c r="K802" s="163" t="n">
        <v>45524</v>
      </c>
      <c r="L802" t="inlineStr"/>
      <c r="M802" s="163" t="n">
        <v>45530</v>
      </c>
      <c r="N802" s="164" t="n">
        <v>110</v>
      </c>
      <c r="O802" s="164" t="n">
        <v>8</v>
      </c>
      <c r="P802" t="inlineStr">
        <is>
          <t>Liberado</t>
        </is>
      </c>
      <c r="Q802" s="165" t="n">
        <v>150</v>
      </c>
      <c r="R802" s="165" t="n">
        <v>200</v>
      </c>
      <c r="S802" s="165" t="n">
        <v>200</v>
      </c>
      <c r="T802" s="165" t="n">
        <v>0</v>
      </c>
      <c r="U802" s="166" t="n">
        <v>200</v>
      </c>
      <c r="V802" s="166" t="n">
        <v>0</v>
      </c>
      <c r="W802" t="inlineStr">
        <is>
          <t>X</t>
        </is>
      </c>
      <c r="X802" t="inlineStr">
        <is>
          <t>0.00</t>
        </is>
      </c>
      <c r="Y802" t="inlineStr"/>
      <c r="Z802" t="inlineStr">
        <is>
          <t>(AEMSA)ALMACENES ELECTRICOS MADRILE</t>
        </is>
      </c>
      <c r="AA802" t="inlineStr">
        <is>
          <t>CEMBRE</t>
        </is>
      </c>
      <c r="AB802" t="inlineStr">
        <is>
          <t>RF-M3,5</t>
        </is>
      </c>
      <c r="AC802" t="inlineStr"/>
      <c r="AD802" s="164" t="n">
        <v>0</v>
      </c>
      <c r="AE802" s="185" t="n">
        <v>0</v>
      </c>
      <c r="AG802" s="167" t="inlineStr">
        <is>
          <t>7218|JA2581_1001</t>
        </is>
      </c>
      <c r="AH802" s="47">
        <f>IF(M802=0,"-",M802-J802)</f>
        <v/>
      </c>
      <c r="AI802" s="46">
        <f>IF(AND(S802=0,M802&gt;0,L802=0),IF(AH802&gt;=120,"VERY HIGH",IF(AH802&gt;=90,"HIGH",IF(AH802&gt;=60,"MEDIUM",IF(AH802&lt;60,"LOW")))),"-")</f>
        <v/>
      </c>
      <c r="AJ802" s="12" t="n"/>
      <c r="AK802" s="53">
        <f>IF(AND(W802="X",M802&lt;=$AJ$2),"YES","")</f>
        <v/>
      </c>
      <c r="AL802" s="54">
        <f>IF(AND(W802="X",M802&lt;=$AJ$2),S802,"")</f>
        <v/>
      </c>
      <c r="AM802" s="35" t="n"/>
      <c r="AN802" s="35">
        <f>IF(AND(W802="X",M802&gt;$AJ$2),S802,"")</f>
        <v/>
      </c>
      <c r="AO802" s="35">
        <f>IF(AND(W802="",M802&gt;0,$AJ$2&gt;M802,L802=""),1,0)</f>
        <v/>
      </c>
      <c r="AP802" s="35">
        <f>IF(AND(AK802="YES",W802="X"),"X","")</f>
        <v/>
      </c>
      <c r="AQ802" s="55">
        <f>IF(AP802="X",100%,0%)</f>
        <v/>
      </c>
      <c r="AR802" s="25">
        <f>IF(AND(T802&gt;0,L802=""),H802,"")</f>
        <v/>
      </c>
      <c r="AS802" s="25">
        <f>IF(AND(D802&gt;0,H802=0,G802=""),1,"")</f>
        <v/>
      </c>
      <c r="AT802" s="25">
        <f>IF(G802="BLOQ",1,"")</f>
        <v/>
      </c>
      <c r="AU802" s="25">
        <f>IF(L802="BLOQ",1,"")</f>
        <v/>
      </c>
      <c r="AV802" s="25">
        <f>MONTH(F802)</f>
        <v/>
      </c>
      <c r="AW802" s="65">
        <f>IF(AP802="",100%,0%)</f>
        <v/>
      </c>
      <c r="AX802" s="56" t="n"/>
      <c r="AY802" s="24">
        <f>IF(M802=0,"",M802-$AX$2)</f>
        <v/>
      </c>
      <c r="AZ802" s="66">
        <f>IF(AND(W802="",AY802&gt;0,AY802&lt;15),1,0)</f>
        <v/>
      </c>
      <c r="BA802" s="24">
        <f>IF(AND(W802="",AY802&gt;0,AY802&lt;15),T802,"")</f>
        <v/>
      </c>
      <c r="BB802" s="87">
        <f>IF(R802&lt;Q802,"X","")</f>
        <v/>
      </c>
      <c r="BC802" s="190" t="inlineStr">
        <is>
          <t>NO</t>
        </is>
      </c>
      <c r="BD802" s="191" t="inlineStr">
        <is>
          <t>SI</t>
        </is>
      </c>
    </row>
    <row r="803" ht="15" customHeight="1" s="162">
      <c r="A803" s="7" t="n">
        <v>802</v>
      </c>
      <c r="B803" t="inlineStr">
        <is>
          <t>956002516</t>
        </is>
      </c>
      <c r="C803" t="inlineStr">
        <is>
          <t>TERM PRE REDONDO DIA 6MM AMARILLO</t>
        </is>
      </c>
      <c r="D803" t="inlineStr">
        <is>
          <t>1800108785</t>
        </is>
      </c>
      <c r="E803" t="inlineStr">
        <is>
          <t>230</t>
        </is>
      </c>
      <c r="F803" s="163" t="n">
        <v>45457</v>
      </c>
      <c r="G803" t="inlineStr"/>
      <c r="H803" t="inlineStr">
        <is>
          <t>4200573125</t>
        </is>
      </c>
      <c r="I803" t="inlineStr">
        <is>
          <t>90</t>
        </is>
      </c>
      <c r="J803" s="163" t="n">
        <v>45505</v>
      </c>
      <c r="K803" s="163" t="n">
        <v>45638</v>
      </c>
      <c r="L803" t="inlineStr"/>
      <c r="M803" s="163" t="n">
        <v>45523</v>
      </c>
      <c r="N803" s="164" t="n">
        <v>85</v>
      </c>
      <c r="O803" s="164" t="n">
        <v>8</v>
      </c>
      <c r="P803" t="inlineStr">
        <is>
          <t>Liberado</t>
        </is>
      </c>
      <c r="Q803" s="165" t="n">
        <v>100</v>
      </c>
      <c r="R803" s="165" t="n">
        <v>100</v>
      </c>
      <c r="S803" s="165" t="n">
        <v>100</v>
      </c>
      <c r="T803" s="165" t="n">
        <v>0</v>
      </c>
      <c r="U803" s="166" t="n">
        <v>100</v>
      </c>
      <c r="V803" s="166" t="n">
        <v>0</v>
      </c>
      <c r="W803" t="inlineStr">
        <is>
          <t>X</t>
        </is>
      </c>
      <c r="X803" t="inlineStr">
        <is>
          <t>0.00</t>
        </is>
      </c>
      <c r="Y803" t="inlineStr"/>
      <c r="Z803" t="inlineStr">
        <is>
          <t>ICOMPPLUS ELECTRONICS S.L</t>
        </is>
      </c>
      <c r="AA803" t="inlineStr">
        <is>
          <t>OTROS FABRICANTES</t>
        </is>
      </c>
      <c r="AB803" t="inlineStr">
        <is>
          <t>956002516</t>
        </is>
      </c>
      <c r="AC803" t="inlineStr"/>
      <c r="AD803" s="164" t="n">
        <v>1</v>
      </c>
      <c r="AE803" s="185" t="n">
        <v>1</v>
      </c>
      <c r="AG803" s="167" t="inlineStr">
        <is>
          <t>7218|JA2581_1001</t>
        </is>
      </c>
      <c r="AH803" s="47">
        <f>IF(M803=0,"-",M803-J803)</f>
        <v/>
      </c>
      <c r="AI803" s="46">
        <f>IF(AND(S803=0,M803&gt;0,L803=0),IF(AH803&gt;=120,"VERY HIGH",IF(AH803&gt;=90,"HIGH",IF(AH803&gt;=60,"MEDIUM",IF(AH803&lt;60,"LOW")))),"-")</f>
        <v/>
      </c>
      <c r="AJ803" s="12" t="n"/>
      <c r="AK803" s="53">
        <f>IF(AND(W803="X",M803&lt;=$AJ$2),"YES","")</f>
        <v/>
      </c>
      <c r="AL803" s="54">
        <f>IF(AND(W803="X",M803&lt;=$AJ$2),S803,"")</f>
        <v/>
      </c>
      <c r="AM803" s="35" t="n"/>
      <c r="AN803" s="35">
        <f>IF(AND(W803="X",M803&gt;$AJ$2),S803,"")</f>
        <v/>
      </c>
      <c r="AO803" s="35">
        <f>IF(AND(W803="",M803&gt;0,$AJ$2&gt;M803,L803=""),1,0)</f>
        <v/>
      </c>
      <c r="AP803" s="35">
        <f>IF(AND(AK803="YES",W803="X"),"X","")</f>
        <v/>
      </c>
      <c r="AQ803" s="55">
        <f>IF(AP803="X",100%,0%)</f>
        <v/>
      </c>
      <c r="AR803" s="25">
        <f>IF(AND(T803&gt;0,L803=""),H803,"")</f>
        <v/>
      </c>
      <c r="AS803" s="25">
        <f>IF(AND(D803&gt;0,H803=0,G803=""),1,"")</f>
        <v/>
      </c>
      <c r="AT803" s="25">
        <f>IF(G803="BLOQ",1,"")</f>
        <v/>
      </c>
      <c r="AU803" s="25">
        <f>IF(L803="BLOQ",1,"")</f>
        <v/>
      </c>
      <c r="AV803" s="25">
        <f>MONTH(F803)</f>
        <v/>
      </c>
      <c r="AW803" s="65">
        <f>IF(AP803="",100%,0%)</f>
        <v/>
      </c>
      <c r="AX803" s="56" t="n"/>
      <c r="AY803" s="24">
        <f>IF(M803=0,"",M803-$AX$2)</f>
        <v/>
      </c>
      <c r="AZ803" s="66">
        <f>IF(AND(W803="",AY803&gt;0,AY803&lt;15),1,0)</f>
        <v/>
      </c>
      <c r="BA803" s="24">
        <f>IF(AND(W803="",AY803&gt;0,AY803&lt;15),T803,"")</f>
        <v/>
      </c>
      <c r="BB803" s="87">
        <f>IF(R803&lt;Q803,"X","")</f>
        <v/>
      </c>
      <c r="BC803" s="190" t="inlineStr">
        <is>
          <t>NO</t>
        </is>
      </c>
      <c r="BD803" s="191" t="inlineStr">
        <is>
          <t>SI</t>
        </is>
      </c>
    </row>
    <row r="804" ht="15" customHeight="1" s="162">
      <c r="A804" s="7" t="n">
        <v>803</v>
      </c>
      <c r="B804" t="inlineStr">
        <is>
          <t>1233524550900</t>
        </is>
      </c>
      <c r="C804" t="inlineStr">
        <is>
          <t>BASE ANGULAR A/BRIDAS=5,5X1,7MM TALADRO</t>
        </is>
      </c>
      <c r="D804" t="inlineStr">
        <is>
          <t>1800108786</t>
        </is>
      </c>
      <c r="E804" t="inlineStr">
        <is>
          <t>10</t>
        </is>
      </c>
      <c r="F804" s="163" t="n">
        <v>45457</v>
      </c>
      <c r="G804" t="inlineStr"/>
      <c r="H804" t="inlineStr">
        <is>
          <t>4200570101</t>
        </is>
      </c>
      <c r="I804" t="inlineStr">
        <is>
          <t>40</t>
        </is>
      </c>
      <c r="J804" s="163" t="n">
        <v>45483</v>
      </c>
      <c r="K804" s="163" t="n">
        <v>45518</v>
      </c>
      <c r="L804" t="inlineStr"/>
      <c r="M804" s="163" t="n">
        <v>45488</v>
      </c>
      <c r="N804" s="164" t="n">
        <v>45</v>
      </c>
      <c r="O804" s="164" t="n">
        <v>8</v>
      </c>
      <c r="P804" t="inlineStr">
        <is>
          <t>Liberado</t>
        </is>
      </c>
      <c r="Q804" s="165" t="n">
        <v>300</v>
      </c>
      <c r="R804" s="165" t="n">
        <v>300</v>
      </c>
      <c r="S804" s="165" t="n">
        <v>300</v>
      </c>
      <c r="T804" s="165" t="n">
        <v>0</v>
      </c>
      <c r="U804" s="166" t="n">
        <v>0</v>
      </c>
      <c r="V804" s="166" t="n">
        <v>0</v>
      </c>
      <c r="W804" t="inlineStr">
        <is>
          <t>X</t>
        </is>
      </c>
      <c r="X804" t="inlineStr">
        <is>
          <t>0.00</t>
        </is>
      </c>
      <c r="Y804" t="inlineStr"/>
      <c r="Z804" t="inlineStr">
        <is>
          <t>(AEMSA)ALMACENES ELECTRICOS MADRILE</t>
        </is>
      </c>
      <c r="AA804" t="inlineStr">
        <is>
          <t>UNEX</t>
        </is>
      </c>
      <c r="AB804" t="inlineStr">
        <is>
          <t>1257</t>
        </is>
      </c>
      <c r="AC804" t="inlineStr"/>
      <c r="AD804" s="164" t="n">
        <v>0</v>
      </c>
      <c r="AE804" s="185" t="n">
        <v>0</v>
      </c>
      <c r="AG804" s="167" t="inlineStr">
        <is>
          <t>7218|JA2581_1001</t>
        </is>
      </c>
      <c r="AH804" s="47">
        <f>IF(M804=0,"-",M804-J804)</f>
        <v/>
      </c>
      <c r="AI804" s="46">
        <f>IF(AND(S804=0,M804&gt;0,L804=0),IF(AH804&gt;=120,"VERY HIGH",IF(AH804&gt;=90,"HIGH",IF(AH804&gt;=60,"MEDIUM",IF(AH804&lt;60,"LOW")))),"-")</f>
        <v/>
      </c>
      <c r="AJ804" s="12" t="n"/>
      <c r="AK804" s="53">
        <f>IF(AND(W804="X",M804&lt;=$AJ$2),"YES","")</f>
        <v/>
      </c>
      <c r="AL804" s="54">
        <f>IF(AND(W804="X",M804&lt;=$AJ$2),S804,"")</f>
        <v/>
      </c>
      <c r="AM804" s="35" t="n"/>
      <c r="AN804" s="35">
        <f>IF(AND(W804="X",M804&gt;$AJ$2),S804,"")</f>
        <v/>
      </c>
      <c r="AO804" s="35">
        <f>IF(AND(W804="",M804&gt;0,$AJ$2&gt;M804,L804=""),1,0)</f>
        <v/>
      </c>
      <c r="AP804" s="35">
        <f>IF(AND(AK804="YES",W804="X"),"X","")</f>
        <v/>
      </c>
      <c r="AQ804" s="55">
        <f>IF(AP804="X",100%,0%)</f>
        <v/>
      </c>
      <c r="AR804" s="25">
        <f>IF(AND(T804&gt;0,L804=""),H804,"")</f>
        <v/>
      </c>
      <c r="AS804" s="25">
        <f>IF(AND(D804&gt;0,H804=0,G804=""),1,"")</f>
        <v/>
      </c>
      <c r="AT804" s="25">
        <f>IF(G804="BLOQ",1,"")</f>
        <v/>
      </c>
      <c r="AU804" s="25">
        <f>IF(L804="BLOQ",1,"")</f>
        <v/>
      </c>
      <c r="AV804" s="25">
        <f>MONTH(F804)</f>
        <v/>
      </c>
      <c r="AW804" s="65">
        <f>IF(AP804="",100%,0%)</f>
        <v/>
      </c>
      <c r="AX804" s="56" t="n"/>
      <c r="AY804" s="24">
        <f>IF(M804=0,"",M804-$AX$2)</f>
        <v/>
      </c>
      <c r="AZ804" s="66">
        <f>IF(AND(W804="",AY804&gt;0,AY804&lt;15),1,0)</f>
        <v/>
      </c>
      <c r="BA804" s="24">
        <f>IF(AND(W804="",AY804&gt;0,AY804&lt;15),T804,"")</f>
        <v/>
      </c>
      <c r="BB804" s="87">
        <f>IF(R804&lt;Q804,"X","")</f>
        <v/>
      </c>
      <c r="BC804" s="190" t="inlineStr">
        <is>
          <t>NO</t>
        </is>
      </c>
      <c r="BD804" s="191" t="inlineStr">
        <is>
          <t>SI</t>
        </is>
      </c>
    </row>
    <row r="805" ht="15" customHeight="1" s="162">
      <c r="A805" s="7" t="n">
        <v>804</v>
      </c>
      <c r="B805" t="inlineStr">
        <is>
          <t>0972888203300</t>
        </is>
      </c>
      <c r="C805" t="inlineStr">
        <is>
          <t>AUDIO MIXER PLATE</t>
        </is>
      </c>
      <c r="D805" t="inlineStr">
        <is>
          <t>1800108787</t>
        </is>
      </c>
      <c r="E805" t="inlineStr">
        <is>
          <t>10</t>
        </is>
      </c>
      <c r="F805" s="163" t="n">
        <v>45457</v>
      </c>
      <c r="G805" t="inlineStr"/>
      <c r="H805" t="inlineStr">
        <is>
          <t>4200568870</t>
        </is>
      </c>
      <c r="I805" t="inlineStr">
        <is>
          <t>50</t>
        </is>
      </c>
      <c r="J805" s="163" t="n">
        <v>45474</v>
      </c>
      <c r="K805" s="163" t="n">
        <v>45475</v>
      </c>
      <c r="L805" t="inlineStr"/>
      <c r="M805" s="163" t="n">
        <v>45724</v>
      </c>
      <c r="N805" s="164" t="n">
        <v>90</v>
      </c>
      <c r="O805" s="164" t="n">
        <v>8</v>
      </c>
      <c r="P805" t="inlineStr">
        <is>
          <t>Liberado</t>
        </is>
      </c>
      <c r="Q805" s="165" t="n">
        <v>1</v>
      </c>
      <c r="R805" s="165" t="n">
        <v>1</v>
      </c>
      <c r="S805" s="165" t="n">
        <v>1</v>
      </c>
      <c r="T805" s="165" t="n">
        <v>0</v>
      </c>
      <c r="U805" s="166" t="n">
        <v>1</v>
      </c>
      <c r="V805" s="166" t="n">
        <v>0</v>
      </c>
      <c r="W805" t="inlineStr">
        <is>
          <t>X</t>
        </is>
      </c>
      <c r="X805" t="inlineStr">
        <is>
          <t>0.00</t>
        </is>
      </c>
      <c r="Y805" t="inlineStr"/>
      <c r="Z805" t="inlineStr">
        <is>
          <t>INDUSTRIAS BALMES, S.A.</t>
        </is>
      </c>
      <c r="AA805" t="inlineStr">
        <is>
          <t>INDRA SISTEMAS S.A.</t>
        </is>
      </c>
      <c r="AB805" t="inlineStr">
        <is>
          <t>0972888203300</t>
        </is>
      </c>
      <c r="AC805" t="inlineStr"/>
      <c r="AD805" s="164" t="n">
        <v>3</v>
      </c>
      <c r="AE805" s="185" t="n">
        <v>3</v>
      </c>
      <c r="AG805" s="167" t="inlineStr">
        <is>
          <t>7218|JA2584_1001</t>
        </is>
      </c>
      <c r="AH805" s="47">
        <f>IF(M805=0,"-",M805-J805)</f>
        <v/>
      </c>
      <c r="AI805" s="46">
        <f>IF(AND(S805=0,M805&gt;0,L805=0),IF(AH805&gt;=120,"VERY HIGH",IF(AH805&gt;=90,"HIGH",IF(AH805&gt;=60,"MEDIUM",IF(AH805&lt;60,"LOW")))),"-")</f>
        <v/>
      </c>
      <c r="AJ805" s="12" t="n"/>
      <c r="AK805" s="53">
        <f>IF(AND(W805="X",M805&lt;=$AJ$2),"YES","")</f>
        <v/>
      </c>
      <c r="AL805" s="54">
        <f>IF(AND(W805="X",M805&lt;=$AJ$2),S805,"")</f>
        <v/>
      </c>
      <c r="AM805" s="35" t="n"/>
      <c r="AN805" s="35">
        <f>IF(AND(W805="X",M805&gt;$AJ$2),S805,"")</f>
        <v/>
      </c>
      <c r="AO805" s="35">
        <f>IF(AND(W805="",M805&gt;0,$AJ$2&gt;M805,L805=""),1,0)</f>
        <v/>
      </c>
      <c r="AP805" s="35">
        <f>IF(AND(AK805="YES",W805="X"),"X","")</f>
        <v/>
      </c>
      <c r="AQ805" s="55">
        <f>IF(AP805="X",100%,0%)</f>
        <v/>
      </c>
      <c r="AR805" s="25">
        <f>IF(AND(T805&gt;0,L805=""),H805,"")</f>
        <v/>
      </c>
      <c r="AS805" s="25">
        <f>IF(AND(D805&gt;0,H805=0,G805=""),1,"")</f>
        <v/>
      </c>
      <c r="AT805" s="25">
        <f>IF(G805="BLOQ",1,"")</f>
        <v/>
      </c>
      <c r="AU805" s="25">
        <f>IF(L805="BLOQ",1,"")</f>
        <v/>
      </c>
      <c r="AV805" s="25">
        <f>MONTH(F805)</f>
        <v/>
      </c>
      <c r="AW805" s="65">
        <f>IF(AP805="",100%,0%)</f>
        <v/>
      </c>
      <c r="AX805" s="56" t="n"/>
      <c r="AY805" s="24">
        <f>IF(M805=0,"",M805-$AX$2)</f>
        <v/>
      </c>
      <c r="AZ805" s="66">
        <f>IF(AND(W805="",AY805&gt;0,AY805&lt;15),1,0)</f>
        <v/>
      </c>
      <c r="BA805" s="24">
        <f>IF(AND(W805="",AY805&gt;0,AY805&lt;15),T805,"")</f>
        <v/>
      </c>
      <c r="BB805" s="87">
        <f>IF(R805&lt;Q805,"X","")</f>
        <v/>
      </c>
      <c r="BC805" s="190" t="inlineStr">
        <is>
          <t>NO</t>
        </is>
      </c>
      <c r="BD805" s="190" t="inlineStr">
        <is>
          <t>NO</t>
        </is>
      </c>
    </row>
    <row r="806" ht="15" customHeight="1" s="162">
      <c r="A806" s="7" t="n">
        <v>805</v>
      </c>
      <c r="B806" t="inlineStr">
        <is>
          <t>0972888133000</t>
        </is>
      </c>
      <c r="C806" t="inlineStr">
        <is>
          <t>ENCODER SUPPORT</t>
        </is>
      </c>
      <c r="D806" t="inlineStr">
        <is>
          <t>1800108788</t>
        </is>
      </c>
      <c r="E806" t="inlineStr">
        <is>
          <t>10</t>
        </is>
      </c>
      <c r="F806" s="163" t="n">
        <v>45457</v>
      </c>
      <c r="G806" t="inlineStr"/>
      <c r="H806" t="inlineStr">
        <is>
          <t>4200568870</t>
        </is>
      </c>
      <c r="I806" t="inlineStr">
        <is>
          <t>60</t>
        </is>
      </c>
      <c r="J806" s="163" t="n">
        <v>45474</v>
      </c>
      <c r="K806" s="163" t="n">
        <v>45475</v>
      </c>
      <c r="L806" t="inlineStr"/>
      <c r="M806" s="163" t="n">
        <v>45671</v>
      </c>
      <c r="N806" s="164" t="n">
        <v>1</v>
      </c>
      <c r="O806" s="164" t="n">
        <v>8</v>
      </c>
      <c r="P806" t="inlineStr">
        <is>
          <t>Liberado</t>
        </is>
      </c>
      <c r="Q806" s="165" t="n">
        <v>2</v>
      </c>
      <c r="R806" s="165" t="n">
        <v>2</v>
      </c>
      <c r="S806" s="165" t="n">
        <v>4</v>
      </c>
      <c r="T806" s="165" t="n">
        <v>0</v>
      </c>
      <c r="U806" s="166" t="n">
        <v>2</v>
      </c>
      <c r="V806" s="166" t="n">
        <v>2</v>
      </c>
      <c r="W806" t="inlineStr">
        <is>
          <t>X</t>
        </is>
      </c>
      <c r="X806" t="inlineStr">
        <is>
          <t>0.00</t>
        </is>
      </c>
      <c r="Y806" t="inlineStr"/>
      <c r="Z806" t="inlineStr">
        <is>
          <t>INDUSTRIAS BALMES, S.A.</t>
        </is>
      </c>
      <c r="AA806" t="inlineStr">
        <is>
          <t>INDRA SISTEMAS S.A.</t>
        </is>
      </c>
      <c r="AB806" t="inlineStr">
        <is>
          <t>0972888133000</t>
        </is>
      </c>
      <c r="AC806" t="inlineStr"/>
      <c r="AD806" s="164" t="n">
        <v>2</v>
      </c>
      <c r="AE806" s="185" t="n">
        <v>2</v>
      </c>
      <c r="AG806" s="167" t="inlineStr">
        <is>
          <t>7218|JA2587_1001</t>
        </is>
      </c>
      <c r="AH806" s="47">
        <f>IF(M806=0,"-",M806-J806)</f>
        <v/>
      </c>
      <c r="AI806" s="46">
        <f>IF(AND(S806=0,M806&gt;0,L806=0),IF(AH806&gt;=120,"VERY HIGH",IF(AH806&gt;=90,"HIGH",IF(AH806&gt;=60,"MEDIUM",IF(AH806&lt;60,"LOW")))),"-")</f>
        <v/>
      </c>
      <c r="AJ806" s="12" t="n"/>
      <c r="AK806" s="53">
        <f>IF(AND(W806="X",M806&lt;=$AJ$2),"YES","")</f>
        <v/>
      </c>
      <c r="AL806" s="54">
        <f>IF(AND(W806="X",M806&lt;=$AJ$2),S806,"")</f>
        <v/>
      </c>
      <c r="AM806" s="35" t="n"/>
      <c r="AN806" s="35">
        <f>IF(AND(W806="X",M806&gt;$AJ$2),S806,"")</f>
        <v/>
      </c>
      <c r="AO806" s="35">
        <f>IF(AND(W806="",M806&gt;0,$AJ$2&gt;M806,L806=""),1,0)</f>
        <v/>
      </c>
      <c r="AP806" s="35">
        <f>IF(AND(AK806="YES",W806="X"),"X","")</f>
        <v/>
      </c>
      <c r="AQ806" s="55">
        <f>IF(AP806="X",100%,0%)</f>
        <v/>
      </c>
      <c r="AR806" s="25">
        <f>IF(AND(T806&gt;0,L806=""),H806,"")</f>
        <v/>
      </c>
      <c r="AS806" s="25">
        <f>IF(AND(D806&gt;0,H806=0,G806=""),1,"")</f>
        <v/>
      </c>
      <c r="AT806" s="25">
        <f>IF(G806="BLOQ",1,"")</f>
        <v/>
      </c>
      <c r="AU806" s="25">
        <f>IF(L806="BLOQ",1,"")</f>
        <v/>
      </c>
      <c r="AV806" s="25">
        <f>MONTH(F806)</f>
        <v/>
      </c>
      <c r="AW806" s="65">
        <f>IF(AP806="",100%,0%)</f>
        <v/>
      </c>
      <c r="AX806" s="56" t="n"/>
      <c r="AY806" s="24">
        <f>IF(M806=0,"",M806-$AX$2)</f>
        <v/>
      </c>
      <c r="AZ806" s="66">
        <f>IF(AND(W806="",AY806&gt;0,AY806&lt;15),1,0)</f>
        <v/>
      </c>
      <c r="BA806" s="24">
        <f>IF(AND(W806="",AY806&gt;0,AY806&lt;15),T806,"")</f>
        <v/>
      </c>
      <c r="BB806" s="87">
        <f>IF(R806&lt;Q806,"X","")</f>
        <v/>
      </c>
      <c r="BC806" s="190" t="inlineStr">
        <is>
          <t>NO</t>
        </is>
      </c>
      <c r="BD806" s="191" t="inlineStr">
        <is>
          <t>SI</t>
        </is>
      </c>
    </row>
    <row r="807" ht="15" customHeight="1" s="162">
      <c r="A807" s="7" t="n">
        <v>806</v>
      </c>
      <c r="B807" t="inlineStr">
        <is>
          <t>3210503440000</t>
        </is>
      </c>
      <c r="C807" t="inlineStr">
        <is>
          <t>EXTENSOR USB 2.0/CAT5 100MT</t>
        </is>
      </c>
      <c r="D807" t="inlineStr">
        <is>
          <t>1800108788</t>
        </is>
      </c>
      <c r="E807" t="inlineStr">
        <is>
          <t>20</t>
        </is>
      </c>
      <c r="F807" s="163" t="n">
        <v>45457</v>
      </c>
      <c r="G807" t="inlineStr"/>
      <c r="H807" t="inlineStr">
        <is>
          <t>4200570690</t>
        </is>
      </c>
      <c r="I807" t="inlineStr">
        <is>
          <t>10</t>
        </is>
      </c>
      <c r="J807" s="163" t="n">
        <v>45488</v>
      </c>
      <c r="K807" s="163" t="n">
        <v>45488</v>
      </c>
      <c r="L807" t="inlineStr"/>
      <c r="M807" s="163" t="n">
        <v>45516</v>
      </c>
      <c r="N807" s="164" t="n">
        <v>30</v>
      </c>
      <c r="O807" s="164" t="n">
        <v>8</v>
      </c>
      <c r="P807" t="inlineStr">
        <is>
          <t>Liberado</t>
        </is>
      </c>
      <c r="Q807" s="165" t="n">
        <v>5</v>
      </c>
      <c r="R807" s="165" t="n">
        <v>5</v>
      </c>
      <c r="S807" s="165" t="n">
        <v>5</v>
      </c>
      <c r="T807" s="165" t="n">
        <v>0</v>
      </c>
      <c r="U807" s="166" t="n">
        <v>5</v>
      </c>
      <c r="V807" s="166" t="n">
        <v>0</v>
      </c>
      <c r="W807" t="inlineStr">
        <is>
          <t>X</t>
        </is>
      </c>
      <c r="X807" t="inlineStr">
        <is>
          <t>0.00</t>
        </is>
      </c>
      <c r="Y807" t="inlineStr"/>
      <c r="Z807" t="inlineStr">
        <is>
          <t>CHARMEX INTERNACIONAL S.A.</t>
        </is>
      </c>
      <c r="AA807" t="inlineStr">
        <is>
          <t>GEFEN INC</t>
        </is>
      </c>
      <c r="AB807" t="inlineStr">
        <is>
          <t>EXT-USB2.0-LR</t>
        </is>
      </c>
      <c r="AC807" t="inlineStr"/>
      <c r="AD807" s="164" t="n">
        <v>0</v>
      </c>
      <c r="AE807" s="185" t="n">
        <v>0</v>
      </c>
      <c r="AG807" s="167" t="inlineStr">
        <is>
          <t>7218|JA2587_1001</t>
        </is>
      </c>
      <c r="AH807" s="47">
        <f>IF(M807=0,"-",M807-J807)</f>
        <v/>
      </c>
      <c r="AI807" s="46">
        <f>IF(AND(S807=0,M807&gt;0,L807=0),IF(AH807&gt;=120,"VERY HIGH",IF(AH807&gt;=90,"HIGH",IF(AH807&gt;=60,"MEDIUM",IF(AH807&lt;60,"LOW")))),"-")</f>
        <v/>
      </c>
      <c r="AJ807" s="12" t="n"/>
      <c r="AK807" s="53">
        <f>IF(AND(W807="X",M807&lt;=$AJ$2),"YES","")</f>
        <v/>
      </c>
      <c r="AL807" s="54">
        <f>IF(AND(W807="X",M807&lt;=$AJ$2),S807,"")</f>
        <v/>
      </c>
      <c r="AM807" s="35" t="n"/>
      <c r="AN807" s="35">
        <f>IF(AND(W807="X",M807&gt;$AJ$2),S807,"")</f>
        <v/>
      </c>
      <c r="AO807" s="35">
        <f>IF(AND(W807="",M807&gt;0,$AJ$2&gt;M807,L807=""),1,0)</f>
        <v/>
      </c>
      <c r="AP807" s="35">
        <f>IF(AND(AK807="YES",W807="X"),"X","")</f>
        <v/>
      </c>
      <c r="AQ807" s="55">
        <f>IF(AP807="X",100%,0%)</f>
        <v/>
      </c>
      <c r="AR807" s="25">
        <f>IF(AND(T807&gt;0,L807=""),H807,"")</f>
        <v/>
      </c>
      <c r="AS807" s="25">
        <f>IF(AND(D807&gt;0,H807=0,G807=""),1,"")</f>
        <v/>
      </c>
      <c r="AT807" s="25">
        <f>IF(G807="BLOQ",1,"")</f>
        <v/>
      </c>
      <c r="AU807" s="25">
        <f>IF(L807="BLOQ",1,"")</f>
        <v/>
      </c>
      <c r="AV807" s="25">
        <f>MONTH(F807)</f>
        <v/>
      </c>
      <c r="AW807" s="65">
        <f>IF(AP807="",100%,0%)</f>
        <v/>
      </c>
      <c r="AX807" s="56" t="n"/>
      <c r="AY807" s="24">
        <f>IF(M807=0,"",M807-$AX$2)</f>
        <v/>
      </c>
      <c r="AZ807" s="66">
        <f>IF(AND(W807="",AY807&gt;0,AY807&lt;15),1,0)</f>
        <v/>
      </c>
      <c r="BA807" s="24">
        <f>IF(AND(W807="",AY807&gt;0,AY807&lt;15),T807,"")</f>
        <v/>
      </c>
      <c r="BB807" s="87">
        <f>IF(R807&lt;Q807,"X","")</f>
        <v/>
      </c>
      <c r="BC807" s="191" t="inlineStr">
        <is>
          <t>SI</t>
        </is>
      </c>
      <c r="BD807" s="191" t="inlineStr">
        <is>
          <t>SI</t>
        </is>
      </c>
    </row>
    <row r="808" ht="15" customHeight="1" s="162">
      <c r="A808" s="7" t="n">
        <v>807</v>
      </c>
      <c r="B808" t="inlineStr">
        <is>
          <t>3190700971100</t>
        </is>
      </c>
      <c r="C808" t="inlineStr">
        <is>
          <t>MONITOR IPS 24" FHD 1920X1080 300NITS</t>
        </is>
      </c>
      <c r="D808" t="inlineStr">
        <is>
          <t>1800108789</t>
        </is>
      </c>
      <c r="E808" t="inlineStr">
        <is>
          <t>30</t>
        </is>
      </c>
      <c r="F808" s="163" t="n">
        <v>45457</v>
      </c>
      <c r="G808" t="inlineStr"/>
      <c r="H808" t="inlineStr">
        <is>
          <t>4200568538</t>
        </is>
      </c>
      <c r="I808" t="inlineStr">
        <is>
          <t>10</t>
        </is>
      </c>
      <c r="J808" s="163" t="n">
        <v>45470</v>
      </c>
      <c r="K808" s="163" t="n">
        <v>45470</v>
      </c>
      <c r="L808" t="inlineStr"/>
      <c r="M808" s="163" t="n">
        <v>45488</v>
      </c>
      <c r="N808" s="164" t="n">
        <v>40</v>
      </c>
      <c r="O808" s="164" t="n">
        <v>8</v>
      </c>
      <c r="P808" t="inlineStr">
        <is>
          <t>Liberado</t>
        </is>
      </c>
      <c r="Q808" s="165" t="n">
        <v>3</v>
      </c>
      <c r="R808" s="165" t="n">
        <v>3</v>
      </c>
      <c r="S808" s="165" t="n">
        <v>3</v>
      </c>
      <c r="T808" s="165" t="n">
        <v>0</v>
      </c>
      <c r="U808" s="166" t="n">
        <v>3</v>
      </c>
      <c r="V808" s="166" t="n">
        <v>0</v>
      </c>
      <c r="W808" t="inlineStr">
        <is>
          <t>X</t>
        </is>
      </c>
      <c r="X808" t="inlineStr">
        <is>
          <t>0.00</t>
        </is>
      </c>
      <c r="Y808" t="inlineStr"/>
      <c r="Z808" t="inlineStr">
        <is>
          <t>ESPRINET IBERICA, S.L.U.</t>
        </is>
      </c>
      <c r="AA808" t="inlineStr">
        <is>
          <t>HEWLETT PACKARD</t>
        </is>
      </c>
      <c r="AB808" t="inlineStr">
        <is>
          <t>E24T G5</t>
        </is>
      </c>
      <c r="AC808" t="inlineStr"/>
      <c r="AD808" s="164" t="n">
        <v>0</v>
      </c>
      <c r="AE808" s="185" t="n">
        <v>0</v>
      </c>
      <c r="AG808" s="167" t="inlineStr">
        <is>
          <t>7218|JA2588_1001</t>
        </is>
      </c>
      <c r="AH808" s="47">
        <f>IF(M808=0,"-",M808-J808)</f>
        <v/>
      </c>
      <c r="AI808" s="46">
        <f>IF(AND(S808=0,M808&gt;0,L808=0),IF(AH808&gt;=120,"VERY HIGH",IF(AH808&gt;=90,"HIGH",IF(AH808&gt;=60,"MEDIUM",IF(AH808&lt;60,"LOW")))),"-")</f>
        <v/>
      </c>
      <c r="AJ808" s="12" t="n"/>
      <c r="AK808" s="53">
        <f>IF(AND(W808="X",M808&lt;=$AJ$2),"YES","")</f>
        <v/>
      </c>
      <c r="AL808" s="54">
        <f>IF(AND(W808="X",M808&lt;=$AJ$2),S808,"")</f>
        <v/>
      </c>
      <c r="AM808" s="35" t="n"/>
      <c r="AN808" s="35">
        <f>IF(AND(W808="X",M808&gt;$AJ$2),S808,"")</f>
        <v/>
      </c>
      <c r="AO808" s="35">
        <f>IF(AND(W808="",M808&gt;0,$AJ$2&gt;M808,L808=""),1,0)</f>
        <v/>
      </c>
      <c r="AP808" s="35">
        <f>IF(AND(AK808="YES",W808="X"),"X","")</f>
        <v/>
      </c>
      <c r="AQ808" s="55">
        <f>IF(AP808="X",100%,0%)</f>
        <v/>
      </c>
      <c r="AR808" s="25">
        <f>IF(AND(T808&gt;0,L808=""),H808,"")</f>
        <v/>
      </c>
      <c r="AS808" s="25">
        <f>IF(AND(D808&gt;0,H808=0,G808=""),1,"")</f>
        <v/>
      </c>
      <c r="AT808" s="25">
        <f>IF(G808="BLOQ",1,"")</f>
        <v/>
      </c>
      <c r="AU808" s="25">
        <f>IF(L808="BLOQ",1,"")</f>
        <v/>
      </c>
      <c r="AV808" s="25">
        <f>MONTH(F808)</f>
        <v/>
      </c>
      <c r="AW808" s="65">
        <f>IF(AP808="",100%,0%)</f>
        <v/>
      </c>
      <c r="AX808" s="56" t="n"/>
      <c r="AY808" s="24">
        <f>IF(M808=0,"",M808-$AX$2)</f>
        <v/>
      </c>
      <c r="AZ808" s="66">
        <f>IF(AND(W808="",AY808&gt;0,AY808&lt;15),1,0)</f>
        <v/>
      </c>
      <c r="BA808" s="24">
        <f>IF(AND(W808="",AY808&gt;0,AY808&lt;15),T808,"")</f>
        <v/>
      </c>
      <c r="BB808" s="87">
        <f>IF(R808&lt;Q808,"X","")</f>
        <v/>
      </c>
      <c r="BC808" s="190" t="inlineStr">
        <is>
          <t>NO</t>
        </is>
      </c>
      <c r="BD808" s="191" t="inlineStr">
        <is>
          <t>SI</t>
        </is>
      </c>
    </row>
    <row r="809" ht="15" customHeight="1" s="162">
      <c r="A809" s="7" t="n">
        <v>808</v>
      </c>
      <c r="B809" t="inlineStr">
        <is>
          <t>3190402881100</t>
        </is>
      </c>
      <c r="C809" t="inlineStr">
        <is>
          <t>PANTALLA LED 15,6" 1920X1080 16:9</t>
        </is>
      </c>
      <c r="D809" t="inlineStr">
        <is>
          <t>1800108790</t>
        </is>
      </c>
      <c r="E809" t="inlineStr">
        <is>
          <t>10</t>
        </is>
      </c>
      <c r="F809" s="163" t="n">
        <v>45457</v>
      </c>
      <c r="G809" t="inlineStr"/>
      <c r="H809" t="inlineStr">
        <is>
          <t>4200569360</t>
        </is>
      </c>
      <c r="I809" t="inlineStr">
        <is>
          <t>10</t>
        </is>
      </c>
      <c r="J809" s="163" t="n">
        <v>45477</v>
      </c>
      <c r="K809" s="163" t="n">
        <v>45477</v>
      </c>
      <c r="L809" t="inlineStr"/>
      <c r="M809" s="163" t="n">
        <v>45499</v>
      </c>
      <c r="N809" s="164" t="n">
        <v>40</v>
      </c>
      <c r="O809" s="164" t="n">
        <v>8</v>
      </c>
      <c r="P809" t="inlineStr">
        <is>
          <t>Liberado</t>
        </is>
      </c>
      <c r="Q809" s="165" t="n">
        <v>1</v>
      </c>
      <c r="R809" s="165" t="n">
        <v>1</v>
      </c>
      <c r="S809" s="165" t="n">
        <v>1</v>
      </c>
      <c r="T809" s="165" t="n">
        <v>0</v>
      </c>
      <c r="U809" s="166" t="n">
        <v>1</v>
      </c>
      <c r="V809" s="166" t="n">
        <v>0</v>
      </c>
      <c r="W809" t="inlineStr">
        <is>
          <t>X</t>
        </is>
      </c>
      <c r="X809" t="inlineStr">
        <is>
          <t>0.00</t>
        </is>
      </c>
      <c r="Y809" t="inlineStr"/>
      <c r="Z809" t="inlineStr">
        <is>
          <t>INFORMATICA CALCULO Y TECNICA, S.A.</t>
        </is>
      </c>
      <c r="AA809" t="inlineStr">
        <is>
          <t>ASUS</t>
        </is>
      </c>
      <c r="AB809" t="inlineStr">
        <is>
          <t>MB16ACV</t>
        </is>
      </c>
      <c r="AC809" t="inlineStr"/>
      <c r="AD809" s="164" t="n">
        <v>1</v>
      </c>
      <c r="AE809" s="185" t="n">
        <v>1</v>
      </c>
      <c r="AG809" s="167" t="inlineStr">
        <is>
          <t>7218|JA2580_1001</t>
        </is>
      </c>
      <c r="AH809" s="47">
        <f>IF(M809=0,"-",M809-J809)</f>
        <v/>
      </c>
      <c r="AI809" s="46">
        <f>IF(AND(S809=0,M809&gt;0,L809=0),IF(AH809&gt;=120,"VERY HIGH",IF(AH809&gt;=90,"HIGH",IF(AH809&gt;=60,"MEDIUM",IF(AH809&lt;60,"LOW")))),"-")</f>
        <v/>
      </c>
      <c r="AJ809" s="12" t="n"/>
      <c r="AK809" s="53">
        <f>IF(AND(W809="X",M809&lt;=$AJ$2),"YES","")</f>
        <v/>
      </c>
      <c r="AL809" s="54">
        <f>IF(AND(W809="X",M809&lt;=$AJ$2),S809,"")</f>
        <v/>
      </c>
      <c r="AM809" s="35" t="n"/>
      <c r="AN809" s="35">
        <f>IF(AND(W809="X",M809&gt;$AJ$2),S809,"")</f>
        <v/>
      </c>
      <c r="AO809" s="35">
        <f>IF(AND(W809="",M809&gt;0,$AJ$2&gt;M809,L809=""),1,0)</f>
        <v/>
      </c>
      <c r="AP809" s="35">
        <f>IF(AND(AK809="YES",W809="X"),"X","")</f>
        <v/>
      </c>
      <c r="AQ809" s="55">
        <f>IF(AP809="X",100%,0%)</f>
        <v/>
      </c>
      <c r="AR809" s="25">
        <f>IF(AND(T809&gt;0,L809=""),H809,"")</f>
        <v/>
      </c>
      <c r="AS809" s="25">
        <f>IF(AND(D809&gt;0,H809=0,G809=""),1,"")</f>
        <v/>
      </c>
      <c r="AT809" s="25">
        <f>IF(G809="BLOQ",1,"")</f>
        <v/>
      </c>
      <c r="AU809" s="25">
        <f>IF(L809="BLOQ",1,"")</f>
        <v/>
      </c>
      <c r="AV809" s="25">
        <f>MONTH(F809)</f>
        <v/>
      </c>
      <c r="AW809" s="65">
        <f>IF(AP809="",100%,0%)</f>
        <v/>
      </c>
      <c r="AX809" s="56" t="n"/>
      <c r="AY809" s="24">
        <f>IF(M809=0,"",M809-$AX$2)</f>
        <v/>
      </c>
      <c r="AZ809" s="66">
        <f>IF(AND(W809="",AY809&gt;0,AY809&lt;15),1,0)</f>
        <v/>
      </c>
      <c r="BA809" s="24">
        <f>IF(AND(W809="",AY809&gt;0,AY809&lt;15),T809,"")</f>
        <v/>
      </c>
      <c r="BB809" s="87">
        <f>IF(R809&lt;Q809,"X","")</f>
        <v/>
      </c>
      <c r="BC809" s="191" t="inlineStr">
        <is>
          <t>SI</t>
        </is>
      </c>
      <c r="BD809" s="191" t="inlineStr">
        <is>
          <t>SI</t>
        </is>
      </c>
    </row>
    <row r="810" ht="15" customHeight="1" s="162">
      <c r="A810" s="7" t="n">
        <v>809</v>
      </c>
      <c r="B810" t="inlineStr">
        <is>
          <t>1200300890200</t>
        </is>
      </c>
      <c r="C810" t="inlineStr">
        <is>
          <t>MOD CNC  8P #16 HL103 SELLADO</t>
        </is>
      </c>
      <c r="D810" t="inlineStr">
        <is>
          <t>1800108793</t>
        </is>
      </c>
      <c r="E810" t="inlineStr">
        <is>
          <t>10</t>
        </is>
      </c>
      <c r="F810" s="163" t="n">
        <v>45457</v>
      </c>
      <c r="G810" t="inlineStr"/>
      <c r="H810" t="inlineStr">
        <is>
          <t>4200572876</t>
        </is>
      </c>
      <c r="I810" t="inlineStr">
        <is>
          <t>30</t>
        </is>
      </c>
      <c r="J810" s="163" t="n">
        <v>45503</v>
      </c>
      <c r="K810" s="163" t="n">
        <v>45572</v>
      </c>
      <c r="L810" t="inlineStr"/>
      <c r="M810" s="163" t="n">
        <v>45611</v>
      </c>
      <c r="N810" s="164" t="n">
        <v>85</v>
      </c>
      <c r="O810" s="164" t="n">
        <v>8</v>
      </c>
      <c r="P810" t="inlineStr">
        <is>
          <t>Liberado</t>
        </is>
      </c>
      <c r="Q810" s="165" t="n">
        <v>4</v>
      </c>
      <c r="R810" s="165" t="n">
        <v>10</v>
      </c>
      <c r="S810" s="165" t="n">
        <v>10</v>
      </c>
      <c r="T810" s="165" t="n">
        <v>0</v>
      </c>
      <c r="U810" s="166" t="n">
        <v>10</v>
      </c>
      <c r="V810" s="166" t="n">
        <v>0</v>
      </c>
      <c r="W810" t="inlineStr">
        <is>
          <t>X</t>
        </is>
      </c>
      <c r="X810" t="inlineStr">
        <is>
          <t>0.00</t>
        </is>
      </c>
      <c r="Y810" t="inlineStr"/>
      <c r="Z810" t="inlineStr">
        <is>
          <t>SUMINISTROS CONECTORES PROF.,SA.</t>
        </is>
      </c>
      <c r="AA810" t="inlineStr">
        <is>
          <t>AMPHENOL AIR-LB</t>
        </is>
      </c>
      <c r="AB810" t="inlineStr">
        <is>
          <t>001115 302 02</t>
        </is>
      </c>
      <c r="AC810" t="inlineStr"/>
      <c r="AD810" s="164" t="n">
        <v>1</v>
      </c>
      <c r="AE810" s="185" t="n">
        <v>1</v>
      </c>
      <c r="AG810" s="167" t="inlineStr">
        <is>
          <t>7218|JA2581_1001</t>
        </is>
      </c>
      <c r="AH810" s="47">
        <f>IF(M810=0,"-",M810-J810)</f>
        <v/>
      </c>
      <c r="AI810" s="46">
        <f>IF(AND(S810=0,M810&gt;0,L810=0),IF(AH810&gt;=120,"VERY HIGH",IF(AH810&gt;=90,"HIGH",IF(AH810&gt;=60,"MEDIUM",IF(AH810&lt;60,"LOW")))),"-")</f>
        <v/>
      </c>
      <c r="AJ810" s="12" t="n"/>
      <c r="AK810" s="53">
        <f>IF(AND(W810="X",M810&lt;=$AJ$2),"YES","")</f>
        <v/>
      </c>
      <c r="AL810" s="54">
        <f>IF(AND(W810="X",M810&lt;=$AJ$2),S810,"")</f>
        <v/>
      </c>
      <c r="AM810" s="35" t="n"/>
      <c r="AN810" s="35">
        <f>IF(AND(W810="X",M810&gt;$AJ$2),S810,"")</f>
        <v/>
      </c>
      <c r="AO810" s="35">
        <f>IF(AND(W810="",M810&gt;0,$AJ$2&gt;M810,L810=""),1,0)</f>
        <v/>
      </c>
      <c r="AP810" s="35">
        <f>IF(AND(AK810="YES",W810="X"),"X","")</f>
        <v/>
      </c>
      <c r="AQ810" s="55">
        <f>IF(AP810="X",100%,0%)</f>
        <v/>
      </c>
      <c r="AR810" s="25">
        <f>IF(AND(T810&gt;0,L810=""),H810,"")</f>
        <v/>
      </c>
      <c r="AS810" s="25">
        <f>IF(AND(D810&gt;0,H810=0,G810=""),1,"")</f>
        <v/>
      </c>
      <c r="AT810" s="25">
        <f>IF(G810="BLOQ",1,"")</f>
        <v/>
      </c>
      <c r="AU810" s="25">
        <f>IF(L810="BLOQ",1,"")</f>
        <v/>
      </c>
      <c r="AV810" s="25">
        <f>MONTH(F810)</f>
        <v/>
      </c>
      <c r="AW810" s="65">
        <f>IF(AP810="",100%,0%)</f>
        <v/>
      </c>
      <c r="AX810" s="56" t="n"/>
      <c r="AY810" s="24">
        <f>IF(M810=0,"",M810-$AX$2)</f>
        <v/>
      </c>
      <c r="AZ810" s="66">
        <f>IF(AND(W810="",AY810&gt;0,AY810&lt;15),1,0)</f>
        <v/>
      </c>
      <c r="BA810" s="24">
        <f>IF(AND(W810="",AY810&gt;0,AY810&lt;15),T810,"")</f>
        <v/>
      </c>
      <c r="BB810" s="87">
        <f>IF(R810&lt;Q810,"X","")</f>
        <v/>
      </c>
      <c r="BC810" s="190" t="inlineStr">
        <is>
          <t>NO</t>
        </is>
      </c>
      <c r="BD810" s="191" t="inlineStr">
        <is>
          <t>SI</t>
        </is>
      </c>
    </row>
    <row r="811" ht="15" customHeight="1" s="162">
      <c r="A811" s="7" t="n">
        <v>810</v>
      </c>
      <c r="B811" t="inlineStr">
        <is>
          <t>1200301890000</t>
        </is>
      </c>
      <c r="C811" t="inlineStr">
        <is>
          <t>MOD CNC 18P(2X12+4X16+12X20) HL103 SELL</t>
        </is>
      </c>
      <c r="D811" t="inlineStr">
        <is>
          <t>1800108793</t>
        </is>
      </c>
      <c r="E811" t="inlineStr">
        <is>
          <t>20</t>
        </is>
      </c>
      <c r="F811" s="163" t="n">
        <v>45457</v>
      </c>
      <c r="G811" t="inlineStr"/>
      <c r="H811" t="inlineStr">
        <is>
          <t>4200572876</t>
        </is>
      </c>
      <c r="I811" t="inlineStr">
        <is>
          <t>40</t>
        </is>
      </c>
      <c r="J811" s="163" t="n">
        <v>45503</v>
      </c>
      <c r="K811" s="163" t="n">
        <v>45572</v>
      </c>
      <c r="L811" t="inlineStr"/>
      <c r="M811" s="163" t="n">
        <v>45611</v>
      </c>
      <c r="N811" s="164" t="n">
        <v>30</v>
      </c>
      <c r="O811" s="164" t="n">
        <v>8</v>
      </c>
      <c r="P811" t="inlineStr">
        <is>
          <t>Liberado</t>
        </is>
      </c>
      <c r="Q811" s="165" t="n">
        <v>30</v>
      </c>
      <c r="R811" s="165" t="n">
        <v>30</v>
      </c>
      <c r="S811" s="165" t="n">
        <v>30</v>
      </c>
      <c r="T811" s="165" t="n">
        <v>0</v>
      </c>
      <c r="U811" s="166" t="n">
        <v>30</v>
      </c>
      <c r="V811" s="166" t="n">
        <v>0</v>
      </c>
      <c r="W811" t="inlineStr">
        <is>
          <t>X</t>
        </is>
      </c>
      <c r="X811" t="inlineStr">
        <is>
          <t>0.00</t>
        </is>
      </c>
      <c r="Y811" t="inlineStr"/>
      <c r="Z811" t="inlineStr">
        <is>
          <t>SUMINISTROS CONECTORES PROF.,SA.</t>
        </is>
      </c>
      <c r="AA811" t="inlineStr">
        <is>
          <t>AMPHENOL AIR-LB</t>
        </is>
      </c>
      <c r="AB811" t="inlineStr">
        <is>
          <t>001115 503 02</t>
        </is>
      </c>
      <c r="AC811" t="inlineStr"/>
      <c r="AD811" s="164" t="n">
        <v>1</v>
      </c>
      <c r="AE811" s="185" t="n">
        <v>1</v>
      </c>
      <c r="AG811" s="167" t="inlineStr">
        <is>
          <t>7218|JA2581_1001</t>
        </is>
      </c>
      <c r="AH811" s="47">
        <f>IF(M811=0,"-",M811-J811)</f>
        <v/>
      </c>
      <c r="AI811" s="46">
        <f>IF(AND(S811=0,M811&gt;0,L811=0),IF(AH811&gt;=120,"VERY HIGH",IF(AH811&gt;=90,"HIGH",IF(AH811&gt;=60,"MEDIUM",IF(AH811&lt;60,"LOW")))),"-")</f>
        <v/>
      </c>
      <c r="AJ811" s="12" t="n"/>
      <c r="AK811" s="53">
        <f>IF(AND(W811="X",M811&lt;=$AJ$2),"YES","")</f>
        <v/>
      </c>
      <c r="AL811" s="54">
        <f>IF(AND(W811="X",M811&lt;=$AJ$2),S811,"")</f>
        <v/>
      </c>
      <c r="AM811" s="35" t="n"/>
      <c r="AN811" s="35">
        <f>IF(AND(W811="X",M811&gt;$AJ$2),S811,"")</f>
        <v/>
      </c>
      <c r="AO811" s="35">
        <f>IF(AND(W811="",M811&gt;0,$AJ$2&gt;M811,L811=""),1,0)</f>
        <v/>
      </c>
      <c r="AP811" s="35">
        <f>IF(AND(AK811="YES",W811="X"),"X","")</f>
        <v/>
      </c>
      <c r="AQ811" s="55">
        <f>IF(AP811="X",100%,0%)</f>
        <v/>
      </c>
      <c r="AR811" s="25">
        <f>IF(AND(T811&gt;0,L811=""),H811,"")</f>
        <v/>
      </c>
      <c r="AS811" s="25">
        <f>IF(AND(D811&gt;0,H811=0,G811=""),1,"")</f>
        <v/>
      </c>
      <c r="AT811" s="25">
        <f>IF(G811="BLOQ",1,"")</f>
        <v/>
      </c>
      <c r="AU811" s="25">
        <f>IF(L811="BLOQ",1,"")</f>
        <v/>
      </c>
      <c r="AV811" s="25">
        <f>MONTH(F811)</f>
        <v/>
      </c>
      <c r="AW811" s="65">
        <f>IF(AP811="",100%,0%)</f>
        <v/>
      </c>
      <c r="AX811" s="56" t="n"/>
      <c r="AY811" s="24">
        <f>IF(M811=0,"",M811-$AX$2)</f>
        <v/>
      </c>
      <c r="AZ811" s="66">
        <f>IF(AND(W811="",AY811&gt;0,AY811&lt;15),1,0)</f>
        <v/>
      </c>
      <c r="BA811" s="24">
        <f>IF(AND(W811="",AY811&gt;0,AY811&lt;15),T811,"")</f>
        <v/>
      </c>
      <c r="BB811" s="87">
        <f>IF(R811&lt;Q811,"X","")</f>
        <v/>
      </c>
      <c r="BC811" s="190" t="inlineStr">
        <is>
          <t>NO</t>
        </is>
      </c>
      <c r="BD811" s="191" t="inlineStr">
        <is>
          <t>SI</t>
        </is>
      </c>
    </row>
    <row r="812" ht="15" customHeight="1" s="162">
      <c r="A812" s="7" t="n">
        <v>811</v>
      </c>
      <c r="B812" t="inlineStr">
        <is>
          <t>1200390091200</t>
        </is>
      </c>
      <c r="C812" t="inlineStr">
        <is>
          <t>PIN CNC MOD #12 CRIMP AWG12-14 HL103</t>
        </is>
      </c>
      <c r="D812" t="inlineStr">
        <is>
          <t>1800108793</t>
        </is>
      </c>
      <c r="E812" t="inlineStr">
        <is>
          <t>30</t>
        </is>
      </c>
      <c r="F812" s="163" t="n">
        <v>45457</v>
      </c>
      <c r="G812" t="inlineStr"/>
      <c r="H812" t="inlineStr">
        <is>
          <t>4200569854</t>
        </is>
      </c>
      <c r="I812" t="inlineStr">
        <is>
          <t>10</t>
        </is>
      </c>
      <c r="J812" s="163" t="n">
        <v>45482</v>
      </c>
      <c r="K812" s="163" t="n">
        <v>45951</v>
      </c>
      <c r="L812" t="inlineStr"/>
      <c r="M812" s="163" t="n">
        <v>45554</v>
      </c>
      <c r="N812" s="164" t="n">
        <v>30</v>
      </c>
      <c r="O812" s="164" t="n">
        <v>8</v>
      </c>
      <c r="P812" t="inlineStr">
        <is>
          <t>Liberado</t>
        </is>
      </c>
      <c r="Q812" s="165" t="n">
        <v>200</v>
      </c>
      <c r="R812" s="165" t="n">
        <v>200</v>
      </c>
      <c r="S812" s="165" t="n">
        <v>200</v>
      </c>
      <c r="T812" s="165" t="n">
        <v>0</v>
      </c>
      <c r="U812" s="166" t="n">
        <v>0</v>
      </c>
      <c r="V812" s="166" t="n">
        <v>0</v>
      </c>
      <c r="W812" t="inlineStr">
        <is>
          <t>X</t>
        </is>
      </c>
      <c r="X812" t="inlineStr">
        <is>
          <t>0.00</t>
        </is>
      </c>
      <c r="Y812" t="inlineStr"/>
      <c r="Z812" t="inlineStr">
        <is>
          <t>TTI INC.</t>
        </is>
      </c>
      <c r="AA812" t="inlineStr">
        <is>
          <t>AMPHENOL AIR-LB</t>
        </is>
      </c>
      <c r="AB812" t="inlineStr">
        <is>
          <t>001104 400 02</t>
        </is>
      </c>
      <c r="AC812" t="inlineStr"/>
      <c r="AD812" s="164" t="n">
        <v>1</v>
      </c>
      <c r="AE812" s="185" t="n">
        <v>1</v>
      </c>
      <c r="AG812" s="167" t="inlineStr">
        <is>
          <t>7218|JA2581_1001</t>
        </is>
      </c>
      <c r="AH812" s="47">
        <f>IF(M812=0,"-",M812-J812)</f>
        <v/>
      </c>
      <c r="AI812" s="46">
        <f>IF(AND(S812=0,M812&gt;0,L812=0),IF(AH812&gt;=120,"VERY HIGH",IF(AH812&gt;=90,"HIGH",IF(AH812&gt;=60,"MEDIUM",IF(AH812&lt;60,"LOW")))),"-")</f>
        <v/>
      </c>
      <c r="AJ812" s="12" t="n"/>
      <c r="AK812" s="53">
        <f>IF(AND(W812="X",M812&lt;=$AJ$2),"YES","")</f>
        <v/>
      </c>
      <c r="AL812" s="54">
        <f>IF(AND(W812="X",M812&lt;=$AJ$2),S812,"")</f>
        <v/>
      </c>
      <c r="AM812" s="35" t="n"/>
      <c r="AN812" s="35">
        <f>IF(AND(W812="X",M812&gt;$AJ$2),S812,"")</f>
        <v/>
      </c>
      <c r="AO812" s="35">
        <f>IF(AND(W812="",M812&gt;0,$AJ$2&gt;M812,L812=""),1,0)</f>
        <v/>
      </c>
      <c r="AP812" s="35">
        <f>IF(AND(AK812="YES",W812="X"),"X","")</f>
        <v/>
      </c>
      <c r="AQ812" s="55">
        <f>IF(AP812="X",100%,0%)</f>
        <v/>
      </c>
      <c r="AR812" s="25">
        <f>IF(AND(T812&gt;0,L812=""),H812,"")</f>
        <v/>
      </c>
      <c r="AS812" s="25">
        <f>IF(AND(D812&gt;0,H812=0,G812=""),1,"")</f>
        <v/>
      </c>
      <c r="AT812" s="25">
        <f>IF(G812="BLOQ",1,"")</f>
        <v/>
      </c>
      <c r="AU812" s="25">
        <f>IF(L812="BLOQ",1,"")</f>
        <v/>
      </c>
      <c r="AV812" s="25">
        <f>MONTH(F812)</f>
        <v/>
      </c>
      <c r="AW812" s="65">
        <f>IF(AP812="",100%,0%)</f>
        <v/>
      </c>
      <c r="AX812" s="56" t="n"/>
      <c r="AY812" s="24">
        <f>IF(M812=0,"",M812-$AX$2)</f>
        <v/>
      </c>
      <c r="AZ812" s="66">
        <f>IF(AND(W812="",AY812&gt;0,AY812&lt;15),1,0)</f>
        <v/>
      </c>
      <c r="BA812" s="24">
        <f>IF(AND(W812="",AY812&gt;0,AY812&lt;15),T812,"")</f>
        <v/>
      </c>
      <c r="BB812" s="87">
        <f>IF(R812&lt;Q812,"X","")</f>
        <v/>
      </c>
      <c r="BC812" s="190" t="inlineStr">
        <is>
          <t>NO</t>
        </is>
      </c>
      <c r="BD812" s="191" t="inlineStr">
        <is>
          <t>SI</t>
        </is>
      </c>
    </row>
    <row r="813" ht="15" customHeight="1" s="162">
      <c r="A813" s="7" t="n">
        <v>812</v>
      </c>
      <c r="B813" t="inlineStr">
        <is>
          <t>1200390091600</t>
        </is>
      </c>
      <c r="C813" t="inlineStr">
        <is>
          <t>PIN CNC MOD #16 CRIMP AWG16-20 HL103</t>
        </is>
      </c>
      <c r="D813" t="inlineStr">
        <is>
          <t>1800108793</t>
        </is>
      </c>
      <c r="E813" t="inlineStr">
        <is>
          <t>40</t>
        </is>
      </c>
      <c r="F813" s="163" t="n">
        <v>45457</v>
      </c>
      <c r="G813" t="inlineStr"/>
      <c r="H813" t="inlineStr">
        <is>
          <t>4200572876</t>
        </is>
      </c>
      <c r="I813" t="inlineStr">
        <is>
          <t>60</t>
        </is>
      </c>
      <c r="J813" s="163" t="n">
        <v>45503</v>
      </c>
      <c r="K813" s="163" t="n">
        <v>45572</v>
      </c>
      <c r="L813" t="inlineStr"/>
      <c r="M813" s="163" t="n">
        <v>45611</v>
      </c>
      <c r="N813" s="164" t="n">
        <v>35</v>
      </c>
      <c r="O813" s="164" t="n">
        <v>8</v>
      </c>
      <c r="P813" t="inlineStr">
        <is>
          <t>Liberado</t>
        </is>
      </c>
      <c r="Q813" s="165" t="n">
        <v>200</v>
      </c>
      <c r="R813" s="165" t="n">
        <v>200</v>
      </c>
      <c r="S813" s="165" t="n">
        <v>200</v>
      </c>
      <c r="T813" s="165" t="n">
        <v>0</v>
      </c>
      <c r="U813" s="166" t="n">
        <v>200</v>
      </c>
      <c r="V813" s="166" t="n">
        <v>0</v>
      </c>
      <c r="W813" t="inlineStr">
        <is>
          <t>X</t>
        </is>
      </c>
      <c r="X813" t="inlineStr">
        <is>
          <t>0.00</t>
        </is>
      </c>
      <c r="Y813" t="inlineStr"/>
      <c r="Z813" t="inlineStr">
        <is>
          <t>SUMINISTROS CONECTORES PROF.,SA.</t>
        </is>
      </c>
      <c r="AA813" t="inlineStr">
        <is>
          <t>AMPHENOL AIR-LB</t>
        </is>
      </c>
      <c r="AB813" t="inlineStr">
        <is>
          <t>001104 300 02</t>
        </is>
      </c>
      <c r="AC813" t="inlineStr"/>
      <c r="AD813" s="164" t="n">
        <v>1</v>
      </c>
      <c r="AE813" s="185" t="n">
        <v>1</v>
      </c>
      <c r="AG813" s="167" t="inlineStr">
        <is>
          <t>7218|JA2581_1001</t>
        </is>
      </c>
      <c r="AH813" s="47">
        <f>IF(M813=0,"-",M813-J813)</f>
        <v/>
      </c>
      <c r="AI813" s="46">
        <f>IF(AND(S813=0,M813&gt;0,L813=0),IF(AH813&gt;=120,"VERY HIGH",IF(AH813&gt;=90,"HIGH",IF(AH813&gt;=60,"MEDIUM",IF(AH813&lt;60,"LOW")))),"-")</f>
        <v/>
      </c>
      <c r="AJ813" s="12" t="n"/>
      <c r="AK813" s="53">
        <f>IF(AND(W813="X",M813&lt;=$AJ$2),"YES","")</f>
        <v/>
      </c>
      <c r="AL813" s="54">
        <f>IF(AND(W813="X",M813&lt;=$AJ$2),S813,"")</f>
        <v/>
      </c>
      <c r="AM813" s="35" t="n"/>
      <c r="AN813" s="35">
        <f>IF(AND(W813="X",M813&gt;$AJ$2),S813,"")</f>
        <v/>
      </c>
      <c r="AO813" s="35">
        <f>IF(AND(W813="",M813&gt;0,$AJ$2&gt;M813,L813=""),1,0)</f>
        <v/>
      </c>
      <c r="AP813" s="35">
        <f>IF(AND(AK813="YES",W813="X"),"X","")</f>
        <v/>
      </c>
      <c r="AQ813" s="55">
        <f>IF(AP813="X",100%,0%)</f>
        <v/>
      </c>
      <c r="AR813" s="25">
        <f>IF(AND(T813&gt;0,L813=""),H813,"")</f>
        <v/>
      </c>
      <c r="AS813" s="25">
        <f>IF(AND(D813&gt;0,H813=0,G813=""),1,"")</f>
        <v/>
      </c>
      <c r="AT813" s="25">
        <f>IF(G813="BLOQ",1,"")</f>
        <v/>
      </c>
      <c r="AU813" s="25">
        <f>IF(L813="BLOQ",1,"")</f>
        <v/>
      </c>
      <c r="AV813" s="25">
        <f>MONTH(F813)</f>
        <v/>
      </c>
      <c r="AW813" s="65">
        <f>IF(AP813="",100%,0%)</f>
        <v/>
      </c>
      <c r="AX813" s="56" t="n"/>
      <c r="AY813" s="24">
        <f>IF(M813=0,"",M813-$AX$2)</f>
        <v/>
      </c>
      <c r="AZ813" s="66">
        <f>IF(AND(W813="",AY813&gt;0,AY813&lt;15),1,0)</f>
        <v/>
      </c>
      <c r="BA813" s="24">
        <f>IF(AND(W813="",AY813&gt;0,AY813&lt;15),T813,"")</f>
        <v/>
      </c>
      <c r="BB813" s="87">
        <f>IF(R813&lt;Q813,"X","")</f>
        <v/>
      </c>
      <c r="BC813" s="190" t="inlineStr">
        <is>
          <t>NO</t>
        </is>
      </c>
      <c r="BD813" s="191" t="inlineStr">
        <is>
          <t>SI</t>
        </is>
      </c>
    </row>
    <row r="814" ht="15" customHeight="1" s="162">
      <c r="A814" s="7" t="n">
        <v>813</v>
      </c>
      <c r="B814" t="inlineStr">
        <is>
          <t>1200390091600</t>
        </is>
      </c>
      <c r="C814" t="inlineStr">
        <is>
          <t>PIN CNC MOD #16 CRIMP AWG16-20 HL103</t>
        </is>
      </c>
      <c r="D814" t="inlineStr">
        <is>
          <t>1800108793</t>
        </is>
      </c>
      <c r="E814" t="inlineStr">
        <is>
          <t>40</t>
        </is>
      </c>
      <c r="F814" s="163" t="n">
        <v>45457</v>
      </c>
      <c r="G814" t="inlineStr"/>
      <c r="H814" t="inlineStr">
        <is>
          <t>4200568826</t>
        </is>
      </c>
      <c r="I814" t="inlineStr">
        <is>
          <t>10</t>
        </is>
      </c>
      <c r="J814" s="163" t="n">
        <v>45471</v>
      </c>
      <c r="K814" s="163" t="n">
        <v>45489</v>
      </c>
      <c r="L814" t="inlineStr">
        <is>
          <t>BORR</t>
        </is>
      </c>
      <c r="M814" s="163" t="n">
        <v>45488</v>
      </c>
      <c r="N814" s="164" t="n">
        <v>35</v>
      </c>
      <c r="O814" s="164" t="n">
        <v>8</v>
      </c>
      <c r="P814" t="inlineStr">
        <is>
          <t>Liberado</t>
        </is>
      </c>
      <c r="Q814" s="165" t="n">
        <v>200</v>
      </c>
      <c r="R814" s="165" t="n">
        <v>200</v>
      </c>
      <c r="S814" s="165" t="n">
        <v>0</v>
      </c>
      <c r="T814" s="165" t="n">
        <v>200</v>
      </c>
      <c r="U814" s="166" t="n">
        <v>0</v>
      </c>
      <c r="V814" s="166" t="n">
        <v>0</v>
      </c>
      <c r="W814" t="inlineStr"/>
      <c r="X814" t="inlineStr">
        <is>
          <t>262.00</t>
        </is>
      </c>
      <c r="Y814" t="inlineStr"/>
      <c r="Z814" t="inlineStr">
        <is>
          <t>PEI GENESISUK LTD</t>
        </is>
      </c>
      <c r="AA814" t="inlineStr">
        <is>
          <t>AMPHENOL AIR-LB</t>
        </is>
      </c>
      <c r="AB814" t="inlineStr">
        <is>
          <t>001104 300 02</t>
        </is>
      </c>
      <c r="AC814" t="inlineStr"/>
      <c r="AD814" s="164" t="n">
        <v>0</v>
      </c>
      <c r="AE814" s="185" t="n">
        <v>0</v>
      </c>
      <c r="AG814" s="167" t="inlineStr">
        <is>
          <t>7218|JA2581_1001</t>
        </is>
      </c>
      <c r="AH814" s="47">
        <f>IF(M814=0,"-",M814-J814)</f>
        <v/>
      </c>
      <c r="AI814" s="46">
        <f>IF(AND(S814=0,M814&gt;0,L814=0),IF(AH814&gt;=120,"VERY HIGH",IF(AH814&gt;=90,"HIGH",IF(AH814&gt;=60,"MEDIUM",IF(AH814&lt;60,"LOW")))),"-")</f>
        <v/>
      </c>
      <c r="AJ814" s="12" t="n"/>
      <c r="AK814" s="53">
        <f>IF(AND(W814="X",M814&lt;=$AJ$2),"YES","")</f>
        <v/>
      </c>
      <c r="AL814" s="54">
        <f>IF(AND(W814="X",M814&lt;=$AJ$2),S814,"")</f>
        <v/>
      </c>
      <c r="AM814" s="35" t="n"/>
      <c r="AN814" s="35">
        <f>IF(AND(W814="X",M814&gt;$AJ$2),S814,"")</f>
        <v/>
      </c>
      <c r="AO814" s="35">
        <f>IF(AND(W814="",M814&gt;0,$AJ$2&gt;M814,L814=""),1,0)</f>
        <v/>
      </c>
      <c r="AP814" s="35">
        <f>IF(AND(AK814="YES",W814="X"),"X","")</f>
        <v/>
      </c>
      <c r="AQ814" s="55">
        <f>IF(AP814="X",100%,0%)</f>
        <v/>
      </c>
      <c r="AR814" s="25">
        <f>IF(AND(T814&gt;0,L814=""),H814,"")</f>
        <v/>
      </c>
      <c r="AS814" s="25">
        <f>IF(AND(D814&gt;0,H814=0,G814=""),1,"")</f>
        <v/>
      </c>
      <c r="AT814" s="25">
        <f>IF(G814="BLOQ",1,"")</f>
        <v/>
      </c>
      <c r="AU814" s="25">
        <f>IF(L814="BLOQ",1,"")</f>
        <v/>
      </c>
      <c r="AV814" s="25">
        <f>MONTH(F814)</f>
        <v/>
      </c>
      <c r="AW814" s="65">
        <f>IF(AP814="",100%,0%)</f>
        <v/>
      </c>
      <c r="AX814" s="56" t="n"/>
      <c r="AY814" s="24">
        <f>IF(M814=0,"",M814-$AX$2)</f>
        <v/>
      </c>
      <c r="AZ814" s="66">
        <f>IF(AND(W814="",AY814&gt;0,AY814&lt;15),1,0)</f>
        <v/>
      </c>
      <c r="BA814" s="24">
        <f>IF(AND(W814="",AY814&gt;0,AY814&lt;15),T814,"")</f>
        <v/>
      </c>
      <c r="BB814" s="87">
        <f>IF(R814&lt;Q814,"X","")</f>
        <v/>
      </c>
      <c r="BC814" s="190" t="inlineStr">
        <is>
          <t>NO</t>
        </is>
      </c>
      <c r="BD814" s="191" t="inlineStr">
        <is>
          <t>SI</t>
        </is>
      </c>
    </row>
    <row r="815" ht="15" customHeight="1" s="162">
      <c r="A815" s="7" t="n">
        <v>814</v>
      </c>
      <c r="B815" t="inlineStr">
        <is>
          <t>1200391070100</t>
        </is>
      </c>
      <c r="C815" t="inlineStr">
        <is>
          <t>ACC PROTECTOR 5 BORN CNC BJT TYP2</t>
        </is>
      </c>
      <c r="D815" t="inlineStr">
        <is>
          <t>1800108793</t>
        </is>
      </c>
      <c r="E815" t="inlineStr">
        <is>
          <t>50</t>
        </is>
      </c>
      <c r="F815" s="163" t="n">
        <v>45457</v>
      </c>
      <c r="G815" t="inlineStr"/>
      <c r="H815" t="inlineStr">
        <is>
          <t>4200572888</t>
        </is>
      </c>
      <c r="I815" t="inlineStr">
        <is>
          <t>10</t>
        </is>
      </c>
      <c r="J815" s="163" t="n">
        <v>45503</v>
      </c>
      <c r="K815" s="163" t="n">
        <v>45503</v>
      </c>
      <c r="L815" t="inlineStr"/>
      <c r="M815" s="163" t="n">
        <v>45597</v>
      </c>
      <c r="N815" s="164" t="n">
        <v>80</v>
      </c>
      <c r="O815" s="164" t="n">
        <v>8</v>
      </c>
      <c r="P815" t="inlineStr">
        <is>
          <t>Liberado</t>
        </is>
      </c>
      <c r="Q815" s="165" t="n">
        <v>6</v>
      </c>
      <c r="R815" s="165" t="n">
        <v>10</v>
      </c>
      <c r="S815" s="165" t="n">
        <v>10</v>
      </c>
      <c r="T815" s="165" t="n">
        <v>0</v>
      </c>
      <c r="U815" s="166" t="n">
        <v>10</v>
      </c>
      <c r="V815" s="166" t="n">
        <v>0</v>
      </c>
      <c r="W815" t="inlineStr">
        <is>
          <t>X</t>
        </is>
      </c>
      <c r="X815" t="inlineStr">
        <is>
          <t>0.00</t>
        </is>
      </c>
      <c r="Y815" t="inlineStr"/>
      <c r="Z815" t="inlineStr">
        <is>
          <t>PEI GENESISUK LTD</t>
        </is>
      </c>
      <c r="AA815" t="inlineStr">
        <is>
          <t>AMPHENOL AIR-LB</t>
        </is>
      </c>
      <c r="AB815" t="inlineStr">
        <is>
          <t>001129 205 39</t>
        </is>
      </c>
      <c r="AC815" t="inlineStr"/>
      <c r="AD815" s="164" t="n">
        <v>0</v>
      </c>
      <c r="AE815" s="185" t="n">
        <v>0</v>
      </c>
      <c r="AG815" s="167" t="inlineStr">
        <is>
          <t>7218|JA2581_1001</t>
        </is>
      </c>
      <c r="AH815" s="47">
        <f>IF(M815=0,"-",M815-J815)</f>
        <v/>
      </c>
      <c r="AI815" s="46">
        <f>IF(AND(S815=0,M815&gt;0,L815=0),IF(AH815&gt;=120,"VERY HIGH",IF(AH815&gt;=90,"HIGH",IF(AH815&gt;=60,"MEDIUM",IF(AH815&lt;60,"LOW")))),"-")</f>
        <v/>
      </c>
      <c r="AJ815" s="12" t="n"/>
      <c r="AK815" s="53">
        <f>IF(AND(W815="X",M815&lt;=$AJ$2),"YES","")</f>
        <v/>
      </c>
      <c r="AL815" s="54">
        <f>IF(AND(W815="X",M815&lt;=$AJ$2),S815,"")</f>
        <v/>
      </c>
      <c r="AM815" s="35" t="n"/>
      <c r="AN815" s="35">
        <f>IF(AND(W815="X",M815&gt;$AJ$2),S815,"")</f>
        <v/>
      </c>
      <c r="AO815" s="35">
        <f>IF(AND(W815="",M815&gt;0,$AJ$2&gt;M815,L815=""),1,0)</f>
        <v/>
      </c>
      <c r="AP815" s="35">
        <f>IF(AND(AK815="YES",W815="X"),"X","")</f>
        <v/>
      </c>
      <c r="AQ815" s="55">
        <f>IF(AP815="X",100%,0%)</f>
        <v/>
      </c>
      <c r="AR815" s="25">
        <f>IF(AND(T815&gt;0,L815=""),H815,"")</f>
        <v/>
      </c>
      <c r="AS815" s="25">
        <f>IF(AND(D815&gt;0,H815=0,G815=""),1,"")</f>
        <v/>
      </c>
      <c r="AT815" s="25">
        <f>IF(G815="BLOQ",1,"")</f>
        <v/>
      </c>
      <c r="AU815" s="25">
        <f>IF(L815="BLOQ",1,"")</f>
        <v/>
      </c>
      <c r="AV815" s="25">
        <f>MONTH(F815)</f>
        <v/>
      </c>
      <c r="AW815" s="65">
        <f>IF(AP815="",100%,0%)</f>
        <v/>
      </c>
      <c r="AX815" s="56" t="n"/>
      <c r="AY815" s="24">
        <f>IF(M815=0,"",M815-$AX$2)</f>
        <v/>
      </c>
      <c r="AZ815" s="66">
        <f>IF(AND(W815="",AY815&gt;0,AY815&lt;15),1,0)</f>
        <v/>
      </c>
      <c r="BA815" s="24">
        <f>IF(AND(W815="",AY815&gt;0,AY815&lt;15),T815,"")</f>
        <v/>
      </c>
      <c r="BB815" s="87">
        <f>IF(R815&lt;Q815,"X","")</f>
        <v/>
      </c>
      <c r="BC815" s="190" t="inlineStr">
        <is>
          <t>NO</t>
        </is>
      </c>
      <c r="BD815" s="191" t="inlineStr">
        <is>
          <t>SI</t>
        </is>
      </c>
    </row>
    <row r="816" ht="15" customHeight="1" s="162">
      <c r="A816" s="7" t="n">
        <v>815</v>
      </c>
      <c r="B816" t="inlineStr">
        <is>
          <t>1200391070100</t>
        </is>
      </c>
      <c r="C816" t="inlineStr">
        <is>
          <t>ACC PROTECTOR 5 BORN CNC BJT TYP2</t>
        </is>
      </c>
      <c r="D816" t="inlineStr">
        <is>
          <t>1800108793</t>
        </is>
      </c>
      <c r="E816" t="inlineStr">
        <is>
          <t>50</t>
        </is>
      </c>
      <c r="F816" s="163" t="n">
        <v>45457</v>
      </c>
      <c r="G816" t="inlineStr"/>
      <c r="H816" t="inlineStr">
        <is>
          <t>4200572876</t>
        </is>
      </c>
      <c r="I816" t="inlineStr">
        <is>
          <t>80</t>
        </is>
      </c>
      <c r="J816" s="163" t="n">
        <v>45503</v>
      </c>
      <c r="K816" s="163" t="n">
        <v>45572</v>
      </c>
      <c r="L816" t="inlineStr">
        <is>
          <t>BORR</t>
        </is>
      </c>
      <c r="M816" s="163" t="n">
        <v>45611</v>
      </c>
      <c r="N816" s="164" t="n">
        <v>80</v>
      </c>
      <c r="O816" s="164" t="n">
        <v>8</v>
      </c>
      <c r="P816" t="inlineStr">
        <is>
          <t>Liberado</t>
        </is>
      </c>
      <c r="Q816" s="165" t="n">
        <v>6</v>
      </c>
      <c r="R816" s="165" t="n">
        <v>10</v>
      </c>
      <c r="S816" s="165" t="n">
        <v>0</v>
      </c>
      <c r="T816" s="165" t="n">
        <v>10</v>
      </c>
      <c r="U816" s="166" t="n">
        <v>0</v>
      </c>
      <c r="V816" s="166" t="n">
        <v>0</v>
      </c>
      <c r="W816" t="inlineStr"/>
      <c r="X816" t="inlineStr">
        <is>
          <t>311.00</t>
        </is>
      </c>
      <c r="Y816" t="inlineStr"/>
      <c r="Z816" t="inlineStr">
        <is>
          <t>SUMINISTROS CONECTORES PROF.,SA.</t>
        </is>
      </c>
      <c r="AA816" t="inlineStr">
        <is>
          <t>AMPHENOL AIR-LB</t>
        </is>
      </c>
      <c r="AB816" t="inlineStr">
        <is>
          <t>001129 205 39</t>
        </is>
      </c>
      <c r="AC816" t="inlineStr"/>
      <c r="AD816" s="164" t="n">
        <v>1</v>
      </c>
      <c r="AE816" s="185" t="n">
        <v>1</v>
      </c>
      <c r="AG816" s="167" t="inlineStr">
        <is>
          <t>7218|JA2581_1001</t>
        </is>
      </c>
      <c r="AH816" s="47">
        <f>IF(M816=0,"-",M816-J816)</f>
        <v/>
      </c>
      <c r="AI816" s="46">
        <f>IF(AND(S816=0,M816&gt;0,L816=0),IF(AH816&gt;=120,"VERY HIGH",IF(AH816&gt;=90,"HIGH",IF(AH816&gt;=60,"MEDIUM",IF(AH816&lt;60,"LOW")))),"-")</f>
        <v/>
      </c>
      <c r="AJ816" s="12" t="n"/>
      <c r="AK816" s="53">
        <f>IF(AND(W816="X",M816&lt;=$AJ$2),"YES","")</f>
        <v/>
      </c>
      <c r="AL816" s="54">
        <f>IF(AND(W816="X",M816&lt;=$AJ$2),S816,"")</f>
        <v/>
      </c>
      <c r="AM816" s="35" t="n"/>
      <c r="AN816" s="35">
        <f>IF(AND(W816="X",M816&gt;$AJ$2),S816,"")</f>
        <v/>
      </c>
      <c r="AO816" s="35">
        <f>IF(AND(W816="",M816&gt;0,$AJ$2&gt;M816,L816=""),1,0)</f>
        <v/>
      </c>
      <c r="AP816" s="35">
        <f>IF(AND(AK816="YES",W816="X"),"X","")</f>
        <v/>
      </c>
      <c r="AQ816" s="55">
        <f>IF(AP816="X",100%,0%)</f>
        <v/>
      </c>
      <c r="AR816" s="25">
        <f>IF(AND(T816&gt;0,L816=""),H816,"")</f>
        <v/>
      </c>
      <c r="AS816" s="25">
        <f>IF(AND(D816&gt;0,H816=0,G816=""),1,"")</f>
        <v/>
      </c>
      <c r="AT816" s="25">
        <f>IF(G816="BLOQ",1,"")</f>
        <v/>
      </c>
      <c r="AU816" s="25">
        <f>IF(L816="BLOQ",1,"")</f>
        <v/>
      </c>
      <c r="AV816" s="25">
        <f>MONTH(F816)</f>
        <v/>
      </c>
      <c r="AW816" s="65">
        <f>IF(AP816="",100%,0%)</f>
        <v/>
      </c>
      <c r="AX816" s="56" t="n"/>
      <c r="AY816" s="24">
        <f>IF(M816=0,"",M816-$AX$2)</f>
        <v/>
      </c>
      <c r="AZ816" s="66">
        <f>IF(AND(W816="",AY816&gt;0,AY816&lt;15),1,0)</f>
        <v/>
      </c>
      <c r="BA816" s="24">
        <f>IF(AND(W816="",AY816&gt;0,AY816&lt;15),T816,"")</f>
        <v/>
      </c>
      <c r="BB816" s="87">
        <f>IF(R816&lt;Q816,"X","")</f>
        <v/>
      </c>
      <c r="BC816" s="190" t="inlineStr">
        <is>
          <t>NO</t>
        </is>
      </c>
      <c r="BD816" s="191" t="inlineStr">
        <is>
          <t>SI</t>
        </is>
      </c>
    </row>
    <row r="817" ht="15" customHeight="1" s="162">
      <c r="A817" s="7" t="n">
        <v>816</v>
      </c>
      <c r="B817" t="inlineStr">
        <is>
          <t>1200394000101</t>
        </is>
      </c>
      <c r="C817" t="inlineStr">
        <is>
          <t>TOPE RETENC IZQUIERDO CNC MOD HL103/104</t>
        </is>
      </c>
      <c r="D817" t="inlineStr">
        <is>
          <t>1800108793</t>
        </is>
      </c>
      <c r="E817" t="inlineStr">
        <is>
          <t>60</t>
        </is>
      </c>
      <c r="F817" s="163" t="n">
        <v>45457</v>
      </c>
      <c r="G817" t="inlineStr"/>
      <c r="H817" t="inlineStr">
        <is>
          <t>4200572888</t>
        </is>
      </c>
      <c r="I817" t="inlineStr">
        <is>
          <t>20</t>
        </is>
      </c>
      <c r="J817" s="163" t="n">
        <v>45503</v>
      </c>
      <c r="K817" s="163" t="n">
        <v>45503</v>
      </c>
      <c r="L817" t="inlineStr"/>
      <c r="M817" s="163" t="n">
        <v>45530</v>
      </c>
      <c r="N817" s="164" t="n">
        <v>80</v>
      </c>
      <c r="O817" s="164" t="n">
        <v>8</v>
      </c>
      <c r="P817" t="inlineStr">
        <is>
          <t>Liberado</t>
        </is>
      </c>
      <c r="Q817" s="165" t="n">
        <v>6</v>
      </c>
      <c r="R817" s="165" t="n">
        <v>10</v>
      </c>
      <c r="S817" s="165" t="n">
        <v>10</v>
      </c>
      <c r="T817" s="165" t="n">
        <v>0</v>
      </c>
      <c r="U817" s="166" t="n">
        <v>10</v>
      </c>
      <c r="V817" s="166" t="n">
        <v>0</v>
      </c>
      <c r="W817" t="inlineStr">
        <is>
          <t>X</t>
        </is>
      </c>
      <c r="X817" t="inlineStr">
        <is>
          <t>0.00</t>
        </is>
      </c>
      <c r="Y817" t="inlineStr"/>
      <c r="Z817" t="inlineStr">
        <is>
          <t>PEI GENESISUK LTD</t>
        </is>
      </c>
      <c r="AA817" t="inlineStr">
        <is>
          <t>AMPHENOL AIR-LB</t>
        </is>
      </c>
      <c r="AB817" t="inlineStr">
        <is>
          <t>001102 007 60</t>
        </is>
      </c>
      <c r="AC817" t="inlineStr"/>
      <c r="AD817" s="164" t="n">
        <v>0</v>
      </c>
      <c r="AE817" s="185" t="n">
        <v>0</v>
      </c>
      <c r="AG817" s="167" t="inlineStr">
        <is>
          <t>7218|JA2581_1001</t>
        </is>
      </c>
      <c r="AH817" s="47">
        <f>IF(M817=0,"-",M817-J817)</f>
        <v/>
      </c>
      <c r="AI817" s="46">
        <f>IF(AND(S817=0,M817&gt;0,L817=0),IF(AH817&gt;=120,"VERY HIGH",IF(AH817&gt;=90,"HIGH",IF(AH817&gt;=60,"MEDIUM",IF(AH817&lt;60,"LOW")))),"-")</f>
        <v/>
      </c>
      <c r="AJ817" s="12" t="n"/>
      <c r="AK817" s="53">
        <f>IF(AND(W817="X",M817&lt;=$AJ$2),"YES","")</f>
        <v/>
      </c>
      <c r="AL817" s="54">
        <f>IF(AND(W817="X",M817&lt;=$AJ$2),S817,"")</f>
        <v/>
      </c>
      <c r="AM817" s="35" t="n"/>
      <c r="AN817" s="35">
        <f>IF(AND(W817="X",M817&gt;$AJ$2),S817,"")</f>
        <v/>
      </c>
      <c r="AO817" s="35">
        <f>IF(AND(W817="",M817&gt;0,$AJ$2&gt;M817,L817=""),1,0)</f>
        <v/>
      </c>
      <c r="AP817" s="35">
        <f>IF(AND(AK817="YES",W817="X"),"X","")</f>
        <v/>
      </c>
      <c r="AQ817" s="55">
        <f>IF(AP817="X",100%,0%)</f>
        <v/>
      </c>
      <c r="AR817" s="25">
        <f>IF(AND(T817&gt;0,L817=""),H817,"")</f>
        <v/>
      </c>
      <c r="AS817" s="25">
        <f>IF(AND(D817&gt;0,H817=0,G817=""),1,"")</f>
        <v/>
      </c>
      <c r="AT817" s="25">
        <f>IF(G817="BLOQ",1,"")</f>
        <v/>
      </c>
      <c r="AU817" s="25">
        <f>IF(L817="BLOQ",1,"")</f>
        <v/>
      </c>
      <c r="AV817" s="25">
        <f>MONTH(F817)</f>
        <v/>
      </c>
      <c r="AW817" s="65">
        <f>IF(AP817="",100%,0%)</f>
        <v/>
      </c>
      <c r="AX817" s="56" t="n"/>
      <c r="AY817" s="24">
        <f>IF(M817=0,"",M817-$AX$2)</f>
        <v/>
      </c>
      <c r="AZ817" s="66">
        <f>IF(AND(W817="",AY817&gt;0,AY817&lt;15),1,0)</f>
        <v/>
      </c>
      <c r="BA817" s="24">
        <f>IF(AND(W817="",AY817&gt;0,AY817&lt;15),T817,"")</f>
        <v/>
      </c>
      <c r="BB817" s="87">
        <f>IF(R817&lt;Q817,"X","")</f>
        <v/>
      </c>
      <c r="BC817" s="190" t="inlineStr">
        <is>
          <t>NO</t>
        </is>
      </c>
      <c r="BD817" s="191" t="inlineStr">
        <is>
          <t>SI</t>
        </is>
      </c>
    </row>
    <row r="818" ht="15" customHeight="1" s="162">
      <c r="A818" s="7" t="n">
        <v>817</v>
      </c>
      <c r="B818" t="inlineStr">
        <is>
          <t>1200394000101</t>
        </is>
      </c>
      <c r="C818" t="inlineStr">
        <is>
          <t>TOPE RETENC IZQUIERDO CNC MOD HL103/104</t>
        </is>
      </c>
      <c r="D818" t="inlineStr">
        <is>
          <t>1800108793</t>
        </is>
      </c>
      <c r="E818" t="inlineStr">
        <is>
          <t>60</t>
        </is>
      </c>
      <c r="F818" s="163" t="n">
        <v>45457</v>
      </c>
      <c r="G818" t="inlineStr"/>
      <c r="H818" t="inlineStr">
        <is>
          <t>4200572876</t>
        </is>
      </c>
      <c r="I818" t="inlineStr">
        <is>
          <t>90</t>
        </is>
      </c>
      <c r="J818" s="163" t="n">
        <v>45503</v>
      </c>
      <c r="K818" s="163" t="n">
        <v>45572</v>
      </c>
      <c r="L818" t="inlineStr">
        <is>
          <t>BORR</t>
        </is>
      </c>
      <c r="M818" s="163" t="n">
        <v>45611</v>
      </c>
      <c r="N818" s="164" t="n">
        <v>80</v>
      </c>
      <c r="O818" s="164" t="n">
        <v>8</v>
      </c>
      <c r="P818" t="inlineStr">
        <is>
          <t>Liberado</t>
        </is>
      </c>
      <c r="Q818" s="165" t="n">
        <v>6</v>
      </c>
      <c r="R818" s="165" t="n">
        <v>100</v>
      </c>
      <c r="S818" s="165" t="n">
        <v>0</v>
      </c>
      <c r="T818" s="165" t="n">
        <v>100</v>
      </c>
      <c r="U818" s="166" t="n">
        <v>0</v>
      </c>
      <c r="V818" s="166" t="n">
        <v>0</v>
      </c>
      <c r="W818" t="inlineStr"/>
      <c r="X818" t="inlineStr">
        <is>
          <t>1530.00</t>
        </is>
      </c>
      <c r="Y818" t="inlineStr"/>
      <c r="Z818" t="inlineStr">
        <is>
          <t>SUMINISTROS CONECTORES PROF.,SA.</t>
        </is>
      </c>
      <c r="AA818" t="inlineStr">
        <is>
          <t>AMPHENOL AIR-LB</t>
        </is>
      </c>
      <c r="AB818" t="inlineStr">
        <is>
          <t>001102 007 60</t>
        </is>
      </c>
      <c r="AC818" t="inlineStr"/>
      <c r="AD818" s="164" t="n">
        <v>1</v>
      </c>
      <c r="AE818" s="185" t="n">
        <v>1</v>
      </c>
      <c r="AG818" s="167" t="inlineStr">
        <is>
          <t>7218|JA2581_1001</t>
        </is>
      </c>
      <c r="AH818" s="47">
        <f>IF(M818=0,"-",M818-J818)</f>
        <v/>
      </c>
      <c r="AI818" s="46">
        <f>IF(AND(S818=0,M818&gt;0,L818=0),IF(AH818&gt;=120,"VERY HIGH",IF(AH818&gt;=90,"HIGH",IF(AH818&gt;=60,"MEDIUM",IF(AH818&lt;60,"LOW")))),"-")</f>
        <v/>
      </c>
      <c r="AJ818" s="12" t="n"/>
      <c r="AK818" s="53">
        <f>IF(AND(W818="X",M818&lt;=$AJ$2),"YES","")</f>
        <v/>
      </c>
      <c r="AL818" s="54">
        <f>IF(AND(W818="X",M818&lt;=$AJ$2),S818,"")</f>
        <v/>
      </c>
      <c r="AM818" s="35" t="n"/>
      <c r="AN818" s="35">
        <f>IF(AND(W818="X",M818&gt;$AJ$2),S818,"")</f>
        <v/>
      </c>
      <c r="AO818" s="35">
        <f>IF(AND(W818="",M818&gt;0,$AJ$2&gt;M818,L818=""),1,0)</f>
        <v/>
      </c>
      <c r="AP818" s="35">
        <f>IF(AND(AK818="YES",W818="X"),"X","")</f>
        <v/>
      </c>
      <c r="AQ818" s="55">
        <f>IF(AP818="X",100%,0%)</f>
        <v/>
      </c>
      <c r="AR818" s="25">
        <f>IF(AND(T818&gt;0,L818=""),H818,"")</f>
        <v/>
      </c>
      <c r="AS818" s="25">
        <f>IF(AND(D818&gt;0,H818=0,G818=""),1,"")</f>
        <v/>
      </c>
      <c r="AT818" s="25">
        <f>IF(G818="BLOQ",1,"")</f>
        <v/>
      </c>
      <c r="AU818" s="25">
        <f>IF(L818="BLOQ",1,"")</f>
        <v/>
      </c>
      <c r="AV818" s="25">
        <f>MONTH(F818)</f>
        <v/>
      </c>
      <c r="AW818" s="65">
        <f>IF(AP818="",100%,0%)</f>
        <v/>
      </c>
      <c r="AX818" s="56" t="n"/>
      <c r="AY818" s="24">
        <f>IF(M818=0,"",M818-$AX$2)</f>
        <v/>
      </c>
      <c r="AZ818" s="66">
        <f>IF(AND(W818="",AY818&gt;0,AY818&lt;15),1,0)</f>
        <v/>
      </c>
      <c r="BA818" s="24">
        <f>IF(AND(W818="",AY818&gt;0,AY818&lt;15),T818,"")</f>
        <v/>
      </c>
      <c r="BB818" s="87">
        <f>IF(R818&lt;Q818,"X","")</f>
        <v/>
      </c>
      <c r="BC818" s="190" t="inlineStr">
        <is>
          <t>NO</t>
        </is>
      </c>
      <c r="BD818" s="191" t="inlineStr">
        <is>
          <t>SI</t>
        </is>
      </c>
    </row>
    <row r="819" ht="15" customHeight="1" s="162">
      <c r="A819" s="7" t="n">
        <v>818</v>
      </c>
      <c r="B819" t="inlineStr">
        <is>
          <t>1200394000102</t>
        </is>
      </c>
      <c r="C819" t="inlineStr">
        <is>
          <t>TOPE RETENC DERECHO CNC MOD HL103/104</t>
        </is>
      </c>
      <c r="D819" t="inlineStr">
        <is>
          <t>1800108793</t>
        </is>
      </c>
      <c r="E819" t="inlineStr">
        <is>
          <t>70</t>
        </is>
      </c>
      <c r="F819" s="163" t="n">
        <v>45457</v>
      </c>
      <c r="G819" t="inlineStr"/>
      <c r="H819" t="inlineStr">
        <is>
          <t>4200572888</t>
        </is>
      </c>
      <c r="I819" t="inlineStr">
        <is>
          <t>30</t>
        </is>
      </c>
      <c r="J819" s="163" t="n">
        <v>45503</v>
      </c>
      <c r="K819" s="163" t="n">
        <v>45503</v>
      </c>
      <c r="L819" t="inlineStr"/>
      <c r="M819" s="163" t="n">
        <v>45530</v>
      </c>
      <c r="N819" s="164" t="n">
        <v>80</v>
      </c>
      <c r="O819" s="164" t="n">
        <v>8</v>
      </c>
      <c r="P819" t="inlineStr">
        <is>
          <t>Liberado</t>
        </is>
      </c>
      <c r="Q819" s="165" t="n">
        <v>6</v>
      </c>
      <c r="R819" s="165" t="n">
        <v>10</v>
      </c>
      <c r="S819" s="165" t="n">
        <v>10</v>
      </c>
      <c r="T819" s="165" t="n">
        <v>0</v>
      </c>
      <c r="U819" s="166" t="n">
        <v>10</v>
      </c>
      <c r="V819" s="166" t="n">
        <v>0</v>
      </c>
      <c r="W819" t="inlineStr">
        <is>
          <t>X</t>
        </is>
      </c>
      <c r="X819" t="inlineStr">
        <is>
          <t>0.00</t>
        </is>
      </c>
      <c r="Y819" t="inlineStr"/>
      <c r="Z819" t="inlineStr">
        <is>
          <t>PEI GENESISUK LTD</t>
        </is>
      </c>
      <c r="AA819" t="inlineStr">
        <is>
          <t>AMPHENOL AIR-LB</t>
        </is>
      </c>
      <c r="AB819" t="inlineStr">
        <is>
          <t>001102 004 60</t>
        </is>
      </c>
      <c r="AC819" t="inlineStr"/>
      <c r="AD819" s="164" t="n">
        <v>0</v>
      </c>
      <c r="AE819" s="185" t="n">
        <v>0</v>
      </c>
      <c r="AG819" s="167" t="inlineStr">
        <is>
          <t>7218|JA2581_1001</t>
        </is>
      </c>
      <c r="AH819" s="47">
        <f>IF(M819=0,"-",M819-J819)</f>
        <v/>
      </c>
      <c r="AI819" s="46">
        <f>IF(AND(S819=0,M819&gt;0,L819=0),IF(AH819&gt;=120,"VERY HIGH",IF(AH819&gt;=90,"HIGH",IF(AH819&gt;=60,"MEDIUM",IF(AH819&lt;60,"LOW")))),"-")</f>
        <v/>
      </c>
      <c r="AJ819" s="12" t="n"/>
      <c r="AK819" s="53">
        <f>IF(AND(W819="X",M819&lt;=$AJ$2),"YES","")</f>
        <v/>
      </c>
      <c r="AL819" s="54">
        <f>IF(AND(W819="X",M819&lt;=$AJ$2),S819,"")</f>
        <v/>
      </c>
      <c r="AM819" s="35" t="n"/>
      <c r="AN819" s="35">
        <f>IF(AND(W819="X",M819&gt;$AJ$2),S819,"")</f>
        <v/>
      </c>
      <c r="AO819" s="35">
        <f>IF(AND(W819="",M819&gt;0,$AJ$2&gt;M819,L819=""),1,0)</f>
        <v/>
      </c>
      <c r="AP819" s="35">
        <f>IF(AND(AK819="YES",W819="X"),"X","")</f>
        <v/>
      </c>
      <c r="AQ819" s="55">
        <f>IF(AP819="X",100%,0%)</f>
        <v/>
      </c>
      <c r="AR819" s="25">
        <f>IF(AND(T819&gt;0,L819=""),H819,"")</f>
        <v/>
      </c>
      <c r="AS819" s="25">
        <f>IF(AND(D819&gt;0,H819=0,G819=""),1,"")</f>
        <v/>
      </c>
      <c r="AT819" s="25">
        <f>IF(G819="BLOQ",1,"")</f>
        <v/>
      </c>
      <c r="AU819" s="25">
        <f>IF(L819="BLOQ",1,"")</f>
        <v/>
      </c>
      <c r="AV819" s="25">
        <f>MONTH(F819)</f>
        <v/>
      </c>
      <c r="AW819" s="65">
        <f>IF(AP819="",100%,0%)</f>
        <v/>
      </c>
      <c r="AX819" s="56" t="n"/>
      <c r="AY819" s="24">
        <f>IF(M819=0,"",M819-$AX$2)</f>
        <v/>
      </c>
      <c r="AZ819" s="66">
        <f>IF(AND(W819="",AY819&gt;0,AY819&lt;15),1,0)</f>
        <v/>
      </c>
      <c r="BA819" s="24">
        <f>IF(AND(W819="",AY819&gt;0,AY819&lt;15),T819,"")</f>
        <v/>
      </c>
      <c r="BB819" s="87">
        <f>IF(R819&lt;Q819,"X","")</f>
        <v/>
      </c>
      <c r="BC819" s="190" t="inlineStr">
        <is>
          <t>NO</t>
        </is>
      </c>
      <c r="BD819" s="191" t="inlineStr">
        <is>
          <t>SI</t>
        </is>
      </c>
    </row>
    <row r="820" ht="15" customHeight="1" s="162">
      <c r="A820" s="7" t="n">
        <v>819</v>
      </c>
      <c r="B820" t="inlineStr">
        <is>
          <t>1200394000102</t>
        </is>
      </c>
      <c r="C820" t="inlineStr">
        <is>
          <t>TOPE RETENC DERECHO CNC MOD HL103/104</t>
        </is>
      </c>
      <c r="D820" t="inlineStr">
        <is>
          <t>1800108793</t>
        </is>
      </c>
      <c r="E820" t="inlineStr">
        <is>
          <t>70</t>
        </is>
      </c>
      <c r="F820" s="163" t="n">
        <v>45457</v>
      </c>
      <c r="G820" t="inlineStr"/>
      <c r="H820" t="inlineStr">
        <is>
          <t>4200572876</t>
        </is>
      </c>
      <c r="I820" t="inlineStr">
        <is>
          <t>100</t>
        </is>
      </c>
      <c r="J820" s="163" t="n">
        <v>45503</v>
      </c>
      <c r="K820" s="163" t="n">
        <v>45572</v>
      </c>
      <c r="L820" t="inlineStr">
        <is>
          <t>BORR</t>
        </is>
      </c>
      <c r="M820" s="163" t="n">
        <v>45611</v>
      </c>
      <c r="N820" s="164" t="n">
        <v>80</v>
      </c>
      <c r="O820" s="164" t="n">
        <v>8</v>
      </c>
      <c r="P820" t="inlineStr">
        <is>
          <t>Liberado</t>
        </is>
      </c>
      <c r="Q820" s="165" t="n">
        <v>6</v>
      </c>
      <c r="R820" s="165" t="n">
        <v>100</v>
      </c>
      <c r="S820" s="165" t="n">
        <v>0</v>
      </c>
      <c r="T820" s="165" t="n">
        <v>100</v>
      </c>
      <c r="U820" s="166" t="n">
        <v>0</v>
      </c>
      <c r="V820" s="166" t="n">
        <v>0</v>
      </c>
      <c r="W820" t="inlineStr"/>
      <c r="X820" t="inlineStr">
        <is>
          <t>1529.00</t>
        </is>
      </c>
      <c r="Y820" t="inlineStr"/>
      <c r="Z820" t="inlineStr">
        <is>
          <t>SUMINISTROS CONECTORES PROF.,SA.</t>
        </is>
      </c>
      <c r="AA820" t="inlineStr">
        <is>
          <t>AMPHENOL AIR-LB</t>
        </is>
      </c>
      <c r="AB820" t="inlineStr">
        <is>
          <t>001102 004 60</t>
        </is>
      </c>
      <c r="AC820" t="inlineStr"/>
      <c r="AD820" s="164" t="n">
        <v>1</v>
      </c>
      <c r="AE820" s="185" t="n">
        <v>1</v>
      </c>
      <c r="AG820" s="167" t="inlineStr">
        <is>
          <t>7218|JA2581_1001</t>
        </is>
      </c>
      <c r="AH820" s="47">
        <f>IF(M820=0,"-",M820-J820)</f>
        <v/>
      </c>
      <c r="AI820" s="46">
        <f>IF(AND(S820=0,M820&gt;0,L820=0),IF(AH820&gt;=120,"VERY HIGH",IF(AH820&gt;=90,"HIGH",IF(AH820&gt;=60,"MEDIUM",IF(AH820&lt;60,"LOW")))),"-")</f>
        <v/>
      </c>
      <c r="AJ820" s="12" t="n"/>
      <c r="AK820" s="53">
        <f>IF(AND(W820="X",M820&lt;=$AJ$2),"YES","")</f>
        <v/>
      </c>
      <c r="AL820" s="54">
        <f>IF(AND(W820="X",M820&lt;=$AJ$2),S820,"")</f>
        <v/>
      </c>
      <c r="AM820" s="35" t="n"/>
      <c r="AN820" s="35">
        <f>IF(AND(W820="X",M820&gt;$AJ$2),S820,"")</f>
        <v/>
      </c>
      <c r="AO820" s="35">
        <f>IF(AND(W820="",M820&gt;0,$AJ$2&gt;M820,L820=""),1,0)</f>
        <v/>
      </c>
      <c r="AP820" s="35">
        <f>IF(AND(AK820="YES",W820="X"),"X","")</f>
        <v/>
      </c>
      <c r="AQ820" s="55">
        <f>IF(AP820="X",100%,0%)</f>
        <v/>
      </c>
      <c r="AR820" s="25">
        <f>IF(AND(T820&gt;0,L820=""),H820,"")</f>
        <v/>
      </c>
      <c r="AS820" s="25">
        <f>IF(AND(D820&gt;0,H820=0,G820=""),1,"")</f>
        <v/>
      </c>
      <c r="AT820" s="25">
        <f>IF(G820="BLOQ",1,"")</f>
        <v/>
      </c>
      <c r="AU820" s="25">
        <f>IF(L820="BLOQ",1,"")</f>
        <v/>
      </c>
      <c r="AV820" s="25">
        <f>MONTH(F820)</f>
        <v/>
      </c>
      <c r="AW820" s="65">
        <f>IF(AP820="",100%,0%)</f>
        <v/>
      </c>
      <c r="AX820" s="56" t="n"/>
      <c r="AY820" s="24">
        <f>IF(M820=0,"",M820-$AX$2)</f>
        <v/>
      </c>
      <c r="AZ820" s="66">
        <f>IF(AND(W820="",AY820&gt;0,AY820&lt;15),1,0)</f>
        <v/>
      </c>
      <c r="BA820" s="24">
        <f>IF(AND(W820="",AY820&gt;0,AY820&lt;15),T820,"")</f>
        <v/>
      </c>
      <c r="BB820" s="87">
        <f>IF(R820&lt;Q820,"X","")</f>
        <v/>
      </c>
      <c r="BC820" s="190" t="inlineStr">
        <is>
          <t>NO</t>
        </is>
      </c>
      <c r="BD820" s="191" t="inlineStr">
        <is>
          <t>SI</t>
        </is>
      </c>
    </row>
    <row r="821" ht="15" customHeight="1" s="162">
      <c r="A821" s="7" t="n">
        <v>820</v>
      </c>
      <c r="B821" t="inlineStr">
        <is>
          <t>1200394000103</t>
        </is>
      </c>
      <c r="C821" t="inlineStr">
        <is>
          <t>SEPARADOR MTJE MODULO BJT PTFE</t>
        </is>
      </c>
      <c r="D821" t="inlineStr">
        <is>
          <t>1800108793</t>
        </is>
      </c>
      <c r="E821" t="inlineStr">
        <is>
          <t>80</t>
        </is>
      </c>
      <c r="F821" s="163" t="n">
        <v>45457</v>
      </c>
      <c r="G821" t="inlineStr"/>
      <c r="H821" t="inlineStr">
        <is>
          <t>4200572888</t>
        </is>
      </c>
      <c r="I821" t="inlineStr">
        <is>
          <t>40</t>
        </is>
      </c>
      <c r="J821" s="163" t="n">
        <v>45503</v>
      </c>
      <c r="K821" s="163" t="n">
        <v>45503</v>
      </c>
      <c r="L821" t="inlineStr"/>
      <c r="M821" s="163" t="n">
        <v>45530</v>
      </c>
      <c r="N821" s="164" t="n">
        <v>80</v>
      </c>
      <c r="O821" s="164" t="n">
        <v>8</v>
      </c>
      <c r="P821" t="inlineStr">
        <is>
          <t>Liberado</t>
        </is>
      </c>
      <c r="Q821" s="165" t="n">
        <v>10</v>
      </c>
      <c r="R821" s="165" t="n">
        <v>10</v>
      </c>
      <c r="S821" s="165" t="n">
        <v>10</v>
      </c>
      <c r="T821" s="165" t="n">
        <v>0</v>
      </c>
      <c r="U821" s="166" t="n">
        <v>10</v>
      </c>
      <c r="V821" s="166" t="n">
        <v>0</v>
      </c>
      <c r="W821" t="inlineStr">
        <is>
          <t>X</t>
        </is>
      </c>
      <c r="X821" t="inlineStr">
        <is>
          <t>0.00</t>
        </is>
      </c>
      <c r="Y821" t="inlineStr"/>
      <c r="Z821" t="inlineStr">
        <is>
          <t>PEI GENESISUK LTD</t>
        </is>
      </c>
      <c r="AA821" t="inlineStr">
        <is>
          <t>AMPHENOL AIR-LB</t>
        </is>
      </c>
      <c r="AB821" t="inlineStr">
        <is>
          <t>001126 000 39</t>
        </is>
      </c>
      <c r="AC821" t="inlineStr"/>
      <c r="AD821" s="164" t="n">
        <v>0</v>
      </c>
      <c r="AE821" s="185" t="n">
        <v>0</v>
      </c>
      <c r="AG821" s="167" t="inlineStr">
        <is>
          <t>7218|JA2581_1001</t>
        </is>
      </c>
      <c r="AH821" s="47">
        <f>IF(M821=0,"-",M821-J821)</f>
        <v/>
      </c>
      <c r="AI821" s="46">
        <f>IF(AND(S821=0,M821&gt;0,L821=0),IF(AH821&gt;=120,"VERY HIGH",IF(AH821&gt;=90,"HIGH",IF(AH821&gt;=60,"MEDIUM",IF(AH821&lt;60,"LOW")))),"-")</f>
        <v/>
      </c>
      <c r="AJ821" s="12" t="n"/>
      <c r="AK821" s="53">
        <f>IF(AND(W821="X",M821&lt;=$AJ$2),"YES","")</f>
        <v/>
      </c>
      <c r="AL821" s="54">
        <f>IF(AND(W821="X",M821&lt;=$AJ$2),S821,"")</f>
        <v/>
      </c>
      <c r="AM821" s="35" t="n"/>
      <c r="AN821" s="35">
        <f>IF(AND(W821="X",M821&gt;$AJ$2),S821,"")</f>
        <v/>
      </c>
      <c r="AO821" s="35">
        <f>IF(AND(W821="",M821&gt;0,$AJ$2&gt;M821,L821=""),1,0)</f>
        <v/>
      </c>
      <c r="AP821" s="35">
        <f>IF(AND(AK821="YES",W821="X"),"X","")</f>
        <v/>
      </c>
      <c r="AQ821" s="55">
        <f>IF(AP821="X",100%,0%)</f>
        <v/>
      </c>
      <c r="AR821" s="25">
        <f>IF(AND(T821&gt;0,L821=""),H821,"")</f>
        <v/>
      </c>
      <c r="AS821" s="25">
        <f>IF(AND(D821&gt;0,H821=0,G821=""),1,"")</f>
        <v/>
      </c>
      <c r="AT821" s="25">
        <f>IF(G821="BLOQ",1,"")</f>
        <v/>
      </c>
      <c r="AU821" s="25">
        <f>IF(L821="BLOQ",1,"")</f>
        <v/>
      </c>
      <c r="AV821" s="25">
        <f>MONTH(F821)</f>
        <v/>
      </c>
      <c r="AW821" s="65">
        <f>IF(AP821="",100%,0%)</f>
        <v/>
      </c>
      <c r="AX821" s="56" t="n"/>
      <c r="AY821" s="24">
        <f>IF(M821=0,"",M821-$AX$2)</f>
        <v/>
      </c>
      <c r="AZ821" s="66">
        <f>IF(AND(W821="",AY821&gt;0,AY821&lt;15),1,0)</f>
        <v/>
      </c>
      <c r="BA821" s="24">
        <f>IF(AND(W821="",AY821&gt;0,AY821&lt;15),T821,"")</f>
        <v/>
      </c>
      <c r="BB821" s="87">
        <f>IF(R821&lt;Q821,"X","")</f>
        <v/>
      </c>
      <c r="BC821" s="190" t="inlineStr">
        <is>
          <t>NO</t>
        </is>
      </c>
      <c r="BD821" s="191" t="inlineStr">
        <is>
          <t>SI</t>
        </is>
      </c>
    </row>
    <row r="822" ht="15" customHeight="1" s="162">
      <c r="A822" s="7" t="n">
        <v>821</v>
      </c>
      <c r="B822" t="inlineStr">
        <is>
          <t>1200394000103</t>
        </is>
      </c>
      <c r="C822" t="inlineStr">
        <is>
          <t>SEPARADOR MTJE MODULO BJT PTFE</t>
        </is>
      </c>
      <c r="D822" t="inlineStr">
        <is>
          <t>1800108793</t>
        </is>
      </c>
      <c r="E822" t="inlineStr">
        <is>
          <t>80</t>
        </is>
      </c>
      <c r="F822" s="163" t="n">
        <v>45457</v>
      </c>
      <c r="G822" t="inlineStr"/>
      <c r="H822" t="inlineStr">
        <is>
          <t>4200572876</t>
        </is>
      </c>
      <c r="I822" t="inlineStr">
        <is>
          <t>110</t>
        </is>
      </c>
      <c r="J822" s="163" t="n">
        <v>45503</v>
      </c>
      <c r="K822" s="163" t="n">
        <v>45572</v>
      </c>
      <c r="L822" t="inlineStr">
        <is>
          <t>BORR</t>
        </is>
      </c>
      <c r="M822" s="163" t="n">
        <v>45569</v>
      </c>
      <c r="N822" s="164" t="n">
        <v>80</v>
      </c>
      <c r="O822" s="164" t="n">
        <v>8</v>
      </c>
      <c r="P822" t="inlineStr">
        <is>
          <t>Liberado</t>
        </is>
      </c>
      <c r="Q822" s="165" t="n">
        <v>10</v>
      </c>
      <c r="R822" s="165" t="n">
        <v>10</v>
      </c>
      <c r="S822" s="165" t="n">
        <v>0</v>
      </c>
      <c r="T822" s="165" t="n">
        <v>10</v>
      </c>
      <c r="U822" s="166" t="n">
        <v>0</v>
      </c>
      <c r="V822" s="166" t="n">
        <v>0</v>
      </c>
      <c r="W822" t="inlineStr"/>
      <c r="X822" t="inlineStr">
        <is>
          <t>196.50</t>
        </is>
      </c>
      <c r="Y822" t="inlineStr"/>
      <c r="Z822" t="inlineStr">
        <is>
          <t>SUMINISTROS CONECTORES PROF.,SA.</t>
        </is>
      </c>
      <c r="AA822" t="inlineStr">
        <is>
          <t>AMPHENOL AIR-LB</t>
        </is>
      </c>
      <c r="AB822" t="inlineStr">
        <is>
          <t>001126 000 39</t>
        </is>
      </c>
      <c r="AC822" t="inlineStr"/>
      <c r="AD822" s="164" t="n">
        <v>1</v>
      </c>
      <c r="AE822" s="185" t="n">
        <v>1</v>
      </c>
      <c r="AG822" s="167" t="inlineStr">
        <is>
          <t>7218|JA2581_1001</t>
        </is>
      </c>
      <c r="AH822" s="47">
        <f>IF(M822=0,"-",M822-J822)</f>
        <v/>
      </c>
      <c r="AI822" s="46">
        <f>IF(AND(S822=0,M822&gt;0,L822=0),IF(AH822&gt;=120,"VERY HIGH",IF(AH822&gt;=90,"HIGH",IF(AH822&gt;=60,"MEDIUM",IF(AH822&lt;60,"LOW")))),"-")</f>
        <v/>
      </c>
      <c r="AJ822" s="12" t="n"/>
      <c r="AK822" s="53">
        <f>IF(AND(W822="X",M822&lt;=$AJ$2),"YES","")</f>
        <v/>
      </c>
      <c r="AL822" s="54">
        <f>IF(AND(W822="X",M822&lt;=$AJ$2),S822,"")</f>
        <v/>
      </c>
      <c r="AM822" s="35" t="n"/>
      <c r="AN822" s="35">
        <f>IF(AND(W822="X",M822&gt;$AJ$2),S822,"")</f>
        <v/>
      </c>
      <c r="AO822" s="35">
        <f>IF(AND(W822="",M822&gt;0,$AJ$2&gt;M822,L822=""),1,0)</f>
        <v/>
      </c>
      <c r="AP822" s="35">
        <f>IF(AND(AK822="YES",W822="X"),"X","")</f>
        <v/>
      </c>
      <c r="AQ822" s="55">
        <f>IF(AP822="X",100%,0%)</f>
        <v/>
      </c>
      <c r="AR822" s="25">
        <f>IF(AND(T822&gt;0,L822=""),H822,"")</f>
        <v/>
      </c>
      <c r="AS822" s="25">
        <f>IF(AND(D822&gt;0,H822=0,G822=""),1,"")</f>
        <v/>
      </c>
      <c r="AT822" s="25">
        <f>IF(G822="BLOQ",1,"")</f>
        <v/>
      </c>
      <c r="AU822" s="25">
        <f>IF(L822="BLOQ",1,"")</f>
        <v/>
      </c>
      <c r="AV822" s="25">
        <f>MONTH(F822)</f>
        <v/>
      </c>
      <c r="AW822" s="65">
        <f>IF(AP822="",100%,0%)</f>
        <v/>
      </c>
      <c r="AX822" s="56" t="n"/>
      <c r="AY822" s="24">
        <f>IF(M822=0,"",M822-$AX$2)</f>
        <v/>
      </c>
      <c r="AZ822" s="66">
        <f>IF(AND(W822="",AY822&gt;0,AY822&lt;15),1,0)</f>
        <v/>
      </c>
      <c r="BA822" s="24">
        <f>IF(AND(W822="",AY822&gt;0,AY822&lt;15),T822,"")</f>
        <v/>
      </c>
      <c r="BB822" s="87">
        <f>IF(R822&lt;Q822,"X","")</f>
        <v/>
      </c>
      <c r="BC822" s="190" t="inlineStr">
        <is>
          <t>NO</t>
        </is>
      </c>
      <c r="BD822" s="191" t="inlineStr">
        <is>
          <t>SI</t>
        </is>
      </c>
    </row>
    <row r="823" ht="15" customHeight="1" s="162">
      <c r="A823" s="7" t="n">
        <v>822</v>
      </c>
      <c r="B823" t="inlineStr">
        <is>
          <t>1200394000104</t>
        </is>
      </c>
      <c r="C823" t="inlineStr">
        <is>
          <t>SEPARADOR SH MTJE MODULO BJT PTFE</t>
        </is>
      </c>
      <c r="D823" t="inlineStr">
        <is>
          <t>1800108793</t>
        </is>
      </c>
      <c r="E823" t="inlineStr">
        <is>
          <t>90</t>
        </is>
      </c>
      <c r="F823" s="163" t="n">
        <v>45457</v>
      </c>
      <c r="G823" t="inlineStr"/>
      <c r="H823" t="inlineStr">
        <is>
          <t>4200572888</t>
        </is>
      </c>
      <c r="I823" t="inlineStr">
        <is>
          <t>50</t>
        </is>
      </c>
      <c r="J823" s="163" t="n">
        <v>45503</v>
      </c>
      <c r="K823" s="163" t="n">
        <v>45503</v>
      </c>
      <c r="L823" t="inlineStr"/>
      <c r="M823" s="163" t="n">
        <v>45565</v>
      </c>
      <c r="N823" s="164" t="n">
        <v>30</v>
      </c>
      <c r="O823" s="164" t="n">
        <v>8</v>
      </c>
      <c r="P823" t="inlineStr">
        <is>
          <t>Liberado</t>
        </is>
      </c>
      <c r="Q823" s="165" t="n">
        <v>40</v>
      </c>
      <c r="R823" s="165" t="n">
        <v>40</v>
      </c>
      <c r="S823" s="165" t="n">
        <v>40</v>
      </c>
      <c r="T823" s="165" t="n">
        <v>0</v>
      </c>
      <c r="U823" s="166" t="n">
        <v>40</v>
      </c>
      <c r="V823" s="166" t="n">
        <v>0</v>
      </c>
      <c r="W823" t="inlineStr">
        <is>
          <t>X</t>
        </is>
      </c>
      <c r="X823" t="inlineStr">
        <is>
          <t>0.00</t>
        </is>
      </c>
      <c r="Y823" t="inlineStr"/>
      <c r="Z823" t="inlineStr">
        <is>
          <t>PEI GENESISUK LTD</t>
        </is>
      </c>
      <c r="AA823" t="inlineStr">
        <is>
          <t>AMPHENOL AIR-LB</t>
        </is>
      </c>
      <c r="AB823" t="inlineStr">
        <is>
          <t>001123 000 39</t>
        </is>
      </c>
      <c r="AC823" t="inlineStr"/>
      <c r="AD823" s="164" t="n">
        <v>0</v>
      </c>
      <c r="AE823" s="185" t="n">
        <v>0</v>
      </c>
      <c r="AG823" s="167" t="inlineStr">
        <is>
          <t>7218|JA2581_1001</t>
        </is>
      </c>
      <c r="AH823" s="47">
        <f>IF(M823=0,"-",M823-J823)</f>
        <v/>
      </c>
      <c r="AI823" s="46">
        <f>IF(AND(S823=0,M823&gt;0,L823=0),IF(AH823&gt;=120,"VERY HIGH",IF(AH823&gt;=90,"HIGH",IF(AH823&gt;=60,"MEDIUM",IF(AH823&lt;60,"LOW")))),"-")</f>
        <v/>
      </c>
      <c r="AJ823" s="12" t="n"/>
      <c r="AK823" s="53">
        <f>IF(AND(W823="X",M823&lt;=$AJ$2),"YES","")</f>
        <v/>
      </c>
      <c r="AL823" s="54">
        <f>IF(AND(W823="X",M823&lt;=$AJ$2),S823,"")</f>
        <v/>
      </c>
      <c r="AM823" s="35" t="n"/>
      <c r="AN823" s="35">
        <f>IF(AND(W823="X",M823&gt;$AJ$2),S823,"")</f>
        <v/>
      </c>
      <c r="AO823" s="35">
        <f>IF(AND(W823="",M823&gt;0,$AJ$2&gt;M823,L823=""),1,0)</f>
        <v/>
      </c>
      <c r="AP823" s="35">
        <f>IF(AND(AK823="YES",W823="X"),"X","")</f>
        <v/>
      </c>
      <c r="AQ823" s="55">
        <f>IF(AP823="X",100%,0%)</f>
        <v/>
      </c>
      <c r="AR823" s="25">
        <f>IF(AND(T823&gt;0,L823=""),H823,"")</f>
        <v/>
      </c>
      <c r="AS823" s="25">
        <f>IF(AND(D823&gt;0,H823=0,G823=""),1,"")</f>
        <v/>
      </c>
      <c r="AT823" s="25">
        <f>IF(G823="BLOQ",1,"")</f>
        <v/>
      </c>
      <c r="AU823" s="25">
        <f>IF(L823="BLOQ",1,"")</f>
        <v/>
      </c>
      <c r="AV823" s="25">
        <f>MONTH(F823)</f>
        <v/>
      </c>
      <c r="AW823" s="65">
        <f>IF(AP823="",100%,0%)</f>
        <v/>
      </c>
      <c r="AX823" s="56" t="n"/>
      <c r="AY823" s="24">
        <f>IF(M823=0,"",M823-$AX$2)</f>
        <v/>
      </c>
      <c r="AZ823" s="66">
        <f>IF(AND(W823="",AY823&gt;0,AY823&lt;15),1,0)</f>
        <v/>
      </c>
      <c r="BA823" s="24">
        <f>IF(AND(W823="",AY823&gt;0,AY823&lt;15),T823,"")</f>
        <v/>
      </c>
      <c r="BB823" s="87">
        <f>IF(R823&lt;Q823,"X","")</f>
        <v/>
      </c>
      <c r="BC823" s="190" t="inlineStr">
        <is>
          <t>NO</t>
        </is>
      </c>
      <c r="BD823" s="191" t="inlineStr">
        <is>
          <t>SI</t>
        </is>
      </c>
    </row>
    <row r="824" ht="15" customHeight="1" s="162">
      <c r="A824" s="7" t="n">
        <v>823</v>
      </c>
      <c r="B824" t="inlineStr">
        <is>
          <t>1200394000104</t>
        </is>
      </c>
      <c r="C824" t="inlineStr">
        <is>
          <t>SEPARADOR SH MTJE MODULO BJT PTFE</t>
        </is>
      </c>
      <c r="D824" t="inlineStr">
        <is>
          <t>1800108793</t>
        </is>
      </c>
      <c r="E824" t="inlineStr">
        <is>
          <t>90</t>
        </is>
      </c>
      <c r="F824" s="163" t="n">
        <v>45457</v>
      </c>
      <c r="G824" t="inlineStr"/>
      <c r="H824" t="inlineStr">
        <is>
          <t>4200572876</t>
        </is>
      </c>
      <c r="I824" t="inlineStr">
        <is>
          <t>120</t>
        </is>
      </c>
      <c r="J824" s="163" t="n">
        <v>45503</v>
      </c>
      <c r="K824" s="163" t="n">
        <v>45572</v>
      </c>
      <c r="L824" t="inlineStr">
        <is>
          <t>BORR</t>
        </is>
      </c>
      <c r="M824" s="163" t="n">
        <v>45569</v>
      </c>
      <c r="N824" s="164" t="n">
        <v>30</v>
      </c>
      <c r="O824" s="164" t="n">
        <v>8</v>
      </c>
      <c r="P824" t="inlineStr">
        <is>
          <t>Liberado</t>
        </is>
      </c>
      <c r="Q824" s="165" t="n">
        <v>40</v>
      </c>
      <c r="R824" s="165" t="n">
        <v>100</v>
      </c>
      <c r="S824" s="165" t="n">
        <v>0</v>
      </c>
      <c r="T824" s="165" t="n">
        <v>100</v>
      </c>
      <c r="U824" s="166" t="n">
        <v>0</v>
      </c>
      <c r="V824" s="166" t="n">
        <v>0</v>
      </c>
      <c r="W824" t="inlineStr"/>
      <c r="X824" t="inlineStr">
        <is>
          <t>1442.00</t>
        </is>
      </c>
      <c r="Y824" t="inlineStr"/>
      <c r="Z824" t="inlineStr">
        <is>
          <t>SUMINISTROS CONECTORES PROF.,SA.</t>
        </is>
      </c>
      <c r="AA824" t="inlineStr">
        <is>
          <t>AMPHENOL AIR-LB</t>
        </is>
      </c>
      <c r="AB824" t="inlineStr">
        <is>
          <t>001123 000 39</t>
        </is>
      </c>
      <c r="AC824" t="inlineStr"/>
      <c r="AD824" s="164" t="n">
        <v>1</v>
      </c>
      <c r="AE824" s="185" t="n">
        <v>1</v>
      </c>
      <c r="AG824" s="167" t="inlineStr">
        <is>
          <t>7218|JA2581_1001</t>
        </is>
      </c>
      <c r="AH824" s="47">
        <f>IF(M824=0,"-",M824-J824)</f>
        <v/>
      </c>
      <c r="AI824" s="46">
        <f>IF(AND(S824=0,M824&gt;0,L824=0),IF(AH824&gt;=120,"VERY HIGH",IF(AH824&gt;=90,"HIGH",IF(AH824&gt;=60,"MEDIUM",IF(AH824&lt;60,"LOW")))),"-")</f>
        <v/>
      </c>
      <c r="AJ824" s="12" t="n"/>
      <c r="AK824" s="53">
        <f>IF(AND(W824="X",M824&lt;=$AJ$2),"YES","")</f>
        <v/>
      </c>
      <c r="AL824" s="54">
        <f>IF(AND(W824="X",M824&lt;=$AJ$2),S824,"")</f>
        <v/>
      </c>
      <c r="AM824" s="35" t="n"/>
      <c r="AN824" s="35">
        <f>IF(AND(W824="X",M824&gt;$AJ$2),S824,"")</f>
        <v/>
      </c>
      <c r="AO824" s="35">
        <f>IF(AND(W824="",M824&gt;0,$AJ$2&gt;M824,L824=""),1,0)</f>
        <v/>
      </c>
      <c r="AP824" s="35">
        <f>IF(AND(AK824="YES",W824="X"),"X","")</f>
        <v/>
      </c>
      <c r="AQ824" s="55">
        <f>IF(AP824="X",100%,0%)</f>
        <v/>
      </c>
      <c r="AR824" s="25">
        <f>IF(AND(T824&gt;0,L824=""),H824,"")</f>
        <v/>
      </c>
      <c r="AS824" s="25">
        <f>IF(AND(D824&gt;0,H824=0,G824=""),1,"")</f>
        <v/>
      </c>
      <c r="AT824" s="25">
        <f>IF(G824="BLOQ",1,"")</f>
        <v/>
      </c>
      <c r="AU824" s="25">
        <f>IF(L824="BLOQ",1,"")</f>
        <v/>
      </c>
      <c r="AV824" s="25">
        <f>MONTH(F824)</f>
        <v/>
      </c>
      <c r="AW824" s="65">
        <f>IF(AP824="",100%,0%)</f>
        <v/>
      </c>
      <c r="AX824" s="56" t="n"/>
      <c r="AY824" s="24">
        <f>IF(M824=0,"",M824-$AX$2)</f>
        <v/>
      </c>
      <c r="AZ824" s="66">
        <f>IF(AND(W824="",AY824&gt;0,AY824&lt;15),1,0)</f>
        <v/>
      </c>
      <c r="BA824" s="24">
        <f>IF(AND(W824="",AY824&gt;0,AY824&lt;15),T824,"")</f>
        <v/>
      </c>
      <c r="BB824" s="87">
        <f>IF(R824&lt;Q824,"X","")</f>
        <v/>
      </c>
      <c r="BC824" s="190" t="inlineStr">
        <is>
          <t>NO</t>
        </is>
      </c>
      <c r="BD824" s="191" t="inlineStr">
        <is>
          <t>SI</t>
        </is>
      </c>
    </row>
    <row r="825" ht="15" customHeight="1" s="162">
      <c r="A825" s="7" t="n">
        <v>824</v>
      </c>
      <c r="B825" t="inlineStr">
        <is>
          <t>1200394000106</t>
        </is>
      </c>
      <c r="C825" t="inlineStr">
        <is>
          <t>RAIL CONEXION 5 AGUJEROS D=5</t>
        </is>
      </c>
      <c r="D825" t="inlineStr">
        <is>
          <t>1800108793</t>
        </is>
      </c>
      <c r="E825" t="inlineStr">
        <is>
          <t>100</t>
        </is>
      </c>
      <c r="F825" s="163" t="n">
        <v>45457</v>
      </c>
      <c r="G825" t="inlineStr"/>
      <c r="H825" t="inlineStr">
        <is>
          <t>4200571180</t>
        </is>
      </c>
      <c r="I825" t="inlineStr">
        <is>
          <t>100</t>
        </is>
      </c>
      <c r="J825" s="163" t="n">
        <v>45491</v>
      </c>
      <c r="K825" s="163" t="n">
        <v>45551</v>
      </c>
      <c r="L825" t="inlineStr"/>
      <c r="M825" s="163" t="n">
        <v>45544</v>
      </c>
      <c r="N825" s="164" t="n">
        <v>80</v>
      </c>
      <c r="O825" s="164" t="n">
        <v>8</v>
      </c>
      <c r="P825" t="inlineStr">
        <is>
          <t>Liberado</t>
        </is>
      </c>
      <c r="Q825" s="165" t="n">
        <v>10</v>
      </c>
      <c r="R825" s="165" t="n">
        <v>10</v>
      </c>
      <c r="S825" s="165" t="n">
        <v>10</v>
      </c>
      <c r="T825" s="165" t="n">
        <v>0</v>
      </c>
      <c r="U825" s="166" t="n">
        <v>10</v>
      </c>
      <c r="V825" s="166" t="n">
        <v>0</v>
      </c>
      <c r="W825" t="inlineStr">
        <is>
          <t>X</t>
        </is>
      </c>
      <c r="X825" t="inlineStr">
        <is>
          <t>0.00</t>
        </is>
      </c>
      <c r="Y825" t="inlineStr"/>
      <c r="Z825" t="inlineStr">
        <is>
          <t>TTI INC.</t>
        </is>
      </c>
      <c r="AA825" t="inlineStr">
        <is>
          <t>AMPHENOL AIR-LB</t>
        </is>
      </c>
      <c r="AB825" t="inlineStr">
        <is>
          <t>024055 005 04</t>
        </is>
      </c>
      <c r="AC825" t="inlineStr"/>
      <c r="AD825" s="164" t="n">
        <v>0</v>
      </c>
      <c r="AE825" s="185" t="n">
        <v>0</v>
      </c>
      <c r="AG825" s="167" t="inlineStr">
        <is>
          <t>7218|JA2581_1001</t>
        </is>
      </c>
      <c r="AH825" s="47">
        <f>IF(M825=0,"-",M825-J825)</f>
        <v/>
      </c>
      <c r="AI825" s="46">
        <f>IF(AND(S825=0,M825&gt;0,L825=0),IF(AH825&gt;=120,"VERY HIGH",IF(AH825&gt;=90,"HIGH",IF(AH825&gt;=60,"MEDIUM",IF(AH825&lt;60,"LOW")))),"-")</f>
        <v/>
      </c>
      <c r="AJ825" s="12" t="n"/>
      <c r="AK825" s="53">
        <f>IF(AND(W825="X",M825&lt;=$AJ$2),"YES","")</f>
        <v/>
      </c>
      <c r="AL825" s="54">
        <f>IF(AND(W825="X",M825&lt;=$AJ$2),S825,"")</f>
        <v/>
      </c>
      <c r="AM825" s="35" t="n"/>
      <c r="AN825" s="35">
        <f>IF(AND(W825="X",M825&gt;$AJ$2),S825,"")</f>
        <v/>
      </c>
      <c r="AO825" s="35">
        <f>IF(AND(W825="",M825&gt;0,$AJ$2&gt;M825,L825=""),1,0)</f>
        <v/>
      </c>
      <c r="AP825" s="35">
        <f>IF(AND(AK825="YES",W825="X"),"X","")</f>
        <v/>
      </c>
      <c r="AQ825" s="55">
        <f>IF(AP825="X",100%,0%)</f>
        <v/>
      </c>
      <c r="AR825" s="25">
        <f>IF(AND(T825&gt;0,L825=""),H825,"")</f>
        <v/>
      </c>
      <c r="AS825" s="25">
        <f>IF(AND(D825&gt;0,H825=0,G825=""),1,"")</f>
        <v/>
      </c>
      <c r="AT825" s="25">
        <f>IF(G825="BLOQ",1,"")</f>
        <v/>
      </c>
      <c r="AU825" s="25">
        <f>IF(L825="BLOQ",1,"")</f>
        <v/>
      </c>
      <c r="AV825" s="25">
        <f>MONTH(F825)</f>
        <v/>
      </c>
      <c r="AW825" s="65">
        <f>IF(AP825="",100%,0%)</f>
        <v/>
      </c>
      <c r="AX825" s="56" t="n"/>
      <c r="AY825" s="24">
        <f>IF(M825=0,"",M825-$AX$2)</f>
        <v/>
      </c>
      <c r="AZ825" s="66">
        <f>IF(AND(W825="",AY825&gt;0,AY825&lt;15),1,0)</f>
        <v/>
      </c>
      <c r="BA825" s="24">
        <f>IF(AND(W825="",AY825&gt;0,AY825&lt;15),T825,"")</f>
        <v/>
      </c>
      <c r="BB825" s="87">
        <f>IF(R825&lt;Q825,"X","")</f>
        <v/>
      </c>
      <c r="BC825" s="190" t="inlineStr">
        <is>
          <t>NO</t>
        </is>
      </c>
      <c r="BD825" s="191" t="inlineStr">
        <is>
          <t>SI</t>
        </is>
      </c>
    </row>
    <row r="826" ht="15" customHeight="1" s="162">
      <c r="A826" s="7" t="n">
        <v>825</v>
      </c>
      <c r="B826" t="inlineStr">
        <is>
          <t>1202090240000</t>
        </is>
      </c>
      <c r="C826" t="inlineStr">
        <is>
          <t>PIN CNC SUB-D M 20-24AWG (ROLLO 400UD)</t>
        </is>
      </c>
      <c r="D826" t="inlineStr">
        <is>
          <t>1800108793</t>
        </is>
      </c>
      <c r="E826" t="inlineStr">
        <is>
          <t>110</t>
        </is>
      </c>
      <c r="F826" s="163" t="n">
        <v>45457</v>
      </c>
      <c r="G826" t="inlineStr"/>
      <c r="H826" t="inlineStr">
        <is>
          <t>4200569407</t>
        </is>
      </c>
      <c r="I826" t="inlineStr">
        <is>
          <t>110</t>
        </is>
      </c>
      <c r="J826" s="163" t="n">
        <v>45477</v>
      </c>
      <c r="K826" s="163" t="n">
        <v>45478</v>
      </c>
      <c r="L826" t="inlineStr"/>
      <c r="M826" s="163" t="n">
        <v>45488</v>
      </c>
      <c r="N826" s="164" t="n">
        <v>50</v>
      </c>
      <c r="O826" s="164" t="n">
        <v>8</v>
      </c>
      <c r="P826" t="inlineStr">
        <is>
          <t>Liberado</t>
        </is>
      </c>
      <c r="Q826" s="166" t="n">
        <v>400</v>
      </c>
      <c r="R826" s="166" t="n">
        <v>400</v>
      </c>
      <c r="S826" s="166" t="n">
        <v>400</v>
      </c>
      <c r="T826" s="166" t="n">
        <v>0</v>
      </c>
      <c r="U826" s="166" t="n">
        <v>400</v>
      </c>
      <c r="V826" s="166" t="n">
        <v>0</v>
      </c>
      <c r="W826" t="inlineStr">
        <is>
          <t>X</t>
        </is>
      </c>
      <c r="X826" t="inlineStr">
        <is>
          <t>0.00</t>
        </is>
      </c>
      <c r="Y826" t="inlineStr"/>
      <c r="Z826" t="inlineStr">
        <is>
          <t>MOUSER ELECTRONICS, INC.</t>
        </is>
      </c>
      <c r="AA826" t="inlineStr">
        <is>
          <t>AMPHENOL CORP</t>
        </is>
      </c>
      <c r="AB826" t="inlineStr">
        <is>
          <t>17RRD1M11400</t>
        </is>
      </c>
      <c r="AC826" t="inlineStr"/>
      <c r="AD826" s="164" t="n">
        <v>0</v>
      </c>
      <c r="AE826" s="185" t="n">
        <v>0</v>
      </c>
      <c r="AG826" s="167" t="inlineStr">
        <is>
          <t>7218|JA2581_1001</t>
        </is>
      </c>
      <c r="AH826" s="47">
        <f>IF(M826=0,"-",M826-J826)</f>
        <v/>
      </c>
      <c r="AI826" s="46">
        <f>IF(AND(S826=0,M826&gt;0,L826=0),IF(AH826&gt;=120,"VERY HIGH",IF(AH826&gt;=90,"HIGH",IF(AH826&gt;=60,"MEDIUM",IF(AH826&lt;60,"LOW")))),"-")</f>
        <v/>
      </c>
      <c r="AJ826" s="12" t="n"/>
      <c r="AK826" s="53">
        <f>IF(AND(W826="X",M826&lt;=$AJ$2),"YES","")</f>
        <v/>
      </c>
      <c r="AL826" s="54">
        <f>IF(AND(W826="X",M826&lt;=$AJ$2),S826,"")</f>
        <v/>
      </c>
      <c r="AM826" s="35" t="n"/>
      <c r="AN826" s="35">
        <f>IF(AND(W826="X",M826&gt;$AJ$2),S826,"")</f>
        <v/>
      </c>
      <c r="AO826" s="35">
        <f>IF(AND(W826="",M826&gt;0,$AJ$2&gt;M826,L826=""),1,0)</f>
        <v/>
      </c>
      <c r="AP826" s="35">
        <f>IF(AND(AK826="YES",W826="X"),"X","")</f>
        <v/>
      </c>
      <c r="AQ826" s="55">
        <f>IF(AP826="X",100%,0%)</f>
        <v/>
      </c>
      <c r="AR826" s="25">
        <f>IF(AND(T826&gt;0,L826=""),H826,"")</f>
        <v/>
      </c>
      <c r="AS826" s="25">
        <f>IF(AND(D826&gt;0,H826=0,G826=""),1,"")</f>
        <v/>
      </c>
      <c r="AT826" s="25">
        <f>IF(G826="BLOQ",1,"")</f>
        <v/>
      </c>
      <c r="AU826" s="25">
        <f>IF(L826="BLOQ",1,"")</f>
        <v/>
      </c>
      <c r="AV826" s="25">
        <f>MONTH(F826)</f>
        <v/>
      </c>
      <c r="AW826" s="65">
        <f>IF(AP826="",100%,0%)</f>
        <v/>
      </c>
      <c r="AX826" s="56" t="n"/>
      <c r="AY826" s="24">
        <f>IF(M826=0,"",M826-$AX$2)</f>
        <v/>
      </c>
      <c r="AZ826" s="66">
        <f>IF(AND(W826="",AY826&gt;0,AY826&lt;15),1,0)</f>
        <v/>
      </c>
      <c r="BA826" s="24">
        <f>IF(AND(W826="",AY826&gt;0,AY826&lt;15),T826,"")</f>
        <v/>
      </c>
      <c r="BB826" s="87">
        <f>IF(R826&lt;Q826,"X","")</f>
        <v/>
      </c>
      <c r="BC826" s="190" t="inlineStr">
        <is>
          <t>NO</t>
        </is>
      </c>
      <c r="BD826" s="191" t="inlineStr">
        <is>
          <t>SI</t>
        </is>
      </c>
    </row>
    <row r="827" ht="15" customHeight="1" s="162">
      <c r="A827" s="7" t="n">
        <v>826</v>
      </c>
      <c r="B827" t="inlineStr">
        <is>
          <t>1202091050300</t>
        </is>
      </c>
      <c r="C827" t="inlineStr">
        <is>
          <t>CAPERUZA P/SUB-D 9 C/TOR UNC 4-40 POLIAM</t>
        </is>
      </c>
      <c r="D827" t="inlineStr">
        <is>
          <t>1800108793</t>
        </is>
      </c>
      <c r="E827" t="inlineStr">
        <is>
          <t>120</t>
        </is>
      </c>
      <c r="F827" s="163" t="n">
        <v>45457</v>
      </c>
      <c r="G827" t="inlineStr"/>
      <c r="H827" t="inlineStr">
        <is>
          <t>4200569854</t>
        </is>
      </c>
      <c r="I827" t="inlineStr">
        <is>
          <t>100</t>
        </is>
      </c>
      <c r="J827" s="163" t="n">
        <v>45482</v>
      </c>
      <c r="K827" s="163" t="n">
        <v>45951</v>
      </c>
      <c r="L827" t="inlineStr"/>
      <c r="M827" s="163" t="n">
        <v>45554</v>
      </c>
      <c r="N827" s="164" t="n">
        <v>30</v>
      </c>
      <c r="O827" s="164" t="n">
        <v>8</v>
      </c>
      <c r="P827" t="inlineStr">
        <is>
          <t>Liberado</t>
        </is>
      </c>
      <c r="Q827" s="165" t="n">
        <v>50</v>
      </c>
      <c r="R827" s="165" t="n">
        <v>50</v>
      </c>
      <c r="S827" s="165" t="n">
        <v>50</v>
      </c>
      <c r="T827" s="165" t="n">
        <v>0</v>
      </c>
      <c r="U827" s="166" t="n">
        <v>50</v>
      </c>
      <c r="V827" s="166" t="n">
        <v>0</v>
      </c>
      <c r="W827" t="inlineStr">
        <is>
          <t>X</t>
        </is>
      </c>
      <c r="X827" t="inlineStr">
        <is>
          <t>0.00</t>
        </is>
      </c>
      <c r="Y827" t="inlineStr"/>
      <c r="Z827" t="inlineStr">
        <is>
          <t>TTI INC.</t>
        </is>
      </c>
      <c r="AA827" t="inlineStr">
        <is>
          <t>AMPHENOL CORP</t>
        </is>
      </c>
      <c r="AB827" t="inlineStr">
        <is>
          <t>DPPK09-SLIM</t>
        </is>
      </c>
      <c r="AC827" t="inlineStr"/>
      <c r="AD827" s="164" t="n">
        <v>1</v>
      </c>
      <c r="AE827" s="185" t="n">
        <v>1</v>
      </c>
      <c r="AG827" s="167" t="inlineStr">
        <is>
          <t>7218|JA2581_1001</t>
        </is>
      </c>
      <c r="AH827" s="47">
        <f>IF(M827=0,"-",M827-J827)</f>
        <v/>
      </c>
      <c r="AI827" s="46">
        <f>IF(AND(S827=0,M827&gt;0,L827=0),IF(AH827&gt;=120,"VERY HIGH",IF(AH827&gt;=90,"HIGH",IF(AH827&gt;=60,"MEDIUM",IF(AH827&lt;60,"LOW")))),"-")</f>
        <v/>
      </c>
      <c r="AJ827" s="12" t="n"/>
      <c r="AK827" s="53">
        <f>IF(AND(W827="X",M827&lt;=$AJ$2),"YES","")</f>
        <v/>
      </c>
      <c r="AL827" s="54">
        <f>IF(AND(W827="X",M827&lt;=$AJ$2),S827,"")</f>
        <v/>
      </c>
      <c r="AM827" s="35" t="n"/>
      <c r="AN827" s="35">
        <f>IF(AND(W827="X",M827&gt;$AJ$2),S827,"")</f>
        <v/>
      </c>
      <c r="AO827" s="35">
        <f>IF(AND(W827="",M827&gt;0,$AJ$2&gt;M827,L827=""),1,0)</f>
        <v/>
      </c>
      <c r="AP827" s="35">
        <f>IF(AND(AK827="YES",W827="X"),"X","")</f>
        <v/>
      </c>
      <c r="AQ827" s="55">
        <f>IF(AP827="X",100%,0%)</f>
        <v/>
      </c>
      <c r="AR827" s="25">
        <f>IF(AND(T827&gt;0,L827=""),H827,"")</f>
        <v/>
      </c>
      <c r="AS827" s="25">
        <f>IF(AND(D827&gt;0,H827=0,G827=""),1,"")</f>
        <v/>
      </c>
      <c r="AT827" s="25">
        <f>IF(G827="BLOQ",1,"")</f>
        <v/>
      </c>
      <c r="AU827" s="25">
        <f>IF(L827="BLOQ",1,"")</f>
        <v/>
      </c>
      <c r="AV827" s="25">
        <f>MONTH(F827)</f>
        <v/>
      </c>
      <c r="AW827" s="65">
        <f>IF(AP827="",100%,0%)</f>
        <v/>
      </c>
      <c r="AX827" s="56" t="n"/>
      <c r="AY827" s="24">
        <f>IF(M827=0,"",M827-$AX$2)</f>
        <v/>
      </c>
      <c r="AZ827" s="66">
        <f>IF(AND(W827="",AY827&gt;0,AY827&lt;15),1,0)</f>
        <v/>
      </c>
      <c r="BA827" s="24">
        <f>IF(AND(W827="",AY827&gt;0,AY827&lt;15),T827,"")</f>
        <v/>
      </c>
      <c r="BB827" s="87">
        <f>IF(R827&lt;Q827,"X","")</f>
        <v/>
      </c>
      <c r="BC827" s="190" t="inlineStr">
        <is>
          <t>NO</t>
        </is>
      </c>
      <c r="BD827" s="191" t="inlineStr">
        <is>
          <t>SI</t>
        </is>
      </c>
    </row>
    <row r="828" ht="15" customHeight="1" s="162">
      <c r="A828" s="7" t="n">
        <v>827</v>
      </c>
      <c r="B828" t="inlineStr">
        <is>
          <t>1204890370020</t>
        </is>
      </c>
      <c r="C828" t="inlineStr">
        <is>
          <t>ACC CNC CIR PIN #22 115VAC ORO</t>
        </is>
      </c>
      <c r="D828" t="inlineStr">
        <is>
          <t>1800108793</t>
        </is>
      </c>
      <c r="E828" t="inlineStr">
        <is>
          <t>130</t>
        </is>
      </c>
      <c r="F828" s="163" t="n">
        <v>45457</v>
      </c>
      <c r="G828" t="inlineStr"/>
      <c r="H828" t="inlineStr">
        <is>
          <t>4200566624</t>
        </is>
      </c>
      <c r="I828" t="inlineStr">
        <is>
          <t>20</t>
        </is>
      </c>
      <c r="J828" s="163" t="n">
        <v>45454</v>
      </c>
      <c r="K828" s="163" t="n">
        <v>45460</v>
      </c>
      <c r="L828" t="inlineStr"/>
      <c r="M828" s="163" t="n">
        <v>45488</v>
      </c>
      <c r="N828" s="164" t="n">
        <v>30</v>
      </c>
      <c r="O828" s="164" t="n">
        <v>8</v>
      </c>
      <c r="P828" t="inlineStr">
        <is>
          <t>Liberado</t>
        </is>
      </c>
      <c r="Q828" s="165" t="n">
        <v>60</v>
      </c>
      <c r="R828" s="165" t="n">
        <v>60</v>
      </c>
      <c r="S828" s="165" t="n">
        <v>60</v>
      </c>
      <c r="T828" s="165" t="n">
        <v>0</v>
      </c>
      <c r="U828" s="166" t="n">
        <v>60</v>
      </c>
      <c r="V828" s="166" t="n">
        <v>0</v>
      </c>
      <c r="W828" t="inlineStr">
        <is>
          <t>X</t>
        </is>
      </c>
      <c r="X828" t="inlineStr">
        <is>
          <t>0.00</t>
        </is>
      </c>
      <c r="Y828" t="inlineStr"/>
      <c r="Z828" t="inlineStr">
        <is>
          <t>SUMINISTROS, FRESADOS Y GRABADOS</t>
        </is>
      </c>
      <c r="AA828" t="inlineStr">
        <is>
          <t>MILITARY SPECS.</t>
        </is>
      </c>
      <c r="AB828" t="inlineStr">
        <is>
          <t>EN3155-003F2222</t>
        </is>
      </c>
      <c r="AC828" t="inlineStr"/>
      <c r="AD828" s="164" t="n">
        <v>0</v>
      </c>
      <c r="AE828" s="185" t="n">
        <v>0</v>
      </c>
      <c r="AG828" s="167" t="inlineStr">
        <is>
          <t>7218|JA2581_1001</t>
        </is>
      </c>
      <c r="AH828" s="47">
        <f>IF(M828=0,"-",M828-J828)</f>
        <v/>
      </c>
      <c r="AI828" s="46">
        <f>IF(AND(S828=0,M828&gt;0,L828=0),IF(AH828&gt;=120,"VERY HIGH",IF(AH828&gt;=90,"HIGH",IF(AH828&gt;=60,"MEDIUM",IF(AH828&lt;60,"LOW")))),"-")</f>
        <v/>
      </c>
      <c r="AJ828" s="12" t="n"/>
      <c r="AK828" s="53">
        <f>IF(AND(W828="X",M828&lt;=$AJ$2),"YES","")</f>
        <v/>
      </c>
      <c r="AL828" s="54">
        <f>IF(AND(W828="X",M828&lt;=$AJ$2),S828,"")</f>
        <v/>
      </c>
      <c r="AM828" s="35" t="n"/>
      <c r="AN828" s="35">
        <f>IF(AND(W828="X",M828&gt;$AJ$2),S828,"")</f>
        <v/>
      </c>
      <c r="AO828" s="35">
        <f>IF(AND(W828="",M828&gt;0,$AJ$2&gt;M828,L828=""),1,0)</f>
        <v/>
      </c>
      <c r="AP828" s="35">
        <f>IF(AND(AK828="YES",W828="X"),"X","")</f>
        <v/>
      </c>
      <c r="AQ828" s="55">
        <f>IF(AP828="X",100%,0%)</f>
        <v/>
      </c>
      <c r="AR828" s="25">
        <f>IF(AND(T828&gt;0,L828=""),H828,"")</f>
        <v/>
      </c>
      <c r="AS828" s="25">
        <f>IF(AND(D828&gt;0,H828=0,G828=""),1,"")</f>
        <v/>
      </c>
      <c r="AT828" s="25">
        <f>IF(G828="BLOQ",1,"")</f>
        <v/>
      </c>
      <c r="AU828" s="25">
        <f>IF(L828="BLOQ",1,"")</f>
        <v/>
      </c>
      <c r="AV828" s="25">
        <f>MONTH(F828)</f>
        <v/>
      </c>
      <c r="AW828" s="65">
        <f>IF(AP828="",100%,0%)</f>
        <v/>
      </c>
      <c r="AX828" s="56" t="n"/>
      <c r="AY828" s="24">
        <f>IF(M828=0,"",M828-$AX$2)</f>
        <v/>
      </c>
      <c r="AZ828" s="66">
        <f>IF(AND(W828="",AY828&gt;0,AY828&lt;15),1,0)</f>
        <v/>
      </c>
      <c r="BA828" s="24">
        <f>IF(AND(W828="",AY828&gt;0,AY828&lt;15),T828,"")</f>
        <v/>
      </c>
      <c r="BB828" s="87">
        <f>IF(R828&lt;Q828,"X","")</f>
        <v/>
      </c>
      <c r="BC828" s="190" t="inlineStr">
        <is>
          <t>NO</t>
        </is>
      </c>
      <c r="BD828" s="191" t="inlineStr">
        <is>
          <t>SI</t>
        </is>
      </c>
    </row>
    <row r="829" ht="15" customHeight="1" s="162">
      <c r="A829" s="7" t="n">
        <v>828</v>
      </c>
      <c r="B829" t="inlineStr">
        <is>
          <t>1238090100000</t>
        </is>
      </c>
      <c r="C829" t="inlineStr">
        <is>
          <t>TERMINAL CNC BJT M5</t>
        </is>
      </c>
      <c r="D829" t="inlineStr">
        <is>
          <t>1800108793</t>
        </is>
      </c>
      <c r="E829" t="inlineStr">
        <is>
          <t>140</t>
        </is>
      </c>
      <c r="F829" s="163" t="n">
        <v>45457</v>
      </c>
      <c r="G829" t="inlineStr"/>
      <c r="H829" t="inlineStr">
        <is>
          <t>4200572876</t>
        </is>
      </c>
      <c r="I829" t="inlineStr">
        <is>
          <t>790</t>
        </is>
      </c>
      <c r="J829" s="163" t="n">
        <v>45503</v>
      </c>
      <c r="K829" s="163" t="n">
        <v>45572</v>
      </c>
      <c r="L829" t="inlineStr"/>
      <c r="M829" s="163" t="n">
        <v>45569</v>
      </c>
      <c r="N829" s="164" t="n">
        <v>40</v>
      </c>
      <c r="O829" s="164" t="n">
        <v>8</v>
      </c>
      <c r="P829" t="inlineStr">
        <is>
          <t>Liberado</t>
        </is>
      </c>
      <c r="Q829" s="165" t="n">
        <v>30</v>
      </c>
      <c r="R829" s="165" t="n">
        <v>30</v>
      </c>
      <c r="S829" s="165" t="n">
        <v>30</v>
      </c>
      <c r="T829" s="165" t="n">
        <v>0</v>
      </c>
      <c r="U829" s="166" t="n">
        <v>30</v>
      </c>
      <c r="V829" s="166" t="n">
        <v>0</v>
      </c>
      <c r="W829" t="inlineStr">
        <is>
          <t>X</t>
        </is>
      </c>
      <c r="X829" t="inlineStr">
        <is>
          <t>0.00</t>
        </is>
      </c>
      <c r="Y829" t="inlineStr"/>
      <c r="Z829" t="inlineStr">
        <is>
          <t>SUMINISTROS CONECTORES PROF.,SA.</t>
        </is>
      </c>
      <c r="AA829" t="inlineStr">
        <is>
          <t>AMPHENOL AIR-LB</t>
        </is>
      </c>
      <c r="AB829" t="inlineStr">
        <is>
          <t>001152 935 37</t>
        </is>
      </c>
      <c r="AC829" t="inlineStr"/>
      <c r="AD829" s="164" t="n">
        <v>1</v>
      </c>
      <c r="AE829" s="185" t="n">
        <v>1</v>
      </c>
      <c r="AG829" s="167" t="inlineStr">
        <is>
          <t>7218|JA2581_1001</t>
        </is>
      </c>
      <c r="AH829" s="47">
        <f>IF(M829=0,"-",M829-J829)</f>
        <v/>
      </c>
      <c r="AI829" s="46">
        <f>IF(AND(S829=0,M829&gt;0,L829=0),IF(AH829&gt;=120,"VERY HIGH",IF(AH829&gt;=90,"HIGH",IF(AH829&gt;=60,"MEDIUM",IF(AH829&lt;60,"LOW")))),"-")</f>
        <v/>
      </c>
      <c r="AJ829" s="12" t="n"/>
      <c r="AK829" s="53">
        <f>IF(AND(W829="X",M829&lt;=$AJ$2),"YES","")</f>
        <v/>
      </c>
      <c r="AL829" s="54">
        <f>IF(AND(W829="X",M829&lt;=$AJ$2),S829,"")</f>
        <v/>
      </c>
      <c r="AM829" s="35" t="n"/>
      <c r="AN829" s="35">
        <f>IF(AND(W829="X",M829&gt;$AJ$2),S829,"")</f>
        <v/>
      </c>
      <c r="AO829" s="35">
        <f>IF(AND(W829="",M829&gt;0,$AJ$2&gt;M829,L829=""),1,0)</f>
        <v/>
      </c>
      <c r="AP829" s="35">
        <f>IF(AND(AK829="YES",W829="X"),"X","")</f>
        <v/>
      </c>
      <c r="AQ829" s="55">
        <f>IF(AP829="X",100%,0%)</f>
        <v/>
      </c>
      <c r="AR829" s="25">
        <f>IF(AND(T829&gt;0,L829=""),H829,"")</f>
        <v/>
      </c>
      <c r="AS829" s="25">
        <f>IF(AND(D829&gt;0,H829=0,G829=""),1,"")</f>
        <v/>
      </c>
      <c r="AT829" s="25">
        <f>IF(G829="BLOQ",1,"")</f>
        <v/>
      </c>
      <c r="AU829" s="25">
        <f>IF(L829="BLOQ",1,"")</f>
        <v/>
      </c>
      <c r="AV829" s="25">
        <f>MONTH(F829)</f>
        <v/>
      </c>
      <c r="AW829" s="65">
        <f>IF(AP829="",100%,0%)</f>
        <v/>
      </c>
      <c r="AX829" s="56" t="n"/>
      <c r="AY829" s="24">
        <f>IF(M829=0,"",M829-$AX$2)</f>
        <v/>
      </c>
      <c r="AZ829" s="66">
        <f>IF(AND(W829="",AY829&gt;0,AY829&lt;15),1,0)</f>
        <v/>
      </c>
      <c r="BA829" s="24">
        <f>IF(AND(W829="",AY829&gt;0,AY829&lt;15),T829,"")</f>
        <v/>
      </c>
      <c r="BB829" s="87">
        <f>IF(R829&lt;Q829,"X","")</f>
        <v/>
      </c>
      <c r="BC829" s="190" t="inlineStr">
        <is>
          <t>NO</t>
        </is>
      </c>
      <c r="BD829" s="191" t="inlineStr">
        <is>
          <t>SI</t>
        </is>
      </c>
    </row>
    <row r="830" ht="15" customHeight="1" s="162">
      <c r="A830" s="7" t="n">
        <v>829</v>
      </c>
      <c r="B830" t="inlineStr">
        <is>
          <t>949170111-01</t>
        </is>
      </c>
      <c r="C830" t="inlineStr">
        <is>
          <t>CNC RECT SUB-D 9 M CRIMPAR 117RRE9P</t>
        </is>
      </c>
      <c r="D830" t="inlineStr">
        <is>
          <t>1800108793</t>
        </is>
      </c>
      <c r="E830" t="inlineStr">
        <is>
          <t>150</t>
        </is>
      </c>
      <c r="F830" s="163" t="n">
        <v>45457</v>
      </c>
      <c r="G830" t="inlineStr"/>
      <c r="H830" t="inlineStr">
        <is>
          <t>4200580627</t>
        </is>
      </c>
      <c r="I830" t="inlineStr">
        <is>
          <t>10</t>
        </is>
      </c>
      <c r="J830" s="163" t="n">
        <v>45574</v>
      </c>
      <c r="K830" s="163" t="n">
        <v>45576</v>
      </c>
      <c r="L830" t="inlineStr"/>
      <c r="M830" s="163" t="n">
        <v>45590</v>
      </c>
      <c r="N830" s="164" t="n">
        <v>85</v>
      </c>
      <c r="O830" s="164" t="n">
        <v>8</v>
      </c>
      <c r="P830" t="inlineStr">
        <is>
          <t>Liberado</t>
        </is>
      </c>
      <c r="Q830" s="165" t="n">
        <v>35</v>
      </c>
      <c r="R830" s="165" t="n">
        <v>50</v>
      </c>
      <c r="S830" s="165" t="n">
        <v>50</v>
      </c>
      <c r="T830" s="165" t="n">
        <v>0</v>
      </c>
      <c r="U830" s="166" t="n">
        <v>50</v>
      </c>
      <c r="V830" s="166" t="n">
        <v>0</v>
      </c>
      <c r="W830" t="inlineStr">
        <is>
          <t>X</t>
        </is>
      </c>
      <c r="X830" t="inlineStr">
        <is>
          <t>0.00</t>
        </is>
      </c>
      <c r="Y830" t="inlineStr"/>
      <c r="Z830" t="inlineStr">
        <is>
          <t>TTI INC.</t>
        </is>
      </c>
      <c r="AA830" t="inlineStr">
        <is>
          <t>AMPHENOL CORP</t>
        </is>
      </c>
      <c r="AB830" t="inlineStr">
        <is>
          <t>117RRE9P</t>
        </is>
      </c>
      <c r="AC830" t="inlineStr"/>
      <c r="AD830" s="164" t="n">
        <v>0</v>
      </c>
      <c r="AE830" s="185" t="n">
        <v>0</v>
      </c>
      <c r="AG830" s="167" t="inlineStr">
        <is>
          <t>7218|JA2581_1001</t>
        </is>
      </c>
      <c r="AH830" s="47">
        <f>IF(M830=0,"-",M830-J830)</f>
        <v/>
      </c>
      <c r="AI830" s="46">
        <f>IF(AND(S830=0,M830&gt;0,L830=0),IF(AH830&gt;=120,"VERY HIGH",IF(AH830&gt;=90,"HIGH",IF(AH830&gt;=60,"MEDIUM",IF(AH830&lt;60,"LOW")))),"-")</f>
        <v/>
      </c>
      <c r="AJ830" s="12" t="n"/>
      <c r="AK830" s="53">
        <f>IF(AND(W830="X",M830&lt;=$AJ$2),"YES","")</f>
        <v/>
      </c>
      <c r="AL830" s="54">
        <f>IF(AND(W830="X",M830&lt;=$AJ$2),S830,"")</f>
        <v/>
      </c>
      <c r="AM830" s="35" t="n"/>
      <c r="AN830" s="35">
        <f>IF(AND(W830="X",M830&gt;$AJ$2),S830,"")</f>
        <v/>
      </c>
      <c r="AO830" s="35">
        <f>IF(AND(W830="",M830&gt;0,$AJ$2&gt;M830,L830=""),1,0)</f>
        <v/>
      </c>
      <c r="AP830" s="35">
        <f>IF(AND(AK830="YES",W830="X"),"X","")</f>
        <v/>
      </c>
      <c r="AQ830" s="55">
        <f>IF(AP830="X",100%,0%)</f>
        <v/>
      </c>
      <c r="AR830" s="25">
        <f>IF(AND(T830&gt;0,L830=""),H830,"")</f>
        <v/>
      </c>
      <c r="AS830" s="25">
        <f>IF(AND(D830&gt;0,H830=0,G830=""),1,"")</f>
        <v/>
      </c>
      <c r="AT830" s="25">
        <f>IF(G830="BLOQ",1,"")</f>
        <v/>
      </c>
      <c r="AU830" s="25">
        <f>IF(L830="BLOQ",1,"")</f>
        <v/>
      </c>
      <c r="AV830" s="25">
        <f>MONTH(F830)</f>
        <v/>
      </c>
      <c r="AW830" s="65">
        <f>IF(AP830="",100%,0%)</f>
        <v/>
      </c>
      <c r="AX830" s="56" t="n"/>
      <c r="AY830" s="24">
        <f>IF(M830=0,"",M830-$AX$2)</f>
        <v/>
      </c>
      <c r="AZ830" s="66">
        <f>IF(AND(W830="",AY830&gt;0,AY830&lt;15),1,0)</f>
        <v/>
      </c>
      <c r="BA830" s="24">
        <f>IF(AND(W830="",AY830&gt;0,AY830&lt;15),T830,"")</f>
        <v/>
      </c>
      <c r="BB830" s="87">
        <f>IF(R830&lt;Q830,"X","")</f>
        <v/>
      </c>
      <c r="BC830" s="190" t="inlineStr">
        <is>
          <t>NO</t>
        </is>
      </c>
      <c r="BD830" s="191" t="inlineStr">
        <is>
          <t>SI</t>
        </is>
      </c>
    </row>
    <row r="831" ht="15" customHeight="1" s="162">
      <c r="A831" s="7" t="n">
        <v>830</v>
      </c>
      <c r="B831" t="inlineStr">
        <is>
          <t>949170160-02</t>
        </is>
      </c>
      <c r="C831" t="inlineStr">
        <is>
          <t>CONTACTO HEMBRA 24AWG 17RRD1F11400</t>
        </is>
      </c>
      <c r="D831" t="inlineStr">
        <is>
          <t>1800108793</t>
        </is>
      </c>
      <c r="E831" t="inlineStr">
        <is>
          <t>160</t>
        </is>
      </c>
      <c r="F831" s="163" t="n">
        <v>45457</v>
      </c>
      <c r="G831" t="inlineStr"/>
      <c r="H831" t="inlineStr">
        <is>
          <t>4200573368</t>
        </is>
      </c>
      <c r="I831" t="inlineStr">
        <is>
          <t>30</t>
        </is>
      </c>
      <c r="J831" s="163" t="n">
        <v>45506</v>
      </c>
      <c r="K831" s="163" t="n">
        <v>45638</v>
      </c>
      <c r="L831" t="inlineStr"/>
      <c r="M831" s="163" t="n">
        <v>45488</v>
      </c>
      <c r="N831" s="164" t="n">
        <v>62</v>
      </c>
      <c r="O831" s="164" t="n">
        <v>8</v>
      </c>
      <c r="P831" t="inlineStr">
        <is>
          <t>Liberado</t>
        </is>
      </c>
      <c r="Q831" s="165" t="n">
        <v>415</v>
      </c>
      <c r="R831" s="165" t="n">
        <v>415</v>
      </c>
      <c r="S831" s="165" t="n">
        <v>415</v>
      </c>
      <c r="T831" s="165" t="n">
        <v>0</v>
      </c>
      <c r="U831" s="166" t="n">
        <v>415</v>
      </c>
      <c r="V831" s="166" t="n">
        <v>0</v>
      </c>
      <c r="W831" t="inlineStr">
        <is>
          <t>X</t>
        </is>
      </c>
      <c r="X831" t="inlineStr">
        <is>
          <t>0.00</t>
        </is>
      </c>
      <c r="Y831" t="inlineStr"/>
      <c r="Z831" t="inlineStr">
        <is>
          <t>TTI INC.</t>
        </is>
      </c>
      <c r="AA831" t="inlineStr">
        <is>
          <t>AMPHENOL CORP</t>
        </is>
      </c>
      <c r="AB831" t="inlineStr">
        <is>
          <t>17RRD1F11400</t>
        </is>
      </c>
      <c r="AC831" t="inlineStr"/>
      <c r="AD831" s="164" t="n">
        <v>0</v>
      </c>
      <c r="AE831" s="185" t="n">
        <v>0</v>
      </c>
      <c r="AG831" s="167" t="inlineStr">
        <is>
          <t>7218|JA2581_1001</t>
        </is>
      </c>
      <c r="AH831" s="47">
        <f>IF(M831=0,"-",M831-J831)</f>
        <v/>
      </c>
      <c r="AI831" s="46">
        <f>IF(AND(S831=0,M831&gt;0,L831=0),IF(AH831&gt;=120,"VERY HIGH",IF(AH831&gt;=90,"HIGH",IF(AH831&gt;=60,"MEDIUM",IF(AH831&lt;60,"LOW")))),"-")</f>
        <v/>
      </c>
      <c r="AJ831" s="12" t="n"/>
      <c r="AK831" s="53">
        <f>IF(AND(W831="X",M831&lt;=$AJ$2),"YES","")</f>
        <v/>
      </c>
      <c r="AL831" s="54">
        <f>IF(AND(W831="X",M831&lt;=$AJ$2),S831,"")</f>
        <v/>
      </c>
      <c r="AM831" s="35" t="n"/>
      <c r="AN831" s="35">
        <f>IF(AND(W831="X",M831&gt;$AJ$2),S831,"")</f>
        <v/>
      </c>
      <c r="AO831" s="35">
        <f>IF(AND(W831="",M831&gt;0,$AJ$2&gt;M831,L831=""),1,0)</f>
        <v/>
      </c>
      <c r="AP831" s="35">
        <f>IF(AND(AK831="YES",W831="X"),"X","")</f>
        <v/>
      </c>
      <c r="AQ831" s="55">
        <f>IF(AP831="X",100%,0%)</f>
        <v/>
      </c>
      <c r="AR831" s="25">
        <f>IF(AND(T831&gt;0,L831=""),H831,"")</f>
        <v/>
      </c>
      <c r="AS831" s="25">
        <f>IF(AND(D831&gt;0,H831=0,G831=""),1,"")</f>
        <v/>
      </c>
      <c r="AT831" s="25">
        <f>IF(G831="BLOQ",1,"")</f>
        <v/>
      </c>
      <c r="AU831" s="25">
        <f>IF(L831="BLOQ",1,"")</f>
        <v/>
      </c>
      <c r="AV831" s="25">
        <f>MONTH(F831)</f>
        <v/>
      </c>
      <c r="AW831" s="65">
        <f>IF(AP831="",100%,0%)</f>
        <v/>
      </c>
      <c r="AX831" s="56" t="n"/>
      <c r="AY831" s="24">
        <f>IF(M831=0,"",M831-$AX$2)</f>
        <v/>
      </c>
      <c r="AZ831" s="66">
        <f>IF(AND(W831="",AY831&gt;0,AY831&lt;15),1,0)</f>
        <v/>
      </c>
      <c r="BA831" s="24">
        <f>IF(AND(W831="",AY831&gt;0,AY831&lt;15),T831,"")</f>
        <v/>
      </c>
      <c r="BB831" s="87">
        <f>IF(R831&lt;Q831,"X","")</f>
        <v/>
      </c>
      <c r="BC831" s="190" t="inlineStr">
        <is>
          <t>NO</t>
        </is>
      </c>
      <c r="BD831" s="191" t="inlineStr">
        <is>
          <t>SI</t>
        </is>
      </c>
    </row>
    <row r="832" ht="15" customHeight="1" s="162">
      <c r="A832" s="7" t="n">
        <v>831</v>
      </c>
      <c r="B832" t="inlineStr">
        <is>
          <t>N07025FA4H5T0</t>
        </is>
      </c>
      <c r="C832" t="inlineStr">
        <is>
          <t>CONECTOR SUB-D SIN PINES 25P M ENG. AMPH</t>
        </is>
      </c>
      <c r="D832" t="inlineStr">
        <is>
          <t>1800108793</t>
        </is>
      </c>
      <c r="E832" t="inlineStr">
        <is>
          <t>170</t>
        </is>
      </c>
      <c r="F832" s="163" t="n">
        <v>45457</v>
      </c>
      <c r="G832" t="inlineStr"/>
      <c r="H832" t="inlineStr">
        <is>
          <t>4200572876</t>
        </is>
      </c>
      <c r="I832" t="inlineStr">
        <is>
          <t>810</t>
        </is>
      </c>
      <c r="J832" s="163" t="n">
        <v>45503</v>
      </c>
      <c r="K832" s="163" t="n">
        <v>45572</v>
      </c>
      <c r="L832" t="inlineStr"/>
      <c r="M832" s="163" t="n">
        <v>45520</v>
      </c>
      <c r="N832" s="164" t="n">
        <v>42</v>
      </c>
      <c r="O832" s="164" t="n">
        <v>8</v>
      </c>
      <c r="P832" t="inlineStr">
        <is>
          <t>Liberado</t>
        </is>
      </c>
      <c r="Q832" s="165" t="n">
        <v>35</v>
      </c>
      <c r="R832" s="165" t="n">
        <v>35</v>
      </c>
      <c r="S832" s="165" t="n">
        <v>35</v>
      </c>
      <c r="T832" s="165" t="n">
        <v>0</v>
      </c>
      <c r="U832" s="166" t="n">
        <v>35</v>
      </c>
      <c r="V832" s="166" t="n">
        <v>0</v>
      </c>
      <c r="W832" t="inlineStr">
        <is>
          <t>X</t>
        </is>
      </c>
      <c r="X832" t="inlineStr">
        <is>
          <t>0.00</t>
        </is>
      </c>
      <c r="Y832" t="inlineStr"/>
      <c r="Z832" t="inlineStr">
        <is>
          <t>SUMINISTROS CONECTORES PROF.,SA.</t>
        </is>
      </c>
      <c r="AA832" t="inlineStr">
        <is>
          <t>AMPHENOL CORP</t>
        </is>
      </c>
      <c r="AB832" t="inlineStr">
        <is>
          <t>117RRB25P</t>
        </is>
      </c>
      <c r="AC832" t="inlineStr"/>
      <c r="AD832" s="164" t="n">
        <v>1</v>
      </c>
      <c r="AE832" s="185" t="n">
        <v>1</v>
      </c>
      <c r="AG832" s="167" t="inlineStr">
        <is>
          <t>7218|JA2581_1001</t>
        </is>
      </c>
      <c r="AH832" s="47">
        <f>IF(M832=0,"-",M832-J832)</f>
        <v/>
      </c>
      <c r="AI832" s="46">
        <f>IF(AND(S832=0,M832&gt;0,L832=0),IF(AH832&gt;=120,"VERY HIGH",IF(AH832&gt;=90,"HIGH",IF(AH832&gt;=60,"MEDIUM",IF(AH832&lt;60,"LOW")))),"-")</f>
        <v/>
      </c>
      <c r="AJ832" s="12" t="n"/>
      <c r="AK832" s="53">
        <f>IF(AND(W832="X",M832&lt;=$AJ$2),"YES","")</f>
        <v/>
      </c>
      <c r="AL832" s="54">
        <f>IF(AND(W832="X",M832&lt;=$AJ$2),S832,"")</f>
        <v/>
      </c>
      <c r="AM832" s="35" t="n"/>
      <c r="AN832" s="35">
        <f>IF(AND(W832="X",M832&gt;$AJ$2),S832,"")</f>
        <v/>
      </c>
      <c r="AO832" s="35">
        <f>IF(AND(W832="",M832&gt;0,$AJ$2&gt;M832,L832=""),1,0)</f>
        <v/>
      </c>
      <c r="AP832" s="35">
        <f>IF(AND(AK832="YES",W832="X"),"X","")</f>
        <v/>
      </c>
      <c r="AQ832" s="55">
        <f>IF(AP832="X",100%,0%)</f>
        <v/>
      </c>
      <c r="AR832" s="25">
        <f>IF(AND(T832&gt;0,L832=""),H832,"")</f>
        <v/>
      </c>
      <c r="AS832" s="25">
        <f>IF(AND(D832&gt;0,H832=0,G832=""),1,"")</f>
        <v/>
      </c>
      <c r="AT832" s="25">
        <f>IF(G832="BLOQ",1,"")</f>
        <v/>
      </c>
      <c r="AU832" s="25">
        <f>IF(L832="BLOQ",1,"")</f>
        <v/>
      </c>
      <c r="AV832" s="25">
        <f>MONTH(F832)</f>
        <v/>
      </c>
      <c r="AW832" s="65">
        <f>IF(AP832="",100%,0%)</f>
        <v/>
      </c>
      <c r="AX832" s="56" t="n"/>
      <c r="AY832" s="24">
        <f>IF(M832=0,"",M832-$AX$2)</f>
        <v/>
      </c>
      <c r="AZ832" s="66">
        <f>IF(AND(W832="",AY832&gt;0,AY832&lt;15),1,0)</f>
        <v/>
      </c>
      <c r="BA832" s="24">
        <f>IF(AND(W832="",AY832&gt;0,AY832&lt;15),T832,"")</f>
        <v/>
      </c>
      <c r="BB832" s="87">
        <f>IF(R832&lt;Q832,"X","")</f>
        <v/>
      </c>
      <c r="BC832" s="190" t="inlineStr">
        <is>
          <t>NO</t>
        </is>
      </c>
      <c r="BD832" s="191" t="inlineStr">
        <is>
          <t>SI</t>
        </is>
      </c>
    </row>
    <row r="833" ht="15" customHeight="1" s="162">
      <c r="A833" s="7" t="n">
        <v>832</v>
      </c>
      <c r="B833" t="inlineStr">
        <is>
          <t>N07025SA4H5T0</t>
        </is>
      </c>
      <c r="C833" t="inlineStr">
        <is>
          <t>CONECTOR SUB-D SIN PINES 25P H ENG. AMPH</t>
        </is>
      </c>
      <c r="D833" t="inlineStr">
        <is>
          <t>1800108793</t>
        </is>
      </c>
      <c r="E833" t="inlineStr">
        <is>
          <t>180</t>
        </is>
      </c>
      <c r="F833" s="163" t="n">
        <v>45457</v>
      </c>
      <c r="G833" t="inlineStr"/>
      <c r="H833" t="inlineStr">
        <is>
          <t>4200572876</t>
        </is>
      </c>
      <c r="I833" t="inlineStr">
        <is>
          <t>820</t>
        </is>
      </c>
      <c r="J833" s="163" t="n">
        <v>45503</v>
      </c>
      <c r="K833" s="163" t="n">
        <v>45572</v>
      </c>
      <c r="L833" t="inlineStr"/>
      <c r="M833" s="163" t="n">
        <v>45488</v>
      </c>
      <c r="N833" s="164" t="n">
        <v>58</v>
      </c>
      <c r="O833" s="164" t="n">
        <v>8</v>
      </c>
      <c r="P833" t="inlineStr">
        <is>
          <t>Liberado</t>
        </is>
      </c>
      <c r="Q833" s="165" t="n">
        <v>20</v>
      </c>
      <c r="R833" s="165" t="n">
        <v>20</v>
      </c>
      <c r="S833" s="165" t="n">
        <v>20</v>
      </c>
      <c r="T833" s="165" t="n">
        <v>0</v>
      </c>
      <c r="U833" s="166" t="n">
        <v>20</v>
      </c>
      <c r="V833" s="166" t="n">
        <v>0</v>
      </c>
      <c r="W833" t="inlineStr">
        <is>
          <t>X</t>
        </is>
      </c>
      <c r="X833" t="inlineStr">
        <is>
          <t>0.00</t>
        </is>
      </c>
      <c r="Y833" t="inlineStr"/>
      <c r="Z833" t="inlineStr">
        <is>
          <t>SUMINISTROS CONECTORES PROF.,SA.</t>
        </is>
      </c>
      <c r="AA833" t="inlineStr">
        <is>
          <t>AMPHENOL CORP</t>
        </is>
      </c>
      <c r="AB833" t="inlineStr">
        <is>
          <t>117RRB25S</t>
        </is>
      </c>
      <c r="AC833" t="inlineStr"/>
      <c r="AD833" s="164" t="n">
        <v>0</v>
      </c>
      <c r="AE833" s="185" t="n">
        <v>0</v>
      </c>
      <c r="AG833" s="167" t="inlineStr">
        <is>
          <t>7218|JA2581_1001</t>
        </is>
      </c>
      <c r="AH833" s="47">
        <f>IF(M833=0,"-",M833-J833)</f>
        <v/>
      </c>
      <c r="AI833" s="46">
        <f>IF(AND(S833=0,M833&gt;0,L833=0),IF(AH833&gt;=120,"VERY HIGH",IF(AH833&gt;=90,"HIGH",IF(AH833&gt;=60,"MEDIUM",IF(AH833&lt;60,"LOW")))),"-")</f>
        <v/>
      </c>
      <c r="AJ833" s="12" t="n"/>
      <c r="AK833" s="53">
        <f>IF(AND(W833="X",M833&lt;=$AJ$2),"YES","")</f>
        <v/>
      </c>
      <c r="AL833" s="54">
        <f>IF(AND(W833="X",M833&lt;=$AJ$2),S833,"")</f>
        <v/>
      </c>
      <c r="AM833" s="35" t="n"/>
      <c r="AN833" s="35">
        <f>IF(AND(W833="X",M833&gt;$AJ$2),S833,"")</f>
        <v/>
      </c>
      <c r="AO833" s="35">
        <f>IF(AND(W833="",M833&gt;0,$AJ$2&gt;M833,L833=""),1,0)</f>
        <v/>
      </c>
      <c r="AP833" s="35">
        <f>IF(AND(AK833="YES",W833="X"),"X","")</f>
        <v/>
      </c>
      <c r="AQ833" s="55">
        <f>IF(AP833="X",100%,0%)</f>
        <v/>
      </c>
      <c r="AR833" s="25">
        <f>IF(AND(T833&gt;0,L833=""),H833,"")</f>
        <v/>
      </c>
      <c r="AS833" s="25">
        <f>IF(AND(D833&gt;0,H833=0,G833=""),1,"")</f>
        <v/>
      </c>
      <c r="AT833" s="25">
        <f>IF(G833="BLOQ",1,"")</f>
        <v/>
      </c>
      <c r="AU833" s="25">
        <f>IF(L833="BLOQ",1,"")</f>
        <v/>
      </c>
      <c r="AV833" s="25">
        <f>MONTH(F833)</f>
        <v/>
      </c>
      <c r="AW833" s="65">
        <f>IF(AP833="",100%,0%)</f>
        <v/>
      </c>
      <c r="AX833" s="56" t="n"/>
      <c r="AY833" s="24">
        <f>IF(M833=0,"",M833-$AX$2)</f>
        <v/>
      </c>
      <c r="AZ833" s="66">
        <f>IF(AND(W833="",AY833&gt;0,AY833&lt;15),1,0)</f>
        <v/>
      </c>
      <c r="BA833" s="24">
        <f>IF(AND(W833="",AY833&gt;0,AY833&lt;15),T833,"")</f>
        <v/>
      </c>
      <c r="BB833" s="87">
        <f>IF(R833&lt;Q833,"X","")</f>
        <v/>
      </c>
      <c r="BC833" s="190" t="inlineStr">
        <is>
          <t>NO</t>
        </is>
      </c>
      <c r="BD833" s="191" t="inlineStr">
        <is>
          <t>SI</t>
        </is>
      </c>
    </row>
    <row r="834" ht="15" customHeight="1" s="162">
      <c r="A834" s="7" t="n">
        <v>833</v>
      </c>
      <c r="B834" t="inlineStr">
        <is>
          <t>1230524620000</t>
        </is>
      </c>
      <c r="C834" t="inlineStr">
        <is>
          <t>FUND CBL 1/4" CBL 1/8-1/2" FR POLIES NEG</t>
        </is>
      </c>
      <c r="D834" t="inlineStr">
        <is>
          <t>1800108794</t>
        </is>
      </c>
      <c r="E834" t="inlineStr">
        <is>
          <t>10</t>
        </is>
      </c>
      <c r="F834" s="163" t="n">
        <v>45457</v>
      </c>
      <c r="G834" t="inlineStr"/>
      <c r="H834" t="inlineStr">
        <is>
          <t>4200571223</t>
        </is>
      </c>
      <c r="I834" t="inlineStr">
        <is>
          <t>100</t>
        </is>
      </c>
      <c r="J834" s="163" t="n">
        <v>45491</v>
      </c>
      <c r="K834" s="163" t="n">
        <v>45580</v>
      </c>
      <c r="L834" t="inlineStr"/>
      <c r="M834" s="163" t="n">
        <v>45512</v>
      </c>
      <c r="N834" s="164" t="n">
        <v>50</v>
      </c>
      <c r="O834" s="164" t="n">
        <v>8</v>
      </c>
      <c r="P834" t="inlineStr">
        <is>
          <t>Liberado</t>
        </is>
      </c>
      <c r="Q834" s="165" t="n">
        <v>1000</v>
      </c>
      <c r="R834" s="165" t="n">
        <v>1000</v>
      </c>
      <c r="S834" s="165" t="n">
        <v>1000</v>
      </c>
      <c r="T834" s="165" t="n">
        <v>0</v>
      </c>
      <c r="U834" s="166" t="n">
        <v>0</v>
      </c>
      <c r="V834" s="166" t="n">
        <v>0</v>
      </c>
      <c r="W834" t="inlineStr">
        <is>
          <t>X</t>
        </is>
      </c>
      <c r="X834" t="inlineStr">
        <is>
          <t>0.00</t>
        </is>
      </c>
      <c r="Y834" t="inlineStr"/>
      <c r="Z834" t="inlineStr">
        <is>
          <t>SUMINISTROS CONECTORES PROF.,SA.</t>
        </is>
      </c>
      <c r="AA834" t="inlineStr">
        <is>
          <t>WESTERN FILAMENT, INC</t>
        </is>
      </c>
      <c r="AB834" t="inlineStr">
        <is>
          <t>FR0250BK</t>
        </is>
      </c>
      <c r="AC834" t="inlineStr"/>
      <c r="AD834" s="164" t="n">
        <v>0</v>
      </c>
      <c r="AE834" s="185" t="n">
        <v>0</v>
      </c>
      <c r="AG834" s="167" t="inlineStr">
        <is>
          <t>7218|JA2581_1001</t>
        </is>
      </c>
      <c r="AH834" s="47">
        <f>IF(M834=0,"-",M834-J834)</f>
        <v/>
      </c>
      <c r="AI834" s="46">
        <f>IF(AND(S834=0,M834&gt;0,L834=0),IF(AH834&gt;=120,"VERY HIGH",IF(AH834&gt;=90,"HIGH",IF(AH834&gt;=60,"MEDIUM",IF(AH834&lt;60,"LOW")))),"-")</f>
        <v/>
      </c>
      <c r="AJ834" s="12" t="n"/>
      <c r="AK834" s="53">
        <f>IF(AND(W834="X",M834&lt;=$AJ$2),"YES","")</f>
        <v/>
      </c>
      <c r="AL834" s="54">
        <f>IF(AND(W834="X",M834&lt;=$AJ$2),S834,"")</f>
        <v/>
      </c>
      <c r="AM834" s="35" t="n"/>
      <c r="AN834" s="35">
        <f>IF(AND(W834="X",M834&gt;$AJ$2),S834,"")</f>
        <v/>
      </c>
      <c r="AO834" s="35">
        <f>IF(AND(W834="",M834&gt;0,$AJ$2&gt;M834,L834=""),1,0)</f>
        <v/>
      </c>
      <c r="AP834" s="35">
        <f>IF(AND(AK834="YES",W834="X"),"X","")</f>
        <v/>
      </c>
      <c r="AQ834" s="55">
        <f>IF(AP834="X",100%,0%)</f>
        <v/>
      </c>
      <c r="AR834" s="25">
        <f>IF(AND(T834&gt;0,L834=""),H834,"")</f>
        <v/>
      </c>
      <c r="AS834" s="25">
        <f>IF(AND(D834&gt;0,H834=0,G834=""),1,"")</f>
        <v/>
      </c>
      <c r="AT834" s="25">
        <f>IF(G834="BLOQ",1,"")</f>
        <v/>
      </c>
      <c r="AU834" s="25">
        <f>IF(L834="BLOQ",1,"")</f>
        <v/>
      </c>
      <c r="AV834" s="25">
        <f>MONTH(F834)</f>
        <v/>
      </c>
      <c r="AW834" s="65">
        <f>IF(AP834="",100%,0%)</f>
        <v/>
      </c>
      <c r="AX834" s="56" t="n"/>
      <c r="AY834" s="24">
        <f>IF(M834=0,"",M834-$AX$2)</f>
        <v/>
      </c>
      <c r="AZ834" s="66">
        <f>IF(AND(W834="",AY834&gt;0,AY834&lt;15),1,0)</f>
        <v/>
      </c>
      <c r="BA834" s="24">
        <f>IF(AND(W834="",AY834&gt;0,AY834&lt;15),T834,"")</f>
        <v/>
      </c>
      <c r="BB834" s="87">
        <f>IF(R834&lt;Q834,"X","")</f>
        <v/>
      </c>
      <c r="BC834" s="190" t="inlineStr">
        <is>
          <t>NO</t>
        </is>
      </c>
      <c r="BD834" s="191" t="inlineStr">
        <is>
          <t>SI</t>
        </is>
      </c>
    </row>
    <row r="835" ht="15" customHeight="1" s="162">
      <c r="A835" s="7" t="n">
        <v>834</v>
      </c>
      <c r="B835" t="inlineStr">
        <is>
          <t>1230525190000.LO</t>
        </is>
      </c>
      <c r="C835" t="inlineStr">
        <is>
          <t>FUND CBL DI=6,35-19,05MM MALLA POLIES NE</t>
        </is>
      </c>
      <c r="D835" t="inlineStr">
        <is>
          <t>1800108794</t>
        </is>
      </c>
      <c r="E835" t="inlineStr">
        <is>
          <t>20</t>
        </is>
      </c>
      <c r="F835" s="163" t="n">
        <v>45457</v>
      </c>
      <c r="G835" t="inlineStr"/>
      <c r="H835" t="inlineStr">
        <is>
          <t>4200570458</t>
        </is>
      </c>
      <c r="I835" t="inlineStr">
        <is>
          <t>20</t>
        </is>
      </c>
      <c r="J835" s="163" t="n">
        <v>45485</v>
      </c>
      <c r="K835" s="163" t="n">
        <v>45491</v>
      </c>
      <c r="L835" t="inlineStr"/>
      <c r="M835" s="163" t="n">
        <v>45555</v>
      </c>
      <c r="N835" s="164" t="n">
        <v>60</v>
      </c>
      <c r="O835" s="164" t="n">
        <v>8</v>
      </c>
      <c r="P835" t="inlineStr">
        <is>
          <t>Liberado</t>
        </is>
      </c>
      <c r="Q835" s="165" t="n">
        <v>1000</v>
      </c>
      <c r="R835" s="165" t="n">
        <v>1006.5</v>
      </c>
      <c r="S835" s="165" t="n">
        <v>1006.5</v>
      </c>
      <c r="T835" s="165" t="n">
        <v>0</v>
      </c>
      <c r="U835" s="166" t="n">
        <v>0</v>
      </c>
      <c r="V835" s="166" t="n">
        <v>0</v>
      </c>
      <c r="W835" t="inlineStr">
        <is>
          <t>X</t>
        </is>
      </c>
      <c r="X835" t="inlineStr">
        <is>
          <t>0.00</t>
        </is>
      </c>
      <c r="Y835" t="inlineStr"/>
      <c r="Z835" t="inlineStr">
        <is>
          <t>SUMINISTROS CONECTORES PROF.,SA.</t>
        </is>
      </c>
      <c r="AA835" t="inlineStr">
        <is>
          <t>ALPHA WIRE</t>
        </is>
      </c>
      <c r="AB835" t="inlineStr">
        <is>
          <t>GRP-110-1/2BK005</t>
        </is>
      </c>
      <c r="AC835" t="inlineStr"/>
      <c r="AD835" s="164" t="n">
        <v>0</v>
      </c>
      <c r="AE835" s="185" t="n">
        <v>0</v>
      </c>
      <c r="AG835" s="167" t="inlineStr">
        <is>
          <t>7218|JA2581_1001</t>
        </is>
      </c>
      <c r="AH835" s="47">
        <f>IF(M835=0,"-",M835-J835)</f>
        <v/>
      </c>
      <c r="AI835" s="46">
        <f>IF(AND(S835=0,M835&gt;0,L835=0),IF(AH835&gt;=120,"VERY HIGH",IF(AH835&gt;=90,"HIGH",IF(AH835&gt;=60,"MEDIUM",IF(AH835&lt;60,"LOW")))),"-")</f>
        <v/>
      </c>
      <c r="AJ835" s="12" t="n"/>
      <c r="AK835" s="53">
        <f>IF(AND(W835="X",M835&lt;=$AJ$2),"YES","")</f>
        <v/>
      </c>
      <c r="AL835" s="54">
        <f>IF(AND(W835="X",M835&lt;=$AJ$2),S835,"")</f>
        <v/>
      </c>
      <c r="AM835" s="35" t="n"/>
      <c r="AN835" s="35">
        <f>IF(AND(W835="X",M835&gt;$AJ$2),S835,"")</f>
        <v/>
      </c>
      <c r="AO835" s="35">
        <f>IF(AND(W835="",M835&gt;0,$AJ$2&gt;M835,L835=""),1,0)</f>
        <v/>
      </c>
      <c r="AP835" s="35">
        <f>IF(AND(AK835="YES",W835="X"),"X","")</f>
        <v/>
      </c>
      <c r="AQ835" s="55">
        <f>IF(AP835="X",100%,0%)</f>
        <v/>
      </c>
      <c r="AR835" s="25">
        <f>IF(AND(T835&gt;0,L835=""),H835,"")</f>
        <v/>
      </c>
      <c r="AS835" s="25">
        <f>IF(AND(D835&gt;0,H835=0,G835=""),1,"")</f>
        <v/>
      </c>
      <c r="AT835" s="25">
        <f>IF(G835="BLOQ",1,"")</f>
        <v/>
      </c>
      <c r="AU835" s="25">
        <f>IF(L835="BLOQ",1,"")</f>
        <v/>
      </c>
      <c r="AV835" s="25">
        <f>MONTH(F835)</f>
        <v/>
      </c>
      <c r="AW835" s="65">
        <f>IF(AP835="",100%,0%)</f>
        <v/>
      </c>
      <c r="AX835" s="56" t="n"/>
      <c r="AY835" s="24">
        <f>IF(M835=0,"",M835-$AX$2)</f>
        <v/>
      </c>
      <c r="AZ835" s="66">
        <f>IF(AND(W835="",AY835&gt;0,AY835&lt;15),1,0)</f>
        <v/>
      </c>
      <c r="BA835" s="24">
        <f>IF(AND(W835="",AY835&gt;0,AY835&lt;15),T835,"")</f>
        <v/>
      </c>
      <c r="BB835" s="87">
        <f>IF(R835&lt;Q835,"X","")</f>
        <v/>
      </c>
      <c r="BC835" s="190" t="inlineStr">
        <is>
          <t>NO</t>
        </is>
      </c>
      <c r="BD835" s="191" t="inlineStr">
        <is>
          <t>SI</t>
        </is>
      </c>
    </row>
    <row r="836" ht="15" customHeight="1" s="162">
      <c r="A836" s="7" t="n">
        <v>835</v>
      </c>
      <c r="B836" t="inlineStr">
        <is>
          <t>1230525310000.LO</t>
        </is>
      </c>
      <c r="C836" t="inlineStr">
        <is>
          <t>FUNDA CBL DI=12.7-31.75MM MALLA POLIESTE</t>
        </is>
      </c>
      <c r="D836" t="inlineStr">
        <is>
          <t>1800108794</t>
        </is>
      </c>
      <c r="E836" t="inlineStr">
        <is>
          <t>30</t>
        </is>
      </c>
      <c r="F836" s="163" t="n">
        <v>45457</v>
      </c>
      <c r="G836" t="inlineStr"/>
      <c r="H836" t="inlineStr">
        <is>
          <t>4200570458</t>
        </is>
      </c>
      <c r="I836" t="inlineStr">
        <is>
          <t>30</t>
        </is>
      </c>
      <c r="J836" s="163" t="n">
        <v>45485</v>
      </c>
      <c r="K836" s="163" t="n">
        <v>45491</v>
      </c>
      <c r="L836" t="inlineStr"/>
      <c r="M836" s="163" t="n">
        <v>45555</v>
      </c>
      <c r="N836" s="164" t="n">
        <v>30</v>
      </c>
      <c r="O836" s="164" t="n">
        <v>8</v>
      </c>
      <c r="P836" t="inlineStr">
        <is>
          <t>Liberado</t>
        </is>
      </c>
      <c r="Q836" s="165" t="n">
        <v>1000</v>
      </c>
      <c r="R836" s="165" t="n">
        <v>1006.5</v>
      </c>
      <c r="S836" s="165" t="n">
        <v>1006.5</v>
      </c>
      <c r="T836" s="165" t="n">
        <v>0</v>
      </c>
      <c r="U836" s="166" t="n">
        <v>0</v>
      </c>
      <c r="V836" s="166" t="n">
        <v>0</v>
      </c>
      <c r="W836" t="inlineStr">
        <is>
          <t>X</t>
        </is>
      </c>
      <c r="X836" t="inlineStr">
        <is>
          <t>0.00</t>
        </is>
      </c>
      <c r="Y836" t="inlineStr"/>
      <c r="Z836" t="inlineStr">
        <is>
          <t>SUMINISTROS CONECTORES PROF.,SA.</t>
        </is>
      </c>
      <c r="AA836" t="inlineStr">
        <is>
          <t>ALPHA WIRE</t>
        </is>
      </c>
      <c r="AB836" t="inlineStr">
        <is>
          <t>GRP-110-3/4</t>
        </is>
      </c>
      <c r="AC836" t="inlineStr"/>
      <c r="AD836" s="164" t="n">
        <v>0</v>
      </c>
      <c r="AE836" s="185" t="n">
        <v>0</v>
      </c>
      <c r="AG836" s="167" t="inlineStr">
        <is>
          <t>7218|JA2581_1001</t>
        </is>
      </c>
      <c r="AH836" s="47">
        <f>IF(M836=0,"-",M836-J836)</f>
        <v/>
      </c>
      <c r="AI836" s="46">
        <f>IF(AND(S836=0,M836&gt;0,L836=0),IF(AH836&gt;=120,"VERY HIGH",IF(AH836&gt;=90,"HIGH",IF(AH836&gt;=60,"MEDIUM",IF(AH836&lt;60,"LOW")))),"-")</f>
        <v/>
      </c>
      <c r="AJ836" s="12" t="n"/>
      <c r="AK836" s="53">
        <f>IF(AND(W836="X",M836&lt;=$AJ$2),"YES","")</f>
        <v/>
      </c>
      <c r="AL836" s="54">
        <f>IF(AND(W836="X",M836&lt;=$AJ$2),S836,"")</f>
        <v/>
      </c>
      <c r="AM836" s="35" t="n"/>
      <c r="AN836" s="35">
        <f>IF(AND(W836="X",M836&gt;$AJ$2),S836,"")</f>
        <v/>
      </c>
      <c r="AO836" s="35">
        <f>IF(AND(W836="",M836&gt;0,$AJ$2&gt;M836,L836=""),1,0)</f>
        <v/>
      </c>
      <c r="AP836" s="35">
        <f>IF(AND(AK836="YES",W836="X"),"X","")</f>
        <v/>
      </c>
      <c r="AQ836" s="55">
        <f>IF(AP836="X",100%,0%)</f>
        <v/>
      </c>
      <c r="AR836" s="25">
        <f>IF(AND(T836&gt;0,L836=""),H836,"")</f>
        <v/>
      </c>
      <c r="AS836" s="25">
        <f>IF(AND(D836&gt;0,H836=0,G836=""),1,"")</f>
        <v/>
      </c>
      <c r="AT836" s="25">
        <f>IF(G836="BLOQ",1,"")</f>
        <v/>
      </c>
      <c r="AU836" s="25">
        <f>IF(L836="BLOQ",1,"")</f>
        <v/>
      </c>
      <c r="AV836" s="25">
        <f>MONTH(F836)</f>
        <v/>
      </c>
      <c r="AW836" s="65">
        <f>IF(AP836="",100%,0%)</f>
        <v/>
      </c>
      <c r="AX836" s="56" t="n"/>
      <c r="AY836" s="24">
        <f>IF(M836=0,"",M836-$AX$2)</f>
        <v/>
      </c>
      <c r="AZ836" s="66">
        <f>IF(AND(W836="",AY836&gt;0,AY836&lt;15),1,0)</f>
        <v/>
      </c>
      <c r="BA836" s="24">
        <f>IF(AND(W836="",AY836&gt;0,AY836&lt;15),T836,"")</f>
        <v/>
      </c>
      <c r="BB836" s="87">
        <f>IF(R836&lt;Q836,"X","")</f>
        <v/>
      </c>
      <c r="BC836" s="190" t="inlineStr">
        <is>
          <t>NO</t>
        </is>
      </c>
      <c r="BD836" s="190" t="inlineStr">
        <is>
          <t>NO</t>
        </is>
      </c>
    </row>
    <row r="837" ht="15" customHeight="1" s="162">
      <c r="A837" s="7" t="n">
        <v>836</v>
      </c>
      <c r="B837" t="inlineStr">
        <is>
          <t>1231024160020</t>
        </is>
      </c>
      <c r="C837" t="inlineStr">
        <is>
          <t>TUBO TERMO 2:1 1/16" POLIOLEFINA NEGR RH</t>
        </is>
      </c>
      <c r="D837" t="inlineStr">
        <is>
          <t>1800108794</t>
        </is>
      </c>
      <c r="E837" t="inlineStr">
        <is>
          <t>40</t>
        </is>
      </c>
      <c r="F837" s="163" t="n">
        <v>45457</v>
      </c>
      <c r="G837" t="inlineStr"/>
      <c r="H837" t="inlineStr">
        <is>
          <t>4200574748</t>
        </is>
      </c>
      <c r="I837" t="inlineStr">
        <is>
          <t>20</t>
        </is>
      </c>
      <c r="J837" s="163" t="n">
        <v>45523</v>
      </c>
      <c r="K837" s="163" t="n">
        <v>45527</v>
      </c>
      <c r="L837" t="inlineStr"/>
      <c r="M837" s="163" t="n">
        <v>45537</v>
      </c>
      <c r="N837" s="164" t="n">
        <v>50</v>
      </c>
      <c r="O837" s="164" t="n">
        <v>8</v>
      </c>
      <c r="P837" t="inlineStr">
        <is>
          <t>Liberado</t>
        </is>
      </c>
      <c r="Q837" s="165" t="n">
        <v>30</v>
      </c>
      <c r="R837" s="165" t="n">
        <v>600</v>
      </c>
      <c r="S837" s="165" t="n">
        <v>600</v>
      </c>
      <c r="T837" s="165" t="n">
        <v>0</v>
      </c>
      <c r="U837" s="166" t="n">
        <v>600</v>
      </c>
      <c r="V837" s="166" t="n">
        <v>0</v>
      </c>
      <c r="W837" t="inlineStr">
        <is>
          <t>X</t>
        </is>
      </c>
      <c r="X837" t="inlineStr">
        <is>
          <t>0.00</t>
        </is>
      </c>
      <c r="Y837" t="inlineStr"/>
      <c r="Z837" t="inlineStr">
        <is>
          <t>TELKRON, S.A.</t>
        </is>
      </c>
      <c r="AA837" t="inlineStr">
        <is>
          <t>TE CONNECTIVITY</t>
        </is>
      </c>
      <c r="AB837" t="inlineStr">
        <is>
          <t>RNF-100-1/16-0-SP</t>
        </is>
      </c>
      <c r="AC837" t="inlineStr"/>
      <c r="AD837" s="164" t="n">
        <v>0</v>
      </c>
      <c r="AE837" s="185" t="n">
        <v>0</v>
      </c>
      <c r="AG837" s="167" t="inlineStr">
        <is>
          <t>7218|JA2581_1001</t>
        </is>
      </c>
      <c r="AH837" s="47">
        <f>IF(M837=0,"-",M837-J837)</f>
        <v/>
      </c>
      <c r="AI837" s="46">
        <f>IF(AND(S837=0,M837&gt;0,L837=0),IF(AH837&gt;=120,"VERY HIGH",IF(AH837&gt;=90,"HIGH",IF(AH837&gt;=60,"MEDIUM",IF(AH837&lt;60,"LOW")))),"-")</f>
        <v/>
      </c>
      <c r="AJ837" s="12" t="n"/>
      <c r="AK837" s="53">
        <f>IF(AND(W837="X",M837&lt;=$AJ$2),"YES","")</f>
        <v/>
      </c>
      <c r="AL837" s="54">
        <f>IF(AND(W837="X",M837&lt;=$AJ$2),S837,"")</f>
        <v/>
      </c>
      <c r="AM837" s="35" t="n"/>
      <c r="AN837" s="35">
        <f>IF(AND(W837="X",M837&gt;$AJ$2),S837,"")</f>
        <v/>
      </c>
      <c r="AO837" s="35">
        <f>IF(AND(W837="",M837&gt;0,$AJ$2&gt;M837,L837=""),1,0)</f>
        <v/>
      </c>
      <c r="AP837" s="35">
        <f>IF(AND(AK837="YES",W837="X"),"X","")</f>
        <v/>
      </c>
      <c r="AQ837" s="55">
        <f>IF(AP837="X",100%,0%)</f>
        <v/>
      </c>
      <c r="AR837" s="25">
        <f>IF(AND(T837&gt;0,L837=""),H837,"")</f>
        <v/>
      </c>
      <c r="AS837" s="25">
        <f>IF(AND(D837&gt;0,H837=0,G837=""),1,"")</f>
        <v/>
      </c>
      <c r="AT837" s="25">
        <f>IF(G837="BLOQ",1,"")</f>
        <v/>
      </c>
      <c r="AU837" s="25">
        <f>IF(L837="BLOQ",1,"")</f>
        <v/>
      </c>
      <c r="AV837" s="25">
        <f>MONTH(F837)</f>
        <v/>
      </c>
      <c r="AW837" s="65">
        <f>IF(AP837="",100%,0%)</f>
        <v/>
      </c>
      <c r="AX837" s="56" t="n"/>
      <c r="AY837" s="24">
        <f>IF(M837=0,"",M837-$AX$2)</f>
        <v/>
      </c>
      <c r="AZ837" s="66">
        <f>IF(AND(W837="",AY837&gt;0,AY837&lt;15),1,0)</f>
        <v/>
      </c>
      <c r="BA837" s="24">
        <f>IF(AND(W837="",AY837&gt;0,AY837&lt;15),T837,"")</f>
        <v/>
      </c>
      <c r="BB837" s="87">
        <f>IF(R837&lt;Q837,"X","")</f>
        <v/>
      </c>
      <c r="BC837" s="190" t="inlineStr">
        <is>
          <t>NO</t>
        </is>
      </c>
      <c r="BD837" s="191" t="inlineStr">
        <is>
          <t>SI</t>
        </is>
      </c>
    </row>
    <row r="838" ht="15" customHeight="1" s="162">
      <c r="A838" s="7" t="n">
        <v>837</v>
      </c>
      <c r="B838" t="inlineStr">
        <is>
          <t>1136090066200</t>
        </is>
      </c>
      <c r="C838" t="inlineStr">
        <is>
          <t>MAGNETOTER 1P 10A SNAP-IN BALANC I/O NEG</t>
        </is>
      </c>
      <c r="D838" t="inlineStr">
        <is>
          <t>1800108795</t>
        </is>
      </c>
      <c r="E838" t="inlineStr">
        <is>
          <t>10</t>
        </is>
      </c>
      <c r="F838" s="163" t="n">
        <v>45457</v>
      </c>
      <c r="G838" t="inlineStr"/>
      <c r="H838" t="inlineStr">
        <is>
          <t>4200568263</t>
        </is>
      </c>
      <c r="I838" t="inlineStr">
        <is>
          <t>110</t>
        </is>
      </c>
      <c r="J838" s="163" t="n">
        <v>45467</v>
      </c>
      <c r="K838" s="163" t="n">
        <v>45468</v>
      </c>
      <c r="L838" t="inlineStr"/>
      <c r="M838" s="163" t="n">
        <v>45509</v>
      </c>
      <c r="N838" s="164" t="n">
        <v>55</v>
      </c>
      <c r="O838" s="164" t="n">
        <v>8</v>
      </c>
      <c r="P838" t="inlineStr">
        <is>
          <t>Liberado</t>
        </is>
      </c>
      <c r="Q838" s="165" t="n">
        <v>6</v>
      </c>
      <c r="R838" s="165" t="n">
        <v>10</v>
      </c>
      <c r="S838" s="165" t="n">
        <v>10</v>
      </c>
      <c r="T838" s="165" t="n">
        <v>0</v>
      </c>
      <c r="U838" s="166" t="n">
        <v>10</v>
      </c>
      <c r="V838" s="166" t="n">
        <v>0</v>
      </c>
      <c r="W838" t="inlineStr">
        <is>
          <t>X</t>
        </is>
      </c>
      <c r="X838" t="inlineStr">
        <is>
          <t>0.00</t>
        </is>
      </c>
      <c r="Y838" t="inlineStr"/>
      <c r="Z838" t="inlineStr">
        <is>
          <t>E-T-A APARELLAJE ELECTRICO S.L.U.</t>
        </is>
      </c>
      <c r="AA838" t="inlineStr">
        <is>
          <t>E.T.A.</t>
        </is>
      </c>
      <c r="AB838" t="inlineStr">
        <is>
          <t>3130-F110-H7T1-W01Q-10A</t>
        </is>
      </c>
      <c r="AC838" t="inlineStr"/>
      <c r="AD838" s="164" t="n">
        <v>0</v>
      </c>
      <c r="AE838" s="185" t="n">
        <v>0</v>
      </c>
      <c r="AG838" s="167" t="inlineStr">
        <is>
          <t>7218|JA2581_1001</t>
        </is>
      </c>
      <c r="AH838" s="47">
        <f>IF(M838=0,"-",M838-J838)</f>
        <v/>
      </c>
      <c r="AI838" s="46">
        <f>IF(AND(S838=0,M838&gt;0,L838=0),IF(AH838&gt;=120,"VERY HIGH",IF(AH838&gt;=90,"HIGH",IF(AH838&gt;=60,"MEDIUM",IF(AH838&lt;60,"LOW")))),"-")</f>
        <v/>
      </c>
      <c r="AJ838" s="12" t="n"/>
      <c r="AK838" s="53">
        <f>IF(AND(W838="X",M838&lt;=$AJ$2),"YES","")</f>
        <v/>
      </c>
      <c r="AL838" s="54">
        <f>IF(AND(W838="X",M838&lt;=$AJ$2),S838,"")</f>
        <v/>
      </c>
      <c r="AM838" s="35" t="n"/>
      <c r="AN838" s="35">
        <f>IF(AND(W838="X",M838&gt;$AJ$2),S838,"")</f>
        <v/>
      </c>
      <c r="AO838" s="35">
        <f>IF(AND(W838="",M838&gt;0,$AJ$2&gt;M838,L838=""),1,0)</f>
        <v/>
      </c>
      <c r="AP838" s="35">
        <f>IF(AND(AK838="YES",W838="X"),"X","")</f>
        <v/>
      </c>
      <c r="AQ838" s="55">
        <f>IF(AP838="X",100%,0%)</f>
        <v/>
      </c>
      <c r="AR838" s="25">
        <f>IF(AND(T838&gt;0,L838=""),H838,"")</f>
        <v/>
      </c>
      <c r="AS838" s="25">
        <f>IF(AND(D838&gt;0,H838=0,G838=""),1,"")</f>
        <v/>
      </c>
      <c r="AT838" s="25">
        <f>IF(G838="BLOQ",1,"")</f>
        <v/>
      </c>
      <c r="AU838" s="25">
        <f>IF(L838="BLOQ",1,"")</f>
        <v/>
      </c>
      <c r="AV838" s="25">
        <f>MONTH(F838)</f>
        <v/>
      </c>
      <c r="AW838" s="65">
        <f>IF(AP838="",100%,0%)</f>
        <v/>
      </c>
      <c r="AX838" s="56" t="n"/>
      <c r="AY838" s="24">
        <f>IF(M838=0,"",M838-$AX$2)</f>
        <v/>
      </c>
      <c r="AZ838" s="66">
        <f>IF(AND(W838="",AY838&gt;0,AY838&lt;15),1,0)</f>
        <v/>
      </c>
      <c r="BA838" s="24">
        <f>IF(AND(W838="",AY838&gt;0,AY838&lt;15),T838,"")</f>
        <v/>
      </c>
      <c r="BB838" s="87">
        <f>IF(R838&lt;Q838,"X","")</f>
        <v/>
      </c>
      <c r="BC838" s="190" t="inlineStr">
        <is>
          <t>NO</t>
        </is>
      </c>
      <c r="BD838" s="191" t="inlineStr">
        <is>
          <t>SI</t>
        </is>
      </c>
    </row>
    <row r="839" ht="15" customHeight="1" s="162">
      <c r="A839" s="7" t="n">
        <v>838</v>
      </c>
      <c r="B839" t="inlineStr">
        <is>
          <t>1136090066400</t>
        </is>
      </c>
      <c r="C839" t="inlineStr">
        <is>
          <t>MAGNETOTER 3P 16A SNAP-IN BALANC I/O NEG</t>
        </is>
      </c>
      <c r="D839" t="inlineStr">
        <is>
          <t>1800108795</t>
        </is>
      </c>
      <c r="E839" t="inlineStr">
        <is>
          <t>20</t>
        </is>
      </c>
      <c r="F839" s="163" t="n">
        <v>45457</v>
      </c>
      <c r="G839" t="inlineStr"/>
      <c r="H839" t="inlineStr">
        <is>
          <t>4200568263</t>
        </is>
      </c>
      <c r="I839" t="inlineStr">
        <is>
          <t>120</t>
        </is>
      </c>
      <c r="J839" s="163" t="n">
        <v>45467</v>
      </c>
      <c r="K839" s="163" t="n">
        <v>45468</v>
      </c>
      <c r="L839" t="inlineStr"/>
      <c r="M839" s="163" t="n">
        <v>45509</v>
      </c>
      <c r="N839" s="164" t="n">
        <v>52</v>
      </c>
      <c r="O839" s="164" t="n">
        <v>8</v>
      </c>
      <c r="P839" t="inlineStr">
        <is>
          <t>Liberado</t>
        </is>
      </c>
      <c r="Q839" s="165" t="n">
        <v>2</v>
      </c>
      <c r="R839" s="165" t="n">
        <v>10</v>
      </c>
      <c r="S839" s="165" t="n">
        <v>10</v>
      </c>
      <c r="T839" s="165" t="n">
        <v>0</v>
      </c>
      <c r="U839" s="166" t="n">
        <v>10</v>
      </c>
      <c r="V839" s="166" t="n">
        <v>0</v>
      </c>
      <c r="W839" t="inlineStr">
        <is>
          <t>X</t>
        </is>
      </c>
      <c r="X839" t="inlineStr">
        <is>
          <t>0.00</t>
        </is>
      </c>
      <c r="Y839" t="inlineStr"/>
      <c r="Z839" t="inlineStr">
        <is>
          <t>E-T-A APARELLAJE ELECTRICO S.L.U.</t>
        </is>
      </c>
      <c r="AA839" t="inlineStr">
        <is>
          <t>E.T.A.</t>
        </is>
      </c>
      <c r="AB839" t="inlineStr">
        <is>
          <t>3130-F130-H7T1-W01Q-16A</t>
        </is>
      </c>
      <c r="AC839" t="inlineStr"/>
      <c r="AD839" s="164" t="n">
        <v>0</v>
      </c>
      <c r="AE839" s="185" t="n">
        <v>0</v>
      </c>
      <c r="AG839" s="167" t="inlineStr">
        <is>
          <t>7218|JA2581_1001</t>
        </is>
      </c>
      <c r="AH839" s="47">
        <f>IF(M839=0,"-",M839-J839)</f>
        <v/>
      </c>
      <c r="AI839" s="46">
        <f>IF(AND(S839=0,M839&gt;0,L839=0),IF(AH839&gt;=120,"VERY HIGH",IF(AH839&gt;=90,"HIGH",IF(AH839&gt;=60,"MEDIUM",IF(AH839&lt;60,"LOW")))),"-")</f>
        <v/>
      </c>
      <c r="AJ839" s="12" t="n"/>
      <c r="AK839" s="53">
        <f>IF(AND(W839="X",M839&lt;=$AJ$2),"YES","")</f>
        <v/>
      </c>
      <c r="AL839" s="54">
        <f>IF(AND(W839="X",M839&lt;=$AJ$2),S839,"")</f>
        <v/>
      </c>
      <c r="AM839" s="35" t="n"/>
      <c r="AN839" s="35">
        <f>IF(AND(W839="X",M839&gt;$AJ$2),S839,"")</f>
        <v/>
      </c>
      <c r="AO839" s="35">
        <f>IF(AND(W839="",M839&gt;0,$AJ$2&gt;M839,L839=""),1,0)</f>
        <v/>
      </c>
      <c r="AP839" s="35">
        <f>IF(AND(AK839="YES",W839="X"),"X","")</f>
        <v/>
      </c>
      <c r="AQ839" s="55">
        <f>IF(AP839="X",100%,0%)</f>
        <v/>
      </c>
      <c r="AR839" s="25">
        <f>IF(AND(T839&gt;0,L839=""),H839,"")</f>
        <v/>
      </c>
      <c r="AS839" s="25">
        <f>IF(AND(D839&gt;0,H839=0,G839=""),1,"")</f>
        <v/>
      </c>
      <c r="AT839" s="25">
        <f>IF(G839="BLOQ",1,"")</f>
        <v/>
      </c>
      <c r="AU839" s="25">
        <f>IF(L839="BLOQ",1,"")</f>
        <v/>
      </c>
      <c r="AV839" s="25">
        <f>MONTH(F839)</f>
        <v/>
      </c>
      <c r="AW839" s="65">
        <f>IF(AP839="",100%,0%)</f>
        <v/>
      </c>
      <c r="AX839" s="56" t="n"/>
      <c r="AY839" s="24">
        <f>IF(M839=0,"",M839-$AX$2)</f>
        <v/>
      </c>
      <c r="AZ839" s="66">
        <f>IF(AND(W839="",AY839&gt;0,AY839&lt;15),1,0)</f>
        <v/>
      </c>
      <c r="BA839" s="24">
        <f>IF(AND(W839="",AY839&gt;0,AY839&lt;15),T839,"")</f>
        <v/>
      </c>
      <c r="BB839" s="87">
        <f>IF(R839&lt;Q839,"X","")</f>
        <v/>
      </c>
      <c r="BC839" s="190" t="inlineStr">
        <is>
          <t>NO</t>
        </is>
      </c>
      <c r="BD839" s="191" t="inlineStr">
        <is>
          <t>SI</t>
        </is>
      </c>
    </row>
    <row r="840" ht="15" customHeight="1" s="162">
      <c r="A840" s="7" t="n">
        <v>839</v>
      </c>
      <c r="B840" t="inlineStr">
        <is>
          <t>1202107830000</t>
        </is>
      </c>
      <c r="C840" t="inlineStr">
        <is>
          <t>CNC SUB-D AD 78P M CRIMP RECT S/PINES</t>
        </is>
      </c>
      <c r="D840" t="inlineStr">
        <is>
          <t>1800108795</t>
        </is>
      </c>
      <c r="E840" t="inlineStr">
        <is>
          <t>30</t>
        </is>
      </c>
      <c r="F840" s="163" t="n">
        <v>45457</v>
      </c>
      <c r="G840" t="inlineStr"/>
      <c r="H840" t="inlineStr">
        <is>
          <t>4200570129</t>
        </is>
      </c>
      <c r="I840" t="inlineStr">
        <is>
          <t>10</t>
        </is>
      </c>
      <c r="J840" s="163" t="n">
        <v>45483</v>
      </c>
      <c r="K840" s="163" t="n">
        <v>45485</v>
      </c>
      <c r="L840" t="inlineStr">
        <is>
          <t>BORR</t>
        </is>
      </c>
      <c r="M840" s="163" t="n">
        <v>45630</v>
      </c>
      <c r="N840" s="164" t="n">
        <v>40</v>
      </c>
      <c r="O840" s="164" t="n">
        <v>8</v>
      </c>
      <c r="P840" t="inlineStr">
        <is>
          <t>Liberado</t>
        </is>
      </c>
      <c r="Q840" s="165" t="n">
        <v>95</v>
      </c>
      <c r="R840" s="165" t="n">
        <v>160</v>
      </c>
      <c r="S840" s="165" t="n">
        <v>0</v>
      </c>
      <c r="T840" s="165" t="n">
        <v>160</v>
      </c>
      <c r="U840" s="166" t="n">
        <v>0</v>
      </c>
      <c r="V840" s="166" t="n">
        <v>0</v>
      </c>
      <c r="W840" t="inlineStr"/>
      <c r="X840" t="inlineStr">
        <is>
          <t>1160.00</t>
        </is>
      </c>
      <c r="Y840" t="inlineStr"/>
      <c r="Z840" t="inlineStr">
        <is>
          <t>TTI INC.</t>
        </is>
      </c>
      <c r="AA840" t="inlineStr">
        <is>
          <t>MOLEX</t>
        </is>
      </c>
      <c r="AB840" t="inlineStr">
        <is>
          <t>1731130072</t>
        </is>
      </c>
      <c r="AC840" t="inlineStr"/>
      <c r="AD840" s="164" t="n">
        <v>0</v>
      </c>
      <c r="AE840" s="185" t="n">
        <v>0</v>
      </c>
      <c r="AG840" s="167" t="inlineStr">
        <is>
          <t>7218|JA2581_1001</t>
        </is>
      </c>
      <c r="AH840" s="47">
        <f>IF(M840=0,"-",M840-J840)</f>
        <v/>
      </c>
      <c r="AI840" s="46">
        <f>IF(AND(S840=0,M840&gt;0,L840=0),IF(AH840&gt;=120,"VERY HIGH",IF(AH840&gt;=90,"HIGH",IF(AH840&gt;=60,"MEDIUM",IF(AH840&lt;60,"LOW")))),"-")</f>
        <v/>
      </c>
      <c r="AJ840" s="12" t="n"/>
      <c r="AK840" s="53">
        <f>IF(AND(W840="X",M840&lt;=$AJ$2),"YES","")</f>
        <v/>
      </c>
      <c r="AL840" s="54">
        <f>IF(AND(W840="X",M840&lt;=$AJ$2),S840,"")</f>
        <v/>
      </c>
      <c r="AM840" s="35" t="n"/>
      <c r="AN840" s="35">
        <f>IF(AND(W840="X",M840&gt;$AJ$2),S840,"")</f>
        <v/>
      </c>
      <c r="AO840" s="35">
        <f>IF(AND(W840="",M840&gt;0,$AJ$2&gt;M840,L840=""),1,0)</f>
        <v/>
      </c>
      <c r="AP840" s="35">
        <f>IF(AND(AK840="YES",W840="X"),"X","")</f>
        <v/>
      </c>
      <c r="AQ840" s="55">
        <f>IF(AP840="X",100%,0%)</f>
        <v/>
      </c>
      <c r="AR840" s="25">
        <f>IF(AND(T840&gt;0,L840=""),H840,"")</f>
        <v/>
      </c>
      <c r="AS840" s="25">
        <f>IF(AND(D840&gt;0,H840=0,G840=""),1,"")</f>
        <v/>
      </c>
      <c r="AT840" s="25">
        <f>IF(G840="BLOQ",1,"")</f>
        <v/>
      </c>
      <c r="AU840" s="25">
        <f>IF(L840="BLOQ",1,"")</f>
        <v/>
      </c>
      <c r="AV840" s="25">
        <f>MONTH(F840)</f>
        <v/>
      </c>
      <c r="AW840" s="65">
        <f>IF(AP840="",100%,0%)</f>
        <v/>
      </c>
      <c r="AX840" s="56" t="n"/>
      <c r="AY840" s="24">
        <f>IF(M840=0,"",M840-$AX$2)</f>
        <v/>
      </c>
      <c r="AZ840" s="66">
        <f>IF(AND(W840="",AY840&gt;0,AY840&lt;15),1,0)</f>
        <v/>
      </c>
      <c r="BA840" s="24">
        <f>IF(AND(W840="",AY840&gt;0,AY840&lt;15),T840,"")</f>
        <v/>
      </c>
      <c r="BB840" s="87">
        <f>IF(R840&lt;Q840,"X","")</f>
        <v/>
      </c>
      <c r="BC840" s="190" t="inlineStr">
        <is>
          <t>NO</t>
        </is>
      </c>
      <c r="BD840" s="191" t="inlineStr">
        <is>
          <t>SI</t>
        </is>
      </c>
    </row>
    <row r="841" ht="15" customHeight="1" s="162">
      <c r="A841" s="7" t="n">
        <v>840</v>
      </c>
      <c r="B841" t="inlineStr">
        <is>
          <t>1202107830000</t>
        </is>
      </c>
      <c r="C841" t="inlineStr">
        <is>
          <t>CNC SUB-D AD 78P M CRIMP RECT S/PINES</t>
        </is>
      </c>
      <c r="D841" t="inlineStr">
        <is>
          <t>1800108795</t>
        </is>
      </c>
      <c r="E841" t="inlineStr">
        <is>
          <t>30</t>
        </is>
      </c>
      <c r="F841" s="163" t="n">
        <v>45457</v>
      </c>
      <c r="G841" t="inlineStr"/>
      <c r="H841" t="inlineStr">
        <is>
          <t>4200570328</t>
        </is>
      </c>
      <c r="I841" t="inlineStr">
        <is>
          <t>10</t>
        </is>
      </c>
      <c r="J841" s="163" t="n">
        <v>45484</v>
      </c>
      <c r="K841" s="163" t="n">
        <v>45485</v>
      </c>
      <c r="L841" t="inlineStr"/>
      <c r="M841" s="163" t="n">
        <v>45492</v>
      </c>
      <c r="N841" s="164" t="n">
        <v>40</v>
      </c>
      <c r="O841" s="164" t="n">
        <v>8</v>
      </c>
      <c r="P841" t="inlineStr">
        <is>
          <t>Liberado</t>
        </is>
      </c>
      <c r="Q841" s="165" t="n">
        <v>95</v>
      </c>
      <c r="R841" s="165" t="n">
        <v>95</v>
      </c>
      <c r="S841" s="165" t="n">
        <v>95</v>
      </c>
      <c r="T841" s="165" t="n">
        <v>0</v>
      </c>
      <c r="U841" s="166" t="n">
        <v>95</v>
      </c>
      <c r="V841" s="166" t="n">
        <v>0</v>
      </c>
      <c r="W841" t="inlineStr">
        <is>
          <t>X</t>
        </is>
      </c>
      <c r="X841" t="inlineStr">
        <is>
          <t>0.00</t>
        </is>
      </c>
      <c r="Y841" t="inlineStr"/>
      <c r="Z841" t="inlineStr">
        <is>
          <t>MOUSER ELECTRONICS, INC.</t>
        </is>
      </c>
      <c r="AA841" t="inlineStr">
        <is>
          <t>MOLEX</t>
        </is>
      </c>
      <c r="AB841" t="inlineStr">
        <is>
          <t>1731130072</t>
        </is>
      </c>
      <c r="AC841" t="inlineStr"/>
      <c r="AD841" s="164" t="n">
        <v>0</v>
      </c>
      <c r="AE841" s="185" t="n">
        <v>0</v>
      </c>
      <c r="AG841" s="167" t="inlineStr">
        <is>
          <t>7218|JA2581_1001</t>
        </is>
      </c>
      <c r="AH841" s="47">
        <f>IF(M841=0,"-",M841-J841)</f>
        <v/>
      </c>
      <c r="AI841" s="46">
        <f>IF(AND(S841=0,M841&gt;0,L841=0),IF(AH841&gt;=120,"VERY HIGH",IF(AH841&gt;=90,"HIGH",IF(AH841&gt;=60,"MEDIUM",IF(AH841&lt;60,"LOW")))),"-")</f>
        <v/>
      </c>
      <c r="AJ841" s="12" t="n"/>
      <c r="AK841" s="53">
        <f>IF(AND(W841="X",M841&lt;=$AJ$2),"YES","")</f>
        <v/>
      </c>
      <c r="AL841" s="54">
        <f>IF(AND(W841="X",M841&lt;=$AJ$2),S841,"")</f>
        <v/>
      </c>
      <c r="AM841" s="35" t="n"/>
      <c r="AN841" s="35">
        <f>IF(AND(W841="X",M841&gt;$AJ$2),S841,"")</f>
        <v/>
      </c>
      <c r="AO841" s="35">
        <f>IF(AND(W841="",M841&gt;0,$AJ$2&gt;M841,L841=""),1,0)</f>
        <v/>
      </c>
      <c r="AP841" s="35">
        <f>IF(AND(AK841="YES",W841="X"),"X","")</f>
        <v/>
      </c>
      <c r="AQ841" s="55">
        <f>IF(AP841="X",100%,0%)</f>
        <v/>
      </c>
      <c r="AR841" s="25">
        <f>IF(AND(T841&gt;0,L841=""),H841,"")</f>
        <v/>
      </c>
      <c r="AS841" s="25">
        <f>IF(AND(D841&gt;0,H841=0,G841=""),1,"")</f>
        <v/>
      </c>
      <c r="AT841" s="25">
        <f>IF(G841="BLOQ",1,"")</f>
        <v/>
      </c>
      <c r="AU841" s="25">
        <f>IF(L841="BLOQ",1,"")</f>
        <v/>
      </c>
      <c r="AV841" s="25">
        <f>MONTH(F841)</f>
        <v/>
      </c>
      <c r="AW841" s="65">
        <f>IF(AP841="",100%,0%)</f>
        <v/>
      </c>
      <c r="AX841" s="56" t="n"/>
      <c r="AY841" s="24">
        <f>IF(M841=0,"",M841-$AX$2)</f>
        <v/>
      </c>
      <c r="AZ841" s="66">
        <f>IF(AND(W841="",AY841&gt;0,AY841&lt;15),1,0)</f>
        <v/>
      </c>
      <c r="BA841" s="24">
        <f>IF(AND(W841="",AY841&gt;0,AY841&lt;15),T841,"")</f>
        <v/>
      </c>
      <c r="BB841" s="87">
        <f>IF(R841&lt;Q841,"X","")</f>
        <v/>
      </c>
      <c r="BC841" s="190" t="inlineStr">
        <is>
          <t>NO</t>
        </is>
      </c>
      <c r="BD841" s="191" t="inlineStr">
        <is>
          <t>SI</t>
        </is>
      </c>
    </row>
    <row r="842" ht="15" customHeight="1" s="162">
      <c r="A842" s="7" t="n">
        <v>841</v>
      </c>
      <c r="B842" t="inlineStr">
        <is>
          <t>1208005030000</t>
        </is>
      </c>
      <c r="C842" t="inlineStr">
        <is>
          <t>CNC RJ45 PLUG 50-PIEZAS TRANSPARENTE</t>
        </is>
      </c>
      <c r="D842" t="inlineStr">
        <is>
          <t>1800108795</t>
        </is>
      </c>
      <c r="E842" t="inlineStr">
        <is>
          <t>40</t>
        </is>
      </c>
      <c r="F842" s="163" t="n">
        <v>45457</v>
      </c>
      <c r="G842" t="inlineStr"/>
      <c r="H842" t="inlineStr">
        <is>
          <t>4200567469</t>
        </is>
      </c>
      <c r="I842" t="inlineStr">
        <is>
          <t>10</t>
        </is>
      </c>
      <c r="J842" s="163" t="n">
        <v>45461</v>
      </c>
      <c r="K842" s="163" t="n">
        <v>45463</v>
      </c>
      <c r="L842" t="inlineStr"/>
      <c r="M842" s="163" t="n">
        <v>45488</v>
      </c>
      <c r="N842" s="164" t="n">
        <v>30</v>
      </c>
      <c r="O842" s="164" t="n">
        <v>8</v>
      </c>
      <c r="P842" t="inlineStr">
        <is>
          <t>Liberado</t>
        </is>
      </c>
      <c r="Q842" s="165" t="n">
        <v>100</v>
      </c>
      <c r="R842" s="165" t="n">
        <v>100</v>
      </c>
      <c r="S842" s="165" t="n">
        <v>100</v>
      </c>
      <c r="T842" s="165" t="n">
        <v>0</v>
      </c>
      <c r="U842" s="166" t="n">
        <v>100</v>
      </c>
      <c r="V842" s="166" t="n">
        <v>0</v>
      </c>
      <c r="W842" t="inlineStr">
        <is>
          <t>X</t>
        </is>
      </c>
      <c r="X842" t="inlineStr">
        <is>
          <t>0.00</t>
        </is>
      </c>
      <c r="Y842" t="inlineStr"/>
      <c r="Z842" t="inlineStr">
        <is>
          <t>OMNIAELECTRONICS, S.L.</t>
        </is>
      </c>
      <c r="AA842" t="inlineStr">
        <is>
          <t>BELKIN COMPONENTS</t>
        </is>
      </c>
      <c r="AB842" t="inlineStr">
        <is>
          <t>R6G088-R-10</t>
        </is>
      </c>
      <c r="AC842" t="inlineStr"/>
      <c r="AD842" s="164" t="n">
        <v>0</v>
      </c>
      <c r="AE842" s="185" t="n">
        <v>0</v>
      </c>
      <c r="AG842" s="167" t="inlineStr">
        <is>
          <t>7218|JA2581_1001</t>
        </is>
      </c>
      <c r="AH842" s="47">
        <f>IF(M842=0,"-",M842-J842)</f>
        <v/>
      </c>
      <c r="AI842" s="46">
        <f>IF(AND(S842=0,M842&gt;0,L842=0),IF(AH842&gt;=120,"VERY HIGH",IF(AH842&gt;=90,"HIGH",IF(AH842&gt;=60,"MEDIUM",IF(AH842&lt;60,"LOW")))),"-")</f>
        <v/>
      </c>
      <c r="AJ842" s="12" t="n"/>
      <c r="AK842" s="53">
        <f>IF(AND(W842="X",M842&lt;=$AJ$2),"YES","")</f>
        <v/>
      </c>
      <c r="AL842" s="54">
        <f>IF(AND(W842="X",M842&lt;=$AJ$2),S842,"")</f>
        <v/>
      </c>
      <c r="AM842" s="35" t="n"/>
      <c r="AN842" s="35">
        <f>IF(AND(W842="X",M842&gt;$AJ$2),S842,"")</f>
        <v/>
      </c>
      <c r="AO842" s="35">
        <f>IF(AND(W842="",M842&gt;0,$AJ$2&gt;M842,L842=""),1,0)</f>
        <v/>
      </c>
      <c r="AP842" s="35">
        <f>IF(AND(AK842="YES",W842="X"),"X","")</f>
        <v/>
      </c>
      <c r="AQ842" s="55">
        <f>IF(AP842="X",100%,0%)</f>
        <v/>
      </c>
      <c r="AR842" s="25">
        <f>IF(AND(T842&gt;0,L842=""),H842,"")</f>
        <v/>
      </c>
      <c r="AS842" s="25">
        <f>IF(AND(D842&gt;0,H842=0,G842=""),1,"")</f>
        <v/>
      </c>
      <c r="AT842" s="25">
        <f>IF(G842="BLOQ",1,"")</f>
        <v/>
      </c>
      <c r="AU842" s="25">
        <f>IF(L842="BLOQ",1,"")</f>
        <v/>
      </c>
      <c r="AV842" s="25">
        <f>MONTH(F842)</f>
        <v/>
      </c>
      <c r="AW842" s="65">
        <f>IF(AP842="",100%,0%)</f>
        <v/>
      </c>
      <c r="AX842" s="56" t="n"/>
      <c r="AY842" s="24">
        <f>IF(M842=0,"",M842-$AX$2)</f>
        <v/>
      </c>
      <c r="AZ842" s="66">
        <f>IF(AND(W842="",AY842&gt;0,AY842&lt;15),1,0)</f>
        <v/>
      </c>
      <c r="BA842" s="24">
        <f>IF(AND(W842="",AY842&gt;0,AY842&lt;15),T842,"")</f>
        <v/>
      </c>
      <c r="BB842" s="87">
        <f>IF(R842&lt;Q842,"X","")</f>
        <v/>
      </c>
      <c r="BC842" s="190" t="inlineStr">
        <is>
          <t>NO</t>
        </is>
      </c>
      <c r="BD842" s="191" t="inlineStr">
        <is>
          <t>SI</t>
        </is>
      </c>
    </row>
    <row r="843" ht="15" customHeight="1" s="162">
      <c r="A843" s="7" t="n">
        <v>842</v>
      </c>
      <c r="B843" t="inlineStr">
        <is>
          <t>1229590910009</t>
        </is>
      </c>
      <c r="C843" t="inlineStr">
        <is>
          <t>CBL EQ DISPLAY PORT(M/M) 8K 22,8M NEGRO</t>
        </is>
      </c>
      <c r="D843" t="inlineStr">
        <is>
          <t>1800108795</t>
        </is>
      </c>
      <c r="E843" t="inlineStr">
        <is>
          <t>50</t>
        </is>
      </c>
      <c r="F843" s="163" t="n">
        <v>45457</v>
      </c>
      <c r="G843" t="inlineStr"/>
      <c r="H843" t="inlineStr">
        <is>
          <t>4200569265</t>
        </is>
      </c>
      <c r="I843" t="inlineStr">
        <is>
          <t>10</t>
        </is>
      </c>
      <c r="J843" s="163" t="n">
        <v>45476</v>
      </c>
      <c r="K843" s="163" t="n">
        <v>45478</v>
      </c>
      <c r="L843" t="inlineStr"/>
      <c r="M843" s="163" t="n">
        <v>45502</v>
      </c>
      <c r="N843" s="164" t="n">
        <v>30</v>
      </c>
      <c r="O843" s="164" t="n">
        <v>8</v>
      </c>
      <c r="P843" t="inlineStr">
        <is>
          <t>Liberado</t>
        </is>
      </c>
      <c r="Q843" s="165" t="n">
        <v>6</v>
      </c>
      <c r="R843" s="165" t="n">
        <v>6</v>
      </c>
      <c r="S843" s="165" t="n">
        <v>6</v>
      </c>
      <c r="T843" s="165" t="n">
        <v>0</v>
      </c>
      <c r="U843" s="166" t="n">
        <v>6</v>
      </c>
      <c r="V843" s="166" t="n">
        <v>0</v>
      </c>
      <c r="W843" t="inlineStr">
        <is>
          <t>X</t>
        </is>
      </c>
      <c r="X843" t="inlineStr">
        <is>
          <t>0.00</t>
        </is>
      </c>
      <c r="Y843" t="inlineStr"/>
      <c r="Z843" t="inlineStr">
        <is>
          <t>INGE VIDEO, S.A.</t>
        </is>
      </c>
      <c r="AA843" t="inlineStr">
        <is>
          <t>EXTRON ELECTRONICS</t>
        </is>
      </c>
      <c r="AB843" t="inlineStr">
        <is>
          <t>26-727-75</t>
        </is>
      </c>
      <c r="AC843" t="inlineStr"/>
      <c r="AD843" s="164" t="n">
        <v>1</v>
      </c>
      <c r="AE843" s="185" t="n">
        <v>1</v>
      </c>
      <c r="AG843" s="167" t="inlineStr">
        <is>
          <t>7218|JA2581_1001</t>
        </is>
      </c>
      <c r="AH843" s="47">
        <f>IF(M843=0,"-",M843-J843)</f>
        <v/>
      </c>
      <c r="AI843" s="46">
        <f>IF(AND(S843=0,M843&gt;0,L843=0),IF(AH843&gt;=120,"VERY HIGH",IF(AH843&gt;=90,"HIGH",IF(AH843&gt;=60,"MEDIUM",IF(AH843&lt;60,"LOW")))),"-")</f>
        <v/>
      </c>
      <c r="AJ843" s="12" t="n"/>
      <c r="AK843" s="53">
        <f>IF(AND(W843="X",M843&lt;=$AJ$2),"YES","")</f>
        <v/>
      </c>
      <c r="AL843" s="54">
        <f>IF(AND(W843="X",M843&lt;=$AJ$2),S843,"")</f>
        <v/>
      </c>
      <c r="AM843" s="35" t="n"/>
      <c r="AN843" s="35">
        <f>IF(AND(W843="X",M843&gt;$AJ$2),S843,"")</f>
        <v/>
      </c>
      <c r="AO843" s="35">
        <f>IF(AND(W843="",M843&gt;0,$AJ$2&gt;M843,L843=""),1,0)</f>
        <v/>
      </c>
      <c r="AP843" s="35">
        <f>IF(AND(AK843="YES",W843="X"),"X","")</f>
        <v/>
      </c>
      <c r="AQ843" s="55">
        <f>IF(AP843="X",100%,0%)</f>
        <v/>
      </c>
      <c r="AR843" s="25">
        <f>IF(AND(T843&gt;0,L843=""),H843,"")</f>
        <v/>
      </c>
      <c r="AS843" s="25">
        <f>IF(AND(D843&gt;0,H843=0,G843=""),1,"")</f>
        <v/>
      </c>
      <c r="AT843" s="25">
        <f>IF(G843="BLOQ",1,"")</f>
        <v/>
      </c>
      <c r="AU843" s="25">
        <f>IF(L843="BLOQ",1,"")</f>
        <v/>
      </c>
      <c r="AV843" s="25">
        <f>MONTH(F843)</f>
        <v/>
      </c>
      <c r="AW843" s="65">
        <f>IF(AP843="",100%,0%)</f>
        <v/>
      </c>
      <c r="AX843" s="56" t="n"/>
      <c r="AY843" s="24">
        <f>IF(M843=0,"",M843-$AX$2)</f>
        <v/>
      </c>
      <c r="AZ843" s="66">
        <f>IF(AND(W843="",AY843&gt;0,AY843&lt;15),1,0)</f>
        <v/>
      </c>
      <c r="BA843" s="24">
        <f>IF(AND(W843="",AY843&gt;0,AY843&lt;15),T843,"")</f>
        <v/>
      </c>
      <c r="BB843" s="87">
        <f>IF(R843&lt;Q843,"X","")</f>
        <v/>
      </c>
      <c r="BC843" s="190" t="inlineStr">
        <is>
          <t>NO</t>
        </is>
      </c>
      <c r="BD843" s="191" t="inlineStr">
        <is>
          <t>SI</t>
        </is>
      </c>
    </row>
    <row r="844" ht="15" customHeight="1" s="162">
      <c r="A844" s="7" t="n">
        <v>843</v>
      </c>
      <c r="B844" t="inlineStr">
        <is>
          <t>1229598230401</t>
        </is>
      </c>
      <c r="C844" t="inlineStr">
        <is>
          <t>CBL EQ HDMI 1.4-M/M HD PRO P/150 L=45.7M</t>
        </is>
      </c>
      <c r="D844" t="inlineStr">
        <is>
          <t>1800108795</t>
        </is>
      </c>
      <c r="E844" t="inlineStr">
        <is>
          <t>60</t>
        </is>
      </c>
      <c r="F844" s="163" t="n">
        <v>45457</v>
      </c>
      <c r="G844" t="inlineStr"/>
      <c r="H844" t="inlineStr">
        <is>
          <t>4200569265</t>
        </is>
      </c>
      <c r="I844" t="inlineStr">
        <is>
          <t>20</t>
        </is>
      </c>
      <c r="J844" s="163" t="n">
        <v>45476</v>
      </c>
      <c r="K844" s="163" t="n">
        <v>45478</v>
      </c>
      <c r="L844" t="inlineStr"/>
      <c r="M844" s="163" t="n">
        <v>45502</v>
      </c>
      <c r="N844" s="164" t="n">
        <v>105</v>
      </c>
      <c r="O844" s="164" t="n">
        <v>8</v>
      </c>
      <c r="P844" t="inlineStr">
        <is>
          <t>Liberado</t>
        </is>
      </c>
      <c r="Q844" s="165" t="n">
        <v>8</v>
      </c>
      <c r="R844" s="165" t="n">
        <v>8</v>
      </c>
      <c r="S844" s="165" t="n">
        <v>8</v>
      </c>
      <c r="T844" s="165" t="n">
        <v>0</v>
      </c>
      <c r="U844" s="166" t="n">
        <v>8</v>
      </c>
      <c r="V844" s="166" t="n">
        <v>0</v>
      </c>
      <c r="W844" t="inlineStr">
        <is>
          <t>X</t>
        </is>
      </c>
      <c r="X844" t="inlineStr">
        <is>
          <t>0.00</t>
        </is>
      </c>
      <c r="Y844" t="inlineStr"/>
      <c r="Z844" t="inlineStr">
        <is>
          <t>INGE VIDEO, S.A.</t>
        </is>
      </c>
      <c r="AA844" t="inlineStr">
        <is>
          <t>EXTRON ELECTRONICS</t>
        </is>
      </c>
      <c r="AB844" t="inlineStr">
        <is>
          <t>26-726-150</t>
        </is>
      </c>
      <c r="AC844" t="inlineStr"/>
      <c r="AD844" s="164" t="n">
        <v>1</v>
      </c>
      <c r="AE844" s="185" t="n">
        <v>1</v>
      </c>
      <c r="AG844" s="167" t="inlineStr">
        <is>
          <t>7218|JA2581_1001</t>
        </is>
      </c>
      <c r="AH844" s="47">
        <f>IF(M844=0,"-",M844-J844)</f>
        <v/>
      </c>
      <c r="AI844" s="46">
        <f>IF(AND(S844=0,M844&gt;0,L844=0),IF(AH844&gt;=120,"VERY HIGH",IF(AH844&gt;=90,"HIGH",IF(AH844&gt;=60,"MEDIUM",IF(AH844&lt;60,"LOW")))),"-")</f>
        <v/>
      </c>
      <c r="AJ844" s="12" t="n"/>
      <c r="AK844" s="53">
        <f>IF(AND(W844="X",M844&lt;=$AJ$2),"YES","")</f>
        <v/>
      </c>
      <c r="AL844" s="54">
        <f>IF(AND(W844="X",M844&lt;=$AJ$2),S844,"")</f>
        <v/>
      </c>
      <c r="AM844" s="35" t="n"/>
      <c r="AN844" s="35">
        <f>IF(AND(W844="X",M844&gt;$AJ$2),S844,"")</f>
        <v/>
      </c>
      <c r="AO844" s="35">
        <f>IF(AND(W844="",M844&gt;0,$AJ$2&gt;M844,L844=""),1,0)</f>
        <v/>
      </c>
      <c r="AP844" s="35">
        <f>IF(AND(AK844="YES",W844="X"),"X","")</f>
        <v/>
      </c>
      <c r="AQ844" s="55">
        <f>IF(AP844="X",100%,0%)</f>
        <v/>
      </c>
      <c r="AR844" s="25">
        <f>IF(AND(T844&gt;0,L844=""),H844,"")</f>
        <v/>
      </c>
      <c r="AS844" s="25">
        <f>IF(AND(D844&gt;0,H844=0,G844=""),1,"")</f>
        <v/>
      </c>
      <c r="AT844" s="25">
        <f>IF(G844="BLOQ",1,"")</f>
        <v/>
      </c>
      <c r="AU844" s="25">
        <f>IF(L844="BLOQ",1,"")</f>
        <v/>
      </c>
      <c r="AV844" s="25">
        <f>MONTH(F844)</f>
        <v/>
      </c>
      <c r="AW844" s="65">
        <f>IF(AP844="",100%,0%)</f>
        <v/>
      </c>
      <c r="AX844" s="56" t="n"/>
      <c r="AY844" s="24">
        <f>IF(M844=0,"",M844-$AX$2)</f>
        <v/>
      </c>
      <c r="AZ844" s="66">
        <f>IF(AND(W844="",AY844&gt;0,AY844&lt;15),1,0)</f>
        <v/>
      </c>
      <c r="BA844" s="24">
        <f>IF(AND(W844="",AY844&gt;0,AY844&lt;15),T844,"")</f>
        <v/>
      </c>
      <c r="BB844" s="87">
        <f>IF(R844&lt;Q844,"X","")</f>
        <v/>
      </c>
      <c r="BC844" s="190" t="inlineStr">
        <is>
          <t>NO</t>
        </is>
      </c>
      <c r="BD844" s="191" t="inlineStr">
        <is>
          <t>SI</t>
        </is>
      </c>
    </row>
    <row r="845" ht="15" customHeight="1" s="162">
      <c r="A845" s="7" t="n">
        <v>844</v>
      </c>
      <c r="B845" t="inlineStr">
        <is>
          <t>1231024320000</t>
        </is>
      </c>
      <c r="C845" t="inlineStr">
        <is>
          <t>TUBO TERMORRETRACTIL 3,2-0,58MM L=22MM P</t>
        </is>
      </c>
      <c r="D845" t="inlineStr">
        <is>
          <t>1800108795</t>
        </is>
      </c>
      <c r="E845" t="inlineStr">
        <is>
          <t>70</t>
        </is>
      </c>
      <c r="F845" s="163" t="n">
        <v>45457</v>
      </c>
      <c r="G845" t="inlineStr"/>
      <c r="H845" t="inlineStr">
        <is>
          <t>4200574737</t>
        </is>
      </c>
      <c r="I845" t="inlineStr">
        <is>
          <t>30</t>
        </is>
      </c>
      <c r="J845" s="163" t="n">
        <v>45523</v>
      </c>
      <c r="K845" s="163" t="n">
        <v>45527</v>
      </c>
      <c r="L845" t="inlineStr"/>
      <c r="M845" s="163" t="n">
        <v>45538</v>
      </c>
      <c r="N845" s="164" t="n">
        <v>60</v>
      </c>
      <c r="O845" s="164" t="n">
        <v>8</v>
      </c>
      <c r="P845" t="inlineStr">
        <is>
          <t>Liberado</t>
        </is>
      </c>
      <c r="Q845" s="165" t="n">
        <v>200</v>
      </c>
      <c r="R845" s="165" t="n">
        <v>200</v>
      </c>
      <c r="S845" s="165" t="n">
        <v>200</v>
      </c>
      <c r="T845" s="165" t="n">
        <v>0</v>
      </c>
      <c r="U845" s="166" t="n">
        <v>200</v>
      </c>
      <c r="V845" s="166" t="n">
        <v>0</v>
      </c>
      <c r="W845" t="inlineStr">
        <is>
          <t>X</t>
        </is>
      </c>
      <c r="X845" t="inlineStr">
        <is>
          <t>0.00</t>
        </is>
      </c>
      <c r="Y845" t="inlineStr"/>
      <c r="Z845" t="inlineStr">
        <is>
          <t>SUMINISTROS CONECTORES PROF.,SA.</t>
        </is>
      </c>
      <c r="AA845" t="inlineStr">
        <is>
          <t>TYCO ELECTR. FRANCE</t>
        </is>
      </c>
      <c r="AB845" t="inlineStr">
        <is>
          <t>PD-CAP-1/8-0</t>
        </is>
      </c>
      <c r="AC845" t="inlineStr"/>
      <c r="AD845" s="164" t="n">
        <v>0</v>
      </c>
      <c r="AE845" s="185" t="n">
        <v>0</v>
      </c>
      <c r="AG845" s="167" t="inlineStr">
        <is>
          <t>7218|JA2581_1001</t>
        </is>
      </c>
      <c r="AH845" s="47">
        <f>IF(M845=0,"-",M845-J845)</f>
        <v/>
      </c>
      <c r="AI845" s="46">
        <f>IF(AND(S845=0,M845&gt;0,L845=0),IF(AH845&gt;=120,"VERY HIGH",IF(AH845&gt;=90,"HIGH",IF(AH845&gt;=60,"MEDIUM",IF(AH845&lt;60,"LOW")))),"-")</f>
        <v/>
      </c>
      <c r="AJ845" s="12" t="n"/>
      <c r="AK845" s="53">
        <f>IF(AND(W845="X",M845&lt;=$AJ$2),"YES","")</f>
        <v/>
      </c>
      <c r="AL845" s="54">
        <f>IF(AND(W845="X",M845&lt;=$AJ$2),S845,"")</f>
        <v/>
      </c>
      <c r="AM845" s="35" t="n"/>
      <c r="AN845" s="35">
        <f>IF(AND(W845="X",M845&gt;$AJ$2),S845,"")</f>
        <v/>
      </c>
      <c r="AO845" s="35">
        <f>IF(AND(W845="",M845&gt;0,$AJ$2&gt;M845,L845=""),1,0)</f>
        <v/>
      </c>
      <c r="AP845" s="35">
        <f>IF(AND(AK845="YES",W845="X"),"X","")</f>
        <v/>
      </c>
      <c r="AQ845" s="55">
        <f>IF(AP845="X",100%,0%)</f>
        <v/>
      </c>
      <c r="AR845" s="25">
        <f>IF(AND(T845&gt;0,L845=""),H845,"")</f>
        <v/>
      </c>
      <c r="AS845" s="25">
        <f>IF(AND(D845&gt;0,H845=0,G845=""),1,"")</f>
        <v/>
      </c>
      <c r="AT845" s="25">
        <f>IF(G845="BLOQ",1,"")</f>
        <v/>
      </c>
      <c r="AU845" s="25">
        <f>IF(L845="BLOQ",1,"")</f>
        <v/>
      </c>
      <c r="AV845" s="25">
        <f>MONTH(F845)</f>
        <v/>
      </c>
      <c r="AW845" s="65">
        <f>IF(AP845="",100%,0%)</f>
        <v/>
      </c>
      <c r="AX845" s="56" t="n"/>
      <c r="AY845" s="24">
        <f>IF(M845=0,"",M845-$AX$2)</f>
        <v/>
      </c>
      <c r="AZ845" s="66">
        <f>IF(AND(W845="",AY845&gt;0,AY845&lt;15),1,0)</f>
        <v/>
      </c>
      <c r="BA845" s="24">
        <f>IF(AND(W845="",AY845&gt;0,AY845&lt;15),T845,"")</f>
        <v/>
      </c>
      <c r="BB845" s="87">
        <f>IF(R845&lt;Q845,"X","")</f>
        <v/>
      </c>
      <c r="BC845" s="190" t="inlineStr">
        <is>
          <t>NO</t>
        </is>
      </c>
      <c r="BD845" s="191" t="inlineStr">
        <is>
          <t>SI</t>
        </is>
      </c>
    </row>
    <row r="846" ht="15" customHeight="1" s="162">
      <c r="A846" s="7" t="n">
        <v>845</v>
      </c>
      <c r="B846" t="inlineStr">
        <is>
          <t>1231024320000</t>
        </is>
      </c>
      <c r="C846" t="inlineStr">
        <is>
          <t>TUBO TERMORRETRACTIL 3,2-0,58MM L=22MM P</t>
        </is>
      </c>
      <c r="D846" t="inlineStr">
        <is>
          <t>1800108795</t>
        </is>
      </c>
      <c r="E846" t="inlineStr">
        <is>
          <t>70</t>
        </is>
      </c>
      <c r="F846" s="163" t="n">
        <v>45457</v>
      </c>
      <c r="G846" t="inlineStr"/>
      <c r="H846" t="inlineStr">
        <is>
          <t>4200571038</t>
        </is>
      </c>
      <c r="I846" t="inlineStr">
        <is>
          <t>30</t>
        </is>
      </c>
      <c r="J846" s="163" t="n">
        <v>45490</v>
      </c>
      <c r="K846" s="163" t="n">
        <v>45527</v>
      </c>
      <c r="L846" t="inlineStr">
        <is>
          <t>BORR</t>
        </is>
      </c>
      <c r="M846" s="163" t="n">
        <v>45495</v>
      </c>
      <c r="N846" s="164" t="n">
        <v>60</v>
      </c>
      <c r="O846" s="164" t="n">
        <v>8</v>
      </c>
      <c r="P846" t="inlineStr">
        <is>
          <t>Liberado</t>
        </is>
      </c>
      <c r="Q846" s="165" t="n">
        <v>200</v>
      </c>
      <c r="R846" s="165" t="n">
        <v>200</v>
      </c>
      <c r="S846" s="165" t="n">
        <v>0</v>
      </c>
      <c r="T846" s="165" t="n">
        <v>200</v>
      </c>
      <c r="U846" s="166" t="n">
        <v>0</v>
      </c>
      <c r="V846" s="166" t="n">
        <v>0</v>
      </c>
      <c r="W846" t="inlineStr"/>
      <c r="X846" t="inlineStr">
        <is>
          <t>134.98</t>
        </is>
      </c>
      <c r="Y846" t="inlineStr"/>
      <c r="Z846" t="inlineStr">
        <is>
          <t>FARNELL COMPONENTS, S.L.</t>
        </is>
      </c>
      <c r="AA846" t="inlineStr">
        <is>
          <t>TYCO ELECTR. FRANCE</t>
        </is>
      </c>
      <c r="AB846" t="inlineStr">
        <is>
          <t>PD-CAP-1/8-0</t>
        </is>
      </c>
      <c r="AC846" t="inlineStr"/>
      <c r="AD846" s="164" t="n">
        <v>0</v>
      </c>
      <c r="AE846" s="185" t="n">
        <v>0</v>
      </c>
      <c r="AG846" s="167" t="inlineStr">
        <is>
          <t>7218|JA2581_1001</t>
        </is>
      </c>
      <c r="AH846" s="47">
        <f>IF(M846=0,"-",M846-J846)</f>
        <v/>
      </c>
      <c r="AI846" s="46">
        <f>IF(AND(S846=0,M846&gt;0,L846=0),IF(AH846&gt;=120,"VERY HIGH",IF(AH846&gt;=90,"HIGH",IF(AH846&gt;=60,"MEDIUM",IF(AH846&lt;60,"LOW")))),"-")</f>
        <v/>
      </c>
      <c r="AJ846" s="12" t="n"/>
      <c r="AK846" s="53">
        <f>IF(AND(W846="X",M846&lt;=$AJ$2),"YES","")</f>
        <v/>
      </c>
      <c r="AL846" s="54">
        <f>IF(AND(W846="X",M846&lt;=$AJ$2),S846,"")</f>
        <v/>
      </c>
      <c r="AM846" s="35" t="n"/>
      <c r="AN846" s="35">
        <f>IF(AND(W846="X",M846&gt;$AJ$2),S846,"")</f>
        <v/>
      </c>
      <c r="AO846" s="35">
        <f>IF(AND(W846="",M846&gt;0,$AJ$2&gt;M846,L846=""),1,0)</f>
        <v/>
      </c>
      <c r="AP846" s="35">
        <f>IF(AND(AK846="YES",W846="X"),"X","")</f>
        <v/>
      </c>
      <c r="AQ846" s="55">
        <f>IF(AP846="X",100%,0%)</f>
        <v/>
      </c>
      <c r="AR846" s="25">
        <f>IF(AND(T846&gt;0,L846=""),H846,"")</f>
        <v/>
      </c>
      <c r="AS846" s="25">
        <f>IF(AND(D846&gt;0,H846=0,G846=""),1,"")</f>
        <v/>
      </c>
      <c r="AT846" s="25">
        <f>IF(G846="BLOQ",1,"")</f>
        <v/>
      </c>
      <c r="AU846" s="25">
        <f>IF(L846="BLOQ",1,"")</f>
        <v/>
      </c>
      <c r="AV846" s="25">
        <f>MONTH(F846)</f>
        <v/>
      </c>
      <c r="AW846" s="65">
        <f>IF(AP846="",100%,0%)</f>
        <v/>
      </c>
      <c r="AX846" s="56" t="n"/>
      <c r="AY846" s="24">
        <f>IF(M846=0,"",M846-$AX$2)</f>
        <v/>
      </c>
      <c r="AZ846" s="66">
        <f>IF(AND(W846="",AY846&gt;0,AY846&lt;15),1,0)</f>
        <v/>
      </c>
      <c r="BA846" s="24">
        <f>IF(AND(W846="",AY846&gt;0,AY846&lt;15),T846,"")</f>
        <v/>
      </c>
      <c r="BB846" s="87">
        <f>IF(R846&lt;Q846,"X","")</f>
        <v/>
      </c>
      <c r="BC846" s="190" t="inlineStr">
        <is>
          <t>NO</t>
        </is>
      </c>
      <c r="BD846" s="191" t="inlineStr">
        <is>
          <t>SI</t>
        </is>
      </c>
    </row>
    <row r="847" ht="15" customHeight="1" s="162">
      <c r="A847" s="7" t="n">
        <v>846</v>
      </c>
      <c r="B847" t="inlineStr">
        <is>
          <t>1237000102900</t>
        </is>
      </c>
      <c r="C847" t="inlineStr">
        <is>
          <t>BORNERO 10P 2X12/8X20</t>
        </is>
      </c>
      <c r="D847" t="inlineStr">
        <is>
          <t>1800108795</t>
        </is>
      </c>
      <c r="E847" t="inlineStr">
        <is>
          <t>80</t>
        </is>
      </c>
      <c r="F847" s="163" t="n">
        <v>45457</v>
      </c>
      <c r="G847" t="inlineStr"/>
      <c r="H847" t="inlineStr">
        <is>
          <t>4200569198</t>
        </is>
      </c>
      <c r="I847" t="inlineStr">
        <is>
          <t>90</t>
        </is>
      </c>
      <c r="J847" s="163" t="n">
        <v>45476</v>
      </c>
      <c r="K847" s="163" t="n">
        <v>45477</v>
      </c>
      <c r="L847" t="inlineStr"/>
      <c r="M847" s="163" t="n">
        <v>45494</v>
      </c>
      <c r="N847" s="164" t="n">
        <v>30</v>
      </c>
      <c r="O847" s="164" t="n">
        <v>8</v>
      </c>
      <c r="P847" t="inlineStr">
        <is>
          <t>Liberado</t>
        </is>
      </c>
      <c r="Q847" s="165" t="n">
        <v>20</v>
      </c>
      <c r="R847" s="165" t="n">
        <v>20</v>
      </c>
      <c r="S847" s="165" t="n">
        <v>20</v>
      </c>
      <c r="T847" s="165" t="n">
        <v>0</v>
      </c>
      <c r="U847" s="166" t="n">
        <v>20</v>
      </c>
      <c r="V847" s="166" t="n">
        <v>0</v>
      </c>
      <c r="W847" t="inlineStr">
        <is>
          <t>X</t>
        </is>
      </c>
      <c r="X847" t="inlineStr">
        <is>
          <t>0.00</t>
        </is>
      </c>
      <c r="Y847" t="inlineStr"/>
      <c r="Z847" t="inlineStr">
        <is>
          <t>SUMINISTROS CONECTORES PROF.,SA.</t>
        </is>
      </c>
      <c r="AA847" t="inlineStr">
        <is>
          <t>EADS NORMALISATION S</t>
        </is>
      </c>
      <c r="AB847" t="inlineStr">
        <is>
          <t>NSA 937 901 M 12 02</t>
        </is>
      </c>
      <c r="AC847" t="inlineStr"/>
      <c r="AD847" s="164" t="n">
        <v>0</v>
      </c>
      <c r="AE847" s="185" t="n">
        <v>0</v>
      </c>
      <c r="AG847" s="167" t="inlineStr">
        <is>
          <t>7218|JA2581_1001</t>
        </is>
      </c>
      <c r="AH847" s="47">
        <f>IF(M847=0,"-",M847-J847)</f>
        <v/>
      </c>
      <c r="AI847" s="46">
        <f>IF(AND(S847=0,M847&gt;0,L847=0),IF(AH847&gt;=120,"VERY HIGH",IF(AH847&gt;=90,"HIGH",IF(AH847&gt;=60,"MEDIUM",IF(AH847&lt;60,"LOW")))),"-")</f>
        <v/>
      </c>
      <c r="AJ847" s="12" t="n"/>
      <c r="AK847" s="53">
        <f>IF(AND(W847="X",M847&lt;=$AJ$2),"YES","")</f>
        <v/>
      </c>
      <c r="AL847" s="54">
        <f>IF(AND(W847="X",M847&lt;=$AJ$2),S847,"")</f>
        <v/>
      </c>
      <c r="AM847" s="35" t="n"/>
      <c r="AN847" s="35">
        <f>IF(AND(W847="X",M847&gt;$AJ$2),S847,"")</f>
        <v/>
      </c>
      <c r="AO847" s="35">
        <f>IF(AND(W847="",M847&gt;0,$AJ$2&gt;M847,L847=""),1,0)</f>
        <v/>
      </c>
      <c r="AP847" s="35">
        <f>IF(AND(AK847="YES",W847="X"),"X","")</f>
        <v/>
      </c>
      <c r="AQ847" s="55">
        <f>IF(AP847="X",100%,0%)</f>
        <v/>
      </c>
      <c r="AR847" s="25">
        <f>IF(AND(T847&gt;0,L847=""),H847,"")</f>
        <v/>
      </c>
      <c r="AS847" s="25">
        <f>IF(AND(D847&gt;0,H847=0,G847=""),1,"")</f>
        <v/>
      </c>
      <c r="AT847" s="25">
        <f>IF(G847="BLOQ",1,"")</f>
        <v/>
      </c>
      <c r="AU847" s="25">
        <f>IF(L847="BLOQ",1,"")</f>
        <v/>
      </c>
      <c r="AV847" s="25">
        <f>MONTH(F847)</f>
        <v/>
      </c>
      <c r="AW847" s="65">
        <f>IF(AP847="",100%,0%)</f>
        <v/>
      </c>
      <c r="AX847" s="56" t="n"/>
      <c r="AY847" s="24">
        <f>IF(M847=0,"",M847-$AX$2)</f>
        <v/>
      </c>
      <c r="AZ847" s="66">
        <f>IF(AND(W847="",AY847&gt;0,AY847&lt;15),1,0)</f>
        <v/>
      </c>
      <c r="BA847" s="24">
        <f>IF(AND(W847="",AY847&gt;0,AY847&lt;15),T847,"")</f>
        <v/>
      </c>
      <c r="BB847" s="87">
        <f>IF(R847&lt;Q847,"X","")</f>
        <v/>
      </c>
      <c r="BC847" s="190" t="inlineStr">
        <is>
          <t>NO</t>
        </is>
      </c>
      <c r="BD847" s="191" t="inlineStr">
        <is>
          <t>SI</t>
        </is>
      </c>
    </row>
    <row r="848" ht="15" customHeight="1" s="162">
      <c r="A848" s="7" t="n">
        <v>847</v>
      </c>
      <c r="B848" t="inlineStr">
        <is>
          <t>1237000262200</t>
        </is>
      </c>
      <c r="C848" t="inlineStr">
        <is>
          <t>BORNERO 21P AWG22-26 5A</t>
        </is>
      </c>
      <c r="D848" t="inlineStr">
        <is>
          <t>1800108795</t>
        </is>
      </c>
      <c r="E848" t="inlineStr">
        <is>
          <t>90</t>
        </is>
      </c>
      <c r="F848" s="163" t="n">
        <v>45457</v>
      </c>
      <c r="G848" t="inlineStr"/>
      <c r="H848" t="inlineStr">
        <is>
          <t>4200569198</t>
        </is>
      </c>
      <c r="I848" t="inlineStr">
        <is>
          <t>100</t>
        </is>
      </c>
      <c r="J848" s="163" t="n">
        <v>45476</v>
      </c>
      <c r="K848" s="163" t="n">
        <v>45477</v>
      </c>
      <c r="L848" t="inlineStr"/>
      <c r="M848" s="163" t="n">
        <v>45494</v>
      </c>
      <c r="N848" s="164" t="n">
        <v>110</v>
      </c>
      <c r="O848" s="164" t="n">
        <v>8</v>
      </c>
      <c r="P848" t="inlineStr">
        <is>
          <t>Liberado</t>
        </is>
      </c>
      <c r="Q848" s="165" t="n">
        <v>6</v>
      </c>
      <c r="R848" s="165" t="n">
        <v>6</v>
      </c>
      <c r="S848" s="165" t="n">
        <v>6</v>
      </c>
      <c r="T848" s="165" t="n">
        <v>0</v>
      </c>
      <c r="U848" s="166" t="n">
        <v>6</v>
      </c>
      <c r="V848" s="166" t="n">
        <v>0</v>
      </c>
      <c r="W848" t="inlineStr">
        <is>
          <t>X</t>
        </is>
      </c>
      <c r="X848" t="inlineStr">
        <is>
          <t>0.00</t>
        </is>
      </c>
      <c r="Y848" t="inlineStr"/>
      <c r="Z848" t="inlineStr">
        <is>
          <t>SUMINISTROS CONECTORES PROF.,SA.</t>
        </is>
      </c>
      <c r="AA848" t="inlineStr">
        <is>
          <t>EADS NORMALISATION S</t>
        </is>
      </c>
      <c r="AB848" t="inlineStr">
        <is>
          <t>NSA 937 901 M 22 06</t>
        </is>
      </c>
      <c r="AC848" t="inlineStr"/>
      <c r="AD848" s="164" t="n">
        <v>0</v>
      </c>
      <c r="AE848" s="185" t="n">
        <v>0</v>
      </c>
      <c r="AG848" s="167" t="inlineStr">
        <is>
          <t>7218|JA2581_1001</t>
        </is>
      </c>
      <c r="AH848" s="47">
        <f>IF(M848=0,"-",M848-J848)</f>
        <v/>
      </c>
      <c r="AI848" s="46">
        <f>IF(AND(S848=0,M848&gt;0,L848=0),IF(AH848&gt;=120,"VERY HIGH",IF(AH848&gt;=90,"HIGH",IF(AH848&gt;=60,"MEDIUM",IF(AH848&lt;60,"LOW")))),"-")</f>
        <v/>
      </c>
      <c r="AJ848" s="12" t="n"/>
      <c r="AK848" s="53">
        <f>IF(AND(W848="X",M848&lt;=$AJ$2),"YES","")</f>
        <v/>
      </c>
      <c r="AL848" s="54">
        <f>IF(AND(W848="X",M848&lt;=$AJ$2),S848,"")</f>
        <v/>
      </c>
      <c r="AM848" s="35" t="n"/>
      <c r="AN848" s="35">
        <f>IF(AND(W848="X",M848&gt;$AJ$2),S848,"")</f>
        <v/>
      </c>
      <c r="AO848" s="35">
        <f>IF(AND(W848="",M848&gt;0,$AJ$2&gt;M848,L848=""),1,0)</f>
        <v/>
      </c>
      <c r="AP848" s="35">
        <f>IF(AND(AK848="YES",W848="X"),"X","")</f>
        <v/>
      </c>
      <c r="AQ848" s="55">
        <f>IF(AP848="X",100%,0%)</f>
        <v/>
      </c>
      <c r="AR848" s="25">
        <f>IF(AND(T848&gt;0,L848=""),H848,"")</f>
        <v/>
      </c>
      <c r="AS848" s="25">
        <f>IF(AND(D848&gt;0,H848=0,G848=""),1,"")</f>
        <v/>
      </c>
      <c r="AT848" s="25">
        <f>IF(G848="BLOQ",1,"")</f>
        <v/>
      </c>
      <c r="AU848" s="25">
        <f>IF(L848="BLOQ",1,"")</f>
        <v/>
      </c>
      <c r="AV848" s="25">
        <f>MONTH(F848)</f>
        <v/>
      </c>
      <c r="AW848" s="65">
        <f>IF(AP848="",100%,0%)</f>
        <v/>
      </c>
      <c r="AX848" s="56" t="n"/>
      <c r="AY848" s="24">
        <f>IF(M848=0,"",M848-$AX$2)</f>
        <v/>
      </c>
      <c r="AZ848" s="66">
        <f>IF(AND(W848="",AY848&gt;0,AY848&lt;15),1,0)</f>
        <v/>
      </c>
      <c r="BA848" s="24">
        <f>IF(AND(W848="",AY848&gt;0,AY848&lt;15),T848,"")</f>
        <v/>
      </c>
      <c r="BB848" s="87">
        <f>IF(R848&lt;Q848,"X","")</f>
        <v/>
      </c>
      <c r="BC848" s="190" t="inlineStr">
        <is>
          <t>NO</t>
        </is>
      </c>
      <c r="BD848" s="191" t="inlineStr">
        <is>
          <t>SI</t>
        </is>
      </c>
    </row>
    <row r="849" ht="15" customHeight="1" s="162">
      <c r="A849" s="7" t="n">
        <v>848</v>
      </c>
      <c r="B849" t="inlineStr">
        <is>
          <t>1238524450600</t>
        </is>
      </c>
      <c r="C849" t="inlineStr">
        <is>
          <t>TERMINAL PREAISLADO REDONDO D=4,5MM AZUL</t>
        </is>
      </c>
      <c r="D849" t="inlineStr">
        <is>
          <t>1800108795</t>
        </is>
      </c>
      <c r="E849" t="inlineStr">
        <is>
          <t>100</t>
        </is>
      </c>
      <c r="F849" s="163" t="n">
        <v>45457</v>
      </c>
      <c r="G849" t="inlineStr"/>
      <c r="H849" t="inlineStr">
        <is>
          <t>4200567472</t>
        </is>
      </c>
      <c r="I849" t="inlineStr">
        <is>
          <t>10</t>
        </is>
      </c>
      <c r="J849" s="163" t="n">
        <v>45461</v>
      </c>
      <c r="K849" s="163" t="n">
        <v>45463</v>
      </c>
      <c r="L849" t="inlineStr"/>
      <c r="M849" s="163" t="n">
        <v>45488</v>
      </c>
      <c r="N849" s="164" t="n">
        <v>110</v>
      </c>
      <c r="O849" s="164" t="n">
        <v>8</v>
      </c>
      <c r="P849" t="inlineStr">
        <is>
          <t>Liberado</t>
        </is>
      </c>
      <c r="Q849" s="165" t="n">
        <v>200</v>
      </c>
      <c r="R849" s="165" t="n">
        <v>200</v>
      </c>
      <c r="S849" s="165" t="n">
        <v>200</v>
      </c>
      <c r="T849" s="165" t="n">
        <v>0</v>
      </c>
      <c r="U849" s="166" t="n">
        <v>200</v>
      </c>
      <c r="V849" s="166" t="n">
        <v>0</v>
      </c>
      <c r="W849" t="inlineStr">
        <is>
          <t>X</t>
        </is>
      </c>
      <c r="X849" t="inlineStr">
        <is>
          <t>0.00</t>
        </is>
      </c>
      <c r="Y849" t="inlineStr"/>
      <c r="Z849" t="inlineStr">
        <is>
          <t>LUJISA, S.A.</t>
        </is>
      </c>
      <c r="AA849" t="inlineStr">
        <is>
          <t>CEMBRE</t>
        </is>
      </c>
      <c r="AB849" t="inlineStr">
        <is>
          <t>BK-M5</t>
        </is>
      </c>
      <c r="AC849" t="inlineStr"/>
      <c r="AD849" s="164" t="n">
        <v>0</v>
      </c>
      <c r="AE849" s="185" t="n">
        <v>0</v>
      </c>
      <c r="AG849" s="167" t="inlineStr">
        <is>
          <t>7218|JA2581_1001</t>
        </is>
      </c>
      <c r="AH849" s="47">
        <f>IF(M849=0,"-",M849-J849)</f>
        <v/>
      </c>
      <c r="AI849" s="46">
        <f>IF(AND(S849=0,M849&gt;0,L849=0),IF(AH849&gt;=120,"VERY HIGH",IF(AH849&gt;=90,"HIGH",IF(AH849&gt;=60,"MEDIUM",IF(AH849&lt;60,"LOW")))),"-")</f>
        <v/>
      </c>
      <c r="AJ849" s="12" t="n"/>
      <c r="AK849" s="53">
        <f>IF(AND(W849="X",M849&lt;=$AJ$2),"YES","")</f>
        <v/>
      </c>
      <c r="AL849" s="54">
        <f>IF(AND(W849="X",M849&lt;=$AJ$2),S849,"")</f>
        <v/>
      </c>
      <c r="AM849" s="35" t="n"/>
      <c r="AN849" s="35">
        <f>IF(AND(W849="X",M849&gt;$AJ$2),S849,"")</f>
        <v/>
      </c>
      <c r="AO849" s="35">
        <f>IF(AND(W849="",M849&gt;0,$AJ$2&gt;M849,L849=""),1,0)</f>
        <v/>
      </c>
      <c r="AP849" s="35">
        <f>IF(AND(AK849="YES",W849="X"),"X","")</f>
        <v/>
      </c>
      <c r="AQ849" s="55">
        <f>IF(AP849="X",100%,0%)</f>
        <v/>
      </c>
      <c r="AR849" s="25">
        <f>IF(AND(T849&gt;0,L849=""),H849,"")</f>
        <v/>
      </c>
      <c r="AS849" s="25">
        <f>IF(AND(D849&gt;0,H849=0,G849=""),1,"")</f>
        <v/>
      </c>
      <c r="AT849" s="25">
        <f>IF(G849="BLOQ",1,"")</f>
        <v/>
      </c>
      <c r="AU849" s="25">
        <f>IF(L849="BLOQ",1,"")</f>
        <v/>
      </c>
      <c r="AV849" s="25">
        <f>MONTH(F849)</f>
        <v/>
      </c>
      <c r="AW849" s="65">
        <f>IF(AP849="",100%,0%)</f>
        <v/>
      </c>
      <c r="AX849" s="56" t="n"/>
      <c r="AY849" s="24">
        <f>IF(M849=0,"",M849-$AX$2)</f>
        <v/>
      </c>
      <c r="AZ849" s="66">
        <f>IF(AND(W849="",AY849&gt;0,AY849&lt;15),1,0)</f>
        <v/>
      </c>
      <c r="BA849" s="24">
        <f>IF(AND(W849="",AY849&gt;0,AY849&lt;15),T849,"")</f>
        <v/>
      </c>
      <c r="BB849" s="87">
        <f>IF(R849&lt;Q849,"X","")</f>
        <v/>
      </c>
      <c r="BC849" s="190" t="inlineStr">
        <is>
          <t>NO</t>
        </is>
      </c>
      <c r="BD849" s="191" t="inlineStr">
        <is>
          <t>SI</t>
        </is>
      </c>
    </row>
    <row r="850" ht="15" customHeight="1" s="162">
      <c r="A850" s="7" t="n">
        <v>849</v>
      </c>
      <c r="B850" t="inlineStr">
        <is>
          <t>1239990800000</t>
        </is>
      </c>
      <c r="C850" t="inlineStr">
        <is>
          <t>RAIL P/BORNEROS MODULARES 1M NSA937901</t>
        </is>
      </c>
      <c r="D850" t="inlineStr">
        <is>
          <t>1800108795</t>
        </is>
      </c>
      <c r="E850" t="inlineStr">
        <is>
          <t>110</t>
        </is>
      </c>
      <c r="F850" s="163" t="n">
        <v>45457</v>
      </c>
      <c r="G850" t="inlineStr"/>
      <c r="H850" t="inlineStr">
        <is>
          <t>4200569198</t>
        </is>
      </c>
      <c r="I850" t="inlineStr">
        <is>
          <t>110</t>
        </is>
      </c>
      <c r="J850" s="163" t="n">
        <v>45476</v>
      </c>
      <c r="K850" s="163" t="n">
        <v>45477</v>
      </c>
      <c r="L850" t="inlineStr"/>
      <c r="M850" s="163" t="n">
        <v>45494</v>
      </c>
      <c r="N850" s="164" t="n">
        <v>40</v>
      </c>
      <c r="O850" s="164" t="n">
        <v>8</v>
      </c>
      <c r="P850" t="inlineStr">
        <is>
          <t>Liberado</t>
        </is>
      </c>
      <c r="Q850" s="165" t="n">
        <v>5</v>
      </c>
      <c r="R850" s="165" t="n">
        <v>5</v>
      </c>
      <c r="S850" s="165" t="n">
        <v>5</v>
      </c>
      <c r="T850" s="165" t="n">
        <v>0</v>
      </c>
      <c r="U850" s="166" t="n">
        <v>5</v>
      </c>
      <c r="V850" s="166" t="n">
        <v>0</v>
      </c>
      <c r="W850" t="inlineStr">
        <is>
          <t>X</t>
        </is>
      </c>
      <c r="X850" t="inlineStr">
        <is>
          <t>0.00</t>
        </is>
      </c>
      <c r="Y850" t="inlineStr"/>
      <c r="Z850" t="inlineStr">
        <is>
          <t>SUMINISTROS CONECTORES PROF.,SA.</t>
        </is>
      </c>
      <c r="AA850" t="inlineStr">
        <is>
          <t>EADS NORMALISATION S</t>
        </is>
      </c>
      <c r="AB850" t="inlineStr">
        <is>
          <t>NSA937901RA1000</t>
        </is>
      </c>
      <c r="AC850" t="inlineStr"/>
      <c r="AD850" s="164" t="n">
        <v>0</v>
      </c>
      <c r="AE850" s="185" t="n">
        <v>0</v>
      </c>
      <c r="AG850" s="167" t="inlineStr">
        <is>
          <t>7218|JA2581_1001</t>
        </is>
      </c>
      <c r="AH850" s="47">
        <f>IF(M850=0,"-",M850-J850)</f>
        <v/>
      </c>
      <c r="AI850" s="46">
        <f>IF(AND(S850=0,M850&gt;0,L850=0),IF(AH850&gt;=120,"VERY HIGH",IF(AH850&gt;=90,"HIGH",IF(AH850&gt;=60,"MEDIUM",IF(AH850&lt;60,"LOW")))),"-")</f>
        <v/>
      </c>
      <c r="AJ850" s="12" t="n"/>
      <c r="AK850" s="53">
        <f>IF(AND(W850="X",M850&lt;=$AJ$2),"YES","")</f>
        <v/>
      </c>
      <c r="AL850" s="54">
        <f>IF(AND(W850="X",M850&lt;=$AJ$2),S850,"")</f>
        <v/>
      </c>
      <c r="AM850" s="35" t="n"/>
      <c r="AN850" s="35">
        <f>IF(AND(W850="X",M850&gt;$AJ$2),S850,"")</f>
        <v/>
      </c>
      <c r="AO850" s="35">
        <f>IF(AND(W850="",M850&gt;0,$AJ$2&gt;M850,L850=""),1,0)</f>
        <v/>
      </c>
      <c r="AP850" s="35">
        <f>IF(AND(AK850="YES",W850="X"),"X","")</f>
        <v/>
      </c>
      <c r="AQ850" s="55">
        <f>IF(AP850="X",100%,0%)</f>
        <v/>
      </c>
      <c r="AR850" s="25">
        <f>IF(AND(T850&gt;0,L850=""),H850,"")</f>
        <v/>
      </c>
      <c r="AS850" s="25">
        <f>IF(AND(D850&gt;0,H850=0,G850=""),1,"")</f>
        <v/>
      </c>
      <c r="AT850" s="25">
        <f>IF(G850="BLOQ",1,"")</f>
        <v/>
      </c>
      <c r="AU850" s="25">
        <f>IF(L850="BLOQ",1,"")</f>
        <v/>
      </c>
      <c r="AV850" s="25">
        <f>MONTH(F850)</f>
        <v/>
      </c>
      <c r="AW850" s="65">
        <f>IF(AP850="",100%,0%)</f>
        <v/>
      </c>
      <c r="AX850" s="56" t="n"/>
      <c r="AY850" s="24">
        <f>IF(M850=0,"",M850-$AX$2)</f>
        <v/>
      </c>
      <c r="AZ850" s="66">
        <f>IF(AND(W850="",AY850&gt;0,AY850&lt;15),1,0)</f>
        <v/>
      </c>
      <c r="BA850" s="24">
        <f>IF(AND(W850="",AY850&gt;0,AY850&lt;15),T850,"")</f>
        <v/>
      </c>
      <c r="BB850" s="87">
        <f>IF(R850&lt;Q850,"X","")</f>
        <v/>
      </c>
      <c r="BC850" s="190" t="inlineStr">
        <is>
          <t>NO</t>
        </is>
      </c>
      <c r="BD850" s="191" t="inlineStr">
        <is>
          <t>SI</t>
        </is>
      </c>
    </row>
    <row r="851" ht="15" customHeight="1" s="162">
      <c r="A851" s="7" t="n">
        <v>850</v>
      </c>
      <c r="B851" t="inlineStr">
        <is>
          <t>1587080101200</t>
        </is>
      </c>
      <c r="C851" t="inlineStr">
        <is>
          <t>ETIQUETA ADH TRANSF TERM 50,8X38,1MM TLS</t>
        </is>
      </c>
      <c r="D851" t="inlineStr">
        <is>
          <t>1800108795</t>
        </is>
      </c>
      <c r="E851" t="inlineStr">
        <is>
          <t>120</t>
        </is>
      </c>
      <c r="F851" s="163" t="n">
        <v>45457</v>
      </c>
      <c r="G851" t="inlineStr"/>
      <c r="H851" t="inlineStr">
        <is>
          <t>4200569417</t>
        </is>
      </c>
      <c r="I851" t="inlineStr">
        <is>
          <t>30</t>
        </is>
      </c>
      <c r="J851" s="163" t="n">
        <v>45477</v>
      </c>
      <c r="K851" s="163" t="n">
        <v>45484</v>
      </c>
      <c r="L851" t="inlineStr"/>
      <c r="M851" s="163" t="n">
        <v>45488</v>
      </c>
      <c r="N851" s="164" t="n">
        <v>30</v>
      </c>
      <c r="O851" s="164" t="n">
        <v>8</v>
      </c>
      <c r="P851" t="inlineStr">
        <is>
          <t>Liberado</t>
        </is>
      </c>
      <c r="Q851" s="165" t="n">
        <v>2000</v>
      </c>
      <c r="R851" s="165" t="n">
        <v>2000</v>
      </c>
      <c r="S851" s="165" t="n">
        <v>2000</v>
      </c>
      <c r="T851" s="165" t="n">
        <v>0</v>
      </c>
      <c r="U851" s="166" t="n">
        <v>2000</v>
      </c>
      <c r="V851" s="166" t="n">
        <v>0</v>
      </c>
      <c r="W851" t="inlineStr">
        <is>
          <t>X</t>
        </is>
      </c>
      <c r="X851" t="inlineStr">
        <is>
          <t>0.00</t>
        </is>
      </c>
      <c r="Y851" t="inlineStr"/>
      <c r="Z851" t="inlineStr">
        <is>
          <t>MARKABLE SOLUTIONS, S.L.</t>
        </is>
      </c>
      <c r="AA851" t="inlineStr">
        <is>
          <t>BRADY</t>
        </is>
      </c>
      <c r="AB851" t="inlineStr">
        <is>
          <t>PTL-107-427</t>
        </is>
      </c>
      <c r="AC851" t="inlineStr"/>
      <c r="AD851" s="164" t="n">
        <v>0</v>
      </c>
      <c r="AE851" s="185" t="n">
        <v>0</v>
      </c>
      <c r="AG851" s="167" t="inlineStr">
        <is>
          <t>7218|JA2581_1001</t>
        </is>
      </c>
      <c r="AH851" s="47">
        <f>IF(M851=0,"-",M851-J851)</f>
        <v/>
      </c>
      <c r="AI851" s="46">
        <f>IF(AND(S851=0,M851&gt;0,L851=0),IF(AH851&gt;=120,"VERY HIGH",IF(AH851&gt;=90,"HIGH",IF(AH851&gt;=60,"MEDIUM",IF(AH851&lt;60,"LOW")))),"-")</f>
        <v/>
      </c>
      <c r="AJ851" s="12" t="n"/>
      <c r="AK851" s="53">
        <f>IF(AND(W851="X",M851&lt;=$AJ$2),"YES","")</f>
        <v/>
      </c>
      <c r="AL851" s="54">
        <f>IF(AND(W851="X",M851&lt;=$AJ$2),S851,"")</f>
        <v/>
      </c>
      <c r="AM851" s="35" t="n"/>
      <c r="AN851" s="35">
        <f>IF(AND(W851="X",M851&gt;$AJ$2),S851,"")</f>
        <v/>
      </c>
      <c r="AO851" s="35">
        <f>IF(AND(W851="",M851&gt;0,$AJ$2&gt;M851,L851=""),1,0)</f>
        <v/>
      </c>
      <c r="AP851" s="35">
        <f>IF(AND(AK851="YES",W851="X"),"X","")</f>
        <v/>
      </c>
      <c r="AQ851" s="55">
        <f>IF(AP851="X",100%,0%)</f>
        <v/>
      </c>
      <c r="AR851" s="25">
        <f>IF(AND(T851&gt;0,L851=""),H851,"")</f>
        <v/>
      </c>
      <c r="AS851" s="25">
        <f>IF(AND(D851&gt;0,H851=0,G851=""),1,"")</f>
        <v/>
      </c>
      <c r="AT851" s="25">
        <f>IF(G851="BLOQ",1,"")</f>
        <v/>
      </c>
      <c r="AU851" s="25">
        <f>IF(L851="BLOQ",1,"")</f>
        <v/>
      </c>
      <c r="AV851" s="25">
        <f>MONTH(F851)</f>
        <v/>
      </c>
      <c r="AW851" s="65">
        <f>IF(AP851="",100%,0%)</f>
        <v/>
      </c>
      <c r="AX851" s="56" t="n"/>
      <c r="AY851" s="24">
        <f>IF(M851=0,"",M851-$AX$2)</f>
        <v/>
      </c>
      <c r="AZ851" s="66">
        <f>IF(AND(W851="",AY851&gt;0,AY851&lt;15),1,0)</f>
        <v/>
      </c>
      <c r="BA851" s="24">
        <f>IF(AND(W851="",AY851&gt;0,AY851&lt;15),T851,"")</f>
        <v/>
      </c>
      <c r="BB851" s="87">
        <f>IF(R851&lt;Q851,"X","")</f>
        <v/>
      </c>
      <c r="BC851" s="190" t="inlineStr">
        <is>
          <t>NO</t>
        </is>
      </c>
      <c r="BD851" s="191" t="inlineStr">
        <is>
          <t>SI</t>
        </is>
      </c>
    </row>
    <row r="852" ht="15" customHeight="1" s="162">
      <c r="A852" s="7" t="n">
        <v>851</v>
      </c>
      <c r="B852" t="inlineStr">
        <is>
          <t>1130622466200</t>
        </is>
      </c>
      <c r="C852" t="inlineStr">
        <is>
          <t>RELE DPDT  24VDC 10A LED/DIODO SUPR PLUG</t>
        </is>
      </c>
      <c r="D852" t="inlineStr">
        <is>
          <t>1800108796</t>
        </is>
      </c>
      <c r="E852" t="inlineStr">
        <is>
          <t>10</t>
        </is>
      </c>
      <c r="F852" s="163" t="n">
        <v>45457</v>
      </c>
      <c r="G852" t="inlineStr"/>
      <c r="H852" t="inlineStr">
        <is>
          <t>4200568068</t>
        </is>
      </c>
      <c r="I852" t="inlineStr">
        <is>
          <t>10</t>
        </is>
      </c>
      <c r="J852" s="163" t="n">
        <v>45464</v>
      </c>
      <c r="K852" s="163" t="n">
        <v>45464</v>
      </c>
      <c r="L852" t="inlineStr"/>
      <c r="M852" s="163" t="n">
        <v>45495</v>
      </c>
      <c r="N852" s="164" t="n">
        <v>30</v>
      </c>
      <c r="O852" s="164" t="n">
        <v>8</v>
      </c>
      <c r="P852" t="inlineStr">
        <is>
          <t>Liberado</t>
        </is>
      </c>
      <c r="Q852" s="165" t="n">
        <v>50</v>
      </c>
      <c r="R852" s="165" t="n">
        <v>50</v>
      </c>
      <c r="S852" s="165" t="n">
        <v>50</v>
      </c>
      <c r="T852" s="165" t="n">
        <v>0</v>
      </c>
      <c r="U852" s="166" t="n">
        <v>50</v>
      </c>
      <c r="V852" s="166" t="n">
        <v>0</v>
      </c>
      <c r="W852" t="inlineStr">
        <is>
          <t>X</t>
        </is>
      </c>
      <c r="X852" t="inlineStr">
        <is>
          <t>0.00</t>
        </is>
      </c>
      <c r="Y852" t="inlineStr"/>
      <c r="Z852" t="inlineStr">
        <is>
          <t>GITEC CONTROL, S.L.</t>
        </is>
      </c>
      <c r="AA852" t="inlineStr">
        <is>
          <t>OMRON TATEISI</t>
        </is>
      </c>
      <c r="AB852" t="inlineStr">
        <is>
          <t>LY2ND224DC</t>
        </is>
      </c>
      <c r="AC852" t="inlineStr"/>
      <c r="AD852" s="164" t="n">
        <v>1</v>
      </c>
      <c r="AE852" s="185" t="n">
        <v>1</v>
      </c>
      <c r="AG852" s="167" t="inlineStr">
        <is>
          <t>7218|JA2581_1001</t>
        </is>
      </c>
      <c r="AH852" s="47">
        <f>IF(M852=0,"-",M852-J852)</f>
        <v/>
      </c>
      <c r="AI852" s="46">
        <f>IF(AND(S852=0,M852&gt;0,L852=0),IF(AH852&gt;=120,"VERY HIGH",IF(AH852&gt;=90,"HIGH",IF(AH852&gt;=60,"MEDIUM",IF(AH852&lt;60,"LOW")))),"-")</f>
        <v/>
      </c>
      <c r="AJ852" s="12" t="n"/>
      <c r="AK852" s="53">
        <f>IF(AND(W852="X",M852&lt;=$AJ$2),"YES","")</f>
        <v/>
      </c>
      <c r="AL852" s="54">
        <f>IF(AND(W852="X",M852&lt;=$AJ$2),S852,"")</f>
        <v/>
      </c>
      <c r="AM852" s="35" t="n"/>
      <c r="AN852" s="35">
        <f>IF(AND(W852="X",M852&gt;$AJ$2),S852,"")</f>
        <v/>
      </c>
      <c r="AO852" s="35">
        <f>IF(AND(W852="",M852&gt;0,$AJ$2&gt;M852,L852=""),1,0)</f>
        <v/>
      </c>
      <c r="AP852" s="35">
        <f>IF(AND(AK852="YES",W852="X"),"X","")</f>
        <v/>
      </c>
      <c r="AQ852" s="55">
        <f>IF(AP852="X",100%,0%)</f>
        <v/>
      </c>
      <c r="AR852" s="25">
        <f>IF(AND(T852&gt;0,L852=""),H852,"")</f>
        <v/>
      </c>
      <c r="AS852" s="25">
        <f>IF(AND(D852&gt;0,H852=0,G852=""),1,"")</f>
        <v/>
      </c>
      <c r="AT852" s="25">
        <f>IF(G852="BLOQ",1,"")</f>
        <v/>
      </c>
      <c r="AU852" s="25">
        <f>IF(L852="BLOQ",1,"")</f>
        <v/>
      </c>
      <c r="AV852" s="25">
        <f>MONTH(F852)</f>
        <v/>
      </c>
      <c r="AW852" s="65">
        <f>IF(AP852="",100%,0%)</f>
        <v/>
      </c>
      <c r="AX852" s="56" t="n"/>
      <c r="AY852" s="24">
        <f>IF(M852=0,"",M852-$AX$2)</f>
        <v/>
      </c>
      <c r="AZ852" s="66">
        <f>IF(AND(W852="",AY852&gt;0,AY852&lt;15),1,0)</f>
        <v/>
      </c>
      <c r="BA852" s="24">
        <f>IF(AND(W852="",AY852&gt;0,AY852&lt;15),T852,"")</f>
        <v/>
      </c>
      <c r="BB852" s="87">
        <f>IF(R852&lt;Q852,"X","")</f>
        <v/>
      </c>
      <c r="BC852" s="190" t="inlineStr">
        <is>
          <t>NO</t>
        </is>
      </c>
      <c r="BD852" s="191" t="inlineStr">
        <is>
          <t>SI</t>
        </is>
      </c>
    </row>
    <row r="853" ht="15" customHeight="1" s="162">
      <c r="A853" s="7" t="n">
        <v>852</v>
      </c>
      <c r="B853" t="inlineStr">
        <is>
          <t>1139900462000</t>
        </is>
      </c>
      <c r="C853" t="inlineStr">
        <is>
          <t>PLACA MTJE ZOCALOS RELES SPDT/DPDT 18 LY</t>
        </is>
      </c>
      <c r="D853" t="inlineStr">
        <is>
          <t>1800108796</t>
        </is>
      </c>
      <c r="E853" t="inlineStr">
        <is>
          <t>20</t>
        </is>
      </c>
      <c r="F853" s="163" t="n">
        <v>45457</v>
      </c>
      <c r="G853" t="inlineStr"/>
      <c r="H853" t="inlineStr">
        <is>
          <t>4200568068</t>
        </is>
      </c>
      <c r="I853" t="inlineStr">
        <is>
          <t>20</t>
        </is>
      </c>
      <c r="J853" s="163" t="n">
        <v>45464</v>
      </c>
      <c r="K853" s="163" t="n">
        <v>45464</v>
      </c>
      <c r="L853" t="inlineStr"/>
      <c r="M853" s="163" t="n">
        <v>45495</v>
      </c>
      <c r="N853" s="164" t="n">
        <v>50</v>
      </c>
      <c r="O853" s="164" t="n">
        <v>8</v>
      </c>
      <c r="P853" t="inlineStr">
        <is>
          <t>Liberado</t>
        </is>
      </c>
      <c r="Q853" s="165" t="n">
        <v>6</v>
      </c>
      <c r="R853" s="165" t="n">
        <v>6</v>
      </c>
      <c r="S853" s="165" t="n">
        <v>12</v>
      </c>
      <c r="T853" s="165" t="n">
        <v>0</v>
      </c>
      <c r="U853" s="166" t="n">
        <v>6</v>
      </c>
      <c r="V853" s="166" t="n">
        <v>6</v>
      </c>
      <c r="W853" t="inlineStr">
        <is>
          <t>X</t>
        </is>
      </c>
      <c r="X853" t="inlineStr">
        <is>
          <t>0.00</t>
        </is>
      </c>
      <c r="Y853" t="inlineStr"/>
      <c r="Z853" t="inlineStr">
        <is>
          <t>GITEC CONTROL, S.L.</t>
        </is>
      </c>
      <c r="AA853" t="inlineStr">
        <is>
          <t>OMRON TATEISI</t>
        </is>
      </c>
      <c r="AB853" t="inlineStr">
        <is>
          <t>PYP-18</t>
        </is>
      </c>
      <c r="AC853" t="inlineStr"/>
      <c r="AD853" s="164" t="n">
        <v>1</v>
      </c>
      <c r="AE853" s="185" t="n">
        <v>1</v>
      </c>
      <c r="AG853" s="167" t="inlineStr">
        <is>
          <t>7218|JA2581_1001</t>
        </is>
      </c>
      <c r="AH853" s="47">
        <f>IF(M853=0,"-",M853-J853)</f>
        <v/>
      </c>
      <c r="AI853" s="46">
        <f>IF(AND(S853=0,M853&gt;0,L853=0),IF(AH853&gt;=120,"VERY HIGH",IF(AH853&gt;=90,"HIGH",IF(AH853&gt;=60,"MEDIUM",IF(AH853&lt;60,"LOW")))),"-")</f>
        <v/>
      </c>
      <c r="AJ853" s="12" t="n"/>
      <c r="AK853" s="53">
        <f>IF(AND(W853="X",M853&lt;=$AJ$2),"YES","")</f>
        <v/>
      </c>
      <c r="AL853" s="54">
        <f>IF(AND(W853="X",M853&lt;=$AJ$2),S853,"")</f>
        <v/>
      </c>
      <c r="AM853" s="35" t="n"/>
      <c r="AN853" s="35">
        <f>IF(AND(W853="X",M853&gt;$AJ$2),S853,"")</f>
        <v/>
      </c>
      <c r="AO853" s="35">
        <f>IF(AND(W853="",M853&gt;0,$AJ$2&gt;M853,L853=""),1,0)</f>
        <v/>
      </c>
      <c r="AP853" s="35">
        <f>IF(AND(AK853="YES",W853="X"),"X","")</f>
        <v/>
      </c>
      <c r="AQ853" s="55">
        <f>IF(AP853="X",100%,0%)</f>
        <v/>
      </c>
      <c r="AR853" s="25">
        <f>IF(AND(T853&gt;0,L853=""),H853,"")</f>
        <v/>
      </c>
      <c r="AS853" s="25">
        <f>IF(AND(D853&gt;0,H853=0,G853=""),1,"")</f>
        <v/>
      </c>
      <c r="AT853" s="25">
        <f>IF(G853="BLOQ",1,"")</f>
        <v/>
      </c>
      <c r="AU853" s="25">
        <f>IF(L853="BLOQ",1,"")</f>
        <v/>
      </c>
      <c r="AV853" s="25">
        <f>MONTH(F853)</f>
        <v/>
      </c>
      <c r="AW853" s="65">
        <f>IF(AP853="",100%,0%)</f>
        <v/>
      </c>
      <c r="AX853" s="56" t="n"/>
      <c r="AY853" s="24">
        <f>IF(M853=0,"",M853-$AX$2)</f>
        <v/>
      </c>
      <c r="AZ853" s="66">
        <f>IF(AND(W853="",AY853&gt;0,AY853&lt;15),1,0)</f>
        <v/>
      </c>
      <c r="BA853" s="24">
        <f>IF(AND(W853="",AY853&gt;0,AY853&lt;15),T853,"")</f>
        <v/>
      </c>
      <c r="BB853" s="87">
        <f>IF(R853&lt;Q853,"X","")</f>
        <v/>
      </c>
      <c r="BC853" s="190" t="inlineStr">
        <is>
          <t>NO</t>
        </is>
      </c>
      <c r="BD853" s="191" t="inlineStr">
        <is>
          <t>SI</t>
        </is>
      </c>
    </row>
    <row r="854" ht="15" customHeight="1" s="162">
      <c r="A854" s="7" t="n">
        <v>853</v>
      </c>
      <c r="B854" t="inlineStr">
        <is>
          <t>1139900463000</t>
        </is>
      </c>
      <c r="C854" t="inlineStr">
        <is>
          <t>ZOCALO RELE SPDT/DPDT S/CBL LY</t>
        </is>
      </c>
      <c r="D854" t="inlineStr">
        <is>
          <t>1800108796</t>
        </is>
      </c>
      <c r="E854" t="inlineStr">
        <is>
          <t>30</t>
        </is>
      </c>
      <c r="F854" s="163" t="n">
        <v>45457</v>
      </c>
      <c r="G854" t="inlineStr"/>
      <c r="H854" t="inlineStr">
        <is>
          <t>4200568068</t>
        </is>
      </c>
      <c r="I854" t="inlineStr">
        <is>
          <t>30</t>
        </is>
      </c>
      <c r="J854" s="163" t="n">
        <v>45464</v>
      </c>
      <c r="K854" s="163" t="n">
        <v>45464</v>
      </c>
      <c r="L854" t="inlineStr"/>
      <c r="M854" s="163" t="n">
        <v>45776</v>
      </c>
      <c r="N854" s="164" t="n">
        <v>50</v>
      </c>
      <c r="O854" s="164" t="n">
        <v>8</v>
      </c>
      <c r="P854" t="inlineStr">
        <is>
          <t>Liberado</t>
        </is>
      </c>
      <c r="Q854" s="165" t="n">
        <v>50</v>
      </c>
      <c r="R854" s="165" t="n">
        <v>50</v>
      </c>
      <c r="S854" s="165" t="n">
        <v>50</v>
      </c>
      <c r="T854" s="165" t="n">
        <v>0</v>
      </c>
      <c r="U854" s="166" t="n">
        <v>50</v>
      </c>
      <c r="V854" s="166" t="n">
        <v>0</v>
      </c>
      <c r="W854" t="inlineStr">
        <is>
          <t>X</t>
        </is>
      </c>
      <c r="X854" t="inlineStr">
        <is>
          <t>0.00</t>
        </is>
      </c>
      <c r="Y854" t="inlineStr"/>
      <c r="Z854" t="inlineStr">
        <is>
          <t>GITEC CONTROL, S.L.</t>
        </is>
      </c>
      <c r="AA854" t="inlineStr">
        <is>
          <t>OMRON TATEISI</t>
        </is>
      </c>
      <c r="AB854" t="inlineStr">
        <is>
          <t>PT08</t>
        </is>
      </c>
      <c r="AC854" t="inlineStr"/>
      <c r="AD854" s="164" t="n">
        <v>3</v>
      </c>
      <c r="AE854" s="185" t="n">
        <v>1</v>
      </c>
      <c r="AG854" s="167" t="inlineStr">
        <is>
          <t>7218|JA2581_1001</t>
        </is>
      </c>
      <c r="AH854" s="47">
        <f>IF(M854=0,"-",M854-J854)</f>
        <v/>
      </c>
      <c r="AI854" s="46">
        <f>IF(AND(S854=0,M854&gt;0,L854=0),IF(AH854&gt;=120,"VERY HIGH",IF(AH854&gt;=90,"HIGH",IF(AH854&gt;=60,"MEDIUM",IF(AH854&lt;60,"LOW")))),"-")</f>
        <v/>
      </c>
      <c r="AJ854" s="12" t="n"/>
      <c r="AK854" s="53">
        <f>IF(AND(W854="X",M854&lt;=$AJ$2),"YES","")</f>
        <v/>
      </c>
      <c r="AL854" s="54">
        <f>IF(AND(W854="X",M854&lt;=$AJ$2),S854,"")</f>
        <v/>
      </c>
      <c r="AM854" s="35" t="n"/>
      <c r="AN854" s="35">
        <f>IF(AND(W854="X",M854&gt;$AJ$2),S854,"")</f>
        <v/>
      </c>
      <c r="AO854" s="35">
        <f>IF(AND(W854="",M854&gt;0,$AJ$2&gt;M854,L854=""),1,0)</f>
        <v/>
      </c>
      <c r="AP854" s="35">
        <f>IF(AND(AK854="YES",W854="X"),"X","")</f>
        <v/>
      </c>
      <c r="AQ854" s="55">
        <f>IF(AP854="X",100%,0%)</f>
        <v/>
      </c>
      <c r="AR854" s="25">
        <f>IF(AND(T854&gt;0,L854=""),H854,"")</f>
        <v/>
      </c>
      <c r="AS854" s="25">
        <f>IF(AND(D854&gt;0,H854=0,G854=""),1,"")</f>
        <v/>
      </c>
      <c r="AT854" s="25">
        <f>IF(G854="BLOQ",1,"")</f>
        <v/>
      </c>
      <c r="AU854" s="25">
        <f>IF(L854="BLOQ",1,"")</f>
        <v/>
      </c>
      <c r="AV854" s="25">
        <f>MONTH(F854)</f>
        <v/>
      </c>
      <c r="AW854" s="65">
        <f>IF(AP854="",100%,0%)</f>
        <v/>
      </c>
      <c r="AX854" s="56" t="n"/>
      <c r="AY854" s="24">
        <f>IF(M854=0,"",M854-$AX$2)</f>
        <v/>
      </c>
      <c r="AZ854" s="66">
        <f>IF(AND(W854="",AY854&gt;0,AY854&lt;15),1,0)</f>
        <v/>
      </c>
      <c r="BA854" s="24">
        <f>IF(AND(W854="",AY854&gt;0,AY854&lt;15),T854,"")</f>
        <v/>
      </c>
      <c r="BB854" s="87">
        <f>IF(R854&lt;Q854,"X","")</f>
        <v/>
      </c>
      <c r="BC854" s="190" t="inlineStr">
        <is>
          <t>NO</t>
        </is>
      </c>
      <c r="BD854" s="191" t="inlineStr">
        <is>
          <t>SI</t>
        </is>
      </c>
    </row>
    <row r="855" ht="15" customHeight="1" s="162">
      <c r="A855" s="7" t="n">
        <v>854</v>
      </c>
      <c r="B855" t="inlineStr">
        <is>
          <t>1202091258100</t>
        </is>
      </c>
      <c r="C855" t="inlineStr">
        <is>
          <t>CAPERUZA P/SUB-D 25 C/TOR UNC 4-40 POLIA</t>
        </is>
      </c>
      <c r="D855" t="inlineStr">
        <is>
          <t>1800108796</t>
        </is>
      </c>
      <c r="E855" t="inlineStr">
        <is>
          <t>40</t>
        </is>
      </c>
      <c r="F855" s="163" t="n">
        <v>45457</v>
      </c>
      <c r="G855" t="inlineStr"/>
      <c r="H855" t="inlineStr">
        <is>
          <t>4200569756</t>
        </is>
      </c>
      <c r="I855" t="inlineStr">
        <is>
          <t>70</t>
        </is>
      </c>
      <c r="J855" s="163" t="n">
        <v>45481</v>
      </c>
      <c r="K855" s="163" t="n">
        <v>45483</v>
      </c>
      <c r="L855" t="inlineStr"/>
      <c r="M855" s="163" t="n">
        <v>45488</v>
      </c>
      <c r="N855" s="164" t="n">
        <v>30</v>
      </c>
      <c r="O855" s="164" t="n">
        <v>8</v>
      </c>
      <c r="P855" t="inlineStr">
        <is>
          <t>Liberado</t>
        </is>
      </c>
      <c r="Q855" s="165" t="n">
        <v>20</v>
      </c>
      <c r="R855" s="165" t="n">
        <v>20</v>
      </c>
      <c r="S855" s="165" t="n">
        <v>20</v>
      </c>
      <c r="T855" s="165" t="n">
        <v>0</v>
      </c>
      <c r="U855" s="166" t="n">
        <v>0</v>
      </c>
      <c r="V855" s="166" t="n">
        <v>0</v>
      </c>
      <c r="W855" t="inlineStr">
        <is>
          <t>X</t>
        </is>
      </c>
      <c r="X855" t="inlineStr">
        <is>
          <t>0.00</t>
        </is>
      </c>
      <c r="Y855" t="inlineStr"/>
      <c r="Z855" t="inlineStr">
        <is>
          <t>SUMINISTROS CONECTORES PROF.,SA.</t>
        </is>
      </c>
      <c r="AA855" t="inlineStr">
        <is>
          <t>ELDON</t>
        </is>
      </c>
      <c r="AB855" t="inlineStr">
        <is>
          <t>DPPK25-SLIM</t>
        </is>
      </c>
      <c r="AC855" t="inlineStr"/>
      <c r="AD855" s="164" t="n">
        <v>0</v>
      </c>
      <c r="AE855" s="185" t="n">
        <v>0</v>
      </c>
      <c r="AG855" s="167" t="inlineStr">
        <is>
          <t>7218|JA2581_1001</t>
        </is>
      </c>
      <c r="AH855" s="47">
        <f>IF(M855=0,"-",M855-J855)</f>
        <v/>
      </c>
      <c r="AI855" s="46">
        <f>IF(AND(S855=0,M855&gt;0,L855=0),IF(AH855&gt;=120,"VERY HIGH",IF(AH855&gt;=90,"HIGH",IF(AH855&gt;=60,"MEDIUM",IF(AH855&lt;60,"LOW")))),"-")</f>
        <v/>
      </c>
      <c r="AJ855" s="12" t="n"/>
      <c r="AK855" s="53">
        <f>IF(AND(W855="X",M855&lt;=$AJ$2),"YES","")</f>
        <v/>
      </c>
      <c r="AL855" s="54">
        <f>IF(AND(W855="X",M855&lt;=$AJ$2),S855,"")</f>
        <v/>
      </c>
      <c r="AM855" s="35" t="n"/>
      <c r="AN855" s="35">
        <f>IF(AND(W855="X",M855&gt;$AJ$2),S855,"")</f>
        <v/>
      </c>
      <c r="AO855" s="35">
        <f>IF(AND(W855="",M855&gt;0,$AJ$2&gt;M855,L855=""),1,0)</f>
        <v/>
      </c>
      <c r="AP855" s="35">
        <f>IF(AND(AK855="YES",W855="X"),"X","")</f>
        <v/>
      </c>
      <c r="AQ855" s="55">
        <f>IF(AP855="X",100%,0%)</f>
        <v/>
      </c>
      <c r="AR855" s="25">
        <f>IF(AND(T855&gt;0,L855=""),H855,"")</f>
        <v/>
      </c>
      <c r="AS855" s="25">
        <f>IF(AND(D855&gt;0,H855=0,G855=""),1,"")</f>
        <v/>
      </c>
      <c r="AT855" s="25">
        <f>IF(G855="BLOQ",1,"")</f>
        <v/>
      </c>
      <c r="AU855" s="25">
        <f>IF(L855="BLOQ",1,"")</f>
        <v/>
      </c>
      <c r="AV855" s="25">
        <f>MONTH(F855)</f>
        <v/>
      </c>
      <c r="AW855" s="65">
        <f>IF(AP855="",100%,0%)</f>
        <v/>
      </c>
      <c r="AX855" s="56" t="n"/>
      <c r="AY855" s="24">
        <f>IF(M855=0,"",M855-$AX$2)</f>
        <v/>
      </c>
      <c r="AZ855" s="66">
        <f>IF(AND(W855="",AY855&gt;0,AY855&lt;15),1,0)</f>
        <v/>
      </c>
      <c r="BA855" s="24">
        <f>IF(AND(W855="",AY855&gt;0,AY855&lt;15),T855,"")</f>
        <v/>
      </c>
      <c r="BB855" s="87">
        <f>IF(R855&lt;Q855,"X","")</f>
        <v/>
      </c>
      <c r="BC855" s="190" t="inlineStr">
        <is>
          <t>NO</t>
        </is>
      </c>
      <c r="BD855" s="191" t="inlineStr">
        <is>
          <t>SI</t>
        </is>
      </c>
    </row>
    <row r="856" ht="15" customHeight="1" s="162">
      <c r="A856" s="7" t="n">
        <v>855</v>
      </c>
      <c r="B856" t="inlineStr">
        <is>
          <t>1202091379000</t>
        </is>
      </c>
      <c r="C856" t="inlineStr">
        <is>
          <t>CAPERUZA P/SUB-D 37 PLASTICO</t>
        </is>
      </c>
      <c r="D856" t="inlineStr">
        <is>
          <t>1800108796</t>
        </is>
      </c>
      <c r="E856" t="inlineStr">
        <is>
          <t>50</t>
        </is>
      </c>
      <c r="F856" s="163" t="n">
        <v>45457</v>
      </c>
      <c r="G856" t="inlineStr"/>
      <c r="H856" t="inlineStr">
        <is>
          <t>4200568537</t>
        </is>
      </c>
      <c r="I856" t="inlineStr">
        <is>
          <t>10</t>
        </is>
      </c>
      <c r="J856" s="163" t="n">
        <v>45470</v>
      </c>
      <c r="K856" s="163" t="n">
        <v>45470</v>
      </c>
      <c r="L856" t="inlineStr"/>
      <c r="M856" s="163" t="n">
        <v>45488</v>
      </c>
      <c r="N856" s="164" t="n">
        <v>80</v>
      </c>
      <c r="O856" s="164" t="n">
        <v>8</v>
      </c>
      <c r="P856" t="inlineStr">
        <is>
          <t>Liberado</t>
        </is>
      </c>
      <c r="Q856" s="165" t="n">
        <v>15</v>
      </c>
      <c r="R856" s="165" t="n">
        <v>15</v>
      </c>
      <c r="S856" s="165" t="n">
        <v>15</v>
      </c>
      <c r="T856" s="165" t="n">
        <v>0</v>
      </c>
      <c r="U856" s="166" t="n">
        <v>15</v>
      </c>
      <c r="V856" s="166" t="n">
        <v>0</v>
      </c>
      <c r="W856" t="inlineStr">
        <is>
          <t>X</t>
        </is>
      </c>
      <c r="X856" t="inlineStr">
        <is>
          <t>0.00</t>
        </is>
      </c>
      <c r="Y856" t="inlineStr"/>
      <c r="Z856" t="inlineStr">
        <is>
          <t>TCX MICRO, S.L.U</t>
        </is>
      </c>
      <c r="AA856" t="inlineStr">
        <is>
          <t>FRAMATOME CON.FRANCE</t>
        </is>
      </c>
      <c r="AB856" t="inlineStr">
        <is>
          <t>8630-3640A</t>
        </is>
      </c>
      <c r="AC856" t="inlineStr"/>
      <c r="AD856" s="164" t="n">
        <v>0</v>
      </c>
      <c r="AE856" s="185" t="n">
        <v>0</v>
      </c>
      <c r="AG856" s="167" t="inlineStr">
        <is>
          <t>7218|JA2581_1001</t>
        </is>
      </c>
      <c r="AH856" s="47">
        <f>IF(M856=0,"-",M856-J856)</f>
        <v/>
      </c>
      <c r="AI856" s="46">
        <f>IF(AND(S856=0,M856&gt;0,L856=0),IF(AH856&gt;=120,"VERY HIGH",IF(AH856&gt;=90,"HIGH",IF(AH856&gt;=60,"MEDIUM",IF(AH856&lt;60,"LOW")))),"-")</f>
        <v/>
      </c>
      <c r="AJ856" s="12" t="n"/>
      <c r="AK856" s="53">
        <f>IF(AND(W856="X",M856&lt;=$AJ$2),"YES","")</f>
        <v/>
      </c>
      <c r="AL856" s="54">
        <f>IF(AND(W856="X",M856&lt;=$AJ$2),S856,"")</f>
        <v/>
      </c>
      <c r="AM856" s="35" t="n"/>
      <c r="AN856" s="35">
        <f>IF(AND(W856="X",M856&gt;$AJ$2),S856,"")</f>
        <v/>
      </c>
      <c r="AO856" s="35">
        <f>IF(AND(W856="",M856&gt;0,$AJ$2&gt;M856,L856=""),1,0)</f>
        <v/>
      </c>
      <c r="AP856" s="35">
        <f>IF(AND(AK856="YES",W856="X"),"X","")</f>
        <v/>
      </c>
      <c r="AQ856" s="55">
        <f>IF(AP856="X",100%,0%)</f>
        <v/>
      </c>
      <c r="AR856" s="25">
        <f>IF(AND(T856&gt;0,L856=""),H856,"")</f>
        <v/>
      </c>
      <c r="AS856" s="25">
        <f>IF(AND(D856&gt;0,H856=0,G856=""),1,"")</f>
        <v/>
      </c>
      <c r="AT856" s="25">
        <f>IF(G856="BLOQ",1,"")</f>
        <v/>
      </c>
      <c r="AU856" s="25">
        <f>IF(L856="BLOQ",1,"")</f>
        <v/>
      </c>
      <c r="AV856" s="25">
        <f>MONTH(F856)</f>
        <v/>
      </c>
      <c r="AW856" s="65">
        <f>IF(AP856="",100%,0%)</f>
        <v/>
      </c>
      <c r="AX856" s="56" t="n"/>
      <c r="AY856" s="24">
        <f>IF(M856=0,"",M856-$AX$2)</f>
        <v/>
      </c>
      <c r="AZ856" s="66">
        <f>IF(AND(W856="",AY856&gt;0,AY856&lt;15),1,0)</f>
        <v/>
      </c>
      <c r="BA856" s="24">
        <f>IF(AND(W856="",AY856&gt;0,AY856&lt;15),T856,"")</f>
        <v/>
      </c>
      <c r="BB856" s="87">
        <f>IF(R856&lt;Q856,"X","")</f>
        <v/>
      </c>
      <c r="BC856" s="190" t="inlineStr">
        <is>
          <t>NO</t>
        </is>
      </c>
      <c r="BD856" s="191" t="inlineStr">
        <is>
          <t>SI</t>
        </is>
      </c>
    </row>
    <row r="857" ht="15" customHeight="1" s="162">
      <c r="A857" s="7" t="n">
        <v>856</v>
      </c>
      <c r="B857" t="inlineStr">
        <is>
          <t>1202094330000</t>
        </is>
      </c>
      <c r="C857" t="inlineStr">
        <is>
          <t>ACC TORNILLO MACHO #DD 4-40UNC-2A THD A=</t>
        </is>
      </c>
      <c r="D857" t="inlineStr">
        <is>
          <t>1800108796</t>
        </is>
      </c>
      <c r="E857" t="inlineStr">
        <is>
          <t>60</t>
        </is>
      </c>
      <c r="F857" s="163" t="n">
        <v>45457</v>
      </c>
      <c r="G857" t="inlineStr"/>
      <c r="H857" t="inlineStr">
        <is>
          <t>4200569756</t>
        </is>
      </c>
      <c r="I857" t="inlineStr">
        <is>
          <t>110</t>
        </is>
      </c>
      <c r="J857" s="163" t="n">
        <v>45481</v>
      </c>
      <c r="K857" s="163" t="n">
        <v>45483</v>
      </c>
      <c r="L857" t="inlineStr"/>
      <c r="M857" s="163" t="n">
        <v>45499</v>
      </c>
      <c r="N857" s="164" t="n">
        <v>35</v>
      </c>
      <c r="O857" s="164" t="n">
        <v>8</v>
      </c>
      <c r="P857" t="inlineStr">
        <is>
          <t>Liberado</t>
        </is>
      </c>
      <c r="Q857" s="165" t="n">
        <v>100</v>
      </c>
      <c r="R857" s="165" t="n">
        <v>100</v>
      </c>
      <c r="S857" s="165" t="n">
        <v>100</v>
      </c>
      <c r="T857" s="165" t="n">
        <v>0</v>
      </c>
      <c r="U857" s="166" t="n">
        <v>100</v>
      </c>
      <c r="V857" s="166" t="n">
        <v>0</v>
      </c>
      <c r="W857" t="inlineStr">
        <is>
          <t>X</t>
        </is>
      </c>
      <c r="X857" t="inlineStr">
        <is>
          <t>0.00</t>
        </is>
      </c>
      <c r="Y857" t="inlineStr"/>
      <c r="Z857" t="inlineStr">
        <is>
          <t>SUMINISTROS CONECTORES PROF.,SA.</t>
        </is>
      </c>
      <c r="AA857" t="inlineStr">
        <is>
          <t>ITT CANNON ELECTRIC</t>
        </is>
      </c>
      <c r="AB857" t="inlineStr">
        <is>
          <t>D20420-13</t>
        </is>
      </c>
      <c r="AC857" t="inlineStr"/>
      <c r="AD857" s="164" t="n">
        <v>0</v>
      </c>
      <c r="AE857" s="185" t="n">
        <v>0</v>
      </c>
      <c r="AG857" s="167" t="inlineStr">
        <is>
          <t>7218|JA2581_1001</t>
        </is>
      </c>
      <c r="AH857" s="47">
        <f>IF(M857=0,"-",M857-J857)</f>
        <v/>
      </c>
      <c r="AI857" s="46">
        <f>IF(AND(S857=0,M857&gt;0,L857=0),IF(AH857&gt;=120,"VERY HIGH",IF(AH857&gt;=90,"HIGH",IF(AH857&gt;=60,"MEDIUM",IF(AH857&lt;60,"LOW")))),"-")</f>
        <v/>
      </c>
      <c r="AJ857" s="12" t="n"/>
      <c r="AK857" s="53">
        <f>IF(AND(W857="X",M857&lt;=$AJ$2),"YES","")</f>
        <v/>
      </c>
      <c r="AL857" s="54">
        <f>IF(AND(W857="X",M857&lt;=$AJ$2),S857,"")</f>
        <v/>
      </c>
      <c r="AM857" s="35" t="n"/>
      <c r="AN857" s="35">
        <f>IF(AND(W857="X",M857&gt;$AJ$2),S857,"")</f>
        <v/>
      </c>
      <c r="AO857" s="35">
        <f>IF(AND(W857="",M857&gt;0,$AJ$2&gt;M857,L857=""),1,0)</f>
        <v/>
      </c>
      <c r="AP857" s="35">
        <f>IF(AND(AK857="YES",W857="X"),"X","")</f>
        <v/>
      </c>
      <c r="AQ857" s="55">
        <f>IF(AP857="X",100%,0%)</f>
        <v/>
      </c>
      <c r="AR857" s="25">
        <f>IF(AND(T857&gt;0,L857=""),H857,"")</f>
        <v/>
      </c>
      <c r="AS857" s="25">
        <f>IF(AND(D857&gt;0,H857=0,G857=""),1,"")</f>
        <v/>
      </c>
      <c r="AT857" s="25">
        <f>IF(G857="BLOQ",1,"")</f>
        <v/>
      </c>
      <c r="AU857" s="25">
        <f>IF(L857="BLOQ",1,"")</f>
        <v/>
      </c>
      <c r="AV857" s="25">
        <f>MONTH(F857)</f>
        <v/>
      </c>
      <c r="AW857" s="65">
        <f>IF(AP857="",100%,0%)</f>
        <v/>
      </c>
      <c r="AX857" s="56" t="n"/>
      <c r="AY857" s="24">
        <f>IF(M857=0,"",M857-$AX$2)</f>
        <v/>
      </c>
      <c r="AZ857" s="66">
        <f>IF(AND(W857="",AY857&gt;0,AY857&lt;15),1,0)</f>
        <v/>
      </c>
      <c r="BA857" s="24">
        <f>IF(AND(W857="",AY857&gt;0,AY857&lt;15),T857,"")</f>
        <v/>
      </c>
      <c r="BB857" s="87">
        <f>IF(R857&lt;Q857,"X","")</f>
        <v/>
      </c>
      <c r="BC857" s="190" t="inlineStr">
        <is>
          <t>NO</t>
        </is>
      </c>
      <c r="BD857" s="191" t="inlineStr">
        <is>
          <t>SI</t>
        </is>
      </c>
    </row>
    <row r="858" ht="15" customHeight="1" s="162">
      <c r="A858" s="7" t="n">
        <v>857</v>
      </c>
      <c r="B858" t="inlineStr">
        <is>
          <t>1232024245400</t>
        </is>
      </c>
      <c r="C858" t="inlineStr">
        <is>
          <t>MANG IDENTIF TERMO 3/32" 3:1 POLIOLE AMA</t>
        </is>
      </c>
      <c r="D858" t="inlineStr">
        <is>
          <t>1800108796</t>
        </is>
      </c>
      <c r="E858" t="inlineStr">
        <is>
          <t>70</t>
        </is>
      </c>
      <c r="F858" s="163" t="n">
        <v>45457</v>
      </c>
      <c r="G858" t="inlineStr"/>
      <c r="H858" t="inlineStr">
        <is>
          <t>4200568164</t>
        </is>
      </c>
      <c r="I858" t="inlineStr">
        <is>
          <t>10</t>
        </is>
      </c>
      <c r="J858" s="163" t="n">
        <v>45464</v>
      </c>
      <c r="K858" s="163" t="n">
        <v>45546</v>
      </c>
      <c r="L858" t="inlineStr">
        <is>
          <t>BORR</t>
        </is>
      </c>
      <c r="M858" s="163" t="n">
        <v>45488</v>
      </c>
      <c r="N858" s="164" t="n">
        <v>45</v>
      </c>
      <c r="O858" s="164" t="n">
        <v>8</v>
      </c>
      <c r="P858" t="inlineStr">
        <is>
          <t>Generado documento</t>
        </is>
      </c>
      <c r="Q858" s="165" t="n">
        <v>150</v>
      </c>
      <c r="R858" s="165" t="n">
        <v>200</v>
      </c>
      <c r="S858" s="165" t="n">
        <v>2</v>
      </c>
      <c r="T858" s="165" t="n">
        <v>200</v>
      </c>
      <c r="U858" s="166" t="n">
        <v>0</v>
      </c>
      <c r="V858" s="166" t="n">
        <v>2</v>
      </c>
      <c r="W858" t="inlineStr">
        <is>
          <t>X</t>
        </is>
      </c>
      <c r="X858" t="inlineStr">
        <is>
          <t>95.50</t>
        </is>
      </c>
      <c r="Y858" t="inlineStr"/>
      <c r="Z858" t="inlineStr">
        <is>
          <t>FARNELL COMPONENTS, S.L.</t>
        </is>
      </c>
      <c r="AA858" t="inlineStr">
        <is>
          <t>TE CONNECTIVITY</t>
        </is>
      </c>
      <c r="AB858" t="inlineStr">
        <is>
          <t>TMS-SCE-3/32-2.0-4</t>
        </is>
      </c>
      <c r="AC858" t="inlineStr"/>
      <c r="AD858" s="164" t="n">
        <v>0</v>
      </c>
      <c r="AE858" s="185" t="n">
        <v>0</v>
      </c>
      <c r="AG858" s="167" t="inlineStr">
        <is>
          <t>7218|JA2581_1001</t>
        </is>
      </c>
      <c r="AH858" s="47">
        <f>IF(M858=0,"-",M858-J858)</f>
        <v/>
      </c>
      <c r="AI858" s="46">
        <f>IF(AND(S858=0,M858&gt;0,L858=0),IF(AH858&gt;=120,"VERY HIGH",IF(AH858&gt;=90,"HIGH",IF(AH858&gt;=60,"MEDIUM",IF(AH858&lt;60,"LOW")))),"-")</f>
        <v/>
      </c>
      <c r="AJ858" s="12" t="n"/>
      <c r="AK858" s="53">
        <f>IF(AND(W858="X",M858&lt;=$AJ$2),"YES","")</f>
        <v/>
      </c>
      <c r="AL858" s="54">
        <f>IF(AND(W858="X",M858&lt;=$AJ$2),S858,"")</f>
        <v/>
      </c>
      <c r="AM858" s="35" t="n"/>
      <c r="AN858" s="35">
        <f>IF(AND(W858="X",M858&gt;$AJ$2),S858,"")</f>
        <v/>
      </c>
      <c r="AO858" s="35">
        <f>IF(AND(W858="",M858&gt;0,$AJ$2&gt;M858,L858=""),1,0)</f>
        <v/>
      </c>
      <c r="AP858" s="35">
        <f>IF(AND(AK858="YES",W858="X"),"X","")</f>
        <v/>
      </c>
      <c r="AQ858" s="55">
        <f>IF(AP858="X",100%,0%)</f>
        <v/>
      </c>
      <c r="AR858" s="25">
        <f>IF(AND(T858&gt;0,L858=""),H858,"")</f>
        <v/>
      </c>
      <c r="AS858" s="25">
        <f>IF(AND(D858&gt;0,H858=0,G858=""),1,"")</f>
        <v/>
      </c>
      <c r="AT858" s="25">
        <f>IF(G858="BLOQ",1,"")</f>
        <v/>
      </c>
      <c r="AU858" s="25">
        <f>IF(L858="BLOQ",1,"")</f>
        <v/>
      </c>
      <c r="AV858" s="25">
        <f>MONTH(F858)</f>
        <v/>
      </c>
      <c r="AW858" s="65">
        <f>IF(AP858="",100%,0%)</f>
        <v/>
      </c>
      <c r="AX858" s="56" t="n"/>
      <c r="AY858" s="24">
        <f>IF(M858=0,"",M858-$AX$2)</f>
        <v/>
      </c>
      <c r="AZ858" s="66">
        <f>IF(AND(W858="",AY858&gt;0,AY858&lt;15),1,0)</f>
        <v/>
      </c>
      <c r="BA858" s="24">
        <f>IF(AND(W858="",AY858&gt;0,AY858&lt;15),T858,"")</f>
        <v/>
      </c>
      <c r="BB858" s="87">
        <f>IF(R858&lt;Q858,"X","")</f>
        <v/>
      </c>
      <c r="BC858" s="190" t="inlineStr">
        <is>
          <t>NO</t>
        </is>
      </c>
      <c r="BD858" s="191" t="inlineStr">
        <is>
          <t>SI</t>
        </is>
      </c>
    </row>
    <row r="859" ht="15" customHeight="1" s="162">
      <c r="A859" s="7" t="n">
        <v>858</v>
      </c>
      <c r="B859" t="inlineStr">
        <is>
          <t>1232024245400</t>
        </is>
      </c>
      <c r="C859" t="inlineStr">
        <is>
          <t>MANG IDENTIF TERMO 3/32" 3:1 POLIOLE AMA</t>
        </is>
      </c>
      <c r="D859" t="inlineStr">
        <is>
          <t>1800108796</t>
        </is>
      </c>
      <c r="E859" t="inlineStr">
        <is>
          <t>70</t>
        </is>
      </c>
      <c r="F859" s="163" t="n">
        <v>45457</v>
      </c>
      <c r="G859" t="inlineStr"/>
      <c r="H859" t="inlineStr">
        <is>
          <t>4200588475</t>
        </is>
      </c>
      <c r="I859" t="inlineStr">
        <is>
          <t>10</t>
        </is>
      </c>
      <c r="J859" s="163" t="n">
        <v>45629</v>
      </c>
      <c r="K859" s="163" t="n">
        <v>45630</v>
      </c>
      <c r="L859" t="inlineStr"/>
      <c r="M859" s="163" t="n">
        <v>45637</v>
      </c>
      <c r="N859" s="164" t="n">
        <v>45</v>
      </c>
      <c r="O859" s="164" t="n">
        <v>8</v>
      </c>
      <c r="P859" t="inlineStr">
        <is>
          <t>Liberado</t>
        </is>
      </c>
      <c r="Q859" s="165" t="n">
        <v>150</v>
      </c>
      <c r="R859" s="165" t="n">
        <v>150</v>
      </c>
      <c r="S859" s="165" t="n">
        <v>150</v>
      </c>
      <c r="T859" s="165" t="n">
        <v>0</v>
      </c>
      <c r="U859" s="166" t="n">
        <v>150</v>
      </c>
      <c r="V859" s="166" t="n">
        <v>0</v>
      </c>
      <c r="W859" t="inlineStr">
        <is>
          <t>X</t>
        </is>
      </c>
      <c r="X859" t="inlineStr">
        <is>
          <t>0.00</t>
        </is>
      </c>
      <c r="Y859" t="inlineStr"/>
      <c r="Z859" t="inlineStr">
        <is>
          <t>TCX MICRO, S.L.U</t>
        </is>
      </c>
      <c r="AA859" t="inlineStr">
        <is>
          <t>TE CONNECTIVITY</t>
        </is>
      </c>
      <c r="AB859" t="inlineStr">
        <is>
          <t>TMS-SCE-3/32-2.0-4</t>
        </is>
      </c>
      <c r="AC859" t="inlineStr"/>
      <c r="AD859" s="164" t="n">
        <v>0</v>
      </c>
      <c r="AE859" s="185" t="n">
        <v>0</v>
      </c>
      <c r="AG859" s="167" t="inlineStr">
        <is>
          <t>7218|JA2581_1001</t>
        </is>
      </c>
      <c r="AH859" s="47">
        <f>IF(M859=0,"-",M859-J859)</f>
        <v/>
      </c>
      <c r="AI859" s="46">
        <f>IF(AND(S859=0,M859&gt;0,L859=0),IF(AH859&gt;=120,"VERY HIGH",IF(AH859&gt;=90,"HIGH",IF(AH859&gt;=60,"MEDIUM",IF(AH859&lt;60,"LOW")))),"-")</f>
        <v/>
      </c>
      <c r="AJ859" s="12" t="n"/>
      <c r="AK859" s="53">
        <f>IF(AND(W859="X",M859&lt;=$AJ$2),"YES","")</f>
        <v/>
      </c>
      <c r="AL859" s="54">
        <f>IF(AND(W859="X",M859&lt;=$AJ$2),S859,"")</f>
        <v/>
      </c>
      <c r="AM859" s="35" t="n"/>
      <c r="AN859" s="35">
        <f>IF(AND(W859="X",M859&gt;$AJ$2),S859,"")</f>
        <v/>
      </c>
      <c r="AO859" s="35">
        <f>IF(AND(W859="",M859&gt;0,$AJ$2&gt;M859,L859=""),1,0)</f>
        <v/>
      </c>
      <c r="AP859" s="35">
        <f>IF(AND(AK859="YES",W859="X"),"X","")</f>
        <v/>
      </c>
      <c r="AQ859" s="55">
        <f>IF(AP859="X",100%,0%)</f>
        <v/>
      </c>
      <c r="AR859" s="25">
        <f>IF(AND(T859&gt;0,L859=""),H859,"")</f>
        <v/>
      </c>
      <c r="AS859" s="25">
        <f>IF(AND(D859&gt;0,H859=0,G859=""),1,"")</f>
        <v/>
      </c>
      <c r="AT859" s="25">
        <f>IF(G859="BLOQ",1,"")</f>
        <v/>
      </c>
      <c r="AU859" s="25">
        <f>IF(L859="BLOQ",1,"")</f>
        <v/>
      </c>
      <c r="AV859" s="25">
        <f>MONTH(F859)</f>
        <v/>
      </c>
      <c r="AW859" s="65">
        <f>IF(AP859="",100%,0%)</f>
        <v/>
      </c>
      <c r="AX859" s="56" t="n"/>
      <c r="AY859" s="24">
        <f>IF(M859=0,"",M859-$AX$2)</f>
        <v/>
      </c>
      <c r="AZ859" s="66">
        <f>IF(AND(W859="",AY859&gt;0,AY859&lt;15),1,0)</f>
        <v/>
      </c>
      <c r="BA859" s="24">
        <f>IF(AND(W859="",AY859&gt;0,AY859&lt;15),T859,"")</f>
        <v/>
      </c>
      <c r="BB859" s="87">
        <f>IF(R859&lt;Q859,"X","")</f>
        <v/>
      </c>
      <c r="BC859" s="190" t="inlineStr">
        <is>
          <t>NO</t>
        </is>
      </c>
      <c r="BD859" s="191" t="inlineStr">
        <is>
          <t>SI</t>
        </is>
      </c>
    </row>
    <row r="860" ht="15" customHeight="1" s="162">
      <c r="A860" s="7" t="n">
        <v>859</v>
      </c>
      <c r="B860" t="inlineStr">
        <is>
          <t>1233525320100</t>
        </is>
      </c>
      <c r="C860" t="inlineStr">
        <is>
          <t>BRIDA 3,6X142MM DMAX=32MM NYLON NATURAL</t>
        </is>
      </c>
      <c r="D860" t="inlineStr">
        <is>
          <t>1800108796</t>
        </is>
      </c>
      <c r="E860" t="inlineStr">
        <is>
          <t>80</t>
        </is>
      </c>
      <c r="F860" s="163" t="n">
        <v>45457</v>
      </c>
      <c r="G860" t="inlineStr"/>
      <c r="H860" t="inlineStr">
        <is>
          <t>4200570101</t>
        </is>
      </c>
      <c r="I860" t="inlineStr">
        <is>
          <t>80</t>
        </is>
      </c>
      <c r="J860" s="163" t="n">
        <v>45483</v>
      </c>
      <c r="K860" s="163" t="n">
        <v>45518</v>
      </c>
      <c r="L860" t="inlineStr"/>
      <c r="M860" s="163" t="n">
        <v>45488</v>
      </c>
      <c r="N860" s="164" t="n">
        <v>30</v>
      </c>
      <c r="O860" s="164" t="n">
        <v>8</v>
      </c>
      <c r="P860" t="inlineStr">
        <is>
          <t>Liberado</t>
        </is>
      </c>
      <c r="Q860" s="165" t="n">
        <v>5000</v>
      </c>
      <c r="R860" s="165" t="n">
        <v>5000</v>
      </c>
      <c r="S860" s="165" t="n">
        <v>5000</v>
      </c>
      <c r="T860" s="165" t="n">
        <v>0</v>
      </c>
      <c r="U860" s="166" t="n">
        <v>5000</v>
      </c>
      <c r="V860" s="166" t="n">
        <v>0</v>
      </c>
      <c r="W860" t="inlineStr">
        <is>
          <t>X</t>
        </is>
      </c>
      <c r="X860" t="inlineStr">
        <is>
          <t>0.00</t>
        </is>
      </c>
      <c r="Y860" t="inlineStr"/>
      <c r="Z860" t="inlineStr">
        <is>
          <t>(AEMSA)ALMACENES ELECTRICOS MADRILE</t>
        </is>
      </c>
      <c r="AA860" t="inlineStr">
        <is>
          <t>UNEX</t>
        </is>
      </c>
      <c r="AB860" t="inlineStr">
        <is>
          <t>2233</t>
        </is>
      </c>
      <c r="AC860" t="inlineStr"/>
      <c r="AD860" s="164" t="n">
        <v>0</v>
      </c>
      <c r="AE860" s="185" t="n">
        <v>0</v>
      </c>
      <c r="AG860" s="167" t="inlineStr">
        <is>
          <t>7218|JA2581_1001</t>
        </is>
      </c>
      <c r="AH860" s="47">
        <f>IF(M860=0,"-",M860-J860)</f>
        <v/>
      </c>
      <c r="AI860" s="46">
        <f>IF(AND(S860=0,M860&gt;0,L860=0),IF(AH860&gt;=120,"VERY HIGH",IF(AH860&gt;=90,"HIGH",IF(AH860&gt;=60,"MEDIUM",IF(AH860&lt;60,"LOW")))),"-")</f>
        <v/>
      </c>
      <c r="AJ860" s="12" t="n"/>
      <c r="AK860" s="53">
        <f>IF(AND(W860="X",M860&lt;=$AJ$2),"YES","")</f>
        <v/>
      </c>
      <c r="AL860" s="54">
        <f>IF(AND(W860="X",M860&lt;=$AJ$2),S860,"")</f>
        <v/>
      </c>
      <c r="AM860" s="35" t="n"/>
      <c r="AN860" s="35">
        <f>IF(AND(W860="X",M860&gt;$AJ$2),S860,"")</f>
        <v/>
      </c>
      <c r="AO860" s="35">
        <f>IF(AND(W860="",M860&gt;0,$AJ$2&gt;M860,L860=""),1,0)</f>
        <v/>
      </c>
      <c r="AP860" s="35">
        <f>IF(AND(AK860="YES",W860="X"),"X","")</f>
        <v/>
      </c>
      <c r="AQ860" s="55">
        <f>IF(AP860="X",100%,0%)</f>
        <v/>
      </c>
      <c r="AR860" s="25">
        <f>IF(AND(T860&gt;0,L860=""),H860,"")</f>
        <v/>
      </c>
      <c r="AS860" s="25">
        <f>IF(AND(D860&gt;0,H860=0,G860=""),1,"")</f>
        <v/>
      </c>
      <c r="AT860" s="25">
        <f>IF(G860="BLOQ",1,"")</f>
        <v/>
      </c>
      <c r="AU860" s="25">
        <f>IF(L860="BLOQ",1,"")</f>
        <v/>
      </c>
      <c r="AV860" s="25">
        <f>MONTH(F860)</f>
        <v/>
      </c>
      <c r="AW860" s="65">
        <f>IF(AP860="",100%,0%)</f>
        <v/>
      </c>
      <c r="AX860" s="56" t="n"/>
      <c r="AY860" s="24">
        <f>IF(M860=0,"",M860-$AX$2)</f>
        <v/>
      </c>
      <c r="AZ860" s="66">
        <f>IF(AND(W860="",AY860&gt;0,AY860&lt;15),1,0)</f>
        <v/>
      </c>
      <c r="BA860" s="24">
        <f>IF(AND(W860="",AY860&gt;0,AY860&lt;15),T860,"")</f>
        <v/>
      </c>
      <c r="BB860" s="87">
        <f>IF(R860&lt;Q860,"X","")</f>
        <v/>
      </c>
      <c r="BC860" s="190" t="inlineStr">
        <is>
          <t>NO</t>
        </is>
      </c>
      <c r="BD860" s="190" t="inlineStr">
        <is>
          <t>NO</t>
        </is>
      </c>
    </row>
    <row r="861" ht="15" customHeight="1" s="162">
      <c r="A861" s="7" t="n">
        <v>860</v>
      </c>
      <c r="B861" t="inlineStr">
        <is>
          <t>1238500222000</t>
        </is>
      </c>
      <c r="C861" t="inlineStr">
        <is>
          <t>TERM PREAISL PUNTERA AWG22 CRIMP BLANCO</t>
        </is>
      </c>
      <c r="D861" t="inlineStr">
        <is>
          <t>1800108796</t>
        </is>
      </c>
      <c r="E861" t="inlineStr">
        <is>
          <t>90</t>
        </is>
      </c>
      <c r="F861" s="163" t="n">
        <v>45457</v>
      </c>
      <c r="G861" t="inlineStr"/>
      <c r="H861" t="inlineStr">
        <is>
          <t>4200570311</t>
        </is>
      </c>
      <c r="I861" t="inlineStr">
        <is>
          <t>100</t>
        </is>
      </c>
      <c r="J861" s="163" t="n">
        <v>45484</v>
      </c>
      <c r="K861" s="163" t="n">
        <v>45489</v>
      </c>
      <c r="L861" t="inlineStr"/>
      <c r="M861" s="163" t="n">
        <v>45569</v>
      </c>
      <c r="N861" s="164" t="n">
        <v>40</v>
      </c>
      <c r="O861" s="164" t="n">
        <v>8</v>
      </c>
      <c r="P861" t="inlineStr">
        <is>
          <t>Liberado</t>
        </is>
      </c>
      <c r="Q861" s="165" t="n">
        <v>500</v>
      </c>
      <c r="R861" s="165" t="n">
        <v>1000</v>
      </c>
      <c r="S861" s="165" t="n">
        <v>2000</v>
      </c>
      <c r="T861" s="165" t="n">
        <v>0</v>
      </c>
      <c r="U861" s="166" t="n">
        <v>1000</v>
      </c>
      <c r="V861" s="166" t="n">
        <v>1000</v>
      </c>
      <c r="W861" t="inlineStr">
        <is>
          <t>X</t>
        </is>
      </c>
      <c r="X861" t="inlineStr">
        <is>
          <t>0.00</t>
        </is>
      </c>
      <c r="Y861" t="inlineStr"/>
      <c r="Z861" t="inlineStr">
        <is>
          <t>DICOMAT, S.L.</t>
        </is>
      </c>
      <c r="AA861" t="inlineStr">
        <is>
          <t>WAGO</t>
        </is>
      </c>
      <c r="AB861" t="inlineStr">
        <is>
          <t>216-201</t>
        </is>
      </c>
      <c r="AC861" t="inlineStr"/>
      <c r="AD861" s="164" t="n">
        <v>1</v>
      </c>
      <c r="AE861" s="185" t="n">
        <v>0</v>
      </c>
      <c r="AG861" s="167" t="inlineStr">
        <is>
          <t>7218|JA2581_1001</t>
        </is>
      </c>
      <c r="AH861" s="47">
        <f>IF(M861=0,"-",M861-J861)</f>
        <v/>
      </c>
      <c r="AI861" s="46">
        <f>IF(AND(S861=0,M861&gt;0,L861=0),IF(AH861&gt;=120,"VERY HIGH",IF(AH861&gt;=90,"HIGH",IF(AH861&gt;=60,"MEDIUM",IF(AH861&lt;60,"LOW")))),"-")</f>
        <v/>
      </c>
      <c r="AJ861" s="12" t="n"/>
      <c r="AK861" s="53">
        <f>IF(AND(W861="X",M861&lt;=$AJ$2),"YES","")</f>
        <v/>
      </c>
      <c r="AL861" s="54">
        <f>IF(AND(W861="X",M861&lt;=$AJ$2),S861,"")</f>
        <v/>
      </c>
      <c r="AM861" s="35" t="n"/>
      <c r="AN861" s="35">
        <f>IF(AND(W861="X",M861&gt;$AJ$2),S861,"")</f>
        <v/>
      </c>
      <c r="AO861" s="35">
        <f>IF(AND(W861="",M861&gt;0,$AJ$2&gt;M861,L861=""),1,0)</f>
        <v/>
      </c>
      <c r="AP861" s="35">
        <f>IF(AND(AK861="YES",W861="X"),"X","")</f>
        <v/>
      </c>
      <c r="AQ861" s="55">
        <f>IF(AP861="X",100%,0%)</f>
        <v/>
      </c>
      <c r="AR861" s="25">
        <f>IF(AND(T861&gt;0,L861=""),H861,"")</f>
        <v/>
      </c>
      <c r="AS861" s="25">
        <f>IF(AND(D861&gt;0,H861=0,G861=""),1,"")</f>
        <v/>
      </c>
      <c r="AT861" s="25">
        <f>IF(G861="BLOQ",1,"")</f>
        <v/>
      </c>
      <c r="AU861" s="25">
        <f>IF(L861="BLOQ",1,"")</f>
        <v/>
      </c>
      <c r="AV861" s="25">
        <f>MONTH(F861)</f>
        <v/>
      </c>
      <c r="AW861" s="65">
        <f>IF(AP861="",100%,0%)</f>
        <v/>
      </c>
      <c r="AX861" s="56" t="n"/>
      <c r="AY861" s="24">
        <f>IF(M861=0,"",M861-$AX$2)</f>
        <v/>
      </c>
      <c r="AZ861" s="66">
        <f>IF(AND(W861="",AY861&gt;0,AY861&lt;15),1,0)</f>
        <v/>
      </c>
      <c r="BA861" s="24">
        <f>IF(AND(W861="",AY861&gt;0,AY861&lt;15),T861,"")</f>
        <v/>
      </c>
      <c r="BB861" s="87">
        <f>IF(R861&lt;Q861,"X","")</f>
        <v/>
      </c>
      <c r="BC861" s="190" t="inlineStr">
        <is>
          <t>NO</t>
        </is>
      </c>
      <c r="BD861" s="191" t="inlineStr">
        <is>
          <t>SI</t>
        </is>
      </c>
    </row>
    <row r="862" ht="15" customHeight="1" s="162">
      <c r="A862" s="7" t="n">
        <v>861</v>
      </c>
      <c r="B862" t="inlineStr">
        <is>
          <t>956001033</t>
        </is>
      </c>
      <c r="C862" t="inlineStr">
        <is>
          <t>MAC TERMO 1/8" M23053/5-104-0</t>
        </is>
      </c>
      <c r="D862" t="inlineStr">
        <is>
          <t>1800108796</t>
        </is>
      </c>
      <c r="E862" t="inlineStr">
        <is>
          <t>100</t>
        </is>
      </c>
      <c r="F862" s="163" t="n">
        <v>45457</v>
      </c>
      <c r="G862" t="inlineStr"/>
      <c r="H862" t="inlineStr">
        <is>
          <t>4200572876</t>
        </is>
      </c>
      <c r="I862" t="inlineStr">
        <is>
          <t>10</t>
        </is>
      </c>
      <c r="J862" s="163" t="n">
        <v>45503</v>
      </c>
      <c r="K862" s="163" t="n">
        <v>45572</v>
      </c>
      <c r="L862" t="inlineStr"/>
      <c r="M862" s="163" t="n">
        <v>45527</v>
      </c>
      <c r="N862" s="164" t="n">
        <v>30</v>
      </c>
      <c r="O862" s="164" t="n">
        <v>8</v>
      </c>
      <c r="P862" t="inlineStr">
        <is>
          <t>Liberado</t>
        </is>
      </c>
      <c r="Q862" s="165" t="n">
        <v>5</v>
      </c>
      <c r="R862" s="165" t="n">
        <v>100</v>
      </c>
      <c r="S862" s="165" t="n">
        <v>100</v>
      </c>
      <c r="T862" s="165" t="n">
        <v>0</v>
      </c>
      <c r="U862" s="166" t="n">
        <v>100</v>
      </c>
      <c r="V862" s="166" t="n">
        <v>0</v>
      </c>
      <c r="W862" t="inlineStr">
        <is>
          <t>X</t>
        </is>
      </c>
      <c r="X862" t="inlineStr">
        <is>
          <t>0.00</t>
        </is>
      </c>
      <c r="Y862" t="inlineStr"/>
      <c r="Z862" t="inlineStr">
        <is>
          <t>SUMINISTROS CONECTORES PROF.,SA.</t>
        </is>
      </c>
      <c r="AA862" t="inlineStr">
        <is>
          <t>OTROS FABRICANTES</t>
        </is>
      </c>
      <c r="AB862" t="inlineStr">
        <is>
          <t>956001033</t>
        </is>
      </c>
      <c r="AC862" t="inlineStr"/>
      <c r="AD862" s="164" t="n">
        <v>1</v>
      </c>
      <c r="AE862" s="185" t="n">
        <v>1</v>
      </c>
      <c r="AG862" s="167" t="inlineStr">
        <is>
          <t>7218|JA2581_1001</t>
        </is>
      </c>
      <c r="AH862" s="47">
        <f>IF(M862=0,"-",M862-J862)</f>
        <v/>
      </c>
      <c r="AI862" s="46">
        <f>IF(AND(S862=0,M862&gt;0,L862=0),IF(AH862&gt;=120,"VERY HIGH",IF(AH862&gt;=90,"HIGH",IF(AH862&gt;=60,"MEDIUM",IF(AH862&lt;60,"LOW")))),"-")</f>
        <v/>
      </c>
      <c r="AJ862" s="12" t="n"/>
      <c r="AK862" s="53">
        <f>IF(AND(W862="X",M862&lt;=$AJ$2),"YES","")</f>
        <v/>
      </c>
      <c r="AL862" s="54">
        <f>IF(AND(W862="X",M862&lt;=$AJ$2),S862,"")</f>
        <v/>
      </c>
      <c r="AM862" s="35" t="n"/>
      <c r="AN862" s="35">
        <f>IF(AND(W862="X",M862&gt;$AJ$2),S862,"")</f>
        <v/>
      </c>
      <c r="AO862" s="35">
        <f>IF(AND(W862="",M862&gt;0,$AJ$2&gt;M862,L862=""),1,0)</f>
        <v/>
      </c>
      <c r="AP862" s="35">
        <f>IF(AND(AK862="YES",W862="X"),"X","")</f>
        <v/>
      </c>
      <c r="AQ862" s="55">
        <f>IF(AP862="X",100%,0%)</f>
        <v/>
      </c>
      <c r="AR862" s="25">
        <f>IF(AND(T862&gt;0,L862=""),H862,"")</f>
        <v/>
      </c>
      <c r="AS862" s="25">
        <f>IF(AND(D862&gt;0,H862=0,G862=""),1,"")</f>
        <v/>
      </c>
      <c r="AT862" s="25">
        <f>IF(G862="BLOQ",1,"")</f>
        <v/>
      </c>
      <c r="AU862" s="25">
        <f>IF(L862="BLOQ",1,"")</f>
        <v/>
      </c>
      <c r="AV862" s="25">
        <f>MONTH(F862)</f>
        <v/>
      </c>
      <c r="AW862" s="65">
        <f>IF(AP862="",100%,0%)</f>
        <v/>
      </c>
      <c r="AX862" s="56" t="n"/>
      <c r="AY862" s="24">
        <f>IF(M862=0,"",M862-$AX$2)</f>
        <v/>
      </c>
      <c r="AZ862" s="66">
        <f>IF(AND(W862="",AY862&gt;0,AY862&lt;15),1,0)</f>
        <v/>
      </c>
      <c r="BA862" s="24">
        <f>IF(AND(W862="",AY862&gt;0,AY862&lt;15),T862,"")</f>
        <v/>
      </c>
      <c r="BB862" s="87">
        <f>IF(R862&lt;Q862,"X","")</f>
        <v/>
      </c>
      <c r="BC862" s="190" t="inlineStr">
        <is>
          <t>NO</t>
        </is>
      </c>
      <c r="BD862" s="191" t="inlineStr">
        <is>
          <t>SI</t>
        </is>
      </c>
    </row>
    <row r="863" ht="15" customHeight="1" s="162">
      <c r="A863" s="7" t="n">
        <v>862</v>
      </c>
      <c r="B863" t="inlineStr">
        <is>
          <t>956004007</t>
        </is>
      </c>
      <c r="C863" t="inlineStr">
        <is>
          <t>BRIDA P/CBL L=390X4.7MM</t>
        </is>
      </c>
      <c r="D863" t="inlineStr">
        <is>
          <t>1800108796</t>
        </is>
      </c>
      <c r="E863" t="inlineStr">
        <is>
          <t>110</t>
        </is>
      </c>
      <c r="F863" s="163" t="n">
        <v>45457</v>
      </c>
      <c r="G863" t="inlineStr"/>
      <c r="H863" t="inlineStr">
        <is>
          <t>4200573125</t>
        </is>
      </c>
      <c r="I863" t="inlineStr">
        <is>
          <t>240</t>
        </is>
      </c>
      <c r="J863" s="163" t="n">
        <v>45505</v>
      </c>
      <c r="K863" s="163" t="n">
        <v>45638</v>
      </c>
      <c r="L863" t="inlineStr"/>
      <c r="M863" s="163" t="n">
        <v>45565</v>
      </c>
      <c r="N863" s="164" t="n">
        <v>85</v>
      </c>
      <c r="O863" s="164" t="n">
        <v>8</v>
      </c>
      <c r="P863" t="inlineStr">
        <is>
          <t>Liberado</t>
        </is>
      </c>
      <c r="Q863" s="165" t="n">
        <v>4000</v>
      </c>
      <c r="R863" s="165" t="n">
        <v>4000</v>
      </c>
      <c r="S863" s="165" t="n">
        <v>4000</v>
      </c>
      <c r="T863" s="165" t="n">
        <v>0</v>
      </c>
      <c r="U863" s="166" t="n">
        <v>4000</v>
      </c>
      <c r="V863" s="166" t="n">
        <v>0</v>
      </c>
      <c r="W863" t="inlineStr">
        <is>
          <t>X</t>
        </is>
      </c>
      <c r="X863" t="inlineStr">
        <is>
          <t>0.00</t>
        </is>
      </c>
      <c r="Y863" t="inlineStr"/>
      <c r="Z863" t="inlineStr">
        <is>
          <t>ICOMPPLUS ELECTRONICS S.L</t>
        </is>
      </c>
      <c r="AA863" t="inlineStr">
        <is>
          <t>OTROS FABRICANTES</t>
        </is>
      </c>
      <c r="AB863" t="inlineStr">
        <is>
          <t>956004007</t>
        </is>
      </c>
      <c r="AC863" t="inlineStr"/>
      <c r="AD863" s="164" t="n">
        <v>1</v>
      </c>
      <c r="AE863" s="185" t="n">
        <v>1</v>
      </c>
      <c r="AG863" s="167" t="inlineStr">
        <is>
          <t>7218|JA2581_1001</t>
        </is>
      </c>
      <c r="AH863" s="47">
        <f>IF(M863=0,"-",M863-J863)</f>
        <v/>
      </c>
      <c r="AI863" s="46">
        <f>IF(AND(S863=0,M863&gt;0,L863=0),IF(AH863&gt;=120,"VERY HIGH",IF(AH863&gt;=90,"HIGH",IF(AH863&gt;=60,"MEDIUM",IF(AH863&lt;60,"LOW")))),"-")</f>
        <v/>
      </c>
      <c r="AJ863" s="12" t="n"/>
      <c r="AK863" s="53">
        <f>IF(AND(W863="X",M863&lt;=$AJ$2),"YES","")</f>
        <v/>
      </c>
      <c r="AL863" s="54">
        <f>IF(AND(W863="X",M863&lt;=$AJ$2),S863,"")</f>
        <v/>
      </c>
      <c r="AM863" s="35" t="n"/>
      <c r="AN863" s="35">
        <f>IF(AND(W863="X",M863&gt;$AJ$2),S863,"")</f>
        <v/>
      </c>
      <c r="AO863" s="35">
        <f>IF(AND(W863="",M863&gt;0,$AJ$2&gt;M863,L863=""),1,0)</f>
        <v/>
      </c>
      <c r="AP863" s="35">
        <f>IF(AND(AK863="YES",W863="X"),"X","")</f>
        <v/>
      </c>
      <c r="AQ863" s="55">
        <f>IF(AP863="X",100%,0%)</f>
        <v/>
      </c>
      <c r="AR863" s="25">
        <f>IF(AND(T863&gt;0,L863=""),H863,"")</f>
        <v/>
      </c>
      <c r="AS863" s="25">
        <f>IF(AND(D863&gt;0,H863=0,G863=""),1,"")</f>
        <v/>
      </c>
      <c r="AT863" s="25">
        <f>IF(G863="BLOQ",1,"")</f>
        <v/>
      </c>
      <c r="AU863" s="25">
        <f>IF(L863="BLOQ",1,"")</f>
        <v/>
      </c>
      <c r="AV863" s="25">
        <f>MONTH(F863)</f>
        <v/>
      </c>
      <c r="AW863" s="65">
        <f>IF(AP863="",100%,0%)</f>
        <v/>
      </c>
      <c r="AX863" s="56" t="n"/>
      <c r="AY863" s="24">
        <f>IF(M863=0,"",M863-$AX$2)</f>
        <v/>
      </c>
      <c r="AZ863" s="66">
        <f>IF(AND(W863="",AY863&gt;0,AY863&lt;15),1,0)</f>
        <v/>
      </c>
      <c r="BA863" s="24">
        <f>IF(AND(W863="",AY863&gt;0,AY863&lt;15),T863,"")</f>
        <v/>
      </c>
      <c r="BB863" s="87">
        <f>IF(R863&lt;Q863,"X","")</f>
        <v/>
      </c>
      <c r="BC863" s="190" t="inlineStr">
        <is>
          <t>NO</t>
        </is>
      </c>
      <c r="BD863" s="191" t="inlineStr">
        <is>
          <t>SI</t>
        </is>
      </c>
    </row>
    <row r="864" ht="15" customHeight="1" s="162">
      <c r="A864" s="7" t="n">
        <v>863</v>
      </c>
      <c r="B864" t="inlineStr">
        <is>
          <t>0918530000000</t>
        </is>
      </c>
      <c r="C864" t="inlineStr">
        <is>
          <t>CANIF-DIO32_TIPO11B</t>
        </is>
      </c>
      <c r="D864" t="inlineStr">
        <is>
          <t>1800108797</t>
        </is>
      </c>
      <c r="E864" t="inlineStr">
        <is>
          <t>20</t>
        </is>
      </c>
      <c r="F864" s="163" t="n">
        <v>45459</v>
      </c>
      <c r="G864" t="inlineStr"/>
      <c r="H864" t="inlineStr">
        <is>
          <t>4200567892</t>
        </is>
      </c>
      <c r="I864" t="inlineStr">
        <is>
          <t>10</t>
        </is>
      </c>
      <c r="J864" s="163" t="n">
        <v>45463</v>
      </c>
      <c r="K864" s="163" t="n">
        <v>45464</v>
      </c>
      <c r="L864" t="inlineStr"/>
      <c r="M864" s="163" t="n">
        <v>45493</v>
      </c>
      <c r="N864" s="164" t="n">
        <v>30</v>
      </c>
      <c r="O864" s="164" t="n">
        <v>8</v>
      </c>
      <c r="P864" t="inlineStr">
        <is>
          <t>Liberado</t>
        </is>
      </c>
      <c r="Q864" s="165" t="n">
        <v>25</v>
      </c>
      <c r="R864" s="165" t="n">
        <v>25</v>
      </c>
      <c r="S864" s="165" t="n">
        <v>25</v>
      </c>
      <c r="T864" s="165" t="n">
        <v>0</v>
      </c>
      <c r="U864" s="166" t="n">
        <v>25</v>
      </c>
      <c r="V864" s="166" t="n">
        <v>0</v>
      </c>
      <c r="W864" t="inlineStr">
        <is>
          <t>X</t>
        </is>
      </c>
      <c r="X864" t="inlineStr">
        <is>
          <t>0.00</t>
        </is>
      </c>
      <c r="Y864" t="inlineStr"/>
      <c r="Z864" t="inlineStr">
        <is>
          <t>ELATE,S.A.</t>
        </is>
      </c>
      <c r="AA864" t="inlineStr">
        <is>
          <t>INDRA SISTEMAS S.A.</t>
        </is>
      </c>
      <c r="AB864" t="inlineStr">
        <is>
          <t>0918530000000</t>
        </is>
      </c>
      <c r="AC864" t="inlineStr"/>
      <c r="AD864" s="164" t="n">
        <v>0</v>
      </c>
      <c r="AE864" s="185" t="n">
        <v>0</v>
      </c>
      <c r="AG864" s="167" t="inlineStr">
        <is>
          <t>7218|JA2586_1001</t>
        </is>
      </c>
      <c r="AH864" s="47">
        <f>IF(M864=0,"-",M864-J864)</f>
        <v/>
      </c>
      <c r="AI864" s="46">
        <f>IF(AND(S864=0,M864&gt;0,L864=0),IF(AH864&gt;=120,"VERY HIGH",IF(AH864&gt;=90,"HIGH",IF(AH864&gt;=60,"MEDIUM",IF(AH864&lt;60,"LOW")))),"-")</f>
        <v/>
      </c>
      <c r="AJ864" s="12" t="n"/>
      <c r="AK864" s="53">
        <f>IF(AND(W864="X",M864&lt;=$AJ$2),"YES","")</f>
        <v/>
      </c>
      <c r="AL864" s="54">
        <f>IF(AND(W864="X",M864&lt;=$AJ$2),S864,"")</f>
        <v/>
      </c>
      <c r="AM864" s="35" t="n"/>
      <c r="AN864" s="35">
        <f>IF(AND(W864="X",M864&gt;$AJ$2),S864,"")</f>
        <v/>
      </c>
      <c r="AO864" s="35">
        <f>IF(AND(W864="",M864&gt;0,$AJ$2&gt;M864,L864=""),1,0)</f>
        <v/>
      </c>
      <c r="AP864" s="35">
        <f>IF(AND(AK864="YES",W864="X"),"X","")</f>
        <v/>
      </c>
      <c r="AQ864" s="55">
        <f>IF(AP864="X",100%,0%)</f>
        <v/>
      </c>
      <c r="AR864" s="25">
        <f>IF(AND(T864&gt;0,L864=""),H864,"")</f>
        <v/>
      </c>
      <c r="AS864" s="25">
        <f>IF(AND(D864&gt;0,H864=0,G864=""),1,"")</f>
        <v/>
      </c>
      <c r="AT864" s="25">
        <f>IF(G864="BLOQ",1,"")</f>
        <v/>
      </c>
      <c r="AU864" s="25">
        <f>IF(L864="BLOQ",1,"")</f>
        <v/>
      </c>
      <c r="AV864" s="25">
        <f>MONTH(F864)</f>
        <v/>
      </c>
      <c r="AW864" s="65">
        <f>IF(AP864="",100%,0%)</f>
        <v/>
      </c>
      <c r="AX864" s="56" t="n"/>
      <c r="AY864" s="24">
        <f>IF(M864=0,"",M864-$AX$2)</f>
        <v/>
      </c>
      <c r="AZ864" s="66">
        <f>IF(AND(W864="",AY864&gt;0,AY864&lt;15),1,0)</f>
        <v/>
      </c>
      <c r="BA864" s="24">
        <f>IF(AND(W864="",AY864&gt;0,AY864&lt;15),T864,"")</f>
        <v/>
      </c>
      <c r="BB864" s="87">
        <f>IF(R864&lt;Q864,"X","")</f>
        <v/>
      </c>
      <c r="BC864" s="190" t="inlineStr">
        <is>
          <t>NO</t>
        </is>
      </c>
      <c r="BD864" s="191" t="inlineStr">
        <is>
          <t>SI</t>
        </is>
      </c>
    </row>
    <row r="865" ht="15" customHeight="1" s="162">
      <c r="A865" s="7" t="n">
        <v>864</v>
      </c>
      <c r="B865" t="inlineStr">
        <is>
          <t>1002531203209</t>
        </is>
      </c>
      <c r="C865" t="inlineStr">
        <is>
          <t>RST PELCAR 120R 5% -500,350PPM 1/4W ROHS</t>
        </is>
      </c>
      <c r="D865" t="inlineStr">
        <is>
          <t>1800108797</t>
        </is>
      </c>
      <c r="E865" t="inlineStr">
        <is>
          <t>30</t>
        </is>
      </c>
      <c r="F865" s="163" t="n">
        <v>45459</v>
      </c>
      <c r="G865" t="inlineStr"/>
      <c r="H865" t="inlineStr">
        <is>
          <t>4200568748</t>
        </is>
      </c>
      <c r="I865" t="inlineStr">
        <is>
          <t>20</t>
        </is>
      </c>
      <c r="J865" s="163" t="n">
        <v>45471</v>
      </c>
      <c r="K865" s="163" t="n">
        <v>45471</v>
      </c>
      <c r="L865" t="inlineStr"/>
      <c r="M865" s="163" t="n">
        <v>45490</v>
      </c>
      <c r="N865" s="164" t="n">
        <v>30</v>
      </c>
      <c r="O865" s="164" t="n">
        <v>8</v>
      </c>
      <c r="P865" t="inlineStr">
        <is>
          <t>Liberado</t>
        </is>
      </c>
      <c r="Q865" s="165" t="n">
        <v>12</v>
      </c>
      <c r="R865" s="165" t="n">
        <v>12</v>
      </c>
      <c r="S865" s="165" t="n">
        <v>12</v>
      </c>
      <c r="T865" s="165" t="n">
        <v>0</v>
      </c>
      <c r="U865" s="166" t="n">
        <v>12</v>
      </c>
      <c r="V865" s="166" t="n">
        <v>0</v>
      </c>
      <c r="W865" t="inlineStr">
        <is>
          <t>X</t>
        </is>
      </c>
      <c r="X865" t="inlineStr">
        <is>
          <t>0.00</t>
        </is>
      </c>
      <c r="Y865" t="inlineStr"/>
      <c r="Z865" t="inlineStr">
        <is>
          <t>ICOMPPLUS ELECTRONICS S.L</t>
        </is>
      </c>
      <c r="AA865" t="inlineStr">
        <is>
          <t>YAGEO</t>
        </is>
      </c>
      <c r="AB865" t="inlineStr">
        <is>
          <t>CFR-25JR-52-120R</t>
        </is>
      </c>
      <c r="AC865" t="inlineStr"/>
      <c r="AD865" s="164" t="n">
        <v>0</v>
      </c>
      <c r="AE865" s="185" t="n">
        <v>0</v>
      </c>
      <c r="AG865" s="167" t="inlineStr">
        <is>
          <t>7218|JA2586_1001</t>
        </is>
      </c>
      <c r="AH865" s="47">
        <f>IF(M865=0,"-",M865-J865)</f>
        <v/>
      </c>
      <c r="AI865" s="46">
        <f>IF(AND(S865=0,M865&gt;0,L865=0),IF(AH865&gt;=120,"VERY HIGH",IF(AH865&gt;=90,"HIGH",IF(AH865&gt;=60,"MEDIUM",IF(AH865&lt;60,"LOW")))),"-")</f>
        <v/>
      </c>
      <c r="AJ865" s="12" t="n"/>
      <c r="AK865" s="53">
        <f>IF(AND(W865="X",M865&lt;=$AJ$2),"YES","")</f>
        <v/>
      </c>
      <c r="AL865" s="54">
        <f>IF(AND(W865="X",M865&lt;=$AJ$2),S865,"")</f>
        <v/>
      </c>
      <c r="AM865" s="35" t="n"/>
      <c r="AN865" s="35">
        <f>IF(AND(W865="X",M865&gt;$AJ$2),S865,"")</f>
        <v/>
      </c>
      <c r="AO865" s="35">
        <f>IF(AND(W865="",M865&gt;0,$AJ$2&gt;M865,L865=""),1,0)</f>
        <v/>
      </c>
      <c r="AP865" s="35">
        <f>IF(AND(AK865="YES",W865="X"),"X","")</f>
        <v/>
      </c>
      <c r="AQ865" s="55">
        <f>IF(AP865="X",100%,0%)</f>
        <v/>
      </c>
      <c r="AR865" s="25">
        <f>IF(AND(T865&gt;0,L865=""),H865,"")</f>
        <v/>
      </c>
      <c r="AS865" s="25">
        <f>IF(AND(D865&gt;0,H865=0,G865=""),1,"")</f>
        <v/>
      </c>
      <c r="AT865" s="25">
        <f>IF(G865="BLOQ",1,"")</f>
        <v/>
      </c>
      <c r="AU865" s="25">
        <f>IF(L865="BLOQ",1,"")</f>
        <v/>
      </c>
      <c r="AV865" s="25">
        <f>MONTH(F865)</f>
        <v/>
      </c>
      <c r="AW865" s="65">
        <f>IF(AP865="",100%,0%)</f>
        <v/>
      </c>
      <c r="AX865" s="56" t="n"/>
      <c r="AY865" s="24">
        <f>IF(M865=0,"",M865-$AX$2)</f>
        <v/>
      </c>
      <c r="AZ865" s="66">
        <f>IF(AND(W865="",AY865&gt;0,AY865&lt;15),1,0)</f>
        <v/>
      </c>
      <c r="BA865" s="24">
        <f>IF(AND(W865="",AY865&gt;0,AY865&lt;15),T865,"")</f>
        <v/>
      </c>
      <c r="BB865" s="87">
        <f>IF(R865&lt;Q865,"X","")</f>
        <v/>
      </c>
      <c r="BC865" s="190" t="inlineStr">
        <is>
          <t>NO</t>
        </is>
      </c>
      <c r="BD865" s="191" t="inlineStr">
        <is>
          <t>SI</t>
        </is>
      </c>
    </row>
    <row r="866" ht="15" customHeight="1" s="162">
      <c r="A866" s="7" t="n">
        <v>865</v>
      </c>
      <c r="B866" t="inlineStr">
        <is>
          <t>1002545103100</t>
        </is>
      </c>
      <c r="C866" t="inlineStr">
        <is>
          <t>RST PELCAR 5K10 5% 1/4W AXIAL ROHS</t>
        </is>
      </c>
      <c r="D866" t="inlineStr">
        <is>
          <t>1800108797</t>
        </is>
      </c>
      <c r="E866" t="inlineStr">
        <is>
          <t>40</t>
        </is>
      </c>
      <c r="F866" s="163" t="n">
        <v>45459</v>
      </c>
      <c r="G866" t="inlineStr"/>
      <c r="H866" t="inlineStr">
        <is>
          <t>4200569946</t>
        </is>
      </c>
      <c r="I866" t="inlineStr">
        <is>
          <t>20</t>
        </is>
      </c>
      <c r="J866" s="163" t="n">
        <v>45482</v>
      </c>
      <c r="K866" s="163" t="n">
        <v>45483</v>
      </c>
      <c r="L866" t="inlineStr"/>
      <c r="M866" s="163" t="n">
        <v>45495</v>
      </c>
      <c r="N866" s="164" t="n">
        <v>30</v>
      </c>
      <c r="O866" s="164" t="n">
        <v>8</v>
      </c>
      <c r="P866" t="inlineStr">
        <is>
          <t>Liberado</t>
        </is>
      </c>
      <c r="Q866" s="165" t="n">
        <v>2</v>
      </c>
      <c r="R866" s="165" t="n">
        <v>2</v>
      </c>
      <c r="S866" s="165" t="n">
        <v>2</v>
      </c>
      <c r="T866" s="165" t="n">
        <v>0</v>
      </c>
      <c r="U866" s="166" t="n">
        <v>2</v>
      </c>
      <c r="V866" s="166" t="n">
        <v>0</v>
      </c>
      <c r="W866" t="inlineStr">
        <is>
          <t>X</t>
        </is>
      </c>
      <c r="X866" t="inlineStr">
        <is>
          <t>0.00</t>
        </is>
      </c>
      <c r="Y866" t="inlineStr"/>
      <c r="Z866" t="inlineStr">
        <is>
          <t>TCX MICRO, S.L.U</t>
        </is>
      </c>
      <c r="AA866" t="inlineStr">
        <is>
          <t>ARCOL</t>
        </is>
      </c>
      <c r="AB866" t="inlineStr">
        <is>
          <t>RCC025 5K1 J</t>
        </is>
      </c>
      <c r="AC866" t="inlineStr"/>
      <c r="AD866" s="164" t="n">
        <v>0</v>
      </c>
      <c r="AE866" s="185" t="n">
        <v>0</v>
      </c>
      <c r="AG866" s="167" t="inlineStr">
        <is>
          <t>7218|JA2586_1001</t>
        </is>
      </c>
      <c r="AH866" s="47">
        <f>IF(M866=0,"-",M866-J866)</f>
        <v/>
      </c>
      <c r="AI866" s="46">
        <f>IF(AND(S866=0,M866&gt;0,L866=0),IF(AH866&gt;=120,"VERY HIGH",IF(AH866&gt;=90,"HIGH",IF(AH866&gt;=60,"MEDIUM",IF(AH866&lt;60,"LOW")))),"-")</f>
        <v/>
      </c>
      <c r="AJ866" s="12" t="n"/>
      <c r="AK866" s="53">
        <f>IF(AND(W866="X",M866&lt;=$AJ$2),"YES","")</f>
        <v/>
      </c>
      <c r="AL866" s="54">
        <f>IF(AND(W866="X",M866&lt;=$AJ$2),S866,"")</f>
        <v/>
      </c>
      <c r="AM866" s="35" t="n"/>
      <c r="AN866" s="35">
        <f>IF(AND(W866="X",M866&gt;$AJ$2),S866,"")</f>
        <v/>
      </c>
      <c r="AO866" s="35">
        <f>IF(AND(W866="",M866&gt;0,$AJ$2&gt;M866,L866=""),1,0)</f>
        <v/>
      </c>
      <c r="AP866" s="35">
        <f>IF(AND(AK866="YES",W866="X"),"X","")</f>
        <v/>
      </c>
      <c r="AQ866" s="55">
        <f>IF(AP866="X",100%,0%)</f>
        <v/>
      </c>
      <c r="AR866" s="25">
        <f>IF(AND(T866&gt;0,L866=""),H866,"")</f>
        <v/>
      </c>
      <c r="AS866" s="25">
        <f>IF(AND(D866&gt;0,H866=0,G866=""),1,"")</f>
        <v/>
      </c>
      <c r="AT866" s="25">
        <f>IF(G866="BLOQ",1,"")</f>
        <v/>
      </c>
      <c r="AU866" s="25">
        <f>IF(L866="BLOQ",1,"")</f>
        <v/>
      </c>
      <c r="AV866" s="25">
        <f>MONTH(F866)</f>
        <v/>
      </c>
      <c r="AW866" s="65">
        <f>IF(AP866="",100%,0%)</f>
        <v/>
      </c>
      <c r="AX866" s="56" t="n"/>
      <c r="AY866" s="24">
        <f>IF(M866=0,"",M866-$AX$2)</f>
        <v/>
      </c>
      <c r="AZ866" s="66">
        <f>IF(AND(W866="",AY866&gt;0,AY866&lt;15),1,0)</f>
        <v/>
      </c>
      <c r="BA866" s="24">
        <f>IF(AND(W866="",AY866&gt;0,AY866&lt;15),T866,"")</f>
        <v/>
      </c>
      <c r="BB866" s="87">
        <f>IF(R866&lt;Q866,"X","")</f>
        <v/>
      </c>
      <c r="BC866" s="190" t="inlineStr">
        <is>
          <t>NO</t>
        </is>
      </c>
      <c r="BD866" s="191" t="inlineStr">
        <is>
          <t>SI</t>
        </is>
      </c>
    </row>
    <row r="867" ht="15" customHeight="1" s="162">
      <c r="A867" s="7" t="n">
        <v>866</v>
      </c>
      <c r="B867" t="inlineStr">
        <is>
          <t>1060900040000</t>
        </is>
      </c>
      <c r="C867" t="inlineStr">
        <is>
          <t>PORTALED T1 3/4  D=9,5MM P/LED 5MM PANEL</t>
        </is>
      </c>
      <c r="D867" t="inlineStr">
        <is>
          <t>1800108797</t>
        </is>
      </c>
      <c r="E867" t="inlineStr">
        <is>
          <t>50</t>
        </is>
      </c>
      <c r="F867" s="163" t="n">
        <v>45459</v>
      </c>
      <c r="G867" t="inlineStr"/>
      <c r="H867" t="inlineStr">
        <is>
          <t>4200568748</t>
        </is>
      </c>
      <c r="I867" t="inlineStr">
        <is>
          <t>30</t>
        </is>
      </c>
      <c r="J867" s="163" t="n">
        <v>45471</v>
      </c>
      <c r="K867" s="163" t="n">
        <v>45471</v>
      </c>
      <c r="L867" t="inlineStr"/>
      <c r="M867" s="163" t="n">
        <v>45594</v>
      </c>
      <c r="N867" s="164" t="n">
        <v>126</v>
      </c>
      <c r="O867" s="164" t="n">
        <v>8</v>
      </c>
      <c r="P867" t="inlineStr">
        <is>
          <t>Liberado</t>
        </is>
      </c>
      <c r="Q867" s="165" t="n">
        <v>1</v>
      </c>
      <c r="R867" s="165" t="n">
        <v>1</v>
      </c>
      <c r="S867" s="165" t="n">
        <v>1</v>
      </c>
      <c r="T867" s="165" t="n">
        <v>0</v>
      </c>
      <c r="U867" s="166" t="n">
        <v>1</v>
      </c>
      <c r="V867" s="166" t="n">
        <v>0</v>
      </c>
      <c r="W867" t="inlineStr">
        <is>
          <t>X</t>
        </is>
      </c>
      <c r="X867" t="inlineStr">
        <is>
          <t>0.00</t>
        </is>
      </c>
      <c r="Y867" t="inlineStr"/>
      <c r="Z867" t="inlineStr">
        <is>
          <t>ICOMPPLUS ELECTRONICS S.L</t>
        </is>
      </c>
      <c r="AA867" t="inlineStr">
        <is>
          <t>ARCOLECTRIC</t>
        </is>
      </c>
      <c r="AB867" t="inlineStr">
        <is>
          <t>A104800AAC</t>
        </is>
      </c>
      <c r="AC867" t="inlineStr"/>
      <c r="AD867" s="164" t="n">
        <v>1</v>
      </c>
      <c r="AE867" s="185" t="n">
        <v>0</v>
      </c>
      <c r="AG867" s="167" t="inlineStr">
        <is>
          <t>7218|JA2586_1001</t>
        </is>
      </c>
      <c r="AH867" s="47">
        <f>IF(M867=0,"-",M867-J867)</f>
        <v/>
      </c>
      <c r="AI867" s="46">
        <f>IF(AND(S867=0,M867&gt;0,L867=0),IF(AH867&gt;=120,"VERY HIGH",IF(AH867&gt;=90,"HIGH",IF(AH867&gt;=60,"MEDIUM",IF(AH867&lt;60,"LOW")))),"-")</f>
        <v/>
      </c>
      <c r="AJ867" s="12" t="n"/>
      <c r="AK867" s="53">
        <f>IF(AND(W867="X",M867&lt;=$AJ$2),"YES","")</f>
        <v/>
      </c>
      <c r="AL867" s="54">
        <f>IF(AND(W867="X",M867&lt;=$AJ$2),S867,"")</f>
        <v/>
      </c>
      <c r="AM867" s="35" t="n"/>
      <c r="AN867" s="35">
        <f>IF(AND(W867="X",M867&gt;$AJ$2),S867,"")</f>
        <v/>
      </c>
      <c r="AO867" s="35">
        <f>IF(AND(W867="",M867&gt;0,$AJ$2&gt;M867,L867=""),1,0)</f>
        <v/>
      </c>
      <c r="AP867" s="35">
        <f>IF(AND(AK867="YES",W867="X"),"X","")</f>
        <v/>
      </c>
      <c r="AQ867" s="55">
        <f>IF(AP867="X",100%,0%)</f>
        <v/>
      </c>
      <c r="AR867" s="25">
        <f>IF(AND(T867&gt;0,L867=""),H867,"")</f>
        <v/>
      </c>
      <c r="AS867" s="25">
        <f>IF(AND(D867&gt;0,H867=0,G867=""),1,"")</f>
        <v/>
      </c>
      <c r="AT867" s="25">
        <f>IF(G867="BLOQ",1,"")</f>
        <v/>
      </c>
      <c r="AU867" s="25">
        <f>IF(L867="BLOQ",1,"")</f>
        <v/>
      </c>
      <c r="AV867" s="25">
        <f>MONTH(F867)</f>
        <v/>
      </c>
      <c r="AW867" s="65">
        <f>IF(AP867="",100%,0%)</f>
        <v/>
      </c>
      <c r="AX867" s="56" t="n"/>
      <c r="AY867" s="24">
        <f>IF(M867=0,"",M867-$AX$2)</f>
        <v/>
      </c>
      <c r="AZ867" s="66">
        <f>IF(AND(W867="",AY867&gt;0,AY867&lt;15),1,0)</f>
        <v/>
      </c>
      <c r="BA867" s="24">
        <f>IF(AND(W867="",AY867&gt;0,AY867&lt;15),T867,"")</f>
        <v/>
      </c>
      <c r="BB867" s="87">
        <f>IF(R867&lt;Q867,"X","")</f>
        <v/>
      </c>
      <c r="BC867" s="190" t="inlineStr">
        <is>
          <t>NO</t>
        </is>
      </c>
      <c r="BD867" s="191" t="inlineStr">
        <is>
          <t>SI</t>
        </is>
      </c>
    </row>
    <row r="868" ht="15" customHeight="1" s="162">
      <c r="A868" s="7" t="n">
        <v>867</v>
      </c>
      <c r="B868" t="inlineStr">
        <is>
          <t>1209013600000</t>
        </is>
      </c>
      <c r="C868" t="inlineStr">
        <is>
          <t>REGLETA PINES 1X36M 2,54MM 3,43/5,84 RHS</t>
        </is>
      </c>
      <c r="D868" t="inlineStr">
        <is>
          <t>1800108797</t>
        </is>
      </c>
      <c r="E868" t="inlineStr">
        <is>
          <t>60</t>
        </is>
      </c>
      <c r="F868" s="163" t="n">
        <v>45459</v>
      </c>
      <c r="G868" t="inlineStr"/>
      <c r="H868" t="inlineStr">
        <is>
          <t>4200568022</t>
        </is>
      </c>
      <c r="I868" t="inlineStr">
        <is>
          <t>10</t>
        </is>
      </c>
      <c r="J868" s="163" t="n">
        <v>45464</v>
      </c>
      <c r="K868" s="163" t="n">
        <v>45468</v>
      </c>
      <c r="L868" t="inlineStr"/>
      <c r="M868" s="163" t="n">
        <v>45488</v>
      </c>
      <c r="N868" s="164" t="n">
        <v>80</v>
      </c>
      <c r="O868" s="164" t="n">
        <v>8</v>
      </c>
      <c r="P868" t="inlineStr">
        <is>
          <t>Liberado</t>
        </is>
      </c>
      <c r="Q868" s="165" t="n">
        <v>1</v>
      </c>
      <c r="R868" s="165" t="n">
        <v>1</v>
      </c>
      <c r="S868" s="165" t="n">
        <v>1</v>
      </c>
      <c r="T868" s="165" t="n">
        <v>0</v>
      </c>
      <c r="U868" s="166" t="n">
        <v>1</v>
      </c>
      <c r="V868" s="166" t="n">
        <v>0</v>
      </c>
      <c r="W868" t="inlineStr">
        <is>
          <t>X</t>
        </is>
      </c>
      <c r="X868" t="inlineStr">
        <is>
          <t>0.00</t>
        </is>
      </c>
      <c r="Y868" t="inlineStr"/>
      <c r="Z868" t="inlineStr">
        <is>
          <t>MOUSER ELECTRONICS, INC.</t>
        </is>
      </c>
      <c r="AA868" t="inlineStr">
        <is>
          <t>FCI</t>
        </is>
      </c>
      <c r="AB868" t="inlineStr">
        <is>
          <t>77311-802-36LF</t>
        </is>
      </c>
      <c r="AC868" t="inlineStr"/>
      <c r="AD868" s="164" t="n">
        <v>0</v>
      </c>
      <c r="AE868" s="185" t="n">
        <v>0</v>
      </c>
      <c r="AG868" s="167" t="inlineStr">
        <is>
          <t>7218|JA2586_1001</t>
        </is>
      </c>
      <c r="AH868" s="47">
        <f>IF(M868=0,"-",M868-J868)</f>
        <v/>
      </c>
      <c r="AI868" s="46">
        <f>IF(AND(S868=0,M868&gt;0,L868=0),IF(AH868&gt;=120,"VERY HIGH",IF(AH868&gt;=90,"HIGH",IF(AH868&gt;=60,"MEDIUM",IF(AH868&lt;60,"LOW")))),"-")</f>
        <v/>
      </c>
      <c r="AJ868" s="12" t="n"/>
      <c r="AK868" s="53">
        <f>IF(AND(W868="X",M868&lt;=$AJ$2),"YES","")</f>
        <v/>
      </c>
      <c r="AL868" s="54">
        <f>IF(AND(W868="X",M868&lt;=$AJ$2),S868,"")</f>
        <v/>
      </c>
      <c r="AM868" s="35" t="n"/>
      <c r="AN868" s="35">
        <f>IF(AND(W868="X",M868&gt;$AJ$2),S868,"")</f>
        <v/>
      </c>
      <c r="AO868" s="35">
        <f>IF(AND(W868="",M868&gt;0,$AJ$2&gt;M868,L868=""),1,0)</f>
        <v/>
      </c>
      <c r="AP868" s="35">
        <f>IF(AND(AK868="YES",W868="X"),"X","")</f>
        <v/>
      </c>
      <c r="AQ868" s="55">
        <f>IF(AP868="X",100%,0%)</f>
        <v/>
      </c>
      <c r="AR868" s="25">
        <f>IF(AND(T868&gt;0,L868=""),H868,"")</f>
        <v/>
      </c>
      <c r="AS868" s="25">
        <f>IF(AND(D868&gt;0,H868=0,G868=""),1,"")</f>
        <v/>
      </c>
      <c r="AT868" s="25">
        <f>IF(G868="BLOQ",1,"")</f>
        <v/>
      </c>
      <c r="AU868" s="25">
        <f>IF(L868="BLOQ",1,"")</f>
        <v/>
      </c>
      <c r="AV868" s="25">
        <f>MONTH(F868)</f>
        <v/>
      </c>
      <c r="AW868" s="65">
        <f>IF(AP868="",100%,0%)</f>
        <v/>
      </c>
      <c r="AX868" s="56" t="n"/>
      <c r="AY868" s="24">
        <f>IF(M868=0,"",M868-$AX$2)</f>
        <v/>
      </c>
      <c r="AZ868" s="66">
        <f>IF(AND(W868="",AY868&gt;0,AY868&lt;15),1,0)</f>
        <v/>
      </c>
      <c r="BA868" s="24">
        <f>IF(AND(W868="",AY868&gt;0,AY868&lt;15),T868,"")</f>
        <v/>
      </c>
      <c r="BB868" s="87">
        <f>IF(R868&lt;Q868,"X","")</f>
        <v/>
      </c>
      <c r="BC868" s="190" t="inlineStr">
        <is>
          <t>NO</t>
        </is>
      </c>
      <c r="BD868" s="190" t="inlineStr">
        <is>
          <t>NO</t>
        </is>
      </c>
    </row>
    <row r="869" ht="15" customHeight="1" s="162">
      <c r="A869" s="7" t="n">
        <v>868</v>
      </c>
      <c r="B869" t="inlineStr">
        <is>
          <t>1229594740000</t>
        </is>
      </c>
      <c r="C869" t="inlineStr">
        <is>
          <t>CBL EQUIPADO INTERFACE 2X CNC SUB-D 25P-</t>
        </is>
      </c>
      <c r="D869" t="inlineStr">
        <is>
          <t>1800108797</t>
        </is>
      </c>
      <c r="E869" t="inlineStr">
        <is>
          <t>70</t>
        </is>
      </c>
      <c r="F869" s="163" t="n">
        <v>45459</v>
      </c>
      <c r="G869" t="inlineStr"/>
      <c r="H869" t="inlineStr">
        <is>
          <t>4200573607</t>
        </is>
      </c>
      <c r="I869" t="inlineStr">
        <is>
          <t>10</t>
        </is>
      </c>
      <c r="J869" s="163" t="n">
        <v>45509</v>
      </c>
      <c r="K869" s="163" t="n">
        <v>45558</v>
      </c>
      <c r="L869" t="inlineStr"/>
      <c r="M869" s="163" t="n">
        <v>45558</v>
      </c>
      <c r="N869" s="164" t="n">
        <v>30</v>
      </c>
      <c r="O869" s="164" t="n">
        <v>8</v>
      </c>
      <c r="P869" t="inlineStr">
        <is>
          <t>Liberado</t>
        </is>
      </c>
      <c r="Q869" s="165" t="n">
        <v>5</v>
      </c>
      <c r="R869" s="165" t="n">
        <v>5</v>
      </c>
      <c r="S869" s="165" t="n">
        <v>5</v>
      </c>
      <c r="T869" s="165" t="n">
        <v>0</v>
      </c>
      <c r="U869" s="166" t="n">
        <v>5</v>
      </c>
      <c r="V869" s="166" t="n">
        <v>0</v>
      </c>
      <c r="W869" t="inlineStr">
        <is>
          <t>X</t>
        </is>
      </c>
      <c r="X869" t="inlineStr">
        <is>
          <t>0.00</t>
        </is>
      </c>
      <c r="Y869" t="inlineStr"/>
      <c r="Z869" t="inlineStr">
        <is>
          <t>MAX TECHNOLOGIES INC</t>
        </is>
      </c>
      <c r="AA869" t="inlineStr">
        <is>
          <t>MAX TECHNOLOGIES INC</t>
        </is>
      </c>
      <c r="AB869" t="inlineStr">
        <is>
          <t>MAX-AC-40300</t>
        </is>
      </c>
      <c r="AC869" t="inlineStr"/>
      <c r="AD869" s="164" t="n">
        <v>0</v>
      </c>
      <c r="AE869" s="185" t="n">
        <v>0</v>
      </c>
      <c r="AG869" s="167" t="inlineStr">
        <is>
          <t>7218|JA2586_1001</t>
        </is>
      </c>
      <c r="AH869" s="47">
        <f>IF(M869=0,"-",M869-J869)</f>
        <v/>
      </c>
      <c r="AI869" s="46">
        <f>IF(AND(S869=0,M869&gt;0,L869=0),IF(AH869&gt;=120,"VERY HIGH",IF(AH869&gt;=90,"HIGH",IF(AH869&gt;=60,"MEDIUM",IF(AH869&lt;60,"LOW")))),"-")</f>
        <v/>
      </c>
      <c r="AJ869" s="12" t="n"/>
      <c r="AK869" s="53">
        <f>IF(AND(W869="X",M869&lt;=$AJ$2),"YES","")</f>
        <v/>
      </c>
      <c r="AL869" s="54">
        <f>IF(AND(W869="X",M869&lt;=$AJ$2),S869,"")</f>
        <v/>
      </c>
      <c r="AM869" s="35" t="n"/>
      <c r="AN869" s="35">
        <f>IF(AND(W869="X",M869&gt;$AJ$2),S869,"")</f>
        <v/>
      </c>
      <c r="AO869" s="35">
        <f>IF(AND(W869="",M869&gt;0,$AJ$2&gt;M869,L869=""),1,0)</f>
        <v/>
      </c>
      <c r="AP869" s="35">
        <f>IF(AND(AK869="YES",W869="X"),"X","")</f>
        <v/>
      </c>
      <c r="AQ869" s="55">
        <f>IF(AP869="X",100%,0%)</f>
        <v/>
      </c>
      <c r="AR869" s="25">
        <f>IF(AND(T869&gt;0,L869=""),H869,"")</f>
        <v/>
      </c>
      <c r="AS869" s="25">
        <f>IF(AND(D869&gt;0,H869=0,G869=""),1,"")</f>
        <v/>
      </c>
      <c r="AT869" s="25">
        <f>IF(G869="BLOQ",1,"")</f>
        <v/>
      </c>
      <c r="AU869" s="25">
        <f>IF(L869="BLOQ",1,"")</f>
        <v/>
      </c>
      <c r="AV869" s="25">
        <f>MONTH(F869)</f>
        <v/>
      </c>
      <c r="AW869" s="65">
        <f>IF(AP869="",100%,0%)</f>
        <v/>
      </c>
      <c r="AX869" s="56" t="n"/>
      <c r="AY869" s="24">
        <f>IF(M869=0,"",M869-$AX$2)</f>
        <v/>
      </c>
      <c r="AZ869" s="66">
        <f>IF(AND(W869="",AY869&gt;0,AY869&lt;15),1,0)</f>
        <v/>
      </c>
      <c r="BA869" s="24">
        <f>IF(AND(W869="",AY869&gt;0,AY869&lt;15),T869,"")</f>
        <v/>
      </c>
      <c r="BB869" s="87">
        <f>IF(R869&lt;Q869,"X","")</f>
        <v/>
      </c>
      <c r="BC869" s="191" t="inlineStr">
        <is>
          <t>SI</t>
        </is>
      </c>
      <c r="BD869" s="191" t="inlineStr">
        <is>
          <t>SI</t>
        </is>
      </c>
    </row>
    <row r="870" ht="15" customHeight="1" s="162">
      <c r="A870" s="7" t="n">
        <v>869</v>
      </c>
      <c r="B870" t="inlineStr">
        <is>
          <t>1229594740000</t>
        </is>
      </c>
      <c r="C870" t="inlineStr">
        <is>
          <t>CBL EQUIPADO INTERFACE 2X CNC SUB-D 25P-</t>
        </is>
      </c>
      <c r="D870" t="inlineStr">
        <is>
          <t>1800108797</t>
        </is>
      </c>
      <c r="E870" t="inlineStr">
        <is>
          <t>70</t>
        </is>
      </c>
      <c r="F870" s="163" t="n">
        <v>45459</v>
      </c>
      <c r="G870" t="inlineStr"/>
      <c r="H870" t="inlineStr">
        <is>
          <t>4200572642</t>
        </is>
      </c>
      <c r="I870" t="inlineStr">
        <is>
          <t>10</t>
        </is>
      </c>
      <c r="J870" s="163" t="n">
        <v>45502</v>
      </c>
      <c r="K870" s="163" t="n">
        <v>45504</v>
      </c>
      <c r="L870" t="inlineStr">
        <is>
          <t>BORR</t>
        </is>
      </c>
      <c r="M870" s="163" t="n">
        <v>45558</v>
      </c>
      <c r="N870" s="164" t="n">
        <v>30</v>
      </c>
      <c r="O870" s="164" t="n">
        <v>8</v>
      </c>
      <c r="P870" t="inlineStr"/>
      <c r="Q870" s="165" t="n">
        <v>5</v>
      </c>
      <c r="R870" s="165" t="n">
        <v>5</v>
      </c>
      <c r="S870" s="165" t="n">
        <v>0</v>
      </c>
      <c r="T870" s="165" t="n">
        <v>5</v>
      </c>
      <c r="U870" s="166" t="n">
        <v>0</v>
      </c>
      <c r="V870" s="166" t="n">
        <v>0</v>
      </c>
      <c r="W870" t="inlineStr"/>
      <c r="X870" t="inlineStr">
        <is>
          <t>2936.20</t>
        </is>
      </c>
      <c r="Y870" t="inlineStr"/>
      <c r="Z870" t="inlineStr">
        <is>
          <t>MAX TECHNOLOGIES INC</t>
        </is>
      </c>
      <c r="AA870" t="inlineStr">
        <is>
          <t>MAX TECHNOLOGIES INC</t>
        </is>
      </c>
      <c r="AB870" t="inlineStr">
        <is>
          <t>MAX-AC-40300</t>
        </is>
      </c>
      <c r="AC870" t="inlineStr"/>
      <c r="AD870" s="164" t="n">
        <v>0</v>
      </c>
      <c r="AE870" s="185" t="n">
        <v>0</v>
      </c>
      <c r="AG870" s="167" t="inlineStr">
        <is>
          <t>7218|JA2586_1001</t>
        </is>
      </c>
      <c r="AH870" s="47">
        <f>IF(M870=0,"-",M870-J870)</f>
        <v/>
      </c>
      <c r="AI870" s="46">
        <f>IF(AND(S870=0,M870&gt;0,L870=0),IF(AH870&gt;=120,"VERY HIGH",IF(AH870&gt;=90,"HIGH",IF(AH870&gt;=60,"MEDIUM",IF(AH870&lt;60,"LOW")))),"-")</f>
        <v/>
      </c>
      <c r="AJ870" s="12" t="n"/>
      <c r="AK870" s="53">
        <f>IF(AND(W870="X",M870&lt;=$AJ$2),"YES","")</f>
        <v/>
      </c>
      <c r="AL870" s="54">
        <f>IF(AND(W870="X",M870&lt;=$AJ$2),S870,"")</f>
        <v/>
      </c>
      <c r="AM870" s="35" t="n"/>
      <c r="AN870" s="35">
        <f>IF(AND(W870="X",M870&gt;$AJ$2),S870,"")</f>
        <v/>
      </c>
      <c r="AO870" s="35">
        <f>IF(AND(W870="",M870&gt;0,$AJ$2&gt;M870,L870=""),1,0)</f>
        <v/>
      </c>
      <c r="AP870" s="35">
        <f>IF(AND(AK870="YES",W870="X"),"X","")</f>
        <v/>
      </c>
      <c r="AQ870" s="55">
        <f>IF(AP870="X",100%,0%)</f>
        <v/>
      </c>
      <c r="AR870" s="25">
        <f>IF(AND(T870&gt;0,L870=""),H870,"")</f>
        <v/>
      </c>
      <c r="AS870" s="25">
        <f>IF(AND(D870&gt;0,H870=0,G870=""),1,"")</f>
        <v/>
      </c>
      <c r="AT870" s="25">
        <f>IF(G870="BLOQ",1,"")</f>
        <v/>
      </c>
      <c r="AU870" s="25">
        <f>IF(L870="BLOQ",1,"")</f>
        <v/>
      </c>
      <c r="AV870" s="25">
        <f>MONTH(F870)</f>
        <v/>
      </c>
      <c r="AW870" s="65">
        <f>IF(AP870="",100%,0%)</f>
        <v/>
      </c>
      <c r="AX870" s="56" t="n"/>
      <c r="AY870" s="24">
        <f>IF(M870=0,"",M870-$AX$2)</f>
        <v/>
      </c>
      <c r="AZ870" s="66">
        <f>IF(AND(W870="",AY870&gt;0,AY870&lt;15),1,0)</f>
        <v/>
      </c>
      <c r="BA870" s="24">
        <f>IF(AND(W870="",AY870&gt;0,AY870&lt;15),T870,"")</f>
        <v/>
      </c>
      <c r="BB870" s="87">
        <f>IF(R870&lt;Q870,"X","")</f>
        <v/>
      </c>
      <c r="BC870" s="191" t="inlineStr">
        <is>
          <t>SI</t>
        </is>
      </c>
      <c r="BD870" s="191" t="inlineStr">
        <is>
          <t>SI</t>
        </is>
      </c>
    </row>
    <row r="871" ht="15" customHeight="1" s="162">
      <c r="A871" s="7" t="n">
        <v>870</v>
      </c>
      <c r="B871" t="inlineStr">
        <is>
          <t>1229594740100</t>
        </is>
      </c>
      <c r="C871" t="inlineStr">
        <is>
          <t>CBL EUIPADO INTERFACE 30CM C/INTERFACE D</t>
        </is>
      </c>
      <c r="D871" t="inlineStr">
        <is>
          <t>1800108797</t>
        </is>
      </c>
      <c r="E871" t="inlineStr">
        <is>
          <t>80</t>
        </is>
      </c>
      <c r="F871" s="163" t="n">
        <v>45459</v>
      </c>
      <c r="G871" t="inlineStr"/>
      <c r="H871" t="inlineStr">
        <is>
          <t>4200572642</t>
        </is>
      </c>
      <c r="I871" t="inlineStr">
        <is>
          <t>20</t>
        </is>
      </c>
      <c r="J871" s="163" t="n">
        <v>45502</v>
      </c>
      <c r="K871" s="163" t="n">
        <v>45504</v>
      </c>
      <c r="L871" t="inlineStr">
        <is>
          <t>BORR</t>
        </is>
      </c>
      <c r="M871" s="163" t="n">
        <v>45558</v>
      </c>
      <c r="N871" s="164" t="n">
        <v>105</v>
      </c>
      <c r="O871" s="164" t="n">
        <v>8</v>
      </c>
      <c r="P871" t="inlineStr"/>
      <c r="Q871" s="165" t="n">
        <v>1</v>
      </c>
      <c r="R871" s="165" t="n">
        <v>1</v>
      </c>
      <c r="S871" s="165" t="n">
        <v>0</v>
      </c>
      <c r="T871" s="165" t="n">
        <v>1</v>
      </c>
      <c r="U871" s="166" t="n">
        <v>0</v>
      </c>
      <c r="V871" s="166" t="n">
        <v>0</v>
      </c>
      <c r="W871" t="inlineStr"/>
      <c r="X871" t="inlineStr">
        <is>
          <t>622.84</t>
        </is>
      </c>
      <c r="Y871" t="inlineStr"/>
      <c r="Z871" t="inlineStr">
        <is>
          <t>MAX TECHNOLOGIES INC</t>
        </is>
      </c>
      <c r="AA871" t="inlineStr">
        <is>
          <t>MAX TECHNOLOGIES INC</t>
        </is>
      </c>
      <c r="AB871" t="inlineStr">
        <is>
          <t>MAX-AC-40311</t>
        </is>
      </c>
      <c r="AC871" t="inlineStr"/>
      <c r="AD871" s="164" t="n">
        <v>0</v>
      </c>
      <c r="AE871" s="185" t="n">
        <v>0</v>
      </c>
      <c r="AG871" s="167" t="inlineStr">
        <is>
          <t>7218|JA2586_1001</t>
        </is>
      </c>
      <c r="AH871" s="47">
        <f>IF(M871=0,"-",M871-J871)</f>
        <v/>
      </c>
      <c r="AI871" s="46">
        <f>IF(AND(S871=0,M871&gt;0,L871=0),IF(AH871&gt;=120,"VERY HIGH",IF(AH871&gt;=90,"HIGH",IF(AH871&gt;=60,"MEDIUM",IF(AH871&lt;60,"LOW")))),"-")</f>
        <v/>
      </c>
      <c r="AJ871" s="12" t="n"/>
      <c r="AK871" s="53">
        <f>IF(AND(W871="X",M871&lt;=$AJ$2),"YES","")</f>
        <v/>
      </c>
      <c r="AL871" s="54">
        <f>IF(AND(W871="X",M871&lt;=$AJ$2),S871,"")</f>
        <v/>
      </c>
      <c r="AM871" s="35" t="n"/>
      <c r="AN871" s="35">
        <f>IF(AND(W871="X",M871&gt;$AJ$2),S871,"")</f>
        <v/>
      </c>
      <c r="AO871" s="35">
        <f>IF(AND(W871="",M871&gt;0,$AJ$2&gt;M871,L871=""),1,0)</f>
        <v/>
      </c>
      <c r="AP871" s="35">
        <f>IF(AND(AK871="YES",W871="X"),"X","")</f>
        <v/>
      </c>
      <c r="AQ871" s="55">
        <f>IF(AP871="X",100%,0%)</f>
        <v/>
      </c>
      <c r="AR871" s="25">
        <f>IF(AND(T871&gt;0,L871=""),H871,"")</f>
        <v/>
      </c>
      <c r="AS871" s="25">
        <f>IF(AND(D871&gt;0,H871=0,G871=""),1,"")</f>
        <v/>
      </c>
      <c r="AT871" s="25">
        <f>IF(G871="BLOQ",1,"")</f>
        <v/>
      </c>
      <c r="AU871" s="25">
        <f>IF(L871="BLOQ",1,"")</f>
        <v/>
      </c>
      <c r="AV871" s="25">
        <f>MONTH(F871)</f>
        <v/>
      </c>
      <c r="AW871" s="65">
        <f>IF(AP871="",100%,0%)</f>
        <v/>
      </c>
      <c r="AX871" s="56" t="n"/>
      <c r="AY871" s="24">
        <f>IF(M871=0,"",M871-$AX$2)</f>
        <v/>
      </c>
      <c r="AZ871" s="66">
        <f>IF(AND(W871="",AY871&gt;0,AY871&lt;15),1,0)</f>
        <v/>
      </c>
      <c r="BA871" s="24">
        <f>IF(AND(W871="",AY871&gt;0,AY871&lt;15),T871,"")</f>
        <v/>
      </c>
      <c r="BB871" s="87">
        <f>IF(R871&lt;Q871,"X","")</f>
        <v/>
      </c>
      <c r="BC871" s="190" t="inlineStr">
        <is>
          <t>NO</t>
        </is>
      </c>
      <c r="BD871" s="191" t="inlineStr">
        <is>
          <t>SI</t>
        </is>
      </c>
    </row>
    <row r="872" ht="15" customHeight="1" s="162">
      <c r="A872" s="7" t="n">
        <v>871</v>
      </c>
      <c r="B872" t="inlineStr">
        <is>
          <t>1229594740100</t>
        </is>
      </c>
      <c r="C872" t="inlineStr">
        <is>
          <t>CBL EUIPADO INTERFACE 30CM C/INTERFACE D</t>
        </is>
      </c>
      <c r="D872" t="inlineStr">
        <is>
          <t>1800108797</t>
        </is>
      </c>
      <c r="E872" t="inlineStr">
        <is>
          <t>80</t>
        </is>
      </c>
      <c r="F872" s="163" t="n">
        <v>45459</v>
      </c>
      <c r="G872" t="inlineStr"/>
      <c r="H872" t="inlineStr">
        <is>
          <t>4200573607</t>
        </is>
      </c>
      <c r="I872" t="inlineStr">
        <is>
          <t>20</t>
        </is>
      </c>
      <c r="J872" s="163" t="n">
        <v>45509</v>
      </c>
      <c r="K872" s="163" t="n">
        <v>45558</v>
      </c>
      <c r="L872" t="inlineStr"/>
      <c r="M872" s="163" t="n">
        <v>45558</v>
      </c>
      <c r="N872" s="164" t="n">
        <v>105</v>
      </c>
      <c r="O872" s="164" t="n">
        <v>8</v>
      </c>
      <c r="P872" t="inlineStr">
        <is>
          <t>Liberado</t>
        </is>
      </c>
      <c r="Q872" s="165" t="n">
        <v>1</v>
      </c>
      <c r="R872" s="165" t="n">
        <v>1</v>
      </c>
      <c r="S872" s="165" t="n">
        <v>1</v>
      </c>
      <c r="T872" s="165" t="n">
        <v>0</v>
      </c>
      <c r="U872" s="166" t="n">
        <v>1</v>
      </c>
      <c r="V872" s="166" t="n">
        <v>0</v>
      </c>
      <c r="W872" t="inlineStr">
        <is>
          <t>X</t>
        </is>
      </c>
      <c r="X872" t="inlineStr">
        <is>
          <t>0.00</t>
        </is>
      </c>
      <c r="Y872" t="inlineStr"/>
      <c r="Z872" t="inlineStr">
        <is>
          <t>MAX TECHNOLOGIES INC</t>
        </is>
      </c>
      <c r="AA872" t="inlineStr">
        <is>
          <t>MAX TECHNOLOGIES INC</t>
        </is>
      </c>
      <c r="AB872" t="inlineStr">
        <is>
          <t>MAX-AC-40311</t>
        </is>
      </c>
      <c r="AC872" t="inlineStr"/>
      <c r="AD872" s="164" t="n">
        <v>0</v>
      </c>
      <c r="AE872" s="185" t="n">
        <v>0</v>
      </c>
      <c r="AG872" s="167" t="inlineStr">
        <is>
          <t>7218|JA2586_1001</t>
        </is>
      </c>
      <c r="AH872" s="47">
        <f>IF(M872=0,"-",M872-J872)</f>
        <v/>
      </c>
      <c r="AI872" s="46">
        <f>IF(AND(S872=0,M872&gt;0,L872=0),IF(AH872&gt;=120,"VERY HIGH",IF(AH872&gt;=90,"HIGH",IF(AH872&gt;=60,"MEDIUM",IF(AH872&lt;60,"LOW")))),"-")</f>
        <v/>
      </c>
      <c r="AJ872" s="12" t="n"/>
      <c r="AK872" s="53">
        <f>IF(AND(W872="X",M872&lt;=$AJ$2),"YES","")</f>
        <v/>
      </c>
      <c r="AL872" s="54">
        <f>IF(AND(W872="X",M872&lt;=$AJ$2),S872,"")</f>
        <v/>
      </c>
      <c r="AM872" s="35" t="n"/>
      <c r="AN872" s="35">
        <f>IF(AND(W872="X",M872&gt;$AJ$2),S872,"")</f>
        <v/>
      </c>
      <c r="AO872" s="35">
        <f>IF(AND(W872="",M872&gt;0,$AJ$2&gt;M872,L872=""),1,0)</f>
        <v/>
      </c>
      <c r="AP872" s="35">
        <f>IF(AND(AK872="YES",W872="X"),"X","")</f>
        <v/>
      </c>
      <c r="AQ872" s="55">
        <f>IF(AP872="X",100%,0%)</f>
        <v/>
      </c>
      <c r="AR872" s="25">
        <f>IF(AND(T872&gt;0,L872=""),H872,"")</f>
        <v/>
      </c>
      <c r="AS872" s="25">
        <f>IF(AND(D872&gt;0,H872=0,G872=""),1,"")</f>
        <v/>
      </c>
      <c r="AT872" s="25">
        <f>IF(G872="BLOQ",1,"")</f>
        <v/>
      </c>
      <c r="AU872" s="25">
        <f>IF(L872="BLOQ",1,"")</f>
        <v/>
      </c>
      <c r="AV872" s="25">
        <f>MONTH(F872)</f>
        <v/>
      </c>
      <c r="AW872" s="65">
        <f>IF(AP872="",100%,0%)</f>
        <v/>
      </c>
      <c r="AX872" s="56" t="n"/>
      <c r="AY872" s="24">
        <f>IF(M872=0,"",M872-$AX$2)</f>
        <v/>
      </c>
      <c r="AZ872" s="66">
        <f>IF(AND(W872="",AY872&gt;0,AY872&lt;15),1,0)</f>
        <v/>
      </c>
      <c r="BA872" s="24">
        <f>IF(AND(W872="",AY872&gt;0,AY872&lt;15),T872,"")</f>
        <v/>
      </c>
      <c r="BB872" s="87">
        <f>IF(R872&lt;Q872,"X","")</f>
        <v/>
      </c>
      <c r="BC872" s="190" t="inlineStr">
        <is>
          <t>NO</t>
        </is>
      </c>
      <c r="BD872" s="191" t="inlineStr">
        <is>
          <t>SI</t>
        </is>
      </c>
    </row>
    <row r="873" ht="15" customHeight="1" s="162">
      <c r="A873" s="7" t="n">
        <v>872</v>
      </c>
      <c r="B873" t="inlineStr">
        <is>
          <t>1351201460000</t>
        </is>
      </c>
      <c r="C873" t="inlineStr">
        <is>
          <t>T. PXI 3U INTELLIGENT CARRIER 2X MOD SIT</t>
        </is>
      </c>
      <c r="D873" t="inlineStr">
        <is>
          <t>1800108797</t>
        </is>
      </c>
      <c r="E873" t="inlineStr">
        <is>
          <t>90</t>
        </is>
      </c>
      <c r="F873" s="163" t="n">
        <v>45459</v>
      </c>
      <c r="G873" t="inlineStr"/>
      <c r="H873" t="inlineStr">
        <is>
          <t>4200575472</t>
        </is>
      </c>
      <c r="I873" t="inlineStr">
        <is>
          <t>10</t>
        </is>
      </c>
      <c r="J873" s="163" t="n">
        <v>45532</v>
      </c>
      <c r="K873" s="163" t="n">
        <v>45544</v>
      </c>
      <c r="L873" t="inlineStr"/>
      <c r="M873" s="163" t="n">
        <v>45602</v>
      </c>
      <c r="N873" s="164" t="n">
        <v>30</v>
      </c>
      <c r="O873" s="164" t="n">
        <v>8</v>
      </c>
      <c r="P873" t="inlineStr">
        <is>
          <t>Liberado</t>
        </is>
      </c>
      <c r="Q873" s="165" t="n">
        <v>4</v>
      </c>
      <c r="R873" s="165" t="n">
        <v>4</v>
      </c>
      <c r="S873" s="165" t="n">
        <v>4</v>
      </c>
      <c r="T873" s="165" t="n">
        <v>0</v>
      </c>
      <c r="U873" s="166" t="n">
        <v>4</v>
      </c>
      <c r="V873" s="166" t="n">
        <v>0</v>
      </c>
      <c r="W873" t="inlineStr">
        <is>
          <t>X</t>
        </is>
      </c>
      <c r="X873" t="inlineStr">
        <is>
          <t>0.00</t>
        </is>
      </c>
      <c r="Y873" t="inlineStr"/>
      <c r="Z873" t="inlineStr">
        <is>
          <t>MAX TECHNOLOGIES INC</t>
        </is>
      </c>
      <c r="AA873" t="inlineStr">
        <is>
          <t>MAX TECHNOLOGIES INC</t>
        </is>
      </c>
      <c r="AB873" t="inlineStr">
        <is>
          <t>MAX-SBC-400105</t>
        </is>
      </c>
      <c r="AC873" t="inlineStr"/>
      <c r="AD873" s="164" t="n">
        <v>0</v>
      </c>
      <c r="AE873" s="185" t="n">
        <v>0</v>
      </c>
      <c r="AG873" s="167" t="inlineStr">
        <is>
          <t>7218|JA2586_1001</t>
        </is>
      </c>
      <c r="AH873" s="47">
        <f>IF(M873=0,"-",M873-J873)</f>
        <v/>
      </c>
      <c r="AI873" s="46">
        <f>IF(AND(S873=0,M873&gt;0,L873=0),IF(AH873&gt;=120,"VERY HIGH",IF(AH873&gt;=90,"HIGH",IF(AH873&gt;=60,"MEDIUM",IF(AH873&lt;60,"LOW")))),"-")</f>
        <v/>
      </c>
      <c r="AJ873" s="12" t="n"/>
      <c r="AK873" s="53">
        <f>IF(AND(W873="X",M873&lt;=$AJ$2),"YES","")</f>
        <v/>
      </c>
      <c r="AL873" s="54">
        <f>IF(AND(W873="X",M873&lt;=$AJ$2),S873,"")</f>
        <v/>
      </c>
      <c r="AM873" s="35" t="n"/>
      <c r="AN873" s="35">
        <f>IF(AND(W873="X",M873&gt;$AJ$2),S873,"")</f>
        <v/>
      </c>
      <c r="AO873" s="35">
        <f>IF(AND(W873="",M873&gt;0,$AJ$2&gt;M873,L873=""),1,0)</f>
        <v/>
      </c>
      <c r="AP873" s="35">
        <f>IF(AND(AK873="YES",W873="X"),"X","")</f>
        <v/>
      </c>
      <c r="AQ873" s="55">
        <f>IF(AP873="X",100%,0%)</f>
        <v/>
      </c>
      <c r="AR873" s="25">
        <f>IF(AND(T873&gt;0,L873=""),H873,"")</f>
        <v/>
      </c>
      <c r="AS873" s="25">
        <f>IF(AND(D873&gt;0,H873=0,G873=""),1,"")</f>
        <v/>
      </c>
      <c r="AT873" s="25">
        <f>IF(G873="BLOQ",1,"")</f>
        <v/>
      </c>
      <c r="AU873" s="25">
        <f>IF(L873="BLOQ",1,"")</f>
        <v/>
      </c>
      <c r="AV873" s="25">
        <f>MONTH(F873)</f>
        <v/>
      </c>
      <c r="AW873" s="65">
        <f>IF(AP873="",100%,0%)</f>
        <v/>
      </c>
      <c r="AX873" s="56" t="n"/>
      <c r="AY873" s="24">
        <f>IF(M873=0,"",M873-$AX$2)</f>
        <v/>
      </c>
      <c r="AZ873" s="66">
        <f>IF(AND(W873="",AY873&gt;0,AY873&lt;15),1,0)</f>
        <v/>
      </c>
      <c r="BA873" s="24">
        <f>IF(AND(W873="",AY873&gt;0,AY873&lt;15),T873,"")</f>
        <v/>
      </c>
      <c r="BB873" s="87">
        <f>IF(R873&lt;Q873,"X","")</f>
        <v/>
      </c>
      <c r="BC873" s="191" t="inlineStr">
        <is>
          <t>SI</t>
        </is>
      </c>
      <c r="BD873" s="191" t="inlineStr">
        <is>
          <t>SI</t>
        </is>
      </c>
    </row>
    <row r="874" ht="15" customHeight="1" s="162">
      <c r="A874" s="7" t="n">
        <v>873</v>
      </c>
      <c r="B874" t="inlineStr">
        <is>
          <t>1351201490500</t>
        </is>
      </c>
      <c r="C874" t="inlineStr">
        <is>
          <t>MOD MEZZANINE IPM MULTI 8TX-8RX PARAMETR</t>
        </is>
      </c>
      <c r="D874" t="inlineStr">
        <is>
          <t>1800108797</t>
        </is>
      </c>
      <c r="E874" t="inlineStr">
        <is>
          <t>100</t>
        </is>
      </c>
      <c r="F874" s="163" t="n">
        <v>45459</v>
      </c>
      <c r="G874" t="inlineStr"/>
      <c r="H874" t="inlineStr">
        <is>
          <t>4200575472</t>
        </is>
      </c>
      <c r="I874" t="inlineStr">
        <is>
          <t>20</t>
        </is>
      </c>
      <c r="J874" s="163" t="n">
        <v>45532</v>
      </c>
      <c r="K874" s="163" t="n">
        <v>45544</v>
      </c>
      <c r="L874" t="inlineStr"/>
      <c r="M874" s="163" t="n">
        <v>45602</v>
      </c>
      <c r="N874" s="164" t="n">
        <v>30</v>
      </c>
      <c r="O874" s="164" t="n">
        <v>8</v>
      </c>
      <c r="P874" t="inlineStr">
        <is>
          <t>Liberado</t>
        </is>
      </c>
      <c r="Q874" s="165" t="n">
        <v>8</v>
      </c>
      <c r="R874" s="165" t="n">
        <v>8</v>
      </c>
      <c r="S874" s="165" t="n">
        <v>8</v>
      </c>
      <c r="T874" s="165" t="n">
        <v>0</v>
      </c>
      <c r="U874" s="166" t="n">
        <v>8</v>
      </c>
      <c r="V874" s="166" t="n">
        <v>0</v>
      </c>
      <c r="W874" t="inlineStr">
        <is>
          <t>X</t>
        </is>
      </c>
      <c r="X874" t="inlineStr">
        <is>
          <t>0.00</t>
        </is>
      </c>
      <c r="Y874" t="inlineStr"/>
      <c r="Z874" t="inlineStr">
        <is>
          <t>MAX TECHNOLOGIES INC</t>
        </is>
      </c>
      <c r="AA874" t="inlineStr">
        <is>
          <t>MAX TECHNOLOGIES INC</t>
        </is>
      </c>
      <c r="AB874" t="inlineStr">
        <is>
          <t>MAX-IP-200142</t>
        </is>
      </c>
      <c r="AC874" t="inlineStr"/>
      <c r="AD874" s="164" t="n">
        <v>0</v>
      </c>
      <c r="AE874" s="185" t="n">
        <v>0</v>
      </c>
      <c r="AG874" s="167" t="inlineStr">
        <is>
          <t>7218|JA2586_1001</t>
        </is>
      </c>
      <c r="AH874" s="47">
        <f>IF(M874=0,"-",M874-J874)</f>
        <v/>
      </c>
      <c r="AI874" s="46">
        <f>IF(AND(S874=0,M874&gt;0,L874=0),IF(AH874&gt;=120,"VERY HIGH",IF(AH874&gt;=90,"HIGH",IF(AH874&gt;=60,"MEDIUM",IF(AH874&lt;60,"LOW")))),"-")</f>
        <v/>
      </c>
      <c r="AJ874" s="12" t="n"/>
      <c r="AK874" s="53">
        <f>IF(AND(W874="X",M874&lt;=$AJ$2),"YES","")</f>
        <v/>
      </c>
      <c r="AL874" s="54">
        <f>IF(AND(W874="X",M874&lt;=$AJ$2),S874,"")</f>
        <v/>
      </c>
      <c r="AM874" s="35" t="n"/>
      <c r="AN874" s="35">
        <f>IF(AND(W874="X",M874&gt;$AJ$2),S874,"")</f>
        <v/>
      </c>
      <c r="AO874" s="35">
        <f>IF(AND(W874="",M874&gt;0,$AJ$2&gt;M874,L874=""),1,0)</f>
        <v/>
      </c>
      <c r="AP874" s="35">
        <f>IF(AND(AK874="YES",W874="X"),"X","")</f>
        <v/>
      </c>
      <c r="AQ874" s="55">
        <f>IF(AP874="X",100%,0%)</f>
        <v/>
      </c>
      <c r="AR874" s="25">
        <f>IF(AND(T874&gt;0,L874=""),H874,"")</f>
        <v/>
      </c>
      <c r="AS874" s="25">
        <f>IF(AND(D874&gt;0,H874=0,G874=""),1,"")</f>
        <v/>
      </c>
      <c r="AT874" s="25">
        <f>IF(G874="BLOQ",1,"")</f>
        <v/>
      </c>
      <c r="AU874" s="25">
        <f>IF(L874="BLOQ",1,"")</f>
        <v/>
      </c>
      <c r="AV874" s="25">
        <f>MONTH(F874)</f>
        <v/>
      </c>
      <c r="AW874" s="65">
        <f>IF(AP874="",100%,0%)</f>
        <v/>
      </c>
      <c r="AX874" s="56" t="n"/>
      <c r="AY874" s="24">
        <f>IF(M874=0,"",M874-$AX$2)</f>
        <v/>
      </c>
      <c r="AZ874" s="66">
        <f>IF(AND(W874="",AY874&gt;0,AY874&lt;15),1,0)</f>
        <v/>
      </c>
      <c r="BA874" s="24">
        <f>IF(AND(W874="",AY874&gt;0,AY874&lt;15),T874,"")</f>
        <v/>
      </c>
      <c r="BB874" s="87">
        <f>IF(R874&lt;Q874,"X","")</f>
        <v/>
      </c>
      <c r="BC874" s="191" t="inlineStr">
        <is>
          <t>SI</t>
        </is>
      </c>
      <c r="BD874" s="191" t="inlineStr">
        <is>
          <t>SI</t>
        </is>
      </c>
    </row>
    <row r="875" ht="15" customHeight="1" s="162">
      <c r="A875" s="7" t="n">
        <v>874</v>
      </c>
      <c r="B875" t="inlineStr">
        <is>
          <t>1351710950100</t>
        </is>
      </c>
      <c r="C875" t="inlineStr">
        <is>
          <t>MODULO ADPT MULTIFUNCTION DAQ DEVICE USB</t>
        </is>
      </c>
      <c r="D875" t="inlineStr">
        <is>
          <t>1800108797</t>
        </is>
      </c>
      <c r="E875" t="inlineStr">
        <is>
          <t>110</t>
        </is>
      </c>
      <c r="F875" s="163" t="n">
        <v>45459</v>
      </c>
      <c r="G875" t="inlineStr"/>
      <c r="H875" t="inlineStr">
        <is>
          <t>4200569708</t>
        </is>
      </c>
      <c r="I875" t="inlineStr">
        <is>
          <t>10</t>
        </is>
      </c>
      <c r="J875" s="163" t="n">
        <v>45481</v>
      </c>
      <c r="K875" s="163" t="n">
        <v>45481</v>
      </c>
      <c r="L875" t="inlineStr"/>
      <c r="M875" s="163" t="n">
        <v>45488</v>
      </c>
      <c r="N875" s="164" t="n">
        <v>40</v>
      </c>
      <c r="O875" s="164" t="n">
        <v>8</v>
      </c>
      <c r="P875" t="inlineStr">
        <is>
          <t>Liberado</t>
        </is>
      </c>
      <c r="Q875" s="165" t="n">
        <v>1</v>
      </c>
      <c r="R875" s="165" t="n">
        <v>1</v>
      </c>
      <c r="S875" s="165" t="n">
        <v>1</v>
      </c>
      <c r="T875" s="165" t="n">
        <v>0</v>
      </c>
      <c r="U875" s="166" t="n">
        <v>1</v>
      </c>
      <c r="V875" s="166" t="n">
        <v>0</v>
      </c>
      <c r="W875" t="inlineStr">
        <is>
          <t>X</t>
        </is>
      </c>
      <c r="X875" t="inlineStr">
        <is>
          <t>0.00</t>
        </is>
      </c>
      <c r="Y875" t="inlineStr"/>
      <c r="Z875" t="inlineStr">
        <is>
          <t>FARNELL COMPONENTS, S.L.</t>
        </is>
      </c>
      <c r="AA875" t="inlineStr">
        <is>
          <t>NATIONAL INSTRUMENTS</t>
        </is>
      </c>
      <c r="AB875" t="inlineStr">
        <is>
          <t>779678-01</t>
        </is>
      </c>
      <c r="AC875" t="inlineStr"/>
      <c r="AD875" s="164" t="n">
        <v>0</v>
      </c>
      <c r="AE875" s="185" t="n">
        <v>0</v>
      </c>
      <c r="AG875" s="167" t="inlineStr">
        <is>
          <t>7218|JA2586_1001</t>
        </is>
      </c>
      <c r="AH875" s="47">
        <f>IF(M875=0,"-",M875-J875)</f>
        <v/>
      </c>
      <c r="AI875" s="46">
        <f>IF(AND(S875=0,M875&gt;0,L875=0),IF(AH875&gt;=120,"VERY HIGH",IF(AH875&gt;=90,"HIGH",IF(AH875&gt;=60,"MEDIUM",IF(AH875&lt;60,"LOW")))),"-")</f>
        <v/>
      </c>
      <c r="AJ875" s="12" t="n"/>
      <c r="AK875" s="53">
        <f>IF(AND(W875="X",M875&lt;=$AJ$2),"YES","")</f>
        <v/>
      </c>
      <c r="AL875" s="54">
        <f>IF(AND(W875="X",M875&lt;=$AJ$2),S875,"")</f>
        <v/>
      </c>
      <c r="AM875" s="35" t="n"/>
      <c r="AN875" s="35">
        <f>IF(AND(W875="X",M875&gt;$AJ$2),S875,"")</f>
        <v/>
      </c>
      <c r="AO875" s="35">
        <f>IF(AND(W875="",M875&gt;0,$AJ$2&gt;M875,L875=""),1,0)</f>
        <v/>
      </c>
      <c r="AP875" s="35">
        <f>IF(AND(AK875="YES",W875="X"),"X","")</f>
        <v/>
      </c>
      <c r="AQ875" s="55">
        <f>IF(AP875="X",100%,0%)</f>
        <v/>
      </c>
      <c r="AR875" s="25">
        <f>IF(AND(T875&gt;0,L875=""),H875,"")</f>
        <v/>
      </c>
      <c r="AS875" s="25">
        <f>IF(AND(D875&gt;0,H875=0,G875=""),1,"")</f>
        <v/>
      </c>
      <c r="AT875" s="25">
        <f>IF(G875="BLOQ",1,"")</f>
        <v/>
      </c>
      <c r="AU875" s="25">
        <f>IF(L875="BLOQ",1,"")</f>
        <v/>
      </c>
      <c r="AV875" s="25">
        <f>MONTH(F875)</f>
        <v/>
      </c>
      <c r="AW875" s="65">
        <f>IF(AP875="",100%,0%)</f>
        <v/>
      </c>
      <c r="AX875" s="56" t="n"/>
      <c r="AY875" s="24">
        <f>IF(M875=0,"",M875-$AX$2)</f>
        <v/>
      </c>
      <c r="AZ875" s="66">
        <f>IF(AND(W875="",AY875&gt;0,AY875&lt;15),1,0)</f>
        <v/>
      </c>
      <c r="BA875" s="24">
        <f>IF(AND(W875="",AY875&gt;0,AY875&lt;15),T875,"")</f>
        <v/>
      </c>
      <c r="BB875" s="87">
        <f>IF(R875&lt;Q875,"X","")</f>
        <v/>
      </c>
      <c r="BC875" s="191" t="inlineStr">
        <is>
          <t>SI</t>
        </is>
      </c>
      <c r="BD875" s="191" t="inlineStr">
        <is>
          <t>SI</t>
        </is>
      </c>
    </row>
    <row r="876" ht="15" customHeight="1" s="162">
      <c r="A876" s="7" t="n">
        <v>875</v>
      </c>
      <c r="B876" t="inlineStr">
        <is>
          <t>1390303690000</t>
        </is>
      </c>
      <c r="C876" t="inlineStr">
        <is>
          <t>GATEWAY DR PCAN-ETHERNET 10/100MBPS</t>
        </is>
      </c>
      <c r="D876" t="inlineStr">
        <is>
          <t>1800108797</t>
        </is>
      </c>
      <c r="E876" t="inlineStr">
        <is>
          <t>120</t>
        </is>
      </c>
      <c r="F876" s="163" t="n">
        <v>45459</v>
      </c>
      <c r="G876" t="inlineStr"/>
      <c r="H876" t="inlineStr">
        <is>
          <t>4200569720</t>
        </is>
      </c>
      <c r="I876" t="inlineStr">
        <is>
          <t>10</t>
        </is>
      </c>
      <c r="J876" s="163" t="n">
        <v>45481</v>
      </c>
      <c r="K876" s="163" t="n">
        <v>45481</v>
      </c>
      <c r="L876" t="inlineStr"/>
      <c r="M876" s="163" t="n">
        <v>45495</v>
      </c>
      <c r="N876" s="164" t="n">
        <v>45</v>
      </c>
      <c r="O876" s="164" t="n">
        <v>8</v>
      </c>
      <c r="P876" t="inlineStr">
        <is>
          <t>Liberado</t>
        </is>
      </c>
      <c r="Q876" s="165" t="n">
        <v>6</v>
      </c>
      <c r="R876" s="165" t="n">
        <v>6</v>
      </c>
      <c r="S876" s="165" t="n">
        <v>6</v>
      </c>
      <c r="T876" s="165" t="n">
        <v>0</v>
      </c>
      <c r="U876" s="166" t="n">
        <v>6</v>
      </c>
      <c r="V876" s="166" t="n">
        <v>0</v>
      </c>
      <c r="W876" t="inlineStr">
        <is>
          <t>X</t>
        </is>
      </c>
      <c r="X876" t="inlineStr">
        <is>
          <t>0.00</t>
        </is>
      </c>
      <c r="Y876" t="inlineStr"/>
      <c r="Z876" t="inlineStr">
        <is>
          <t>MILEXIA IBÉRICA, S.A.U.</t>
        </is>
      </c>
      <c r="AA876" t="inlineStr">
        <is>
          <t>PEAK SYSTEM TECHNIK</t>
        </is>
      </c>
      <c r="AB876" t="inlineStr">
        <is>
          <t>IPEH-004010</t>
        </is>
      </c>
      <c r="AC876" t="inlineStr"/>
      <c r="AD876" s="164" t="n">
        <v>0</v>
      </c>
      <c r="AE876" s="185" t="n">
        <v>0</v>
      </c>
      <c r="AG876" s="167" t="inlineStr">
        <is>
          <t>7218|JA2586_1001</t>
        </is>
      </c>
      <c r="AH876" s="47">
        <f>IF(M876=0,"-",M876-J876)</f>
        <v/>
      </c>
      <c r="AI876" s="46">
        <f>IF(AND(S876=0,M876&gt;0,L876=0),IF(AH876&gt;=120,"VERY HIGH",IF(AH876&gt;=90,"HIGH",IF(AH876&gt;=60,"MEDIUM",IF(AH876&lt;60,"LOW")))),"-")</f>
        <v/>
      </c>
      <c r="AJ876" s="12" t="n"/>
      <c r="AK876" s="53">
        <f>IF(AND(W876="X",M876&lt;=$AJ$2),"YES","")</f>
        <v/>
      </c>
      <c r="AL876" s="54">
        <f>IF(AND(W876="X",M876&lt;=$AJ$2),S876,"")</f>
        <v/>
      </c>
      <c r="AM876" s="35" t="n"/>
      <c r="AN876" s="35">
        <f>IF(AND(W876="X",M876&gt;$AJ$2),S876,"")</f>
        <v/>
      </c>
      <c r="AO876" s="35">
        <f>IF(AND(W876="",M876&gt;0,$AJ$2&gt;M876,L876=""),1,0)</f>
        <v/>
      </c>
      <c r="AP876" s="35">
        <f>IF(AND(AK876="YES",W876="X"),"X","")</f>
        <v/>
      </c>
      <c r="AQ876" s="55">
        <f>IF(AP876="X",100%,0%)</f>
        <v/>
      </c>
      <c r="AR876" s="25">
        <f>IF(AND(T876&gt;0,L876=""),H876,"")</f>
        <v/>
      </c>
      <c r="AS876" s="25">
        <f>IF(AND(D876&gt;0,H876=0,G876=""),1,"")</f>
        <v/>
      </c>
      <c r="AT876" s="25">
        <f>IF(G876="BLOQ",1,"")</f>
        <v/>
      </c>
      <c r="AU876" s="25">
        <f>IF(L876="BLOQ",1,"")</f>
        <v/>
      </c>
      <c r="AV876" s="25">
        <f>MONTH(F876)</f>
        <v/>
      </c>
      <c r="AW876" s="65">
        <f>IF(AP876="",100%,0%)</f>
        <v/>
      </c>
      <c r="AX876" s="56" t="n"/>
      <c r="AY876" s="24">
        <f>IF(M876=0,"",M876-$AX$2)</f>
        <v/>
      </c>
      <c r="AZ876" s="66">
        <f>IF(AND(W876="",AY876&gt;0,AY876&lt;15),1,0)</f>
        <v/>
      </c>
      <c r="BA876" s="24">
        <f>IF(AND(W876="",AY876&gt;0,AY876&lt;15),T876,"")</f>
        <v/>
      </c>
      <c r="BB876" s="87">
        <f>IF(R876&lt;Q876,"X","")</f>
        <v/>
      </c>
      <c r="BC876" s="191" t="inlineStr">
        <is>
          <t>SI</t>
        </is>
      </c>
      <c r="BD876" s="191" t="inlineStr">
        <is>
          <t>SI</t>
        </is>
      </c>
    </row>
    <row r="877" ht="15" customHeight="1" s="162">
      <c r="A877" s="7" t="n">
        <v>876</v>
      </c>
      <c r="B877" t="inlineStr">
        <is>
          <t>1701001920000</t>
        </is>
      </c>
      <c r="C877" t="inlineStr">
        <is>
          <t>CHASIS BACKPLANE 3U 7+1SLOT P/COMPACTPCI</t>
        </is>
      </c>
      <c r="D877" t="inlineStr">
        <is>
          <t>1800108797</t>
        </is>
      </c>
      <c r="E877" t="inlineStr">
        <is>
          <t>130</t>
        </is>
      </c>
      <c r="F877" s="163" t="n">
        <v>45459</v>
      </c>
      <c r="G877" t="inlineStr"/>
      <c r="H877" t="inlineStr">
        <is>
          <t>4200575104</t>
        </is>
      </c>
      <c r="I877" t="inlineStr">
        <is>
          <t>20</t>
        </is>
      </c>
      <c r="J877" s="163" t="n">
        <v>45527</v>
      </c>
      <c r="K877" s="163" t="n">
        <v>45530</v>
      </c>
      <c r="L877" t="inlineStr"/>
      <c r="M877" s="163" t="n">
        <v>45600</v>
      </c>
      <c r="N877" s="164" t="n">
        <v>105</v>
      </c>
      <c r="O877" s="164" t="n">
        <v>8</v>
      </c>
      <c r="P877" t="inlineStr">
        <is>
          <t>Liberado</t>
        </is>
      </c>
      <c r="Q877" s="165" t="n">
        <v>1</v>
      </c>
      <c r="R877" s="165" t="n">
        <v>1</v>
      </c>
      <c r="S877" s="165" t="n">
        <v>1</v>
      </c>
      <c r="T877" s="165" t="n">
        <v>0</v>
      </c>
      <c r="U877" s="166" t="n">
        <v>1</v>
      </c>
      <c r="V877" s="166" t="n">
        <v>0</v>
      </c>
      <c r="W877" t="inlineStr">
        <is>
          <t>X</t>
        </is>
      </c>
      <c r="X877" t="inlineStr">
        <is>
          <t>0.00</t>
        </is>
      </c>
      <c r="Y877" t="inlineStr"/>
      <c r="Z877" t="inlineStr">
        <is>
          <t>QNV, S.L.</t>
        </is>
      </c>
      <c r="AA877" t="inlineStr">
        <is>
          <t>ADLINK TECHNOLOGY/NU</t>
        </is>
      </c>
      <c r="AB877" t="inlineStr">
        <is>
          <t>CPCIS-2632</t>
        </is>
      </c>
      <c r="AC877" t="inlineStr"/>
      <c r="AD877" s="164" t="n">
        <v>0</v>
      </c>
      <c r="AE877" s="185" t="n">
        <v>0</v>
      </c>
      <c r="AG877" s="167" t="inlineStr">
        <is>
          <t>7218|JA2586_1001</t>
        </is>
      </c>
      <c r="AH877" s="47">
        <f>IF(M877=0,"-",M877-J877)</f>
        <v/>
      </c>
      <c r="AI877" s="46">
        <f>IF(AND(S877=0,M877&gt;0,L877=0),IF(AH877&gt;=120,"VERY HIGH",IF(AH877&gt;=90,"HIGH",IF(AH877&gt;=60,"MEDIUM",IF(AH877&lt;60,"LOW")))),"-")</f>
        <v/>
      </c>
      <c r="AJ877" s="12" t="n"/>
      <c r="AK877" s="53">
        <f>IF(AND(W877="X",M877&lt;=$AJ$2),"YES","")</f>
        <v/>
      </c>
      <c r="AL877" s="54">
        <f>IF(AND(W877="X",M877&lt;=$AJ$2),S877,"")</f>
        <v/>
      </c>
      <c r="AM877" s="35" t="n"/>
      <c r="AN877" s="35">
        <f>IF(AND(W877="X",M877&gt;$AJ$2),S877,"")</f>
        <v/>
      </c>
      <c r="AO877" s="35">
        <f>IF(AND(W877="",M877&gt;0,$AJ$2&gt;M877,L877=""),1,0)</f>
        <v/>
      </c>
      <c r="AP877" s="35">
        <f>IF(AND(AK877="YES",W877="X"),"X","")</f>
        <v/>
      </c>
      <c r="AQ877" s="55">
        <f>IF(AP877="X",100%,0%)</f>
        <v/>
      </c>
      <c r="AR877" s="25">
        <f>IF(AND(T877&gt;0,L877=""),H877,"")</f>
        <v/>
      </c>
      <c r="AS877" s="25">
        <f>IF(AND(D877&gt;0,H877=0,G877=""),1,"")</f>
        <v/>
      </c>
      <c r="AT877" s="25">
        <f>IF(G877="BLOQ",1,"")</f>
        <v/>
      </c>
      <c r="AU877" s="25">
        <f>IF(L877="BLOQ",1,"")</f>
        <v/>
      </c>
      <c r="AV877" s="25">
        <f>MONTH(F877)</f>
        <v/>
      </c>
      <c r="AW877" s="65">
        <f>IF(AP877="",100%,0%)</f>
        <v/>
      </c>
      <c r="AX877" s="56" t="n"/>
      <c r="AY877" s="24">
        <f>IF(M877=0,"",M877-$AX$2)</f>
        <v/>
      </c>
      <c r="AZ877" s="66">
        <f>IF(AND(W877="",AY877&gt;0,AY877&lt;15),1,0)</f>
        <v/>
      </c>
      <c r="BA877" s="24">
        <f>IF(AND(W877="",AY877&gt;0,AY877&lt;15),T877,"")</f>
        <v/>
      </c>
      <c r="BB877" s="87">
        <f>IF(R877&lt;Q877,"X","")</f>
        <v/>
      </c>
      <c r="BC877" s="191" t="inlineStr">
        <is>
          <t>SI</t>
        </is>
      </c>
      <c r="BD877" s="191" t="inlineStr">
        <is>
          <t>SI</t>
        </is>
      </c>
    </row>
    <row r="878" ht="15" customHeight="1" s="162">
      <c r="A878" s="7" t="n">
        <v>877</v>
      </c>
      <c r="B878" t="inlineStr">
        <is>
          <t>3170103091600</t>
        </is>
      </c>
      <c r="C878" t="inlineStr">
        <is>
          <t>SWITCH 8P 10/100/1000BAS-T 123W POE/POE+</t>
        </is>
      </c>
      <c r="D878" t="inlineStr">
        <is>
          <t>1800108797</t>
        </is>
      </c>
      <c r="E878" t="inlineStr">
        <is>
          <t>140</t>
        </is>
      </c>
      <c r="F878" s="163" t="n">
        <v>45459</v>
      </c>
      <c r="G878" t="inlineStr"/>
      <c r="H878" t="inlineStr">
        <is>
          <t>4200569793</t>
        </is>
      </c>
      <c r="I878" t="inlineStr">
        <is>
          <t>10</t>
        </is>
      </c>
      <c r="J878" s="163" t="n">
        <v>45481</v>
      </c>
      <c r="K878" s="163" t="n">
        <v>45482</v>
      </c>
      <c r="L878" t="inlineStr"/>
      <c r="M878" s="163" t="n">
        <v>45488</v>
      </c>
      <c r="N878" s="164" t="n">
        <v>40</v>
      </c>
      <c r="O878" s="164" t="n">
        <v>8</v>
      </c>
      <c r="P878" t="inlineStr">
        <is>
          <t>Liberado</t>
        </is>
      </c>
      <c r="Q878" s="165" t="n">
        <v>1</v>
      </c>
      <c r="R878" s="165" t="n">
        <v>1</v>
      </c>
      <c r="S878" s="165" t="n">
        <v>1</v>
      </c>
      <c r="T878" s="165" t="n">
        <v>0</v>
      </c>
      <c r="U878" s="166" t="n">
        <v>1</v>
      </c>
      <c r="V878" s="166" t="n">
        <v>0</v>
      </c>
      <c r="W878" t="inlineStr">
        <is>
          <t>X</t>
        </is>
      </c>
      <c r="X878" t="inlineStr">
        <is>
          <t>0.00</t>
        </is>
      </c>
      <c r="Y878" t="inlineStr"/>
      <c r="Z878" t="inlineStr">
        <is>
          <t>ESPRINET IBERICA, S.L.U.</t>
        </is>
      </c>
      <c r="AA878" t="inlineStr">
        <is>
          <t>NETGEAR</t>
        </is>
      </c>
      <c r="AB878" t="inlineStr">
        <is>
          <t>GS108PP</t>
        </is>
      </c>
      <c r="AC878" t="inlineStr"/>
      <c r="AD878" s="164" t="n">
        <v>0</v>
      </c>
      <c r="AE878" s="185" t="n">
        <v>0</v>
      </c>
      <c r="AG878" s="167" t="inlineStr">
        <is>
          <t>7218|JA2586_1001</t>
        </is>
      </c>
      <c r="AH878" s="47">
        <f>IF(M878=0,"-",M878-J878)</f>
        <v/>
      </c>
      <c r="AI878" s="46">
        <f>IF(AND(S878=0,M878&gt;0,L878=0),IF(AH878&gt;=120,"VERY HIGH",IF(AH878&gt;=90,"HIGH",IF(AH878&gt;=60,"MEDIUM",IF(AH878&lt;60,"LOW")))),"-")</f>
        <v/>
      </c>
      <c r="AJ878" s="12" t="n"/>
      <c r="AK878" s="53">
        <f>IF(AND(W878="X",M878&lt;=$AJ$2),"YES","")</f>
        <v/>
      </c>
      <c r="AL878" s="54">
        <f>IF(AND(W878="X",M878&lt;=$AJ$2),S878,"")</f>
        <v/>
      </c>
      <c r="AM878" s="35" t="n"/>
      <c r="AN878" s="35">
        <f>IF(AND(W878="X",M878&gt;$AJ$2),S878,"")</f>
        <v/>
      </c>
      <c r="AO878" s="35">
        <f>IF(AND(W878="",M878&gt;0,$AJ$2&gt;M878,L878=""),1,0)</f>
        <v/>
      </c>
      <c r="AP878" s="35">
        <f>IF(AND(AK878="YES",W878="X"),"X","")</f>
        <v/>
      </c>
      <c r="AQ878" s="55">
        <f>IF(AP878="X",100%,0%)</f>
        <v/>
      </c>
      <c r="AR878" s="25">
        <f>IF(AND(T878&gt;0,L878=""),H878,"")</f>
        <v/>
      </c>
      <c r="AS878" s="25">
        <f>IF(AND(D878&gt;0,H878=0,G878=""),1,"")</f>
        <v/>
      </c>
      <c r="AT878" s="25">
        <f>IF(G878="BLOQ",1,"")</f>
        <v/>
      </c>
      <c r="AU878" s="25">
        <f>IF(L878="BLOQ",1,"")</f>
        <v/>
      </c>
      <c r="AV878" s="25">
        <f>MONTH(F878)</f>
        <v/>
      </c>
      <c r="AW878" s="65">
        <f>IF(AP878="",100%,0%)</f>
        <v/>
      </c>
      <c r="AX878" s="56" t="n"/>
      <c r="AY878" s="24">
        <f>IF(M878=0,"",M878-$AX$2)</f>
        <v/>
      </c>
      <c r="AZ878" s="66">
        <f>IF(AND(W878="",AY878&gt;0,AY878&lt;15),1,0)</f>
        <v/>
      </c>
      <c r="BA878" s="24">
        <f>IF(AND(W878="",AY878&gt;0,AY878&lt;15),T878,"")</f>
        <v/>
      </c>
      <c r="BB878" s="87">
        <f>IF(R878&lt;Q878,"X","")</f>
        <v/>
      </c>
      <c r="BC878" s="190" t="inlineStr">
        <is>
          <t>NO</t>
        </is>
      </c>
      <c r="BD878" s="191" t="inlineStr">
        <is>
          <t>SI</t>
        </is>
      </c>
    </row>
    <row r="879" ht="15" customHeight="1" s="162">
      <c r="A879" s="7" t="n">
        <v>878</v>
      </c>
      <c r="B879" t="inlineStr">
        <is>
          <t>3200501301700</t>
        </is>
      </c>
      <c r="C879" t="inlineStr">
        <is>
          <t>PC IND Q370 I7-8700 256GB-SSD SATA3 S/OF</t>
        </is>
      </c>
      <c r="D879" t="inlineStr">
        <is>
          <t>1800108797</t>
        </is>
      </c>
      <c r="E879" t="inlineStr">
        <is>
          <t>150</t>
        </is>
      </c>
      <c r="F879" s="163" t="n">
        <v>45459</v>
      </c>
      <c r="G879" t="inlineStr"/>
      <c r="H879" t="inlineStr">
        <is>
          <t>4200568375</t>
        </is>
      </c>
      <c r="I879" t="inlineStr">
        <is>
          <t>10</t>
        </is>
      </c>
      <c r="J879" s="163" t="n">
        <v>45469</v>
      </c>
      <c r="K879" s="163" t="n">
        <v>45505</v>
      </c>
      <c r="L879" t="inlineStr"/>
      <c r="M879" s="163" t="n">
        <v>45518</v>
      </c>
      <c r="N879" s="164" t="n">
        <v>60</v>
      </c>
      <c r="O879" s="164" t="n">
        <v>8</v>
      </c>
      <c r="P879" t="inlineStr">
        <is>
          <t>Liberado</t>
        </is>
      </c>
      <c r="Q879" s="165" t="n">
        <v>1</v>
      </c>
      <c r="R879" s="165" t="n">
        <v>1</v>
      </c>
      <c r="S879" s="165" t="n">
        <v>1</v>
      </c>
      <c r="T879" s="165" t="n">
        <v>0</v>
      </c>
      <c r="U879" s="166" t="n">
        <v>1</v>
      </c>
      <c r="V879" s="166" t="n">
        <v>0</v>
      </c>
      <c r="W879" t="inlineStr">
        <is>
          <t>X</t>
        </is>
      </c>
      <c r="X879" t="inlineStr">
        <is>
          <t>0.00</t>
        </is>
      </c>
      <c r="Y879" t="inlineStr"/>
      <c r="Z879" t="inlineStr">
        <is>
          <t>TEMPEL, S.A.</t>
        </is>
      </c>
      <c r="AA879" t="inlineStr">
        <is>
          <t>TEMPEL S.A.</t>
        </is>
      </c>
      <c r="AB879" t="inlineStr">
        <is>
          <t>EMB-PC-X86E/MIC-770Q-00A2/231000387</t>
        </is>
      </c>
      <c r="AC879" t="inlineStr"/>
      <c r="AD879" s="164" t="n">
        <v>1</v>
      </c>
      <c r="AE879" s="185" t="n">
        <v>1</v>
      </c>
      <c r="AG879" s="167" t="inlineStr">
        <is>
          <t>7218|JA2586_1001</t>
        </is>
      </c>
      <c r="AH879" s="47">
        <f>IF(M879=0,"-",M879-J879)</f>
        <v/>
      </c>
      <c r="AI879" s="46">
        <f>IF(AND(S879=0,M879&gt;0,L879=0),IF(AH879&gt;=120,"VERY HIGH",IF(AH879&gt;=90,"HIGH",IF(AH879&gt;=60,"MEDIUM",IF(AH879&lt;60,"LOW")))),"-")</f>
        <v/>
      </c>
      <c r="AJ879" s="12" t="n"/>
      <c r="AK879" s="53">
        <f>IF(AND(W879="X",M879&lt;=$AJ$2),"YES","")</f>
        <v/>
      </c>
      <c r="AL879" s="54">
        <f>IF(AND(W879="X",M879&lt;=$AJ$2),S879,"")</f>
        <v/>
      </c>
      <c r="AM879" s="35" t="n"/>
      <c r="AN879" s="35">
        <f>IF(AND(W879="X",M879&gt;$AJ$2),S879,"")</f>
        <v/>
      </c>
      <c r="AO879" s="35">
        <f>IF(AND(W879="",M879&gt;0,$AJ$2&gt;M879,L879=""),1,0)</f>
        <v/>
      </c>
      <c r="AP879" s="35">
        <f>IF(AND(AK879="YES",W879="X"),"X","")</f>
        <v/>
      </c>
      <c r="AQ879" s="55">
        <f>IF(AP879="X",100%,0%)</f>
        <v/>
      </c>
      <c r="AR879" s="25">
        <f>IF(AND(T879&gt;0,L879=""),H879,"")</f>
        <v/>
      </c>
      <c r="AS879" s="25">
        <f>IF(AND(D879&gt;0,H879=0,G879=""),1,"")</f>
        <v/>
      </c>
      <c r="AT879" s="25">
        <f>IF(G879="BLOQ",1,"")</f>
        <v/>
      </c>
      <c r="AU879" s="25">
        <f>IF(L879="BLOQ",1,"")</f>
        <v/>
      </c>
      <c r="AV879" s="25">
        <f>MONTH(F879)</f>
        <v/>
      </c>
      <c r="AW879" s="65">
        <f>IF(AP879="",100%,0%)</f>
        <v/>
      </c>
      <c r="AX879" s="56" t="n"/>
      <c r="AY879" s="24">
        <f>IF(M879=0,"",M879-$AX$2)</f>
        <v/>
      </c>
      <c r="AZ879" s="66">
        <f>IF(AND(W879="",AY879&gt;0,AY879&lt;15),1,0)</f>
        <v/>
      </c>
      <c r="BA879" s="24">
        <f>IF(AND(W879="",AY879&gt;0,AY879&lt;15),T879,"")</f>
        <v/>
      </c>
      <c r="BB879" s="87">
        <f>IF(R879&lt;Q879,"X","")</f>
        <v/>
      </c>
      <c r="BC879" s="191" t="inlineStr">
        <is>
          <t>SI</t>
        </is>
      </c>
      <c r="BD879" s="191" t="inlineStr">
        <is>
          <t>SI</t>
        </is>
      </c>
    </row>
    <row r="880" ht="15" customHeight="1" s="162">
      <c r="A880" s="7" t="n">
        <v>879</v>
      </c>
      <c r="B880" t="inlineStr">
        <is>
          <t>3210501151200</t>
        </is>
      </c>
      <c r="C880" t="inlineStr">
        <is>
          <t>ADAPT PCAN/USB OPTO-DECOUPLED</t>
        </is>
      </c>
      <c r="D880" t="inlineStr">
        <is>
          <t>1800108797</t>
        </is>
      </c>
      <c r="E880" t="inlineStr">
        <is>
          <t>160</t>
        </is>
      </c>
      <c r="F880" s="163" t="n">
        <v>45459</v>
      </c>
      <c r="G880" t="inlineStr"/>
      <c r="H880" t="inlineStr">
        <is>
          <t>4200569720</t>
        </is>
      </c>
      <c r="I880" t="inlineStr">
        <is>
          <t>20</t>
        </is>
      </c>
      <c r="J880" s="163" t="n">
        <v>45481</v>
      </c>
      <c r="K880" s="163" t="n">
        <v>45481</v>
      </c>
      <c r="L880" t="inlineStr"/>
      <c r="M880" s="163" t="n">
        <v>45495</v>
      </c>
      <c r="N880" s="164" t="n">
        <v>30</v>
      </c>
      <c r="O880" s="164" t="n">
        <v>8</v>
      </c>
      <c r="P880" t="inlineStr">
        <is>
          <t>Liberado</t>
        </is>
      </c>
      <c r="Q880" s="165" t="n">
        <v>2</v>
      </c>
      <c r="R880" s="165" t="n">
        <v>2</v>
      </c>
      <c r="S880" s="165" t="n">
        <v>2</v>
      </c>
      <c r="T880" s="165" t="n">
        <v>0</v>
      </c>
      <c r="U880" s="166" t="n">
        <v>2</v>
      </c>
      <c r="V880" s="166" t="n">
        <v>0</v>
      </c>
      <c r="W880" t="inlineStr">
        <is>
          <t>X</t>
        </is>
      </c>
      <c r="X880" t="inlineStr">
        <is>
          <t>0.00</t>
        </is>
      </c>
      <c r="Y880" t="inlineStr"/>
      <c r="Z880" t="inlineStr">
        <is>
          <t>MILEXIA IBÉRICA, S.A.U.</t>
        </is>
      </c>
      <c r="AA880" t="inlineStr">
        <is>
          <t>PEAK SYSTEM TECHNIK</t>
        </is>
      </c>
      <c r="AB880" t="inlineStr">
        <is>
          <t>IPEH-002022</t>
        </is>
      </c>
      <c r="AC880" t="inlineStr"/>
      <c r="AD880" s="164" t="n">
        <v>0</v>
      </c>
      <c r="AE880" s="185" t="n">
        <v>0</v>
      </c>
      <c r="AG880" s="167" t="inlineStr">
        <is>
          <t>7218|JA2586_1001</t>
        </is>
      </c>
      <c r="AH880" s="47">
        <f>IF(M880=0,"-",M880-J880)</f>
        <v/>
      </c>
      <c r="AI880" s="46">
        <f>IF(AND(S880=0,M880&gt;0,L880=0),IF(AH880&gt;=120,"VERY HIGH",IF(AH880&gt;=90,"HIGH",IF(AH880&gt;=60,"MEDIUM",IF(AH880&lt;60,"LOW")))),"-")</f>
        <v/>
      </c>
      <c r="AJ880" s="12" t="n"/>
      <c r="AK880" s="53">
        <f>IF(AND(W880="X",M880&lt;=$AJ$2),"YES","")</f>
        <v/>
      </c>
      <c r="AL880" s="54">
        <f>IF(AND(W880="X",M880&lt;=$AJ$2),S880,"")</f>
        <v/>
      </c>
      <c r="AM880" s="35" t="n"/>
      <c r="AN880" s="35">
        <f>IF(AND(W880="X",M880&gt;$AJ$2),S880,"")</f>
        <v/>
      </c>
      <c r="AO880" s="35">
        <f>IF(AND(W880="",M880&gt;0,$AJ$2&gt;M880,L880=""),1,0)</f>
        <v/>
      </c>
      <c r="AP880" s="35">
        <f>IF(AND(AK880="YES",W880="X"),"X","")</f>
        <v/>
      </c>
      <c r="AQ880" s="55">
        <f>IF(AP880="X",100%,0%)</f>
        <v/>
      </c>
      <c r="AR880" s="25">
        <f>IF(AND(T880&gt;0,L880=""),H880,"")</f>
        <v/>
      </c>
      <c r="AS880" s="25">
        <f>IF(AND(D880&gt;0,H880=0,G880=""),1,"")</f>
        <v/>
      </c>
      <c r="AT880" s="25">
        <f>IF(G880="BLOQ",1,"")</f>
        <v/>
      </c>
      <c r="AU880" s="25">
        <f>IF(L880="BLOQ",1,"")</f>
        <v/>
      </c>
      <c r="AV880" s="25">
        <f>MONTH(F880)</f>
        <v/>
      </c>
      <c r="AW880" s="65">
        <f>IF(AP880="",100%,0%)</f>
        <v/>
      </c>
      <c r="AX880" s="56" t="n"/>
      <c r="AY880" s="24">
        <f>IF(M880=0,"",M880-$AX$2)</f>
        <v/>
      </c>
      <c r="AZ880" s="66">
        <f>IF(AND(W880="",AY880&gt;0,AY880&lt;15),1,0)</f>
        <v/>
      </c>
      <c r="BA880" s="24">
        <f>IF(AND(W880="",AY880&gt;0,AY880&lt;15),T880,"")</f>
        <v/>
      </c>
      <c r="BB880" s="87">
        <f>IF(R880&lt;Q880,"X","")</f>
        <v/>
      </c>
      <c r="BC880" s="190" t="inlineStr">
        <is>
          <t>NO</t>
        </is>
      </c>
      <c r="BD880" s="191" t="inlineStr">
        <is>
          <t>SI</t>
        </is>
      </c>
    </row>
    <row r="881" ht="15" customHeight="1" s="162">
      <c r="A881" s="7" t="n">
        <v>880</v>
      </c>
      <c r="B881" t="inlineStr">
        <is>
          <t>1279901170900</t>
        </is>
      </c>
      <c r="C881" t="inlineStr">
        <is>
          <t>COMPASS PARA A320</t>
        </is>
      </c>
      <c r="D881" t="inlineStr">
        <is>
          <t>1800108798</t>
        </is>
      </c>
      <c r="E881" t="inlineStr">
        <is>
          <t>10</t>
        </is>
      </c>
      <c r="F881" s="163" t="n">
        <v>45459</v>
      </c>
      <c r="G881" t="inlineStr"/>
      <c r="H881" t="inlineStr">
        <is>
          <t>4200569673</t>
        </is>
      </c>
      <c r="I881" t="inlineStr">
        <is>
          <t>20</t>
        </is>
      </c>
      <c r="J881" s="163" t="n">
        <v>45481</v>
      </c>
      <c r="K881" s="163" t="n">
        <v>45481</v>
      </c>
      <c r="L881" t="inlineStr"/>
      <c r="M881" s="163" t="n">
        <v>45687</v>
      </c>
      <c r="N881" s="164" t="n">
        <v>135</v>
      </c>
      <c r="O881" s="164" t="n">
        <v>8</v>
      </c>
      <c r="P881" t="inlineStr">
        <is>
          <t>Liberado</t>
        </is>
      </c>
      <c r="Q881" s="165" t="n">
        <v>1</v>
      </c>
      <c r="R881" s="165" t="n">
        <v>1</v>
      </c>
      <c r="S881" s="165" t="n">
        <v>1</v>
      </c>
      <c r="T881" s="165" t="n">
        <v>0</v>
      </c>
      <c r="U881" s="166" t="n">
        <v>1</v>
      </c>
      <c r="V881" s="166" t="n">
        <v>0</v>
      </c>
      <c r="W881" t="inlineStr">
        <is>
          <t>X</t>
        </is>
      </c>
      <c r="X881" t="inlineStr">
        <is>
          <t>0.00</t>
        </is>
      </c>
      <c r="Y881" t="inlineStr"/>
      <c r="Z881" t="inlineStr">
        <is>
          <t>SIMTEK, INC</t>
        </is>
      </c>
      <c r="AA881" t="inlineStr">
        <is>
          <t>SIMTEK</t>
        </is>
      </c>
      <c r="AB881" t="inlineStr">
        <is>
          <t>10-7133</t>
        </is>
      </c>
      <c r="AC881" t="inlineStr"/>
      <c r="AD881" s="164" t="n">
        <v>1</v>
      </c>
      <c r="AE881" s="185" t="n">
        <v>1</v>
      </c>
      <c r="AG881" s="167" t="inlineStr">
        <is>
          <t>7218|JA2583_1001</t>
        </is>
      </c>
      <c r="AH881" s="47">
        <f>IF(M881=0,"-",M881-J881)</f>
        <v/>
      </c>
      <c r="AI881" s="46">
        <f>IF(AND(S881=0,M881&gt;0,L881=0),IF(AH881&gt;=120,"VERY HIGH",IF(AH881&gt;=90,"HIGH",IF(AH881&gt;=60,"MEDIUM",IF(AH881&lt;60,"LOW")))),"-")</f>
        <v/>
      </c>
      <c r="AJ881" s="12" t="n"/>
      <c r="AK881" s="53">
        <f>IF(AND(W881="X",M881&lt;=$AJ$2),"YES","")</f>
        <v/>
      </c>
      <c r="AL881" s="54">
        <f>IF(AND(W881="X",M881&lt;=$AJ$2),S881,"")</f>
        <v/>
      </c>
      <c r="AM881" s="35" t="n"/>
      <c r="AN881" s="35">
        <f>IF(AND(W881="X",M881&gt;$AJ$2),S881,"")</f>
        <v/>
      </c>
      <c r="AO881" s="35">
        <f>IF(AND(W881="",M881&gt;0,$AJ$2&gt;M881,L881=""),1,0)</f>
        <v/>
      </c>
      <c r="AP881" s="35">
        <f>IF(AND(AK881="YES",W881="X"),"X","")</f>
        <v/>
      </c>
      <c r="AQ881" s="55">
        <f>IF(AP881="X",100%,0%)</f>
        <v/>
      </c>
      <c r="AR881" s="25">
        <f>IF(AND(T881&gt;0,L881=""),H881,"")</f>
        <v/>
      </c>
      <c r="AS881" s="25">
        <f>IF(AND(D881&gt;0,H881=0,G881=""),1,"")</f>
        <v/>
      </c>
      <c r="AT881" s="25">
        <f>IF(G881="BLOQ",1,"")</f>
        <v/>
      </c>
      <c r="AU881" s="25">
        <f>IF(L881="BLOQ",1,"")</f>
        <v/>
      </c>
      <c r="AV881" s="25">
        <f>MONTH(F881)</f>
        <v/>
      </c>
      <c r="AW881" s="65">
        <f>IF(AP881="",100%,0%)</f>
        <v/>
      </c>
      <c r="AX881" s="56" t="n"/>
      <c r="AY881" s="24">
        <f>IF(M881=0,"",M881-$AX$2)</f>
        <v/>
      </c>
      <c r="AZ881" s="66">
        <f>IF(AND(W881="",AY881&gt;0,AY881&lt;15),1,0)</f>
        <v/>
      </c>
      <c r="BA881" s="24">
        <f>IF(AND(W881="",AY881&gt;0,AY881&lt;15),T881,"")</f>
        <v/>
      </c>
      <c r="BB881" s="87">
        <f>IF(R881&lt;Q881,"X","")</f>
        <v/>
      </c>
      <c r="BC881" s="191" t="inlineStr">
        <is>
          <t>SI</t>
        </is>
      </c>
      <c r="BD881" s="191" t="inlineStr">
        <is>
          <t>SI</t>
        </is>
      </c>
    </row>
    <row r="882" ht="15" customHeight="1" s="162">
      <c r="A882" s="7" t="n">
        <v>881</v>
      </c>
      <c r="B882" t="inlineStr">
        <is>
          <t>1390701500700</t>
        </is>
      </c>
      <c r="C882" t="inlineStr">
        <is>
          <t>MOD MCDU SEQ27901 C/DISPLAY</t>
        </is>
      </c>
      <c r="D882" t="inlineStr">
        <is>
          <t>1800108798</t>
        </is>
      </c>
      <c r="E882" t="inlineStr">
        <is>
          <t>20</t>
        </is>
      </c>
      <c r="F882" s="163" t="n">
        <v>45459</v>
      </c>
      <c r="G882" t="inlineStr"/>
      <c r="H882" t="inlineStr">
        <is>
          <t>4200567534</t>
        </is>
      </c>
      <c r="I882" t="inlineStr">
        <is>
          <t>10</t>
        </is>
      </c>
      <c r="J882" s="163" t="n">
        <v>45461</v>
      </c>
      <c r="K882" s="163" t="n">
        <v>45464</v>
      </c>
      <c r="L882" t="inlineStr"/>
      <c r="M882" s="163" t="n">
        <v>45656</v>
      </c>
      <c r="N882" s="164" t="n">
        <v>130</v>
      </c>
      <c r="O882" s="164" t="n">
        <v>8</v>
      </c>
      <c r="P882" t="inlineStr">
        <is>
          <t>Liberado</t>
        </is>
      </c>
      <c r="Q882" s="165" t="n">
        <v>2</v>
      </c>
      <c r="R882" s="165" t="n">
        <v>2</v>
      </c>
      <c r="S882" s="165" t="n">
        <v>2</v>
      </c>
      <c r="T882" s="165" t="n">
        <v>0</v>
      </c>
      <c r="U882" s="166" t="n">
        <v>2</v>
      </c>
      <c r="V882" s="166" t="n">
        <v>0</v>
      </c>
      <c r="W882" t="inlineStr">
        <is>
          <t>X</t>
        </is>
      </c>
      <c r="X882" t="inlineStr">
        <is>
          <t>0.00</t>
        </is>
      </c>
      <c r="Y882" t="inlineStr"/>
      <c r="Z882" t="inlineStr">
        <is>
          <t>SUMINISTROS, FRESADOS Y GRABADOS</t>
        </is>
      </c>
      <c r="AA882" t="inlineStr">
        <is>
          <t>GRABYSUR</t>
        </is>
      </c>
      <c r="AB882" t="inlineStr">
        <is>
          <t>GR-SEQ27901</t>
        </is>
      </c>
      <c r="AC882" t="inlineStr"/>
      <c r="AD882" s="164" t="n">
        <v>2</v>
      </c>
      <c r="AE882" s="185" t="n">
        <v>1</v>
      </c>
      <c r="AG882" s="167" t="inlineStr">
        <is>
          <t>7218|JA2583_1001</t>
        </is>
      </c>
      <c r="AH882" s="47">
        <f>IF(M882=0,"-",M882-J882)</f>
        <v/>
      </c>
      <c r="AI882" s="46">
        <f>IF(AND(S882=0,M882&gt;0,L882=0),IF(AH882&gt;=120,"VERY HIGH",IF(AH882&gt;=90,"HIGH",IF(AH882&gt;=60,"MEDIUM",IF(AH882&lt;60,"LOW")))),"-")</f>
        <v/>
      </c>
      <c r="AJ882" s="12" t="n"/>
      <c r="AK882" s="53">
        <f>IF(AND(W882="X",M882&lt;=$AJ$2),"YES","")</f>
        <v/>
      </c>
      <c r="AL882" s="54">
        <f>IF(AND(W882="X",M882&lt;=$AJ$2),S882,"")</f>
        <v/>
      </c>
      <c r="AM882" s="35" t="n"/>
      <c r="AN882" s="35">
        <f>IF(AND(W882="X",M882&gt;$AJ$2),S882,"")</f>
        <v/>
      </c>
      <c r="AO882" s="35">
        <f>IF(AND(W882="",M882&gt;0,$AJ$2&gt;M882,L882=""),1,0)</f>
        <v/>
      </c>
      <c r="AP882" s="35">
        <f>IF(AND(AK882="YES",W882="X"),"X","")</f>
        <v/>
      </c>
      <c r="AQ882" s="55">
        <f>IF(AP882="X",100%,0%)</f>
        <v/>
      </c>
      <c r="AR882" s="25">
        <f>IF(AND(T882&gt;0,L882=""),H882,"")</f>
        <v/>
      </c>
      <c r="AS882" s="25">
        <f>IF(AND(D882&gt;0,H882=0,G882=""),1,"")</f>
        <v/>
      </c>
      <c r="AT882" s="25">
        <f>IF(G882="BLOQ",1,"")</f>
        <v/>
      </c>
      <c r="AU882" s="25">
        <f>IF(L882="BLOQ",1,"")</f>
        <v/>
      </c>
      <c r="AV882" s="25">
        <f>MONTH(F882)</f>
        <v/>
      </c>
      <c r="AW882" s="65">
        <f>IF(AP882="",100%,0%)</f>
        <v/>
      </c>
      <c r="AX882" s="56" t="n"/>
      <c r="AY882" s="24">
        <f>IF(M882=0,"",M882-$AX$2)</f>
        <v/>
      </c>
      <c r="AZ882" s="66">
        <f>IF(AND(W882="",AY882&gt;0,AY882&lt;15),1,0)</f>
        <v/>
      </c>
      <c r="BA882" s="24">
        <f>IF(AND(W882="",AY882&gt;0,AY882&lt;15),T882,"")</f>
        <v/>
      </c>
      <c r="BB882" s="87">
        <f>IF(R882&lt;Q882,"X","")</f>
        <v/>
      </c>
      <c r="BC882" s="191" t="inlineStr">
        <is>
          <t>SI</t>
        </is>
      </c>
      <c r="BD882" s="191" t="inlineStr">
        <is>
          <t>SI</t>
        </is>
      </c>
    </row>
    <row r="883" ht="15" customHeight="1" s="162">
      <c r="A883" s="7" t="n">
        <v>882</v>
      </c>
      <c r="B883" t="inlineStr">
        <is>
          <t>1124510125000</t>
        </is>
      </c>
      <c r="C883" t="inlineStr">
        <is>
          <t>SWITCH MAGNETICO SPDT 28VDC 200MA C/FUS</t>
        </is>
      </c>
      <c r="D883" t="inlineStr">
        <is>
          <t>1800108799</t>
        </is>
      </c>
      <c r="E883" t="inlineStr">
        <is>
          <t>10</t>
        </is>
      </c>
      <c r="F883" s="163" t="n">
        <v>45459</v>
      </c>
      <c r="G883" t="inlineStr"/>
      <c r="H883" t="inlineStr">
        <is>
          <t>4200567900</t>
        </is>
      </c>
      <c r="I883" t="inlineStr">
        <is>
          <t>110</t>
        </is>
      </c>
      <c r="J883" s="163" t="n">
        <v>45463</v>
      </c>
      <c r="K883" s="163" t="n">
        <v>45464</v>
      </c>
      <c r="L883" t="inlineStr"/>
      <c r="M883" s="163" t="n">
        <v>45505</v>
      </c>
      <c r="N883" s="164" t="n">
        <v>55</v>
      </c>
      <c r="O883" s="164" t="n">
        <v>8</v>
      </c>
      <c r="P883" t="inlineStr">
        <is>
          <t>Liberado</t>
        </is>
      </c>
      <c r="Q883" s="165" t="n">
        <v>290</v>
      </c>
      <c r="R883" s="165" t="n">
        <v>290</v>
      </c>
      <c r="S883" s="165" t="n">
        <v>290</v>
      </c>
      <c r="T883" s="165" t="n">
        <v>0</v>
      </c>
      <c r="U883" s="166" t="n">
        <v>290</v>
      </c>
      <c r="V883" s="166" t="n">
        <v>0</v>
      </c>
      <c r="W883" t="inlineStr">
        <is>
          <t>X</t>
        </is>
      </c>
      <c r="X883" t="inlineStr">
        <is>
          <t>0.00</t>
        </is>
      </c>
      <c r="Y883" t="inlineStr"/>
      <c r="Z883" t="inlineStr">
        <is>
          <t>E-T-A APARELLAJE ELECTRICO S.L.U.</t>
        </is>
      </c>
      <c r="AA883" t="inlineStr">
        <is>
          <t>E.T.A.</t>
        </is>
      </c>
      <c r="AB883" t="inlineStr">
        <is>
          <t>9510-G111-P1F1-Z0R2B2</t>
        </is>
      </c>
      <c r="AC883" t="inlineStr"/>
      <c r="AD883" s="164" t="n">
        <v>0</v>
      </c>
      <c r="AE883" s="185" t="n">
        <v>0</v>
      </c>
      <c r="AG883" s="167" t="inlineStr">
        <is>
          <t>7218|JA2583_1001</t>
        </is>
      </c>
      <c r="AH883" s="47">
        <f>IF(M883=0,"-",M883-J883)</f>
        <v/>
      </c>
      <c r="AI883" s="46">
        <f>IF(AND(S883=0,M883&gt;0,L883=0),IF(AH883&gt;=120,"VERY HIGH",IF(AH883&gt;=90,"HIGH",IF(AH883&gt;=60,"MEDIUM",IF(AH883&lt;60,"LOW")))),"-")</f>
        <v/>
      </c>
      <c r="AJ883" s="12" t="n"/>
      <c r="AK883" s="53">
        <f>IF(AND(W883="X",M883&lt;=$AJ$2),"YES","")</f>
        <v/>
      </c>
      <c r="AL883" s="54">
        <f>IF(AND(W883="X",M883&lt;=$AJ$2),S883,"")</f>
        <v/>
      </c>
      <c r="AM883" s="35" t="n"/>
      <c r="AN883" s="35">
        <f>IF(AND(W883="X",M883&gt;$AJ$2),S883,"")</f>
        <v/>
      </c>
      <c r="AO883" s="35">
        <f>IF(AND(W883="",M883&gt;0,$AJ$2&gt;M883,L883=""),1,0)</f>
        <v/>
      </c>
      <c r="AP883" s="35">
        <f>IF(AND(AK883="YES",W883="X"),"X","")</f>
        <v/>
      </c>
      <c r="AQ883" s="55">
        <f>IF(AP883="X",100%,0%)</f>
        <v/>
      </c>
      <c r="AR883" s="25">
        <f>IF(AND(T883&gt;0,L883=""),H883,"")</f>
        <v/>
      </c>
      <c r="AS883" s="25">
        <f>IF(AND(D883&gt;0,H883=0,G883=""),1,"")</f>
        <v/>
      </c>
      <c r="AT883" s="25">
        <f>IF(G883="BLOQ",1,"")</f>
        <v/>
      </c>
      <c r="AU883" s="25">
        <f>IF(L883="BLOQ",1,"")</f>
        <v/>
      </c>
      <c r="AV883" s="25">
        <f>MONTH(F883)</f>
        <v/>
      </c>
      <c r="AW883" s="65">
        <f>IF(AP883="",100%,0%)</f>
        <v/>
      </c>
      <c r="AX883" s="56" t="n"/>
      <c r="AY883" s="24">
        <f>IF(M883=0,"",M883-$AX$2)</f>
        <v/>
      </c>
      <c r="AZ883" s="66">
        <f>IF(AND(W883="",AY883&gt;0,AY883&lt;15),1,0)</f>
        <v/>
      </c>
      <c r="BA883" s="24">
        <f>IF(AND(W883="",AY883&gt;0,AY883&lt;15),T883,"")</f>
        <v/>
      </c>
      <c r="BB883" s="87">
        <f>IF(R883&lt;Q883,"X","")</f>
        <v/>
      </c>
      <c r="BC883" s="190" t="inlineStr">
        <is>
          <t>NO</t>
        </is>
      </c>
      <c r="BD883" s="191" t="inlineStr">
        <is>
          <t>SI</t>
        </is>
      </c>
    </row>
    <row r="884" ht="15" customHeight="1" s="162">
      <c r="A884" s="7" t="n">
        <v>883</v>
      </c>
      <c r="B884" t="inlineStr">
        <is>
          <t>1124510125200</t>
        </is>
      </c>
      <c r="C884" t="inlineStr">
        <is>
          <t>SWITCH MAGNETICO SPDT 28VDC 5A VERDE C/D</t>
        </is>
      </c>
      <c r="D884" t="inlineStr">
        <is>
          <t>1800108799</t>
        </is>
      </c>
      <c r="E884" t="inlineStr">
        <is>
          <t>20</t>
        </is>
      </c>
      <c r="F884" s="163" t="n">
        <v>45459</v>
      </c>
      <c r="G884" t="inlineStr"/>
      <c r="H884" t="inlineStr">
        <is>
          <t>4200568263</t>
        </is>
      </c>
      <c r="I884" t="inlineStr">
        <is>
          <t>10</t>
        </is>
      </c>
      <c r="J884" s="163" t="n">
        <v>45467</v>
      </c>
      <c r="K884" s="163" t="n">
        <v>45468</v>
      </c>
      <c r="L884" t="inlineStr"/>
      <c r="M884" s="163" t="n">
        <v>45509</v>
      </c>
      <c r="N884" s="164" t="n">
        <v>39</v>
      </c>
      <c r="O884" s="164" t="n">
        <v>8</v>
      </c>
      <c r="P884" t="inlineStr">
        <is>
          <t>Liberado</t>
        </is>
      </c>
      <c r="Q884" s="165" t="n">
        <v>24</v>
      </c>
      <c r="R884" s="165" t="n">
        <v>24</v>
      </c>
      <c r="S884" s="165" t="n">
        <v>24</v>
      </c>
      <c r="T884" s="165" t="n">
        <v>0</v>
      </c>
      <c r="U884" s="166" t="n">
        <v>24</v>
      </c>
      <c r="V884" s="166" t="n">
        <v>0</v>
      </c>
      <c r="W884" t="inlineStr">
        <is>
          <t>X</t>
        </is>
      </c>
      <c r="X884" t="inlineStr">
        <is>
          <t>0.00</t>
        </is>
      </c>
      <c r="Y884" t="inlineStr"/>
      <c r="Z884" t="inlineStr">
        <is>
          <t>E-T-A APARELLAJE ELECTRICO S.L.U.</t>
        </is>
      </c>
      <c r="AA884" t="inlineStr">
        <is>
          <t>E.T.A.</t>
        </is>
      </c>
      <c r="AB884" t="inlineStr">
        <is>
          <t>9510-G111-P1F1-Z0R2A2-5A</t>
        </is>
      </c>
      <c r="AC884" t="inlineStr"/>
      <c r="AD884" s="164" t="n">
        <v>0</v>
      </c>
      <c r="AE884" s="185" t="n">
        <v>0</v>
      </c>
      <c r="AG884" s="167" t="inlineStr">
        <is>
          <t>7218|JA2583_1001</t>
        </is>
      </c>
      <c r="AH884" s="47">
        <f>IF(M884=0,"-",M884-J884)</f>
        <v/>
      </c>
      <c r="AI884" s="46">
        <f>IF(AND(S884=0,M884&gt;0,L884=0),IF(AH884&gt;=120,"VERY HIGH",IF(AH884&gt;=90,"HIGH",IF(AH884&gt;=60,"MEDIUM",IF(AH884&lt;60,"LOW")))),"-")</f>
        <v/>
      </c>
      <c r="AJ884" s="12" t="n"/>
      <c r="AK884" s="53">
        <f>IF(AND(W884="X",M884&lt;=$AJ$2),"YES","")</f>
        <v/>
      </c>
      <c r="AL884" s="54">
        <f>IF(AND(W884="X",M884&lt;=$AJ$2),S884,"")</f>
        <v/>
      </c>
      <c r="AM884" s="35" t="n"/>
      <c r="AN884" s="35">
        <f>IF(AND(W884="X",M884&gt;$AJ$2),S884,"")</f>
        <v/>
      </c>
      <c r="AO884" s="35">
        <f>IF(AND(W884="",M884&gt;0,$AJ$2&gt;M884,L884=""),1,0)</f>
        <v/>
      </c>
      <c r="AP884" s="35">
        <f>IF(AND(AK884="YES",W884="X"),"X","")</f>
        <v/>
      </c>
      <c r="AQ884" s="55">
        <f>IF(AP884="X",100%,0%)</f>
        <v/>
      </c>
      <c r="AR884" s="25">
        <f>IF(AND(T884&gt;0,L884=""),H884,"")</f>
        <v/>
      </c>
      <c r="AS884" s="25">
        <f>IF(AND(D884&gt;0,H884=0,G884=""),1,"")</f>
        <v/>
      </c>
      <c r="AT884" s="25">
        <f>IF(G884="BLOQ",1,"")</f>
        <v/>
      </c>
      <c r="AU884" s="25">
        <f>IF(L884="BLOQ",1,"")</f>
        <v/>
      </c>
      <c r="AV884" s="25">
        <f>MONTH(F884)</f>
        <v/>
      </c>
      <c r="AW884" s="65">
        <f>IF(AP884="",100%,0%)</f>
        <v/>
      </c>
      <c r="AX884" s="56" t="n"/>
      <c r="AY884" s="24">
        <f>IF(M884=0,"",M884-$AX$2)</f>
        <v/>
      </c>
      <c r="AZ884" s="66">
        <f>IF(AND(W884="",AY884&gt;0,AY884&lt;15),1,0)</f>
        <v/>
      </c>
      <c r="BA884" s="24">
        <f>IF(AND(W884="",AY884&gt;0,AY884&lt;15),T884,"")</f>
        <v/>
      </c>
      <c r="BB884" s="87">
        <f>IF(R884&lt;Q884,"X","")</f>
        <v/>
      </c>
      <c r="BC884" s="190" t="inlineStr">
        <is>
          <t>NO</t>
        </is>
      </c>
      <c r="BD884" s="191" t="inlineStr">
        <is>
          <t>SI</t>
        </is>
      </c>
    </row>
    <row r="885" ht="15" customHeight="1" s="162">
      <c r="A885" s="7" t="n">
        <v>884</v>
      </c>
      <c r="B885" t="inlineStr">
        <is>
          <t>1124510125300</t>
        </is>
      </c>
      <c r="C885" t="inlineStr">
        <is>
          <t>SWITCH MAGNETICO SPDT 28VDC 7A 200MA C/D</t>
        </is>
      </c>
      <c r="D885" t="inlineStr">
        <is>
          <t>1800108799</t>
        </is>
      </c>
      <c r="E885" t="inlineStr">
        <is>
          <t>30</t>
        </is>
      </c>
      <c r="F885" s="163" t="n">
        <v>45459</v>
      </c>
      <c r="G885" t="inlineStr"/>
      <c r="H885" t="inlineStr">
        <is>
          <t>4200568263</t>
        </is>
      </c>
      <c r="I885" t="inlineStr">
        <is>
          <t>20</t>
        </is>
      </c>
      <c r="J885" s="163" t="n">
        <v>45467</v>
      </c>
      <c r="K885" s="163" t="n">
        <v>45468</v>
      </c>
      <c r="L885" t="inlineStr"/>
      <c r="M885" s="163" t="n">
        <v>45509</v>
      </c>
      <c r="N885" s="164" t="n">
        <v>39</v>
      </c>
      <c r="O885" s="164" t="n">
        <v>8</v>
      </c>
      <c r="P885" t="inlineStr">
        <is>
          <t>Liberado</t>
        </is>
      </c>
      <c r="Q885" s="165" t="n">
        <v>5</v>
      </c>
      <c r="R885" s="165" t="n">
        <v>10</v>
      </c>
      <c r="S885" s="165" t="n">
        <v>10</v>
      </c>
      <c r="T885" s="165" t="n">
        <v>0</v>
      </c>
      <c r="U885" s="166" t="n">
        <v>10</v>
      </c>
      <c r="V885" s="166" t="n">
        <v>0</v>
      </c>
      <c r="W885" t="inlineStr">
        <is>
          <t>X</t>
        </is>
      </c>
      <c r="X885" t="inlineStr">
        <is>
          <t>0.00</t>
        </is>
      </c>
      <c r="Y885" t="inlineStr"/>
      <c r="Z885" t="inlineStr">
        <is>
          <t>E-T-A APARELLAJE ELECTRICO S.L.U.</t>
        </is>
      </c>
      <c r="AA885" t="inlineStr">
        <is>
          <t>E.T.A.</t>
        </is>
      </c>
      <c r="AB885" t="inlineStr">
        <is>
          <t>9510-G111-P1F1-Z0R2A2-7A</t>
        </is>
      </c>
      <c r="AC885" t="inlineStr"/>
      <c r="AD885" s="164" t="n">
        <v>0</v>
      </c>
      <c r="AE885" s="185" t="n">
        <v>0</v>
      </c>
      <c r="AG885" s="167" t="inlineStr">
        <is>
          <t>7218|JA2583_1001</t>
        </is>
      </c>
      <c r="AH885" s="47">
        <f>IF(M885=0,"-",M885-J885)</f>
        <v/>
      </c>
      <c r="AI885" s="46">
        <f>IF(AND(S885=0,M885&gt;0,L885=0),IF(AH885&gt;=120,"VERY HIGH",IF(AH885&gt;=90,"HIGH",IF(AH885&gt;=60,"MEDIUM",IF(AH885&lt;60,"LOW")))),"-")</f>
        <v/>
      </c>
      <c r="AJ885" s="12" t="n"/>
      <c r="AK885" s="53">
        <f>IF(AND(W885="X",M885&lt;=$AJ$2),"YES","")</f>
        <v/>
      </c>
      <c r="AL885" s="54">
        <f>IF(AND(W885="X",M885&lt;=$AJ$2),S885,"")</f>
        <v/>
      </c>
      <c r="AM885" s="35" t="n"/>
      <c r="AN885" s="35">
        <f>IF(AND(W885="X",M885&gt;$AJ$2),S885,"")</f>
        <v/>
      </c>
      <c r="AO885" s="35">
        <f>IF(AND(W885="",M885&gt;0,$AJ$2&gt;M885,L885=""),1,0)</f>
        <v/>
      </c>
      <c r="AP885" s="35">
        <f>IF(AND(AK885="YES",W885="X"),"X","")</f>
        <v/>
      </c>
      <c r="AQ885" s="55">
        <f>IF(AP885="X",100%,0%)</f>
        <v/>
      </c>
      <c r="AR885" s="25">
        <f>IF(AND(T885&gt;0,L885=""),H885,"")</f>
        <v/>
      </c>
      <c r="AS885" s="25">
        <f>IF(AND(D885&gt;0,H885=0,G885=""),1,"")</f>
        <v/>
      </c>
      <c r="AT885" s="25">
        <f>IF(G885="BLOQ",1,"")</f>
        <v/>
      </c>
      <c r="AU885" s="25">
        <f>IF(L885="BLOQ",1,"")</f>
        <v/>
      </c>
      <c r="AV885" s="25">
        <f>MONTH(F885)</f>
        <v/>
      </c>
      <c r="AW885" s="65">
        <f>IF(AP885="",100%,0%)</f>
        <v/>
      </c>
      <c r="AX885" s="56" t="n"/>
      <c r="AY885" s="24">
        <f>IF(M885=0,"",M885-$AX$2)</f>
        <v/>
      </c>
      <c r="AZ885" s="66">
        <f>IF(AND(W885="",AY885&gt;0,AY885&lt;15),1,0)</f>
        <v/>
      </c>
      <c r="BA885" s="24">
        <f>IF(AND(W885="",AY885&gt;0,AY885&lt;15),T885,"")</f>
        <v/>
      </c>
      <c r="BB885" s="87">
        <f>IF(R885&lt;Q885,"X","")</f>
        <v/>
      </c>
      <c r="BC885" s="190" t="inlineStr">
        <is>
          <t>NO</t>
        </is>
      </c>
      <c r="BD885" s="191" t="inlineStr">
        <is>
          <t>SI</t>
        </is>
      </c>
    </row>
    <row r="886" ht="15" customHeight="1" s="162">
      <c r="A886" s="7" t="n">
        <v>885</v>
      </c>
      <c r="B886" t="inlineStr">
        <is>
          <t>1124510125400</t>
        </is>
      </c>
      <c r="C886" t="inlineStr">
        <is>
          <t>SWITCH MAGNETICO SPDT 28VDC 7.5A 200MA C</t>
        </is>
      </c>
      <c r="D886" t="inlineStr">
        <is>
          <t>1800108799</t>
        </is>
      </c>
      <c r="E886" t="inlineStr">
        <is>
          <t>40</t>
        </is>
      </c>
      <c r="F886" s="163" t="n">
        <v>45459</v>
      </c>
      <c r="G886" t="inlineStr"/>
      <c r="H886" t="inlineStr">
        <is>
          <t>4200568263</t>
        </is>
      </c>
      <c r="I886" t="inlineStr">
        <is>
          <t>30</t>
        </is>
      </c>
      <c r="J886" s="163" t="n">
        <v>45467</v>
      </c>
      <c r="K886" s="163" t="n">
        <v>45468</v>
      </c>
      <c r="L886" t="inlineStr"/>
      <c r="M886" s="163" t="n">
        <v>45509</v>
      </c>
      <c r="N886" s="164" t="n">
        <v>39</v>
      </c>
      <c r="O886" s="164" t="n">
        <v>8</v>
      </c>
      <c r="P886" t="inlineStr">
        <is>
          <t>Liberado</t>
        </is>
      </c>
      <c r="Q886" s="165" t="n">
        <v>27</v>
      </c>
      <c r="R886" s="165" t="n">
        <v>27</v>
      </c>
      <c r="S886" s="165" t="n">
        <v>27</v>
      </c>
      <c r="T886" s="165" t="n">
        <v>0</v>
      </c>
      <c r="U886" s="166" t="n">
        <v>27</v>
      </c>
      <c r="V886" s="166" t="n">
        <v>0</v>
      </c>
      <c r="W886" t="inlineStr">
        <is>
          <t>X</t>
        </is>
      </c>
      <c r="X886" t="inlineStr">
        <is>
          <t>0.00</t>
        </is>
      </c>
      <c r="Y886" t="inlineStr"/>
      <c r="Z886" t="inlineStr">
        <is>
          <t>E-T-A APARELLAJE ELECTRICO S.L.U.</t>
        </is>
      </c>
      <c r="AA886" t="inlineStr">
        <is>
          <t>E.T.A.</t>
        </is>
      </c>
      <c r="AB886" t="inlineStr">
        <is>
          <t>9510-G111-P1F1-Z0R2A2-7.5A</t>
        </is>
      </c>
      <c r="AC886" t="inlineStr"/>
      <c r="AD886" s="164" t="n">
        <v>0</v>
      </c>
      <c r="AE886" s="185" t="n">
        <v>0</v>
      </c>
      <c r="AG886" s="167" t="inlineStr">
        <is>
          <t>7218|JA2583_1001</t>
        </is>
      </c>
      <c r="AH886" s="47">
        <f>IF(M886=0,"-",M886-J886)</f>
        <v/>
      </c>
      <c r="AI886" s="46">
        <f>IF(AND(S886=0,M886&gt;0,L886=0),IF(AH886&gt;=120,"VERY HIGH",IF(AH886&gt;=90,"HIGH",IF(AH886&gt;=60,"MEDIUM",IF(AH886&lt;60,"LOW")))),"-")</f>
        <v/>
      </c>
      <c r="AJ886" s="12" t="n"/>
      <c r="AK886" s="53">
        <f>IF(AND(W886="X",M886&lt;=$AJ$2),"YES","")</f>
        <v/>
      </c>
      <c r="AL886" s="54">
        <f>IF(AND(W886="X",M886&lt;=$AJ$2),S886,"")</f>
        <v/>
      </c>
      <c r="AM886" s="35" t="n"/>
      <c r="AN886" s="35">
        <f>IF(AND(W886="X",M886&gt;$AJ$2),S886,"")</f>
        <v/>
      </c>
      <c r="AO886" s="35">
        <f>IF(AND(W886="",M886&gt;0,$AJ$2&gt;M886,L886=""),1,0)</f>
        <v/>
      </c>
      <c r="AP886" s="35">
        <f>IF(AND(AK886="YES",W886="X"),"X","")</f>
        <v/>
      </c>
      <c r="AQ886" s="55">
        <f>IF(AP886="X",100%,0%)</f>
        <v/>
      </c>
      <c r="AR886" s="25">
        <f>IF(AND(T886&gt;0,L886=""),H886,"")</f>
        <v/>
      </c>
      <c r="AS886" s="25">
        <f>IF(AND(D886&gt;0,H886=0,G886=""),1,"")</f>
        <v/>
      </c>
      <c r="AT886" s="25">
        <f>IF(G886="BLOQ",1,"")</f>
        <v/>
      </c>
      <c r="AU886" s="25">
        <f>IF(L886="BLOQ",1,"")</f>
        <v/>
      </c>
      <c r="AV886" s="25">
        <f>MONTH(F886)</f>
        <v/>
      </c>
      <c r="AW886" s="65">
        <f>IF(AP886="",100%,0%)</f>
        <v/>
      </c>
      <c r="AX886" s="56" t="n"/>
      <c r="AY886" s="24">
        <f>IF(M886=0,"",M886-$AX$2)</f>
        <v/>
      </c>
      <c r="AZ886" s="66">
        <f>IF(AND(W886="",AY886&gt;0,AY886&lt;15),1,0)</f>
        <v/>
      </c>
      <c r="BA886" s="24">
        <f>IF(AND(W886="",AY886&gt;0,AY886&lt;15),T886,"")</f>
        <v/>
      </c>
      <c r="BB886" s="87">
        <f>IF(R886&lt;Q886,"X","")</f>
        <v/>
      </c>
      <c r="BC886" s="190" t="inlineStr">
        <is>
          <t>NO</t>
        </is>
      </c>
      <c r="BD886" s="191" t="inlineStr">
        <is>
          <t>SI</t>
        </is>
      </c>
    </row>
    <row r="887" ht="15" customHeight="1" s="162">
      <c r="A887" s="7" t="n">
        <v>886</v>
      </c>
      <c r="B887" t="inlineStr">
        <is>
          <t>1124510125500</t>
        </is>
      </c>
      <c r="C887" t="inlineStr">
        <is>
          <t>SWITCH MAGNETICO SPDT 28VDC 10A 200MA C/</t>
        </is>
      </c>
      <c r="D887" t="inlineStr">
        <is>
          <t>1800108799</t>
        </is>
      </c>
      <c r="E887" t="inlineStr">
        <is>
          <t>50</t>
        </is>
      </c>
      <c r="F887" s="163" t="n">
        <v>45459</v>
      </c>
      <c r="G887" t="inlineStr"/>
      <c r="H887" t="inlineStr">
        <is>
          <t>4200568263</t>
        </is>
      </c>
      <c r="I887" t="inlineStr">
        <is>
          <t>40</t>
        </is>
      </c>
      <c r="J887" s="163" t="n">
        <v>45467</v>
      </c>
      <c r="K887" s="163" t="n">
        <v>45468</v>
      </c>
      <c r="L887" t="inlineStr"/>
      <c r="M887" s="163" t="n">
        <v>45509</v>
      </c>
      <c r="N887" s="164" t="n">
        <v>45</v>
      </c>
      <c r="O887" s="164" t="n">
        <v>8</v>
      </c>
      <c r="P887" t="inlineStr">
        <is>
          <t>Liberado</t>
        </is>
      </c>
      <c r="Q887" s="165" t="n">
        <v>5</v>
      </c>
      <c r="R887" s="165" t="n">
        <v>10</v>
      </c>
      <c r="S887" s="165" t="n">
        <v>10</v>
      </c>
      <c r="T887" s="165" t="n">
        <v>0</v>
      </c>
      <c r="U887" s="166" t="n">
        <v>10</v>
      </c>
      <c r="V887" s="166" t="n">
        <v>0</v>
      </c>
      <c r="W887" t="inlineStr">
        <is>
          <t>X</t>
        </is>
      </c>
      <c r="X887" t="inlineStr">
        <is>
          <t>0.00</t>
        </is>
      </c>
      <c r="Y887" t="inlineStr"/>
      <c r="Z887" t="inlineStr">
        <is>
          <t>E-T-A APARELLAJE ELECTRICO S.L.U.</t>
        </is>
      </c>
      <c r="AA887" t="inlineStr">
        <is>
          <t>E.T.A.</t>
        </is>
      </c>
      <c r="AB887" t="inlineStr">
        <is>
          <t>9510-G111-P1F1-Z0R2A2-10A</t>
        </is>
      </c>
      <c r="AC887" t="inlineStr"/>
      <c r="AD887" s="164" t="n">
        <v>0</v>
      </c>
      <c r="AE887" s="185" t="n">
        <v>0</v>
      </c>
      <c r="AG887" s="167" t="inlineStr">
        <is>
          <t>7218|JA2583_1001</t>
        </is>
      </c>
      <c r="AH887" s="47">
        <f>IF(M887=0,"-",M887-J887)</f>
        <v/>
      </c>
      <c r="AI887" s="46">
        <f>IF(AND(S887=0,M887&gt;0,L887=0),IF(AH887&gt;=120,"VERY HIGH",IF(AH887&gt;=90,"HIGH",IF(AH887&gt;=60,"MEDIUM",IF(AH887&lt;60,"LOW")))),"-")</f>
        <v/>
      </c>
      <c r="AJ887" s="12" t="n"/>
      <c r="AK887" s="53">
        <f>IF(AND(W887="X",M887&lt;=$AJ$2),"YES","")</f>
        <v/>
      </c>
      <c r="AL887" s="54">
        <f>IF(AND(W887="X",M887&lt;=$AJ$2),S887,"")</f>
        <v/>
      </c>
      <c r="AM887" s="35" t="n"/>
      <c r="AN887" s="35">
        <f>IF(AND(W887="X",M887&gt;$AJ$2),S887,"")</f>
        <v/>
      </c>
      <c r="AO887" s="35">
        <f>IF(AND(W887="",M887&gt;0,$AJ$2&gt;M887,L887=""),1,0)</f>
        <v/>
      </c>
      <c r="AP887" s="35">
        <f>IF(AND(AK887="YES",W887="X"),"X","")</f>
        <v/>
      </c>
      <c r="AQ887" s="55">
        <f>IF(AP887="X",100%,0%)</f>
        <v/>
      </c>
      <c r="AR887" s="25">
        <f>IF(AND(T887&gt;0,L887=""),H887,"")</f>
        <v/>
      </c>
      <c r="AS887" s="25">
        <f>IF(AND(D887&gt;0,H887=0,G887=""),1,"")</f>
        <v/>
      </c>
      <c r="AT887" s="25">
        <f>IF(G887="BLOQ",1,"")</f>
        <v/>
      </c>
      <c r="AU887" s="25">
        <f>IF(L887="BLOQ",1,"")</f>
        <v/>
      </c>
      <c r="AV887" s="25">
        <f>MONTH(F887)</f>
        <v/>
      </c>
      <c r="AW887" s="65">
        <f>IF(AP887="",100%,0%)</f>
        <v/>
      </c>
      <c r="AX887" s="56" t="n"/>
      <c r="AY887" s="24">
        <f>IF(M887=0,"",M887-$AX$2)</f>
        <v/>
      </c>
      <c r="AZ887" s="66">
        <f>IF(AND(W887="",AY887&gt;0,AY887&lt;15),1,0)</f>
        <v/>
      </c>
      <c r="BA887" s="24">
        <f>IF(AND(W887="",AY887&gt;0,AY887&lt;15),T887,"")</f>
        <v/>
      </c>
      <c r="BB887" s="87">
        <f>IF(R887&lt;Q887,"X","")</f>
        <v/>
      </c>
      <c r="BC887" s="190" t="inlineStr">
        <is>
          <t>NO</t>
        </is>
      </c>
      <c r="BD887" s="191" t="inlineStr">
        <is>
          <t>SI</t>
        </is>
      </c>
    </row>
    <row r="888" ht="15" customHeight="1" s="162">
      <c r="A888" s="7" t="n">
        <v>887</v>
      </c>
      <c r="B888" t="inlineStr">
        <is>
          <t>1124510125600</t>
        </is>
      </c>
      <c r="C888" t="inlineStr">
        <is>
          <t>SWITCH MAGNETICO SPDT 28VDC 15A 200MA C/</t>
        </is>
      </c>
      <c r="D888" t="inlineStr">
        <is>
          <t>1800108799</t>
        </is>
      </c>
      <c r="E888" t="inlineStr">
        <is>
          <t>60</t>
        </is>
      </c>
      <c r="F888" s="163" t="n">
        <v>45459</v>
      </c>
      <c r="G888" t="inlineStr"/>
      <c r="H888" t="inlineStr">
        <is>
          <t>4200568263</t>
        </is>
      </c>
      <c r="I888" t="inlineStr">
        <is>
          <t>50</t>
        </is>
      </c>
      <c r="J888" s="163" t="n">
        <v>45467</v>
      </c>
      <c r="K888" s="163" t="n">
        <v>45468</v>
      </c>
      <c r="L888" t="inlineStr"/>
      <c r="M888" s="163" t="n">
        <v>45509</v>
      </c>
      <c r="N888" s="164" t="n">
        <v>39</v>
      </c>
      <c r="O888" s="164" t="n">
        <v>8</v>
      </c>
      <c r="P888" t="inlineStr">
        <is>
          <t>Liberado</t>
        </is>
      </c>
      <c r="Q888" s="165" t="n">
        <v>6</v>
      </c>
      <c r="R888" s="165" t="n">
        <v>10</v>
      </c>
      <c r="S888" s="165" t="n">
        <v>10</v>
      </c>
      <c r="T888" s="165" t="n">
        <v>0</v>
      </c>
      <c r="U888" s="166" t="n">
        <v>10</v>
      </c>
      <c r="V888" s="166" t="n">
        <v>0</v>
      </c>
      <c r="W888" t="inlineStr">
        <is>
          <t>X</t>
        </is>
      </c>
      <c r="X888" t="inlineStr">
        <is>
          <t>0.00</t>
        </is>
      </c>
      <c r="Y888" t="inlineStr"/>
      <c r="Z888" t="inlineStr">
        <is>
          <t>E-T-A APARELLAJE ELECTRICO S.L.U.</t>
        </is>
      </c>
      <c r="AA888" t="inlineStr">
        <is>
          <t>E.T.A.</t>
        </is>
      </c>
      <c r="AB888" t="inlineStr">
        <is>
          <t>9510-G111-P1F1-Z0R2A2-15A</t>
        </is>
      </c>
      <c r="AC888" t="inlineStr"/>
      <c r="AD888" s="164" t="n">
        <v>0</v>
      </c>
      <c r="AE888" s="185" t="n">
        <v>0</v>
      </c>
      <c r="AG888" s="167" t="inlineStr">
        <is>
          <t>7218|JA2583_1001</t>
        </is>
      </c>
      <c r="AH888" s="47">
        <f>IF(M888=0,"-",M888-J888)</f>
        <v/>
      </c>
      <c r="AI888" s="46">
        <f>IF(AND(S888=0,M888&gt;0,L888=0),IF(AH888&gt;=120,"VERY HIGH",IF(AH888&gt;=90,"HIGH",IF(AH888&gt;=60,"MEDIUM",IF(AH888&lt;60,"LOW")))),"-")</f>
        <v/>
      </c>
      <c r="AJ888" s="12" t="n"/>
      <c r="AK888" s="53">
        <f>IF(AND(W888="X",M888&lt;=$AJ$2),"YES","")</f>
        <v/>
      </c>
      <c r="AL888" s="54">
        <f>IF(AND(W888="X",M888&lt;=$AJ$2),S888,"")</f>
        <v/>
      </c>
      <c r="AM888" s="35" t="n"/>
      <c r="AN888" s="35">
        <f>IF(AND(W888="X",M888&gt;$AJ$2),S888,"")</f>
        <v/>
      </c>
      <c r="AO888" s="35">
        <f>IF(AND(W888="",M888&gt;0,$AJ$2&gt;M888,L888=""),1,0)</f>
        <v/>
      </c>
      <c r="AP888" s="35">
        <f>IF(AND(AK888="YES",W888="X"),"X","")</f>
        <v/>
      </c>
      <c r="AQ888" s="55">
        <f>IF(AP888="X",100%,0%)</f>
        <v/>
      </c>
      <c r="AR888" s="25">
        <f>IF(AND(T888&gt;0,L888=""),H888,"")</f>
        <v/>
      </c>
      <c r="AS888" s="25">
        <f>IF(AND(D888&gt;0,H888=0,G888=""),1,"")</f>
        <v/>
      </c>
      <c r="AT888" s="25">
        <f>IF(G888="BLOQ",1,"")</f>
        <v/>
      </c>
      <c r="AU888" s="25">
        <f>IF(L888="BLOQ",1,"")</f>
        <v/>
      </c>
      <c r="AV888" s="25">
        <f>MONTH(F888)</f>
        <v/>
      </c>
      <c r="AW888" s="65">
        <f>IF(AP888="",100%,0%)</f>
        <v/>
      </c>
      <c r="AX888" s="56" t="n"/>
      <c r="AY888" s="24">
        <f>IF(M888=0,"",M888-$AX$2)</f>
        <v/>
      </c>
      <c r="AZ888" s="66">
        <f>IF(AND(W888="",AY888&gt;0,AY888&lt;15),1,0)</f>
        <v/>
      </c>
      <c r="BA888" s="24">
        <f>IF(AND(W888="",AY888&gt;0,AY888&lt;15),T888,"")</f>
        <v/>
      </c>
      <c r="BB888" s="87">
        <f>IF(R888&lt;Q888,"X","")</f>
        <v/>
      </c>
      <c r="BC888" s="190" t="inlineStr">
        <is>
          <t>NO</t>
        </is>
      </c>
      <c r="BD888" s="191" t="inlineStr">
        <is>
          <t>SI</t>
        </is>
      </c>
    </row>
    <row r="889" ht="15" customHeight="1" s="162">
      <c r="A889" s="7" t="n">
        <v>888</v>
      </c>
      <c r="B889" t="inlineStr">
        <is>
          <t>1124510125700</t>
        </is>
      </c>
      <c r="C889" t="inlineStr">
        <is>
          <t>SWITCH MAGNETICO SPDT 28VDC 20A 200MA C/</t>
        </is>
      </c>
      <c r="D889" t="inlineStr">
        <is>
          <t>1800108799</t>
        </is>
      </c>
      <c r="E889" t="inlineStr">
        <is>
          <t>70</t>
        </is>
      </c>
      <c r="F889" s="163" t="n">
        <v>45459</v>
      </c>
      <c r="G889" t="inlineStr"/>
      <c r="H889" t="inlineStr">
        <is>
          <t>4200568263</t>
        </is>
      </c>
      <c r="I889" t="inlineStr">
        <is>
          <t>60</t>
        </is>
      </c>
      <c r="J889" s="163" t="n">
        <v>45467</v>
      </c>
      <c r="K889" s="163" t="n">
        <v>45468</v>
      </c>
      <c r="L889" t="inlineStr"/>
      <c r="M889" s="163" t="n">
        <v>45509</v>
      </c>
      <c r="N889" s="164" t="n">
        <v>39</v>
      </c>
      <c r="O889" s="164" t="n">
        <v>8</v>
      </c>
      <c r="P889" t="inlineStr">
        <is>
          <t>Liberado</t>
        </is>
      </c>
      <c r="Q889" s="165" t="n">
        <v>5</v>
      </c>
      <c r="R889" s="165" t="n">
        <v>10</v>
      </c>
      <c r="S889" s="165" t="n">
        <v>10</v>
      </c>
      <c r="T889" s="165" t="n">
        <v>0</v>
      </c>
      <c r="U889" s="166" t="n">
        <v>10</v>
      </c>
      <c r="V889" s="166" t="n">
        <v>0</v>
      </c>
      <c r="W889" t="inlineStr">
        <is>
          <t>X</t>
        </is>
      </c>
      <c r="X889" t="inlineStr">
        <is>
          <t>0.00</t>
        </is>
      </c>
      <c r="Y889" t="inlineStr"/>
      <c r="Z889" t="inlineStr">
        <is>
          <t>E-T-A APARELLAJE ELECTRICO S.L.U.</t>
        </is>
      </c>
      <c r="AA889" t="inlineStr">
        <is>
          <t>E.T.A.</t>
        </is>
      </c>
      <c r="AB889" t="inlineStr">
        <is>
          <t>9510-G111-P1F1-Z0R2A2-20A</t>
        </is>
      </c>
      <c r="AC889" t="inlineStr"/>
      <c r="AD889" s="164" t="n">
        <v>0</v>
      </c>
      <c r="AE889" s="185" t="n">
        <v>0</v>
      </c>
      <c r="AG889" s="167" t="inlineStr">
        <is>
          <t>7218|JA2583_1001</t>
        </is>
      </c>
      <c r="AH889" s="47">
        <f>IF(M889=0,"-",M889-J889)</f>
        <v/>
      </c>
      <c r="AI889" s="46">
        <f>IF(AND(S889=0,M889&gt;0,L889=0),IF(AH889&gt;=120,"VERY HIGH",IF(AH889&gt;=90,"HIGH",IF(AH889&gt;=60,"MEDIUM",IF(AH889&lt;60,"LOW")))),"-")</f>
        <v/>
      </c>
      <c r="AJ889" s="12" t="n"/>
      <c r="AK889" s="53">
        <f>IF(AND(W889="X",M889&lt;=$AJ$2),"YES","")</f>
        <v/>
      </c>
      <c r="AL889" s="54">
        <f>IF(AND(W889="X",M889&lt;=$AJ$2),S889,"")</f>
        <v/>
      </c>
      <c r="AM889" s="35" t="n"/>
      <c r="AN889" s="35">
        <f>IF(AND(W889="X",M889&gt;$AJ$2),S889,"")</f>
        <v/>
      </c>
      <c r="AO889" s="35">
        <f>IF(AND(W889="",M889&gt;0,$AJ$2&gt;M889,L889=""),1,0)</f>
        <v/>
      </c>
      <c r="AP889" s="35">
        <f>IF(AND(AK889="YES",W889="X"),"X","")</f>
        <v/>
      </c>
      <c r="AQ889" s="55">
        <f>IF(AP889="X",100%,0%)</f>
        <v/>
      </c>
      <c r="AR889" s="25">
        <f>IF(AND(T889&gt;0,L889=""),H889,"")</f>
        <v/>
      </c>
      <c r="AS889" s="25">
        <f>IF(AND(D889&gt;0,H889=0,G889=""),1,"")</f>
        <v/>
      </c>
      <c r="AT889" s="25">
        <f>IF(G889="BLOQ",1,"")</f>
        <v/>
      </c>
      <c r="AU889" s="25">
        <f>IF(L889="BLOQ",1,"")</f>
        <v/>
      </c>
      <c r="AV889" s="25">
        <f>MONTH(F889)</f>
        <v/>
      </c>
      <c r="AW889" s="65">
        <f>IF(AP889="",100%,0%)</f>
        <v/>
      </c>
      <c r="AX889" s="56" t="n"/>
      <c r="AY889" s="24">
        <f>IF(M889=0,"",M889-$AX$2)</f>
        <v/>
      </c>
      <c r="AZ889" s="66">
        <f>IF(AND(W889="",AY889&gt;0,AY889&lt;15),1,0)</f>
        <v/>
      </c>
      <c r="BA889" s="24">
        <f>IF(AND(W889="",AY889&gt;0,AY889&lt;15),T889,"")</f>
        <v/>
      </c>
      <c r="BB889" s="87">
        <f>IF(R889&lt;Q889,"X","")</f>
        <v/>
      </c>
      <c r="BC889" s="190" t="inlineStr">
        <is>
          <t>NO</t>
        </is>
      </c>
      <c r="BD889" s="191" t="inlineStr">
        <is>
          <t>SI</t>
        </is>
      </c>
    </row>
    <row r="890" ht="15" customHeight="1" s="162">
      <c r="A890" s="7" t="n">
        <v>889</v>
      </c>
      <c r="B890" t="inlineStr">
        <is>
          <t>1124510125900</t>
        </is>
      </c>
      <c r="C890" t="inlineStr">
        <is>
          <t>SWITCH MAGNETICO SPDT 28VDC 35A 200MA C/</t>
        </is>
      </c>
      <c r="D890" t="inlineStr">
        <is>
          <t>1800108799</t>
        </is>
      </c>
      <c r="E890" t="inlineStr">
        <is>
          <t>80</t>
        </is>
      </c>
      <c r="F890" s="163" t="n">
        <v>45459</v>
      </c>
      <c r="G890" t="inlineStr"/>
      <c r="H890" t="inlineStr">
        <is>
          <t>4200568263</t>
        </is>
      </c>
      <c r="I890" t="inlineStr">
        <is>
          <t>70</t>
        </is>
      </c>
      <c r="J890" s="163" t="n">
        <v>45467</v>
      </c>
      <c r="K890" s="163" t="n">
        <v>45468</v>
      </c>
      <c r="L890" t="inlineStr"/>
      <c r="M890" s="163" t="n">
        <v>45509</v>
      </c>
      <c r="N890" s="164" t="n">
        <v>39</v>
      </c>
      <c r="O890" s="164" t="n">
        <v>8</v>
      </c>
      <c r="P890" t="inlineStr">
        <is>
          <t>Liberado</t>
        </is>
      </c>
      <c r="Q890" s="165" t="n">
        <v>5</v>
      </c>
      <c r="R890" s="165" t="n">
        <v>10</v>
      </c>
      <c r="S890" s="165" t="n">
        <v>10</v>
      </c>
      <c r="T890" s="165" t="n">
        <v>0</v>
      </c>
      <c r="U890" s="166" t="n">
        <v>10</v>
      </c>
      <c r="V890" s="166" t="n">
        <v>0</v>
      </c>
      <c r="W890" t="inlineStr">
        <is>
          <t>X</t>
        </is>
      </c>
      <c r="X890" t="inlineStr">
        <is>
          <t>0.00</t>
        </is>
      </c>
      <c r="Y890" t="inlineStr"/>
      <c r="Z890" t="inlineStr">
        <is>
          <t>E-T-A APARELLAJE ELECTRICO S.L.U.</t>
        </is>
      </c>
      <c r="AA890" t="inlineStr">
        <is>
          <t>E.T.A.</t>
        </is>
      </c>
      <c r="AB890" t="inlineStr">
        <is>
          <t>9510-G111-P1F1-Z0R2A2-35A</t>
        </is>
      </c>
      <c r="AC890" t="inlineStr"/>
      <c r="AD890" s="164" t="n">
        <v>0</v>
      </c>
      <c r="AE890" s="185" t="n">
        <v>0</v>
      </c>
      <c r="AG890" s="167" t="inlineStr">
        <is>
          <t>7218|JA2583_1001</t>
        </is>
      </c>
      <c r="AH890" s="47">
        <f>IF(M890=0,"-",M890-J890)</f>
        <v/>
      </c>
      <c r="AI890" s="46">
        <f>IF(AND(S890=0,M890&gt;0,L890=0),IF(AH890&gt;=120,"VERY HIGH",IF(AH890&gt;=90,"HIGH",IF(AH890&gt;=60,"MEDIUM",IF(AH890&lt;60,"LOW")))),"-")</f>
        <v/>
      </c>
      <c r="AJ890" s="12" t="n"/>
      <c r="AK890" s="53">
        <f>IF(AND(W890="X",M890&lt;=$AJ$2),"YES","")</f>
        <v/>
      </c>
      <c r="AL890" s="54">
        <f>IF(AND(W890="X",M890&lt;=$AJ$2),S890,"")</f>
        <v/>
      </c>
      <c r="AM890" s="35" t="n"/>
      <c r="AN890" s="35">
        <f>IF(AND(W890="X",M890&gt;$AJ$2),S890,"")</f>
        <v/>
      </c>
      <c r="AO890" s="35">
        <f>IF(AND(W890="",M890&gt;0,$AJ$2&gt;M890,L890=""),1,0)</f>
        <v/>
      </c>
      <c r="AP890" s="35">
        <f>IF(AND(AK890="YES",W890="X"),"X","")</f>
        <v/>
      </c>
      <c r="AQ890" s="55">
        <f>IF(AP890="X",100%,0%)</f>
        <v/>
      </c>
      <c r="AR890" s="25">
        <f>IF(AND(T890&gt;0,L890=""),H890,"")</f>
        <v/>
      </c>
      <c r="AS890" s="25">
        <f>IF(AND(D890&gt;0,H890=0,G890=""),1,"")</f>
        <v/>
      </c>
      <c r="AT890" s="25">
        <f>IF(G890="BLOQ",1,"")</f>
        <v/>
      </c>
      <c r="AU890" s="25">
        <f>IF(L890="BLOQ",1,"")</f>
        <v/>
      </c>
      <c r="AV890" s="25">
        <f>MONTH(F890)</f>
        <v/>
      </c>
      <c r="AW890" s="65">
        <f>IF(AP890="",100%,0%)</f>
        <v/>
      </c>
      <c r="AX890" s="56" t="n"/>
      <c r="AY890" s="24">
        <f>IF(M890=0,"",M890-$AX$2)</f>
        <v/>
      </c>
      <c r="AZ890" s="66">
        <f>IF(AND(W890="",AY890&gt;0,AY890&lt;15),1,0)</f>
        <v/>
      </c>
      <c r="BA890" s="24">
        <f>IF(AND(W890="",AY890&gt;0,AY890&lt;15),T890,"")</f>
        <v/>
      </c>
      <c r="BB890" s="87">
        <f>IF(R890&lt;Q890,"X","")</f>
        <v/>
      </c>
      <c r="BC890" s="190" t="inlineStr">
        <is>
          <t>NO</t>
        </is>
      </c>
      <c r="BD890" s="191" t="inlineStr">
        <is>
          <t>SI</t>
        </is>
      </c>
    </row>
    <row r="891" ht="15" customHeight="1" s="162">
      <c r="A891" s="7" t="n">
        <v>890</v>
      </c>
      <c r="B891" t="inlineStr">
        <is>
          <t>1124510126000</t>
        </is>
      </c>
      <c r="C891" t="inlineStr">
        <is>
          <t>SWITCH MAGNETICO SPDT 28VDC 50A 200MA C/</t>
        </is>
      </c>
      <c r="D891" t="inlineStr">
        <is>
          <t>1800108799</t>
        </is>
      </c>
      <c r="E891" t="inlineStr">
        <is>
          <t>90</t>
        </is>
      </c>
      <c r="F891" s="163" t="n">
        <v>45459</v>
      </c>
      <c r="G891" t="inlineStr"/>
      <c r="H891" t="inlineStr">
        <is>
          <t>4200568263</t>
        </is>
      </c>
      <c r="I891" t="inlineStr">
        <is>
          <t>80</t>
        </is>
      </c>
      <c r="J891" s="163" t="n">
        <v>45467</v>
      </c>
      <c r="K891" s="163" t="n">
        <v>45468</v>
      </c>
      <c r="L891" t="inlineStr"/>
      <c r="M891" s="163" t="n">
        <v>45509</v>
      </c>
      <c r="N891" s="164" t="n">
        <v>39</v>
      </c>
      <c r="O891" s="164" t="n">
        <v>8</v>
      </c>
      <c r="P891" t="inlineStr">
        <is>
          <t>Liberado</t>
        </is>
      </c>
      <c r="Q891" s="165" t="n">
        <v>5</v>
      </c>
      <c r="R891" s="165" t="n">
        <v>10</v>
      </c>
      <c r="S891" s="165" t="n">
        <v>10</v>
      </c>
      <c r="T891" s="165" t="n">
        <v>0</v>
      </c>
      <c r="U891" s="166" t="n">
        <v>10</v>
      </c>
      <c r="V891" s="166" t="n">
        <v>0</v>
      </c>
      <c r="W891" t="inlineStr">
        <is>
          <t>X</t>
        </is>
      </c>
      <c r="X891" t="inlineStr">
        <is>
          <t>0.00</t>
        </is>
      </c>
      <c r="Y891" t="inlineStr"/>
      <c r="Z891" t="inlineStr">
        <is>
          <t>E-T-A APARELLAJE ELECTRICO S.L.U.</t>
        </is>
      </c>
      <c r="AA891" t="inlineStr">
        <is>
          <t>E.T.A.</t>
        </is>
      </c>
      <c r="AB891" t="inlineStr">
        <is>
          <t>9510-G111-P1F1-Z0R2A2-50A</t>
        </is>
      </c>
      <c r="AC891" t="inlineStr"/>
      <c r="AD891" s="164" t="n">
        <v>0</v>
      </c>
      <c r="AE891" s="185" t="n">
        <v>0</v>
      </c>
      <c r="AG891" s="167" t="inlineStr">
        <is>
          <t>7218|JA2583_1001</t>
        </is>
      </c>
      <c r="AH891" s="47">
        <f>IF(M891=0,"-",M891-J891)</f>
        <v/>
      </c>
      <c r="AI891" s="46">
        <f>IF(AND(S891=0,M891&gt;0,L891=0),IF(AH891&gt;=120,"VERY HIGH",IF(AH891&gt;=90,"HIGH",IF(AH891&gt;=60,"MEDIUM",IF(AH891&lt;60,"LOW")))),"-")</f>
        <v/>
      </c>
      <c r="AJ891" s="12" t="n"/>
      <c r="AK891" s="53">
        <f>IF(AND(W891="X",M891&lt;=$AJ$2),"YES","")</f>
        <v/>
      </c>
      <c r="AL891" s="54">
        <f>IF(AND(W891="X",M891&lt;=$AJ$2),S891,"")</f>
        <v/>
      </c>
      <c r="AM891" s="35" t="n"/>
      <c r="AN891" s="35">
        <f>IF(AND(W891="X",M891&gt;$AJ$2),S891,"")</f>
        <v/>
      </c>
      <c r="AO891" s="35">
        <f>IF(AND(W891="",M891&gt;0,$AJ$2&gt;M891,L891=""),1,0)</f>
        <v/>
      </c>
      <c r="AP891" s="35">
        <f>IF(AND(AK891="YES",W891="X"),"X","")</f>
        <v/>
      </c>
      <c r="AQ891" s="55">
        <f>IF(AP891="X",100%,0%)</f>
        <v/>
      </c>
      <c r="AR891" s="25">
        <f>IF(AND(T891&gt;0,L891=""),H891,"")</f>
        <v/>
      </c>
      <c r="AS891" s="25">
        <f>IF(AND(D891&gt;0,H891=0,G891=""),1,"")</f>
        <v/>
      </c>
      <c r="AT891" s="25">
        <f>IF(G891="BLOQ",1,"")</f>
        <v/>
      </c>
      <c r="AU891" s="25">
        <f>IF(L891="BLOQ",1,"")</f>
        <v/>
      </c>
      <c r="AV891" s="25">
        <f>MONTH(F891)</f>
        <v/>
      </c>
      <c r="AW891" s="65">
        <f>IF(AP891="",100%,0%)</f>
        <v/>
      </c>
      <c r="AX891" s="56" t="n"/>
      <c r="AY891" s="24">
        <f>IF(M891=0,"",M891-$AX$2)</f>
        <v/>
      </c>
      <c r="AZ891" s="66">
        <f>IF(AND(W891="",AY891&gt;0,AY891&lt;15),1,0)</f>
        <v/>
      </c>
      <c r="BA891" s="24">
        <f>IF(AND(W891="",AY891&gt;0,AY891&lt;15),T891,"")</f>
        <v/>
      </c>
      <c r="BB891" s="87">
        <f>IF(R891&lt;Q891,"X","")</f>
        <v/>
      </c>
      <c r="BC891" s="190" t="inlineStr">
        <is>
          <t>NO</t>
        </is>
      </c>
      <c r="BD891" s="191" t="inlineStr">
        <is>
          <t>SI</t>
        </is>
      </c>
    </row>
    <row r="892" ht="15" customHeight="1" s="162">
      <c r="A892" s="7" t="n">
        <v>891</v>
      </c>
      <c r="B892" t="inlineStr">
        <is>
          <t>1124510126100</t>
        </is>
      </c>
      <c r="C892" t="inlineStr">
        <is>
          <t>SWITCH MAGNETICO SPDT 28VDC 3A 200MA C/D</t>
        </is>
      </c>
      <c r="D892" t="inlineStr">
        <is>
          <t>1800108799</t>
        </is>
      </c>
      <c r="E892" t="inlineStr">
        <is>
          <t>100</t>
        </is>
      </c>
      <c r="F892" s="163" t="n">
        <v>45459</v>
      </c>
      <c r="G892" t="inlineStr"/>
      <c r="H892" t="inlineStr">
        <is>
          <t>4200568263</t>
        </is>
      </c>
      <c r="I892" t="inlineStr">
        <is>
          <t>90</t>
        </is>
      </c>
      <c r="J892" s="163" t="n">
        <v>45467</v>
      </c>
      <c r="K892" s="163" t="n">
        <v>45468</v>
      </c>
      <c r="L892" t="inlineStr"/>
      <c r="M892" s="163" t="n">
        <v>45509</v>
      </c>
      <c r="N892" s="164" t="n">
        <v>39</v>
      </c>
      <c r="O892" s="164" t="n">
        <v>8</v>
      </c>
      <c r="P892" t="inlineStr">
        <is>
          <t>Liberado</t>
        </is>
      </c>
      <c r="Q892" s="165" t="n">
        <v>113</v>
      </c>
      <c r="R892" s="165" t="n">
        <v>113</v>
      </c>
      <c r="S892" s="165" t="n">
        <v>113</v>
      </c>
      <c r="T892" s="165" t="n">
        <v>0</v>
      </c>
      <c r="U892" s="166" t="n">
        <v>113</v>
      </c>
      <c r="V892" s="166" t="n">
        <v>0</v>
      </c>
      <c r="W892" t="inlineStr">
        <is>
          <t>X</t>
        </is>
      </c>
      <c r="X892" t="inlineStr">
        <is>
          <t>0.00</t>
        </is>
      </c>
      <c r="Y892" t="inlineStr"/>
      <c r="Z892" t="inlineStr">
        <is>
          <t>E-T-A APARELLAJE ELECTRICO S.L.U.</t>
        </is>
      </c>
      <c r="AA892" t="inlineStr">
        <is>
          <t>E.T.A.</t>
        </is>
      </c>
      <c r="AB892" t="inlineStr">
        <is>
          <t>9510-G111-P1F1-Z0R2A2-3A</t>
        </is>
      </c>
      <c r="AC892" t="inlineStr"/>
      <c r="AD892" s="164" t="n">
        <v>0</v>
      </c>
      <c r="AE892" s="185" t="n">
        <v>0</v>
      </c>
      <c r="AG892" s="167" t="inlineStr">
        <is>
          <t>7218|JA2583_1001</t>
        </is>
      </c>
      <c r="AH892" s="47">
        <f>IF(M892=0,"-",M892-J892)</f>
        <v/>
      </c>
      <c r="AI892" s="46">
        <f>IF(AND(S892=0,M892&gt;0,L892=0),IF(AH892&gt;=120,"VERY HIGH",IF(AH892&gt;=90,"HIGH",IF(AH892&gt;=60,"MEDIUM",IF(AH892&lt;60,"LOW")))),"-")</f>
        <v/>
      </c>
      <c r="AJ892" s="12" t="n"/>
      <c r="AK892" s="53">
        <f>IF(AND(W892="X",M892&lt;=$AJ$2),"YES","")</f>
        <v/>
      </c>
      <c r="AL892" s="54">
        <f>IF(AND(W892="X",M892&lt;=$AJ$2),S892,"")</f>
        <v/>
      </c>
      <c r="AM892" s="35" t="n"/>
      <c r="AN892" s="35">
        <f>IF(AND(W892="X",M892&gt;$AJ$2),S892,"")</f>
        <v/>
      </c>
      <c r="AO892" s="35">
        <f>IF(AND(W892="",M892&gt;0,$AJ$2&gt;M892,L892=""),1,0)</f>
        <v/>
      </c>
      <c r="AP892" s="35">
        <f>IF(AND(AK892="YES",W892="X"),"X","")</f>
        <v/>
      </c>
      <c r="AQ892" s="55">
        <f>IF(AP892="X",100%,0%)</f>
        <v/>
      </c>
      <c r="AR892" s="25">
        <f>IF(AND(T892&gt;0,L892=""),H892,"")</f>
        <v/>
      </c>
      <c r="AS892" s="25">
        <f>IF(AND(D892&gt;0,H892=0,G892=""),1,"")</f>
        <v/>
      </c>
      <c r="AT892" s="25">
        <f>IF(G892="BLOQ",1,"")</f>
        <v/>
      </c>
      <c r="AU892" s="25">
        <f>IF(L892="BLOQ",1,"")</f>
        <v/>
      </c>
      <c r="AV892" s="25">
        <f>MONTH(F892)</f>
        <v/>
      </c>
      <c r="AW892" s="65">
        <f>IF(AP892="",100%,0%)</f>
        <v/>
      </c>
      <c r="AX892" s="56" t="n"/>
      <c r="AY892" s="24">
        <f>IF(M892=0,"",M892-$AX$2)</f>
        <v/>
      </c>
      <c r="AZ892" s="66">
        <f>IF(AND(W892="",AY892&gt;0,AY892&lt;15),1,0)</f>
        <v/>
      </c>
      <c r="BA892" s="24">
        <f>IF(AND(W892="",AY892&gt;0,AY892&lt;15),T892,"")</f>
        <v/>
      </c>
      <c r="BB892" s="87">
        <f>IF(R892&lt;Q892,"X","")</f>
        <v/>
      </c>
      <c r="BC892" s="190" t="inlineStr">
        <is>
          <t>NO</t>
        </is>
      </c>
      <c r="BD892" s="191" t="inlineStr">
        <is>
          <t>SI</t>
        </is>
      </c>
    </row>
    <row r="893" ht="15" customHeight="1" s="162">
      <c r="A893" s="7" t="n">
        <v>892</v>
      </c>
      <c r="B893" t="inlineStr">
        <is>
          <t>1128990390300</t>
        </is>
      </c>
      <c r="C893" t="inlineStr">
        <is>
          <t>ANILLO BLOQUEO OFF ROJO</t>
        </is>
      </c>
      <c r="D893" t="inlineStr">
        <is>
          <t>1800108799</t>
        </is>
      </c>
      <c r="E893" t="inlineStr">
        <is>
          <t>110</t>
        </is>
      </c>
      <c r="F893" s="163" t="n">
        <v>45459</v>
      </c>
      <c r="G893" t="inlineStr"/>
      <c r="H893" t="inlineStr">
        <is>
          <t>4200568263</t>
        </is>
      </c>
      <c r="I893" t="inlineStr">
        <is>
          <t>100</t>
        </is>
      </c>
      <c r="J893" s="163" t="n">
        <v>45467</v>
      </c>
      <c r="K893" s="163" t="n">
        <v>45468</v>
      </c>
      <c r="L893" t="inlineStr"/>
      <c r="M893" s="163" t="n">
        <v>45509</v>
      </c>
      <c r="N893" s="164" t="n">
        <v>85</v>
      </c>
      <c r="O893" s="164" t="n">
        <v>8</v>
      </c>
      <c r="P893" t="inlineStr">
        <is>
          <t>Liberado</t>
        </is>
      </c>
      <c r="Q893" s="165" t="n">
        <v>25</v>
      </c>
      <c r="R893" s="165" t="n">
        <v>25</v>
      </c>
      <c r="S893" s="165" t="n">
        <v>25</v>
      </c>
      <c r="T893" s="165" t="n">
        <v>0</v>
      </c>
      <c r="U893" s="166" t="n">
        <v>25</v>
      </c>
      <c r="V893" s="166" t="n">
        <v>0</v>
      </c>
      <c r="W893" t="inlineStr">
        <is>
          <t>X</t>
        </is>
      </c>
      <c r="X893" t="inlineStr">
        <is>
          <t>0.00</t>
        </is>
      </c>
      <c r="Y893" t="inlineStr"/>
      <c r="Z893" t="inlineStr">
        <is>
          <t>E-T-A APARELLAJE ELECTRICO S.L.U.</t>
        </is>
      </c>
      <c r="AA893" t="inlineStr">
        <is>
          <t>E.T.A.</t>
        </is>
      </c>
      <c r="AB893" t="inlineStr">
        <is>
          <t>Y 307 005 01</t>
        </is>
      </c>
      <c r="AC893" t="inlineStr"/>
      <c r="AD893" s="164" t="n">
        <v>0</v>
      </c>
      <c r="AE893" s="185" t="n">
        <v>0</v>
      </c>
      <c r="AG893" s="167" t="inlineStr">
        <is>
          <t>7218|JA2583_1001</t>
        </is>
      </c>
      <c r="AH893" s="47">
        <f>IF(M893=0,"-",M893-J893)</f>
        <v/>
      </c>
      <c r="AI893" s="46">
        <f>IF(AND(S893=0,M893&gt;0,L893=0),IF(AH893&gt;=120,"VERY HIGH",IF(AH893&gt;=90,"HIGH",IF(AH893&gt;=60,"MEDIUM",IF(AH893&lt;60,"LOW")))),"-")</f>
        <v/>
      </c>
      <c r="AJ893" s="12" t="n"/>
      <c r="AK893" s="53">
        <f>IF(AND(W893="X",M893&lt;=$AJ$2),"YES","")</f>
        <v/>
      </c>
      <c r="AL893" s="54">
        <f>IF(AND(W893="X",M893&lt;=$AJ$2),S893,"")</f>
        <v/>
      </c>
      <c r="AM893" s="35" t="n"/>
      <c r="AN893" s="35">
        <f>IF(AND(W893="X",M893&gt;$AJ$2),S893,"")</f>
        <v/>
      </c>
      <c r="AO893" s="35">
        <f>IF(AND(W893="",M893&gt;0,$AJ$2&gt;M893,L893=""),1,0)</f>
        <v/>
      </c>
      <c r="AP893" s="35">
        <f>IF(AND(AK893="YES",W893="X"),"X","")</f>
        <v/>
      </c>
      <c r="AQ893" s="55">
        <f>IF(AP893="X",100%,0%)</f>
        <v/>
      </c>
      <c r="AR893" s="25">
        <f>IF(AND(T893&gt;0,L893=""),H893,"")</f>
        <v/>
      </c>
      <c r="AS893" s="25">
        <f>IF(AND(D893&gt;0,H893=0,G893=""),1,"")</f>
        <v/>
      </c>
      <c r="AT893" s="25">
        <f>IF(G893="BLOQ",1,"")</f>
        <v/>
      </c>
      <c r="AU893" s="25">
        <f>IF(L893="BLOQ",1,"")</f>
        <v/>
      </c>
      <c r="AV893" s="25">
        <f>MONTH(F893)</f>
        <v/>
      </c>
      <c r="AW893" s="65">
        <f>IF(AP893="",100%,0%)</f>
        <v/>
      </c>
      <c r="AX893" s="56" t="n"/>
      <c r="AY893" s="24">
        <f>IF(M893=0,"",M893-$AX$2)</f>
        <v/>
      </c>
      <c r="AZ893" s="66">
        <f>IF(AND(W893="",AY893&gt;0,AY893&lt;15),1,0)</f>
        <v/>
      </c>
      <c r="BA893" s="24">
        <f>IF(AND(W893="",AY893&gt;0,AY893&lt;15),T893,"")</f>
        <v/>
      </c>
      <c r="BB893" s="87">
        <f>IF(R893&lt;Q893,"X","")</f>
        <v/>
      </c>
      <c r="BC893" s="190" t="inlineStr">
        <is>
          <t>NO</t>
        </is>
      </c>
      <c r="BD893" s="191" t="inlineStr">
        <is>
          <t>SI</t>
        </is>
      </c>
    </row>
    <row r="894" ht="15" customHeight="1" s="162">
      <c r="A894" s="7" t="n">
        <v>893</v>
      </c>
      <c r="B894" t="inlineStr">
        <is>
          <t>1128990400100</t>
        </is>
      </c>
      <c r="C894" t="inlineStr">
        <is>
          <t>INSERTO MARCAJE NEGRO 50A PULS CONFI A/B</t>
        </is>
      </c>
      <c r="D894" t="inlineStr">
        <is>
          <t>1800108799</t>
        </is>
      </c>
      <c r="E894" t="inlineStr">
        <is>
          <t>120</t>
        </is>
      </c>
      <c r="F894" s="163" t="n">
        <v>45459</v>
      </c>
      <c r="G894" t="inlineStr"/>
      <c r="H894" t="inlineStr">
        <is>
          <t>4200567900</t>
        </is>
      </c>
      <c r="I894" t="inlineStr">
        <is>
          <t>180</t>
        </is>
      </c>
      <c r="J894" s="163" t="n">
        <v>45463</v>
      </c>
      <c r="K894" s="163" t="n">
        <v>45464</v>
      </c>
      <c r="L894" t="inlineStr"/>
      <c r="M894" s="163" t="n">
        <v>45505</v>
      </c>
      <c r="N894" s="164" t="n">
        <v>85</v>
      </c>
      <c r="O894" s="164" t="n">
        <v>8</v>
      </c>
      <c r="P894" t="inlineStr">
        <is>
          <t>Liberado</t>
        </is>
      </c>
      <c r="Q894" s="165" t="n">
        <v>24</v>
      </c>
      <c r="R894" s="165" t="n">
        <v>24</v>
      </c>
      <c r="S894" s="165" t="n">
        <v>24</v>
      </c>
      <c r="T894" s="165" t="n">
        <v>0</v>
      </c>
      <c r="U894" s="166" t="n">
        <v>24</v>
      </c>
      <c r="V894" s="166" t="n">
        <v>0</v>
      </c>
      <c r="W894" t="inlineStr">
        <is>
          <t>X</t>
        </is>
      </c>
      <c r="X894" t="inlineStr">
        <is>
          <t>0.00</t>
        </is>
      </c>
      <c r="Y894" t="inlineStr"/>
      <c r="Z894" t="inlineStr">
        <is>
          <t>E-T-A APARELLAJE ELECTRICO S.L.U.</t>
        </is>
      </c>
      <c r="AA894" t="inlineStr">
        <is>
          <t>E.T.A.</t>
        </is>
      </c>
      <c r="AB894" t="inlineStr">
        <is>
          <t>X 222 175 19</t>
        </is>
      </c>
      <c r="AC894" t="inlineStr"/>
      <c r="AD894" s="164" t="n">
        <v>0</v>
      </c>
      <c r="AE894" s="185" t="n">
        <v>0</v>
      </c>
      <c r="AG894" s="167" t="inlineStr">
        <is>
          <t>7218|JA2583_1001</t>
        </is>
      </c>
      <c r="AH894" s="47">
        <f>IF(M894=0,"-",M894-J894)</f>
        <v/>
      </c>
      <c r="AI894" s="46">
        <f>IF(AND(S894=0,M894&gt;0,L894=0),IF(AH894&gt;=120,"VERY HIGH",IF(AH894&gt;=90,"HIGH",IF(AH894&gt;=60,"MEDIUM",IF(AH894&lt;60,"LOW")))),"-")</f>
        <v/>
      </c>
      <c r="AJ894" s="12" t="n"/>
      <c r="AK894" s="53">
        <f>IF(AND(W894="X",M894&lt;=$AJ$2),"YES","")</f>
        <v/>
      </c>
      <c r="AL894" s="54">
        <f>IF(AND(W894="X",M894&lt;=$AJ$2),S894,"")</f>
        <v/>
      </c>
      <c r="AM894" s="35" t="n"/>
      <c r="AN894" s="35">
        <f>IF(AND(W894="X",M894&gt;$AJ$2),S894,"")</f>
        <v/>
      </c>
      <c r="AO894" s="35">
        <f>IF(AND(W894="",M894&gt;0,$AJ$2&gt;M894,L894=""),1,0)</f>
        <v/>
      </c>
      <c r="AP894" s="35">
        <f>IF(AND(AK894="YES",W894="X"),"X","")</f>
        <v/>
      </c>
      <c r="AQ894" s="55">
        <f>IF(AP894="X",100%,0%)</f>
        <v/>
      </c>
      <c r="AR894" s="25">
        <f>IF(AND(T894&gt;0,L894=""),H894,"")</f>
        <v/>
      </c>
      <c r="AS894" s="25">
        <f>IF(AND(D894&gt;0,H894=0,G894=""),1,"")</f>
        <v/>
      </c>
      <c r="AT894" s="25">
        <f>IF(G894="BLOQ",1,"")</f>
        <v/>
      </c>
      <c r="AU894" s="25">
        <f>IF(L894="BLOQ",1,"")</f>
        <v/>
      </c>
      <c r="AV894" s="25">
        <f>MONTH(F894)</f>
        <v/>
      </c>
      <c r="AW894" s="65">
        <f>IF(AP894="",100%,0%)</f>
        <v/>
      </c>
      <c r="AX894" s="56" t="n"/>
      <c r="AY894" s="24">
        <f>IF(M894=0,"",M894-$AX$2)</f>
        <v/>
      </c>
      <c r="AZ894" s="66">
        <f>IF(AND(W894="",AY894&gt;0,AY894&lt;15),1,0)</f>
        <v/>
      </c>
      <c r="BA894" s="24">
        <f>IF(AND(W894="",AY894&gt;0,AY894&lt;15),T894,"")</f>
        <v/>
      </c>
      <c r="BB894" s="87">
        <f>IF(R894&lt;Q894,"X","")</f>
        <v/>
      </c>
      <c r="BC894" s="190" t="inlineStr">
        <is>
          <t>NO</t>
        </is>
      </c>
      <c r="BD894" s="191" t="inlineStr">
        <is>
          <t>SI</t>
        </is>
      </c>
    </row>
    <row r="895" ht="15" customHeight="1" s="162">
      <c r="A895" s="7" t="n">
        <v>894</v>
      </c>
      <c r="B895" t="inlineStr">
        <is>
          <t>1128990400200</t>
        </is>
      </c>
      <c r="C895" t="inlineStr">
        <is>
          <t>INSERTO MARCAJE NEGRO 15A PULS CONFI A/B</t>
        </is>
      </c>
      <c r="D895" t="inlineStr">
        <is>
          <t>1800108799</t>
        </is>
      </c>
      <c r="E895" t="inlineStr">
        <is>
          <t>130</t>
        </is>
      </c>
      <c r="F895" s="163" t="n">
        <v>45459</v>
      </c>
      <c r="G895" t="inlineStr"/>
      <c r="H895" t="inlineStr">
        <is>
          <t>4200567900</t>
        </is>
      </c>
      <c r="I895" t="inlineStr">
        <is>
          <t>120</t>
        </is>
      </c>
      <c r="J895" s="163" t="n">
        <v>45463</v>
      </c>
      <c r="K895" s="163" t="n">
        <v>45464</v>
      </c>
      <c r="L895" t="inlineStr"/>
      <c r="M895" s="163" t="n">
        <v>45505</v>
      </c>
      <c r="N895" s="164" t="n">
        <v>55</v>
      </c>
      <c r="O895" s="164" t="n">
        <v>8</v>
      </c>
      <c r="P895" t="inlineStr">
        <is>
          <t>Liberado</t>
        </is>
      </c>
      <c r="Q895" s="165" t="n">
        <v>4</v>
      </c>
      <c r="R895" s="165" t="n">
        <v>4</v>
      </c>
      <c r="S895" s="165" t="n">
        <v>4</v>
      </c>
      <c r="T895" s="165" t="n">
        <v>0</v>
      </c>
      <c r="U895" s="166" t="n">
        <v>4</v>
      </c>
      <c r="V895" s="166" t="n">
        <v>0</v>
      </c>
      <c r="W895" t="inlineStr">
        <is>
          <t>X</t>
        </is>
      </c>
      <c r="X895" t="inlineStr">
        <is>
          <t>0.00</t>
        </is>
      </c>
      <c r="Y895" t="inlineStr"/>
      <c r="Z895" t="inlineStr">
        <is>
          <t>E-T-A APARELLAJE ELECTRICO S.L.U.</t>
        </is>
      </c>
      <c r="AA895" t="inlineStr">
        <is>
          <t>E.T.A.</t>
        </is>
      </c>
      <c r="AB895" t="inlineStr">
        <is>
          <t>X 222 175 12</t>
        </is>
      </c>
      <c r="AC895" t="inlineStr"/>
      <c r="AD895" s="164" t="n">
        <v>0</v>
      </c>
      <c r="AE895" s="185" t="n">
        <v>0</v>
      </c>
      <c r="AG895" s="167" t="inlineStr">
        <is>
          <t>7218|JA2583_1001</t>
        </is>
      </c>
      <c r="AH895" s="47">
        <f>IF(M895=0,"-",M895-J895)</f>
        <v/>
      </c>
      <c r="AI895" s="46">
        <f>IF(AND(S895=0,M895&gt;0,L895=0),IF(AH895&gt;=120,"VERY HIGH",IF(AH895&gt;=90,"HIGH",IF(AH895&gt;=60,"MEDIUM",IF(AH895&lt;60,"LOW")))),"-")</f>
        <v/>
      </c>
      <c r="AJ895" s="12" t="n"/>
      <c r="AK895" s="53">
        <f>IF(AND(W895="X",M895&lt;=$AJ$2),"YES","")</f>
        <v/>
      </c>
      <c r="AL895" s="54">
        <f>IF(AND(W895="X",M895&lt;=$AJ$2),S895,"")</f>
        <v/>
      </c>
      <c r="AM895" s="35" t="n"/>
      <c r="AN895" s="35">
        <f>IF(AND(W895="X",M895&gt;$AJ$2),S895,"")</f>
        <v/>
      </c>
      <c r="AO895" s="35">
        <f>IF(AND(W895="",M895&gt;0,$AJ$2&gt;M895,L895=""),1,0)</f>
        <v/>
      </c>
      <c r="AP895" s="35">
        <f>IF(AND(AK895="YES",W895="X"),"X","")</f>
        <v/>
      </c>
      <c r="AQ895" s="55">
        <f>IF(AP895="X",100%,0%)</f>
        <v/>
      </c>
      <c r="AR895" s="25">
        <f>IF(AND(T895&gt;0,L895=""),H895,"")</f>
        <v/>
      </c>
      <c r="AS895" s="25">
        <f>IF(AND(D895&gt;0,H895=0,G895=""),1,"")</f>
        <v/>
      </c>
      <c r="AT895" s="25">
        <f>IF(G895="BLOQ",1,"")</f>
        <v/>
      </c>
      <c r="AU895" s="25">
        <f>IF(L895="BLOQ",1,"")</f>
        <v/>
      </c>
      <c r="AV895" s="25">
        <f>MONTH(F895)</f>
        <v/>
      </c>
      <c r="AW895" s="65">
        <f>IF(AP895="",100%,0%)</f>
        <v/>
      </c>
      <c r="AX895" s="56" t="n"/>
      <c r="AY895" s="24">
        <f>IF(M895=0,"",M895-$AX$2)</f>
        <v/>
      </c>
      <c r="AZ895" s="66">
        <f>IF(AND(W895="",AY895&gt;0,AY895&lt;15),1,0)</f>
        <v/>
      </c>
      <c r="BA895" s="24">
        <f>IF(AND(W895="",AY895&gt;0,AY895&lt;15),T895,"")</f>
        <v/>
      </c>
      <c r="BB895" s="87">
        <f>IF(R895&lt;Q895,"X","")</f>
        <v/>
      </c>
      <c r="BC895" s="190" t="inlineStr">
        <is>
          <t>NO</t>
        </is>
      </c>
      <c r="BD895" s="191" t="inlineStr">
        <is>
          <t>SI</t>
        </is>
      </c>
    </row>
    <row r="896" ht="15" customHeight="1" s="162">
      <c r="A896" s="7" t="n">
        <v>895</v>
      </c>
      <c r="B896" t="inlineStr">
        <is>
          <t>1128990400300</t>
        </is>
      </c>
      <c r="C896" t="inlineStr">
        <is>
          <t>INSERTO MARCAJE NEGRO 20A PULS CONFI A/B</t>
        </is>
      </c>
      <c r="D896" t="inlineStr">
        <is>
          <t>1800108799</t>
        </is>
      </c>
      <c r="E896" t="inlineStr">
        <is>
          <t>140</t>
        </is>
      </c>
      <c r="F896" s="163" t="n">
        <v>45459</v>
      </c>
      <c r="G896" t="inlineStr"/>
      <c r="H896" t="inlineStr">
        <is>
          <t>4200567900</t>
        </is>
      </c>
      <c r="I896" t="inlineStr">
        <is>
          <t>130</t>
        </is>
      </c>
      <c r="J896" s="163" t="n">
        <v>45463</v>
      </c>
      <c r="K896" s="163" t="n">
        <v>45464</v>
      </c>
      <c r="L896" t="inlineStr"/>
      <c r="M896" s="163" t="n">
        <v>45505</v>
      </c>
      <c r="N896" s="164" t="n">
        <v>50</v>
      </c>
      <c r="O896" s="164" t="n">
        <v>8</v>
      </c>
      <c r="P896" t="inlineStr">
        <is>
          <t>Liberado</t>
        </is>
      </c>
      <c r="Q896" s="166" t="n">
        <v>6</v>
      </c>
      <c r="R896" s="166" t="n">
        <v>6</v>
      </c>
      <c r="S896" s="166" t="n">
        <v>6</v>
      </c>
      <c r="T896" s="166" t="n">
        <v>0</v>
      </c>
      <c r="U896" s="166" t="n">
        <v>6</v>
      </c>
      <c r="V896" s="166" t="n">
        <v>0</v>
      </c>
      <c r="W896" t="inlineStr">
        <is>
          <t>X</t>
        </is>
      </c>
      <c r="X896" t="inlineStr">
        <is>
          <t>0.00</t>
        </is>
      </c>
      <c r="Y896" t="inlineStr"/>
      <c r="Z896" t="inlineStr">
        <is>
          <t>E-T-A APARELLAJE ELECTRICO S.L.U.</t>
        </is>
      </c>
      <c r="AA896" t="inlineStr">
        <is>
          <t>E.T.A.</t>
        </is>
      </c>
      <c r="AB896" t="inlineStr">
        <is>
          <t>X 222 175 13</t>
        </is>
      </c>
      <c r="AC896" t="inlineStr"/>
      <c r="AD896" s="164" t="n">
        <v>0</v>
      </c>
      <c r="AE896" s="185" t="n">
        <v>0</v>
      </c>
      <c r="AG896" s="167" t="inlineStr">
        <is>
          <t>7218|JA2583_1001</t>
        </is>
      </c>
      <c r="AH896" s="47">
        <f>IF(M896=0,"-",M896-J896)</f>
        <v/>
      </c>
      <c r="AI896" s="46">
        <f>IF(AND(S896=0,M896&gt;0,L896=0),IF(AH896&gt;=120,"VERY HIGH",IF(AH896&gt;=90,"HIGH",IF(AH896&gt;=60,"MEDIUM",IF(AH896&lt;60,"LOW")))),"-")</f>
        <v/>
      </c>
      <c r="AJ896" s="12" t="n"/>
      <c r="AK896" s="53">
        <f>IF(AND(W896="X",M896&lt;=$AJ$2),"YES","")</f>
        <v/>
      </c>
      <c r="AL896" s="54">
        <f>IF(AND(W896="X",M896&lt;=$AJ$2),S896,"")</f>
        <v/>
      </c>
      <c r="AM896" s="35" t="n"/>
      <c r="AN896" s="35">
        <f>IF(AND(W896="X",M896&gt;$AJ$2),S896,"")</f>
        <v/>
      </c>
      <c r="AO896" s="35">
        <f>IF(AND(W896="",M896&gt;0,$AJ$2&gt;M896,L896=""),1,0)</f>
        <v/>
      </c>
      <c r="AP896" s="35">
        <f>IF(AND(AK896="YES",W896="X"),"X","")</f>
        <v/>
      </c>
      <c r="AQ896" s="55">
        <f>IF(AP896="X",100%,0%)</f>
        <v/>
      </c>
      <c r="AR896" s="25">
        <f>IF(AND(T896&gt;0,L896=""),H896,"")</f>
        <v/>
      </c>
      <c r="AS896" s="25">
        <f>IF(AND(D896&gt;0,H896=0,G896=""),1,"")</f>
        <v/>
      </c>
      <c r="AT896" s="25">
        <f>IF(G896="BLOQ",1,"")</f>
        <v/>
      </c>
      <c r="AU896" s="25">
        <f>IF(L896="BLOQ",1,"")</f>
        <v/>
      </c>
      <c r="AV896" s="25">
        <f>MONTH(F896)</f>
        <v/>
      </c>
      <c r="AW896" s="65">
        <f>IF(AP896="",100%,0%)</f>
        <v/>
      </c>
      <c r="AX896" s="56" t="n"/>
      <c r="AY896" s="24">
        <f>IF(M896=0,"",M896-$AX$2)</f>
        <v/>
      </c>
      <c r="AZ896" s="66">
        <f>IF(AND(W896="",AY896&gt;0,AY896&lt;15),1,0)</f>
        <v/>
      </c>
      <c r="BA896" s="24">
        <f>IF(AND(W896="",AY896&gt;0,AY896&lt;15),T896,"")</f>
        <v/>
      </c>
      <c r="BB896" s="87">
        <f>IF(R896&lt;Q896,"X","")</f>
        <v/>
      </c>
      <c r="BC896" s="190" t="inlineStr">
        <is>
          <t>NO</t>
        </is>
      </c>
      <c r="BD896" s="191" t="inlineStr">
        <is>
          <t>SI</t>
        </is>
      </c>
    </row>
    <row r="897" ht="15" customHeight="1" s="162">
      <c r="A897" s="7" t="n">
        <v>896</v>
      </c>
      <c r="B897" t="inlineStr">
        <is>
          <t>1128990400400</t>
        </is>
      </c>
      <c r="C897" t="inlineStr">
        <is>
          <t>INSERTO MARCAJE NEGRO 10A PULS CONFI A/B</t>
        </is>
      </c>
      <c r="D897" t="inlineStr">
        <is>
          <t>1800108799</t>
        </is>
      </c>
      <c r="E897" t="inlineStr">
        <is>
          <t>150</t>
        </is>
      </c>
      <c r="F897" s="163" t="n">
        <v>45459</v>
      </c>
      <c r="G897" t="inlineStr"/>
      <c r="H897" t="inlineStr">
        <is>
          <t>4200567900</t>
        </is>
      </c>
      <c r="I897" t="inlineStr">
        <is>
          <t>140</t>
        </is>
      </c>
      <c r="J897" s="163" t="n">
        <v>45463</v>
      </c>
      <c r="K897" s="163" t="n">
        <v>45464</v>
      </c>
      <c r="L897" t="inlineStr"/>
      <c r="M897" s="163" t="n">
        <v>45505</v>
      </c>
      <c r="N897" s="164" t="n">
        <v>55</v>
      </c>
      <c r="O897" s="164" t="n">
        <v>8</v>
      </c>
      <c r="P897" t="inlineStr">
        <is>
          <t>Liberado</t>
        </is>
      </c>
      <c r="Q897" s="166" t="n">
        <v>30</v>
      </c>
      <c r="R897" s="166" t="n">
        <v>30</v>
      </c>
      <c r="S897" s="166" t="n">
        <v>30</v>
      </c>
      <c r="T897" s="166" t="n">
        <v>0</v>
      </c>
      <c r="U897" s="166" t="n">
        <v>30</v>
      </c>
      <c r="V897" s="166" t="n">
        <v>0</v>
      </c>
      <c r="W897" t="inlineStr">
        <is>
          <t>X</t>
        </is>
      </c>
      <c r="X897" t="inlineStr">
        <is>
          <t>0.00</t>
        </is>
      </c>
      <c r="Y897" t="inlineStr"/>
      <c r="Z897" t="inlineStr">
        <is>
          <t>E-T-A APARELLAJE ELECTRICO S.L.U.</t>
        </is>
      </c>
      <c r="AA897" t="inlineStr">
        <is>
          <t>E.T.A.</t>
        </is>
      </c>
      <c r="AB897" t="inlineStr">
        <is>
          <t>X 222 175 11</t>
        </is>
      </c>
      <c r="AC897" t="inlineStr"/>
      <c r="AD897" s="164" t="n">
        <v>0</v>
      </c>
      <c r="AE897" s="185" t="n">
        <v>0</v>
      </c>
      <c r="AG897" s="167" t="inlineStr">
        <is>
          <t>7218|JA2583_1001</t>
        </is>
      </c>
      <c r="AH897" s="47">
        <f>IF(M897=0,"-",M897-J897)</f>
        <v/>
      </c>
      <c r="AI897" s="46">
        <f>IF(AND(S897=0,M897&gt;0,L897=0),IF(AH897&gt;=120,"VERY HIGH",IF(AH897&gt;=90,"HIGH",IF(AH897&gt;=60,"MEDIUM",IF(AH897&lt;60,"LOW")))),"-")</f>
        <v/>
      </c>
      <c r="AJ897" s="12" t="n"/>
      <c r="AK897" s="53">
        <f>IF(AND(W897="X",M897&lt;=$AJ$2),"YES","")</f>
        <v/>
      </c>
      <c r="AL897" s="54">
        <f>IF(AND(W897="X",M897&lt;=$AJ$2),S897,"")</f>
        <v/>
      </c>
      <c r="AM897" s="35" t="n"/>
      <c r="AN897" s="35">
        <f>IF(AND(W897="X",M897&gt;$AJ$2),S897,"")</f>
        <v/>
      </c>
      <c r="AO897" s="35">
        <f>IF(AND(W897="",M897&gt;0,$AJ$2&gt;M897,L897=""),1,0)</f>
        <v/>
      </c>
      <c r="AP897" s="35">
        <f>IF(AND(AK897="YES",W897="X"),"X","")</f>
        <v/>
      </c>
      <c r="AQ897" s="55">
        <f>IF(AP897="X",100%,0%)</f>
        <v/>
      </c>
      <c r="AR897" s="25">
        <f>IF(AND(T897&gt;0,L897=""),H897,"")</f>
        <v/>
      </c>
      <c r="AS897" s="25">
        <f>IF(AND(D897&gt;0,H897=0,G897=""),1,"")</f>
        <v/>
      </c>
      <c r="AT897" s="25">
        <f>IF(G897="BLOQ",1,"")</f>
        <v/>
      </c>
      <c r="AU897" s="25">
        <f>IF(L897="BLOQ",1,"")</f>
        <v/>
      </c>
      <c r="AV897" s="25">
        <f>MONTH(F897)</f>
        <v/>
      </c>
      <c r="AW897" s="65">
        <f>IF(AP897="",100%,0%)</f>
        <v/>
      </c>
      <c r="AX897" s="56" t="n"/>
      <c r="AY897" s="24">
        <f>IF(M897=0,"",M897-$AX$2)</f>
        <v/>
      </c>
      <c r="AZ897" s="66">
        <f>IF(AND(W897="",AY897&gt;0,AY897&lt;15),1,0)</f>
        <v/>
      </c>
      <c r="BA897" s="24">
        <f>IF(AND(W897="",AY897&gt;0,AY897&lt;15),T897,"")</f>
        <v/>
      </c>
      <c r="BB897" s="87">
        <f>IF(R897&lt;Q897,"X","")</f>
        <v/>
      </c>
      <c r="BC897" s="190" t="inlineStr">
        <is>
          <t>NO</t>
        </is>
      </c>
      <c r="BD897" s="191" t="inlineStr">
        <is>
          <t>SI</t>
        </is>
      </c>
    </row>
    <row r="898" ht="15" customHeight="1" s="162">
      <c r="A898" s="7" t="n">
        <v>897</v>
      </c>
      <c r="B898" t="inlineStr">
        <is>
          <t>1128990400800</t>
        </is>
      </c>
      <c r="C898" t="inlineStr">
        <is>
          <t>INSERTO MARCAJE NEGRO 3A PULS CONFIG A/B</t>
        </is>
      </c>
      <c r="D898" t="inlineStr">
        <is>
          <t>1800108799</t>
        </is>
      </c>
      <c r="E898" t="inlineStr">
        <is>
          <t>160</t>
        </is>
      </c>
      <c r="F898" s="163" t="n">
        <v>45459</v>
      </c>
      <c r="G898" t="inlineStr"/>
      <c r="H898" t="inlineStr">
        <is>
          <t>4200567900</t>
        </is>
      </c>
      <c r="I898" t="inlineStr">
        <is>
          <t>150</t>
        </is>
      </c>
      <c r="J898" s="163" t="n">
        <v>45463</v>
      </c>
      <c r="K898" s="163" t="n">
        <v>45464</v>
      </c>
      <c r="L898" t="inlineStr"/>
      <c r="M898" s="163" t="n">
        <v>45505</v>
      </c>
      <c r="N898" s="164" t="n">
        <v>60</v>
      </c>
      <c r="O898" s="164" t="n">
        <v>8</v>
      </c>
      <c r="P898" t="inlineStr">
        <is>
          <t>Liberado</t>
        </is>
      </c>
      <c r="Q898" s="166" t="n">
        <v>178</v>
      </c>
      <c r="R898" s="166" t="n">
        <v>178</v>
      </c>
      <c r="S898" s="166" t="n">
        <v>178</v>
      </c>
      <c r="T898" s="166" t="n">
        <v>0</v>
      </c>
      <c r="U898" s="166" t="n">
        <v>178</v>
      </c>
      <c r="V898" s="166" t="n">
        <v>0</v>
      </c>
      <c r="W898" t="inlineStr">
        <is>
          <t>X</t>
        </is>
      </c>
      <c r="X898" t="inlineStr">
        <is>
          <t>0.00</t>
        </is>
      </c>
      <c r="Y898" t="inlineStr"/>
      <c r="Z898" t="inlineStr">
        <is>
          <t>E-T-A APARELLAJE ELECTRICO S.L.U.</t>
        </is>
      </c>
      <c r="AA898" t="inlineStr">
        <is>
          <t>E.T.A.</t>
        </is>
      </c>
      <c r="AB898" t="inlineStr">
        <is>
          <t>X 222 175 07</t>
        </is>
      </c>
      <c r="AC898" t="inlineStr"/>
      <c r="AD898" s="164" t="n">
        <v>0</v>
      </c>
      <c r="AE898" s="185" t="n">
        <v>0</v>
      </c>
      <c r="AG898" s="167" t="inlineStr">
        <is>
          <t>7218|JA2583_1001</t>
        </is>
      </c>
      <c r="AH898" s="47">
        <f>IF(M898=0,"-",M898-J898)</f>
        <v/>
      </c>
      <c r="AI898" s="46">
        <f>IF(AND(S898=0,M898&gt;0,L898=0),IF(AH898&gt;=120,"VERY HIGH",IF(AH898&gt;=90,"HIGH",IF(AH898&gt;=60,"MEDIUM",IF(AH898&lt;60,"LOW")))),"-")</f>
        <v/>
      </c>
      <c r="AJ898" s="12" t="n"/>
      <c r="AK898" s="53">
        <f>IF(AND(W898="X",M898&lt;=$AJ$2),"YES","")</f>
        <v/>
      </c>
      <c r="AL898" s="54">
        <f>IF(AND(W898="X",M898&lt;=$AJ$2),S898,"")</f>
        <v/>
      </c>
      <c r="AM898" s="35" t="n"/>
      <c r="AN898" s="35">
        <f>IF(AND(W898="X",M898&gt;$AJ$2),S898,"")</f>
        <v/>
      </c>
      <c r="AO898" s="35">
        <f>IF(AND(W898="",M898&gt;0,$AJ$2&gt;M898,L898=""),1,0)</f>
        <v/>
      </c>
      <c r="AP898" s="35">
        <f>IF(AND(AK898="YES",W898="X"),"X","")</f>
        <v/>
      </c>
      <c r="AQ898" s="55">
        <f>IF(AP898="X",100%,0%)</f>
        <v/>
      </c>
      <c r="AR898" s="25">
        <f>IF(AND(T898&gt;0,L898=""),H898,"")</f>
        <v/>
      </c>
      <c r="AS898" s="25">
        <f>IF(AND(D898&gt;0,H898=0,G898=""),1,"")</f>
        <v/>
      </c>
      <c r="AT898" s="25">
        <f>IF(G898="BLOQ",1,"")</f>
        <v/>
      </c>
      <c r="AU898" s="25">
        <f>IF(L898="BLOQ",1,"")</f>
        <v/>
      </c>
      <c r="AV898" s="25">
        <f>MONTH(F898)</f>
        <v/>
      </c>
      <c r="AW898" s="65">
        <f>IF(AP898="",100%,0%)</f>
        <v/>
      </c>
      <c r="AX898" s="56" t="n"/>
      <c r="AY898" s="24">
        <f>IF(M898=0,"",M898-$AX$2)</f>
        <v/>
      </c>
      <c r="AZ898" s="66">
        <f>IF(AND(W898="",AY898&gt;0,AY898&lt;15),1,0)</f>
        <v/>
      </c>
      <c r="BA898" s="24">
        <f>IF(AND(W898="",AY898&gt;0,AY898&lt;15),T898,"")</f>
        <v/>
      </c>
      <c r="BB898" s="87">
        <f>IF(R898&lt;Q898,"X","")</f>
        <v/>
      </c>
      <c r="BC898" s="190" t="inlineStr">
        <is>
          <t>NO</t>
        </is>
      </c>
      <c r="BD898" s="191" t="inlineStr">
        <is>
          <t>SI</t>
        </is>
      </c>
    </row>
    <row r="899" ht="15" customHeight="1" s="162">
      <c r="A899" s="7" t="n">
        <v>898</v>
      </c>
      <c r="B899" t="inlineStr">
        <is>
          <t>1128990400900</t>
        </is>
      </c>
      <c r="C899" t="inlineStr">
        <is>
          <t>INSERTO MARCAJE NEGRO 5A PULS CONFIG A/B</t>
        </is>
      </c>
      <c r="D899" t="inlineStr">
        <is>
          <t>1800108799</t>
        </is>
      </c>
      <c r="E899" t="inlineStr">
        <is>
          <t>170</t>
        </is>
      </c>
      <c r="F899" s="163" t="n">
        <v>45459</v>
      </c>
      <c r="G899" t="inlineStr"/>
      <c r="H899" t="inlineStr">
        <is>
          <t>4200567900</t>
        </is>
      </c>
      <c r="I899" t="inlineStr">
        <is>
          <t>160</t>
        </is>
      </c>
      <c r="J899" s="163" t="n">
        <v>45463</v>
      </c>
      <c r="K899" s="163" t="n">
        <v>45464</v>
      </c>
      <c r="L899" t="inlineStr"/>
      <c r="M899" s="163" t="n">
        <v>45505</v>
      </c>
      <c r="N899" s="164" t="n">
        <v>60</v>
      </c>
      <c r="O899" s="164" t="n">
        <v>8</v>
      </c>
      <c r="P899" t="inlineStr">
        <is>
          <t>Liberado</t>
        </is>
      </c>
      <c r="Q899" s="166" t="n">
        <v>31</v>
      </c>
      <c r="R899" s="166" t="n">
        <v>31</v>
      </c>
      <c r="S899" s="166" t="n">
        <v>31</v>
      </c>
      <c r="T899" s="166" t="n">
        <v>0</v>
      </c>
      <c r="U899" s="166" t="n">
        <v>31</v>
      </c>
      <c r="V899" s="166" t="n">
        <v>0</v>
      </c>
      <c r="W899" t="inlineStr">
        <is>
          <t>X</t>
        </is>
      </c>
      <c r="X899" t="inlineStr">
        <is>
          <t>0.00</t>
        </is>
      </c>
      <c r="Y899" t="inlineStr"/>
      <c r="Z899" t="inlineStr">
        <is>
          <t>E-T-A APARELLAJE ELECTRICO S.L.U.</t>
        </is>
      </c>
      <c r="AA899" t="inlineStr">
        <is>
          <t>E.T.A.</t>
        </is>
      </c>
      <c r="AB899" t="inlineStr">
        <is>
          <t>X 222 175 08</t>
        </is>
      </c>
      <c r="AC899" t="inlineStr"/>
      <c r="AD899" s="164" t="n">
        <v>0</v>
      </c>
      <c r="AE899" s="185" t="n">
        <v>0</v>
      </c>
      <c r="AG899" s="167" t="inlineStr">
        <is>
          <t>7218|JA2583_1001</t>
        </is>
      </c>
      <c r="AH899" s="47">
        <f>IF(M899=0,"-",M899-J899)</f>
        <v/>
      </c>
      <c r="AI899" s="46">
        <f>IF(AND(S899=0,M899&gt;0,L899=0),IF(AH899&gt;=120,"VERY HIGH",IF(AH899&gt;=90,"HIGH",IF(AH899&gt;=60,"MEDIUM",IF(AH899&lt;60,"LOW")))),"-")</f>
        <v/>
      </c>
      <c r="AJ899" s="12" t="n"/>
      <c r="AK899" s="53">
        <f>IF(AND(W899="X",M899&lt;=$AJ$2),"YES","")</f>
        <v/>
      </c>
      <c r="AL899" s="54">
        <f>IF(AND(W899="X",M899&lt;=$AJ$2),S899,"")</f>
        <v/>
      </c>
      <c r="AM899" s="35" t="n"/>
      <c r="AN899" s="35">
        <f>IF(AND(W899="X",M899&gt;$AJ$2),S899,"")</f>
        <v/>
      </c>
      <c r="AO899" s="35">
        <f>IF(AND(W899="",M899&gt;0,$AJ$2&gt;M899,L899=""),1,0)</f>
        <v/>
      </c>
      <c r="AP899" s="35">
        <f>IF(AND(AK899="YES",W899="X"),"X","")</f>
        <v/>
      </c>
      <c r="AQ899" s="55">
        <f>IF(AP899="X",100%,0%)</f>
        <v/>
      </c>
      <c r="AR899" s="25">
        <f>IF(AND(T899&gt;0,L899=""),H899,"")</f>
        <v/>
      </c>
      <c r="AS899" s="25">
        <f>IF(AND(D899&gt;0,H899=0,G899=""),1,"")</f>
        <v/>
      </c>
      <c r="AT899" s="25">
        <f>IF(G899="BLOQ",1,"")</f>
        <v/>
      </c>
      <c r="AU899" s="25">
        <f>IF(L899="BLOQ",1,"")</f>
        <v/>
      </c>
      <c r="AV899" s="25">
        <f>MONTH(F899)</f>
        <v/>
      </c>
      <c r="AW899" s="65">
        <f>IF(AP899="",100%,0%)</f>
        <v/>
      </c>
      <c r="AX899" s="56" t="n"/>
      <c r="AY899" s="24">
        <f>IF(M899=0,"",M899-$AX$2)</f>
        <v/>
      </c>
      <c r="AZ899" s="66">
        <f>IF(AND(W899="",AY899&gt;0,AY899&lt;15),1,0)</f>
        <v/>
      </c>
      <c r="BA899" s="24">
        <f>IF(AND(W899="",AY899&gt;0,AY899&lt;15),T899,"")</f>
        <v/>
      </c>
      <c r="BB899" s="87">
        <f>IF(R899&lt;Q899,"X","")</f>
        <v/>
      </c>
      <c r="BC899" s="190" t="inlineStr">
        <is>
          <t>NO</t>
        </is>
      </c>
      <c r="BD899" s="191" t="inlineStr">
        <is>
          <t>SI</t>
        </is>
      </c>
    </row>
    <row r="900" ht="15" customHeight="1" s="162">
      <c r="A900" s="7" t="n">
        <v>899</v>
      </c>
      <c r="B900" t="inlineStr">
        <is>
          <t>1128990401100</t>
        </is>
      </c>
      <c r="C900" t="inlineStr">
        <is>
          <t>INSERTO MARCAJE NEGRO 25A PULS CONFI A/B</t>
        </is>
      </c>
      <c r="D900" t="inlineStr">
        <is>
          <t>1800108799</t>
        </is>
      </c>
      <c r="E900" t="inlineStr">
        <is>
          <t>180</t>
        </is>
      </c>
      <c r="F900" s="163" t="n">
        <v>45459</v>
      </c>
      <c r="G900" t="inlineStr"/>
      <c r="H900" t="inlineStr">
        <is>
          <t>4200567900</t>
        </is>
      </c>
      <c r="I900" t="inlineStr">
        <is>
          <t>170</t>
        </is>
      </c>
      <c r="J900" s="163" t="n">
        <v>45463</v>
      </c>
      <c r="K900" s="163" t="n">
        <v>45464</v>
      </c>
      <c r="L900" t="inlineStr"/>
      <c r="M900" s="163" t="n">
        <v>45505</v>
      </c>
      <c r="N900" s="164" t="n">
        <v>60</v>
      </c>
      <c r="O900" s="164" t="n">
        <v>8</v>
      </c>
      <c r="P900" t="inlineStr">
        <is>
          <t>Liberado</t>
        </is>
      </c>
      <c r="Q900" s="166" t="n">
        <v>4</v>
      </c>
      <c r="R900" s="166" t="n">
        <v>4</v>
      </c>
      <c r="S900" s="166" t="n">
        <v>4</v>
      </c>
      <c r="T900" s="166" t="n">
        <v>0</v>
      </c>
      <c r="U900" s="166" t="n">
        <v>4</v>
      </c>
      <c r="V900" s="166" t="n">
        <v>0</v>
      </c>
      <c r="W900" t="inlineStr">
        <is>
          <t>X</t>
        </is>
      </c>
      <c r="X900" t="inlineStr">
        <is>
          <t>0.00</t>
        </is>
      </c>
      <c r="Y900" t="inlineStr"/>
      <c r="Z900" t="inlineStr">
        <is>
          <t>E-T-A APARELLAJE ELECTRICO S.L.U.</t>
        </is>
      </c>
      <c r="AA900" t="inlineStr">
        <is>
          <t>E.T.A.</t>
        </is>
      </c>
      <c r="AB900" t="inlineStr">
        <is>
          <t>X 222 175 14</t>
        </is>
      </c>
      <c r="AC900" t="inlineStr"/>
      <c r="AD900" s="164" t="n">
        <v>0</v>
      </c>
      <c r="AE900" s="185" t="n">
        <v>0</v>
      </c>
      <c r="AG900" s="167" t="inlineStr">
        <is>
          <t>7218|JA2583_1001</t>
        </is>
      </c>
      <c r="AH900" s="47">
        <f>IF(M900=0,"-",M900-J900)</f>
        <v/>
      </c>
      <c r="AI900" s="46">
        <f>IF(AND(S900=0,M900&gt;0,L900=0),IF(AH900&gt;=120,"VERY HIGH",IF(AH900&gt;=90,"HIGH",IF(AH900&gt;=60,"MEDIUM",IF(AH900&lt;60,"LOW")))),"-")</f>
        <v/>
      </c>
      <c r="AJ900" s="12" t="n"/>
      <c r="AK900" s="53">
        <f>IF(AND(W900="X",M900&lt;=$AJ$2),"YES","")</f>
        <v/>
      </c>
      <c r="AL900" s="54">
        <f>IF(AND(W900="X",M900&lt;=$AJ$2),S900,"")</f>
        <v/>
      </c>
      <c r="AM900" s="35" t="n"/>
      <c r="AN900" s="35">
        <f>IF(AND(W900="X",M900&gt;$AJ$2),S900,"")</f>
        <v/>
      </c>
      <c r="AO900" s="35">
        <f>IF(AND(W900="",M900&gt;0,$AJ$2&gt;M900,L900=""),1,0)</f>
        <v/>
      </c>
      <c r="AP900" s="35">
        <f>IF(AND(AK900="YES",W900="X"),"X","")</f>
        <v/>
      </c>
      <c r="AQ900" s="55">
        <f>IF(AP900="X",100%,0%)</f>
        <v/>
      </c>
      <c r="AR900" s="25">
        <f>IF(AND(T900&gt;0,L900=""),H900,"")</f>
        <v/>
      </c>
      <c r="AS900" s="25">
        <f>IF(AND(D900&gt;0,H900=0,G900=""),1,"")</f>
        <v/>
      </c>
      <c r="AT900" s="25">
        <f>IF(G900="BLOQ",1,"")</f>
        <v/>
      </c>
      <c r="AU900" s="25">
        <f>IF(L900="BLOQ",1,"")</f>
        <v/>
      </c>
      <c r="AV900" s="25">
        <f>MONTH(F900)</f>
        <v/>
      </c>
      <c r="AW900" s="65">
        <f>IF(AP900="",100%,0%)</f>
        <v/>
      </c>
      <c r="AX900" s="56" t="n"/>
      <c r="AY900" s="24">
        <f>IF(M900=0,"",M900-$AX$2)</f>
        <v/>
      </c>
      <c r="AZ900" s="66">
        <f>IF(AND(W900="",AY900&gt;0,AY900&lt;15),1,0)</f>
        <v/>
      </c>
      <c r="BA900" s="24">
        <f>IF(AND(W900="",AY900&gt;0,AY900&lt;15),T900,"")</f>
        <v/>
      </c>
      <c r="BB900" s="87">
        <f>IF(R900&lt;Q900,"X","")</f>
        <v/>
      </c>
      <c r="BC900" s="190" t="inlineStr">
        <is>
          <t>NO</t>
        </is>
      </c>
      <c r="BD900" s="191" t="inlineStr">
        <is>
          <t>SI</t>
        </is>
      </c>
    </row>
    <row r="901" ht="15" customHeight="1" s="162">
      <c r="A901" s="7" t="n">
        <v>900</v>
      </c>
      <c r="B901" t="inlineStr">
        <is>
          <t>1128990401500</t>
        </is>
      </c>
      <c r="C901" t="inlineStr">
        <is>
          <t>INSERTO MARCAJE NEGRO 7,5A PULS CONF A/B</t>
        </is>
      </c>
      <c r="D901" t="inlineStr">
        <is>
          <t>1800108799</t>
        </is>
      </c>
      <c r="E901" t="inlineStr">
        <is>
          <t>190</t>
        </is>
      </c>
      <c r="F901" s="163" t="n">
        <v>45459</v>
      </c>
      <c r="G901" t="inlineStr"/>
      <c r="H901" t="inlineStr">
        <is>
          <t>4200567900</t>
        </is>
      </c>
      <c r="I901" t="inlineStr">
        <is>
          <t>190</t>
        </is>
      </c>
      <c r="J901" s="163" t="n">
        <v>45463</v>
      </c>
      <c r="K901" s="163" t="n">
        <v>45464</v>
      </c>
      <c r="L901" t="inlineStr"/>
      <c r="M901" s="163" t="n">
        <v>45505</v>
      </c>
      <c r="N901" s="164" t="n">
        <v>85</v>
      </c>
      <c r="O901" s="164" t="n">
        <v>8</v>
      </c>
      <c r="P901" t="inlineStr">
        <is>
          <t>Liberado</t>
        </is>
      </c>
      <c r="Q901" s="166" t="n">
        <v>33</v>
      </c>
      <c r="R901" s="166" t="n">
        <v>33</v>
      </c>
      <c r="S901" s="166" t="n">
        <v>33</v>
      </c>
      <c r="T901" s="166" t="n">
        <v>0</v>
      </c>
      <c r="U901" s="166" t="n">
        <v>33</v>
      </c>
      <c r="V901" s="166" t="n">
        <v>0</v>
      </c>
      <c r="W901" t="inlineStr">
        <is>
          <t>X</t>
        </is>
      </c>
      <c r="X901" t="inlineStr">
        <is>
          <t>0.00</t>
        </is>
      </c>
      <c r="Y901" t="inlineStr"/>
      <c r="Z901" t="inlineStr">
        <is>
          <t>E-T-A APARELLAJE ELECTRICO S.L.U.</t>
        </is>
      </c>
      <c r="AA901" t="inlineStr">
        <is>
          <t>E.T.A.</t>
        </is>
      </c>
      <c r="AB901" t="inlineStr">
        <is>
          <t>X 222 175 09</t>
        </is>
      </c>
      <c r="AC901" t="inlineStr"/>
      <c r="AD901" s="164" t="n">
        <v>0</v>
      </c>
      <c r="AE901" s="185" t="n">
        <v>0</v>
      </c>
      <c r="AG901" s="167" t="inlineStr">
        <is>
          <t>7218|JA2583_1001</t>
        </is>
      </c>
      <c r="AH901" s="47">
        <f>IF(M901=0,"-",M901-J901)</f>
        <v/>
      </c>
      <c r="AI901" s="46">
        <f>IF(AND(S901=0,M901&gt;0,L901=0),IF(AH901&gt;=120,"VERY HIGH",IF(AH901&gt;=90,"HIGH",IF(AH901&gt;=60,"MEDIUM",IF(AH901&lt;60,"LOW")))),"-")</f>
        <v/>
      </c>
      <c r="AJ901" s="12" t="n"/>
      <c r="AK901" s="53">
        <f>IF(AND(W901="X",M901&lt;=$AJ$2),"YES","")</f>
        <v/>
      </c>
      <c r="AL901" s="54">
        <f>IF(AND(W901="X",M901&lt;=$AJ$2),S901,"")</f>
        <v/>
      </c>
      <c r="AM901" s="35" t="n"/>
      <c r="AN901" s="35">
        <f>IF(AND(W901="X",M901&gt;$AJ$2),S901,"")</f>
        <v/>
      </c>
      <c r="AO901" s="35">
        <f>IF(AND(W901="",M901&gt;0,$AJ$2&gt;M901,L901=""),1,0)</f>
        <v/>
      </c>
      <c r="AP901" s="35">
        <f>IF(AND(AK901="YES",W901="X"),"X","")</f>
        <v/>
      </c>
      <c r="AQ901" s="55">
        <f>IF(AP901="X",100%,0%)</f>
        <v/>
      </c>
      <c r="AR901" s="25">
        <f>IF(AND(T901&gt;0,L901=""),H901,"")</f>
        <v/>
      </c>
      <c r="AS901" s="25">
        <f>IF(AND(D901&gt;0,H901=0,G901=""),1,"")</f>
        <v/>
      </c>
      <c r="AT901" s="25">
        <f>IF(G901="BLOQ",1,"")</f>
        <v/>
      </c>
      <c r="AU901" s="25">
        <f>IF(L901="BLOQ",1,"")</f>
        <v/>
      </c>
      <c r="AV901" s="25">
        <f>MONTH(F901)</f>
        <v/>
      </c>
      <c r="AW901" s="65">
        <f>IF(AP901="",100%,0%)</f>
        <v/>
      </c>
      <c r="AX901" s="56" t="n"/>
      <c r="AY901" s="24">
        <f>IF(M901=0,"",M901-$AX$2)</f>
        <v/>
      </c>
      <c r="AZ901" s="66">
        <f>IF(AND(W901="",AY901&gt;0,AY901&lt;15),1,0)</f>
        <v/>
      </c>
      <c r="BA901" s="24">
        <f>IF(AND(W901="",AY901&gt;0,AY901&lt;15),T901,"")</f>
        <v/>
      </c>
      <c r="BB901" s="87">
        <f>IF(R901&lt;Q901,"X","")</f>
        <v/>
      </c>
      <c r="BC901" s="190" t="inlineStr">
        <is>
          <t>NO</t>
        </is>
      </c>
      <c r="BD901" s="191" t="inlineStr">
        <is>
          <t>SI</t>
        </is>
      </c>
    </row>
    <row r="902" ht="15" customHeight="1" s="162">
      <c r="A902" s="7" t="n">
        <v>901</v>
      </c>
      <c r="B902" t="inlineStr">
        <is>
          <t>0970185470100</t>
        </is>
      </c>
      <c r="C902" t="inlineStr">
        <is>
          <t>CARD SUPPORT 241VU</t>
        </is>
      </c>
      <c r="D902" t="inlineStr">
        <is>
          <t>1800108820</t>
        </is>
      </c>
      <c r="E902" t="inlineStr">
        <is>
          <t>10</t>
        </is>
      </c>
      <c r="F902" s="163" t="n">
        <v>45459</v>
      </c>
      <c r="G902" t="inlineStr"/>
      <c r="H902" t="inlineStr">
        <is>
          <t>4200568953</t>
        </is>
      </c>
      <c r="I902" t="inlineStr">
        <is>
          <t>10</t>
        </is>
      </c>
      <c r="J902" s="163" t="n">
        <v>45474</v>
      </c>
      <c r="K902" s="163" t="n">
        <v>45475</v>
      </c>
      <c r="L902" t="inlineStr"/>
      <c r="M902" s="163" t="n">
        <v>45589</v>
      </c>
      <c r="N902" s="164" t="n">
        <v>40</v>
      </c>
      <c r="O902" s="164" t="n">
        <v>15</v>
      </c>
      <c r="P902" t="inlineStr">
        <is>
          <t>Liberado</t>
        </is>
      </c>
      <c r="Q902" s="166" t="n">
        <v>1</v>
      </c>
      <c r="R902" s="166" t="n">
        <v>1</v>
      </c>
      <c r="S902" s="166" t="n">
        <v>1</v>
      </c>
      <c r="T902" s="166" t="n">
        <v>0</v>
      </c>
      <c r="U902" s="166" t="n">
        <v>1</v>
      </c>
      <c r="V902" s="166" t="n">
        <v>0</v>
      </c>
      <c r="W902" t="inlineStr">
        <is>
          <t>X</t>
        </is>
      </c>
      <c r="X902" t="inlineStr">
        <is>
          <t>0.00</t>
        </is>
      </c>
      <c r="Y902" t="inlineStr"/>
      <c r="Z902" t="inlineStr">
        <is>
          <t>JOYFE,S.L.</t>
        </is>
      </c>
      <c r="AA902" t="inlineStr">
        <is>
          <t>INDRA SISTEMAS S.A.</t>
        </is>
      </c>
      <c r="AB902" t="inlineStr">
        <is>
          <t>0970185470100</t>
        </is>
      </c>
      <c r="AC902" t="inlineStr"/>
      <c r="AD902" s="164" t="n">
        <v>2</v>
      </c>
      <c r="AE902" s="185" t="n">
        <v>1</v>
      </c>
      <c r="AG902" s="167" t="inlineStr">
        <is>
          <t>7218|JA2583_1001</t>
        </is>
      </c>
      <c r="AH902" s="47">
        <f>IF(M902=0,"-",M902-J902)</f>
        <v/>
      </c>
      <c r="AI902" s="46">
        <f>IF(AND(S902=0,M902&gt;0,L902=0),IF(AH902&gt;=120,"VERY HIGH",IF(AH902&gt;=90,"HIGH",IF(AH902&gt;=60,"MEDIUM",IF(AH902&lt;60,"LOW")))),"-")</f>
        <v/>
      </c>
      <c r="AJ902" s="12" t="n"/>
      <c r="AK902" s="53">
        <f>IF(AND(W902="X",M902&lt;=$AJ$2),"YES","")</f>
        <v/>
      </c>
      <c r="AL902" s="54">
        <f>IF(AND(W902="X",M902&lt;=$AJ$2),S902,"")</f>
        <v/>
      </c>
      <c r="AM902" s="35" t="n"/>
      <c r="AN902" s="35">
        <f>IF(AND(W902="X",M902&gt;$AJ$2),S902,"")</f>
        <v/>
      </c>
      <c r="AO902" s="35">
        <f>IF(AND(W902="",M902&gt;0,$AJ$2&gt;M902,L902=""),1,0)</f>
        <v/>
      </c>
      <c r="AP902" s="35">
        <f>IF(AND(AK902="YES",W902="X"),"X","")</f>
        <v/>
      </c>
      <c r="AQ902" s="55">
        <f>IF(AP902="X",100%,0%)</f>
        <v/>
      </c>
      <c r="AR902" s="25">
        <f>IF(AND(T902&gt;0,L902=""),H902,"")</f>
        <v/>
      </c>
      <c r="AS902" s="25">
        <f>IF(AND(D902&gt;0,H902=0,G902=""),1,"")</f>
        <v/>
      </c>
      <c r="AT902" s="25">
        <f>IF(G902="BLOQ",1,"")</f>
        <v/>
      </c>
      <c r="AU902" s="25">
        <f>IF(L902="BLOQ",1,"")</f>
        <v/>
      </c>
      <c r="AV902" s="25">
        <f>MONTH(F902)</f>
        <v/>
      </c>
      <c r="AW902" s="65">
        <f>IF(AP902="",100%,0%)</f>
        <v/>
      </c>
      <c r="AX902" s="56" t="n"/>
      <c r="AY902" s="24">
        <f>IF(M902=0,"",M902-$AX$2)</f>
        <v/>
      </c>
      <c r="AZ902" s="66">
        <f>IF(AND(W902="",AY902&gt;0,AY902&lt;15),1,0)</f>
        <v/>
      </c>
      <c r="BA902" s="24">
        <f>IF(AND(W902="",AY902&gt;0,AY902&lt;15),T902,"")</f>
        <v/>
      </c>
      <c r="BB902" s="87">
        <f>IF(R902&lt;Q902,"X","")</f>
        <v/>
      </c>
      <c r="BC902" s="191" t="inlineStr">
        <is>
          <t>SI</t>
        </is>
      </c>
      <c r="BD902" s="191" t="inlineStr">
        <is>
          <t>SI</t>
        </is>
      </c>
    </row>
    <row r="903" ht="15" customHeight="1" s="162">
      <c r="A903" s="7" t="n">
        <v>902</v>
      </c>
      <c r="B903" t="inlineStr">
        <is>
          <t>0970185470200</t>
        </is>
      </c>
      <c r="C903" t="inlineStr">
        <is>
          <t>CARD SUPPORT 271VU</t>
        </is>
      </c>
      <c r="D903" t="inlineStr">
        <is>
          <t>1800108820</t>
        </is>
      </c>
      <c r="E903" t="inlineStr">
        <is>
          <t>20</t>
        </is>
      </c>
      <c r="F903" s="163" t="n">
        <v>45459</v>
      </c>
      <c r="G903" t="inlineStr"/>
      <c r="H903" t="inlineStr">
        <is>
          <t>4200568953</t>
        </is>
      </c>
      <c r="I903" t="inlineStr">
        <is>
          <t>20</t>
        </is>
      </c>
      <c r="J903" s="163" t="n">
        <v>45474</v>
      </c>
      <c r="K903" s="163" t="n">
        <v>45475</v>
      </c>
      <c r="L903" t="inlineStr"/>
      <c r="M903" s="163" t="n">
        <v>45589</v>
      </c>
      <c r="N903" s="164" t="n">
        <v>40</v>
      </c>
      <c r="O903" s="164" t="n">
        <v>15</v>
      </c>
      <c r="P903" t="inlineStr">
        <is>
          <t>Liberado</t>
        </is>
      </c>
      <c r="Q903" s="166" t="n">
        <v>5</v>
      </c>
      <c r="R903" s="166" t="n">
        <v>5</v>
      </c>
      <c r="S903" s="166" t="n">
        <v>5</v>
      </c>
      <c r="T903" s="166" t="n">
        <v>0</v>
      </c>
      <c r="U903" s="166" t="n">
        <v>5</v>
      </c>
      <c r="V903" s="166" t="n">
        <v>0</v>
      </c>
      <c r="W903" t="inlineStr">
        <is>
          <t>X</t>
        </is>
      </c>
      <c r="X903" t="inlineStr">
        <is>
          <t>0.00</t>
        </is>
      </c>
      <c r="Y903" t="inlineStr"/>
      <c r="Z903" t="inlineStr">
        <is>
          <t>JOYFE,S.L.</t>
        </is>
      </c>
      <c r="AA903" t="inlineStr">
        <is>
          <t>INDRA SISTEMAS S.A.</t>
        </is>
      </c>
      <c r="AB903" t="inlineStr">
        <is>
          <t>0970185470200</t>
        </is>
      </c>
      <c r="AC903" t="inlineStr"/>
      <c r="AD903" s="164" t="n">
        <v>2</v>
      </c>
      <c r="AE903" s="185" t="n">
        <v>1</v>
      </c>
      <c r="AG903" s="167" t="inlineStr">
        <is>
          <t>7218|JA2583_1001</t>
        </is>
      </c>
      <c r="AH903" s="47">
        <f>IF(M903=0,"-",M903-J903)</f>
        <v/>
      </c>
      <c r="AI903" s="46">
        <f>IF(AND(S903=0,M903&gt;0,L903=0),IF(AH903&gt;=120,"VERY HIGH",IF(AH903&gt;=90,"HIGH",IF(AH903&gt;=60,"MEDIUM",IF(AH903&lt;60,"LOW")))),"-")</f>
        <v/>
      </c>
      <c r="AJ903" s="12" t="n"/>
      <c r="AK903" s="53">
        <f>IF(AND(W903="X",M903&lt;=$AJ$2),"YES","")</f>
        <v/>
      </c>
      <c r="AL903" s="54">
        <f>IF(AND(W903="X",M903&lt;=$AJ$2),S903,"")</f>
        <v/>
      </c>
      <c r="AM903" s="35" t="n"/>
      <c r="AN903" s="35">
        <f>IF(AND(W903="X",M903&gt;$AJ$2),S903,"")</f>
        <v/>
      </c>
      <c r="AO903" s="35">
        <f>IF(AND(W903="",M903&gt;0,$AJ$2&gt;M903,L903=""),1,0)</f>
        <v/>
      </c>
      <c r="AP903" s="35">
        <f>IF(AND(AK903="YES",W903="X"),"X","")</f>
        <v/>
      </c>
      <c r="AQ903" s="55">
        <f>IF(AP903="X",100%,0%)</f>
        <v/>
      </c>
      <c r="AR903" s="25">
        <f>IF(AND(T903&gt;0,L903=""),H903,"")</f>
        <v/>
      </c>
      <c r="AS903" s="25">
        <f>IF(AND(D903&gt;0,H903=0,G903=""),1,"")</f>
        <v/>
      </c>
      <c r="AT903" s="25">
        <f>IF(G903="BLOQ",1,"")</f>
        <v/>
      </c>
      <c r="AU903" s="25">
        <f>IF(L903="BLOQ",1,"")</f>
        <v/>
      </c>
      <c r="AV903" s="25">
        <f>MONTH(F903)</f>
        <v/>
      </c>
      <c r="AW903" s="65">
        <f>IF(AP903="",100%,0%)</f>
        <v/>
      </c>
      <c r="AX903" s="56" t="n"/>
      <c r="AY903" s="24">
        <f>IF(M903=0,"",M903-$AX$2)</f>
        <v/>
      </c>
      <c r="AZ903" s="66">
        <f>IF(AND(W903="",AY903&gt;0,AY903&lt;15),1,0)</f>
        <v/>
      </c>
      <c r="BA903" s="24">
        <f>IF(AND(W903="",AY903&gt;0,AY903&lt;15),T903,"")</f>
        <v/>
      </c>
      <c r="BB903" s="87">
        <f>IF(R903&lt;Q903,"X","")</f>
        <v/>
      </c>
      <c r="BC903" s="191" t="inlineStr">
        <is>
          <t>SI</t>
        </is>
      </c>
      <c r="BD903" s="191" t="inlineStr">
        <is>
          <t>SI</t>
        </is>
      </c>
    </row>
    <row r="904" ht="15" customHeight="1" s="162">
      <c r="A904" s="7" t="n">
        <v>903</v>
      </c>
      <c r="B904" t="inlineStr">
        <is>
          <t>0970185470500</t>
        </is>
      </c>
      <c r="C904" t="inlineStr">
        <is>
          <t>CARD SUPPORT 135VU</t>
        </is>
      </c>
      <c r="D904" t="inlineStr">
        <is>
          <t>1800108820</t>
        </is>
      </c>
      <c r="E904" t="inlineStr">
        <is>
          <t>30</t>
        </is>
      </c>
      <c r="F904" s="163" t="n">
        <v>45459</v>
      </c>
      <c r="G904" t="inlineStr"/>
      <c r="H904" t="inlineStr">
        <is>
          <t>4200568953</t>
        </is>
      </c>
      <c r="I904" t="inlineStr">
        <is>
          <t>30</t>
        </is>
      </c>
      <c r="J904" s="163" t="n">
        <v>45474</v>
      </c>
      <c r="K904" s="163" t="n">
        <v>45475</v>
      </c>
      <c r="L904" t="inlineStr"/>
      <c r="M904" s="163" t="n">
        <v>45589</v>
      </c>
      <c r="N904" s="164" t="n">
        <v>90</v>
      </c>
      <c r="O904" s="164" t="n">
        <v>8</v>
      </c>
      <c r="P904" t="inlineStr">
        <is>
          <t>Liberado</t>
        </is>
      </c>
      <c r="Q904" s="166" t="n">
        <v>1</v>
      </c>
      <c r="R904" s="166" t="n">
        <v>1</v>
      </c>
      <c r="S904" s="166" t="n">
        <v>1</v>
      </c>
      <c r="T904" s="166" t="n">
        <v>0</v>
      </c>
      <c r="U904" s="166" t="n">
        <v>1</v>
      </c>
      <c r="V904" s="166" t="n">
        <v>0</v>
      </c>
      <c r="W904" t="inlineStr">
        <is>
          <t>X</t>
        </is>
      </c>
      <c r="X904" t="inlineStr">
        <is>
          <t>0.00</t>
        </is>
      </c>
      <c r="Y904" t="inlineStr"/>
      <c r="Z904" t="inlineStr">
        <is>
          <t>JOYFE,S.L.</t>
        </is>
      </c>
      <c r="AA904" t="inlineStr">
        <is>
          <t>INDRA SISTEMAS S.A.</t>
        </is>
      </c>
      <c r="AB904" t="inlineStr">
        <is>
          <t>0970185470500</t>
        </is>
      </c>
      <c r="AC904" t="inlineStr"/>
      <c r="AD904" s="164" t="n">
        <v>2</v>
      </c>
      <c r="AE904" s="185" t="n">
        <v>1</v>
      </c>
      <c r="AG904" s="167" t="inlineStr">
        <is>
          <t>7218|JA2583_1001</t>
        </is>
      </c>
      <c r="AH904" s="47">
        <f>IF(M904=0,"-",M904-J904)</f>
        <v/>
      </c>
      <c r="AI904" s="46">
        <f>IF(AND(S904=0,M904&gt;0,L904=0),IF(AH904&gt;=120,"VERY HIGH",IF(AH904&gt;=90,"HIGH",IF(AH904&gt;=60,"MEDIUM",IF(AH904&lt;60,"LOW")))),"-")</f>
        <v/>
      </c>
      <c r="AJ904" s="12" t="n"/>
      <c r="AK904" s="53">
        <f>IF(AND(W904="X",M904&lt;=$AJ$2),"YES","")</f>
        <v/>
      </c>
      <c r="AL904" s="54">
        <f>IF(AND(W904="X",M904&lt;=$AJ$2),S904,"")</f>
        <v/>
      </c>
      <c r="AM904" s="35" t="n"/>
      <c r="AN904" s="35">
        <f>IF(AND(W904="X",M904&gt;$AJ$2),S904,"")</f>
        <v/>
      </c>
      <c r="AO904" s="35">
        <f>IF(AND(W904="",M904&gt;0,$AJ$2&gt;M904,L904=""),1,0)</f>
        <v/>
      </c>
      <c r="AP904" s="35">
        <f>IF(AND(AK904="YES",W904="X"),"X","")</f>
        <v/>
      </c>
      <c r="AQ904" s="55">
        <f>IF(AP904="X",100%,0%)</f>
        <v/>
      </c>
      <c r="AR904" s="25">
        <f>IF(AND(T904&gt;0,L904=""),H904,"")</f>
        <v/>
      </c>
      <c r="AS904" s="25">
        <f>IF(AND(D904&gt;0,H904=0,G904=""),1,"")</f>
        <v/>
      </c>
      <c r="AT904" s="25">
        <f>IF(G904="BLOQ",1,"")</f>
        <v/>
      </c>
      <c r="AU904" s="25">
        <f>IF(L904="BLOQ",1,"")</f>
        <v/>
      </c>
      <c r="AV904" s="25">
        <f>MONTH(F904)</f>
        <v/>
      </c>
      <c r="AW904" s="65">
        <f>IF(AP904="",100%,0%)</f>
        <v/>
      </c>
      <c r="AX904" s="56" t="n"/>
      <c r="AY904" s="24">
        <f>IF(M904=0,"",M904-$AX$2)</f>
        <v/>
      </c>
      <c r="AZ904" s="66">
        <f>IF(AND(W904="",AY904&gt;0,AY904&lt;15),1,0)</f>
        <v/>
      </c>
      <c r="BA904" s="24">
        <f>IF(AND(W904="",AY904&gt;0,AY904&lt;15),T904,"")</f>
        <v/>
      </c>
      <c r="BB904" s="87">
        <f>IF(R904&lt;Q904,"X","")</f>
        <v/>
      </c>
      <c r="BC904" s="191" t="inlineStr">
        <is>
          <t>SI</t>
        </is>
      </c>
      <c r="BD904" s="191" t="inlineStr">
        <is>
          <t>SI</t>
        </is>
      </c>
    </row>
    <row r="905" ht="15" customHeight="1" s="162">
      <c r="A905" s="7" t="n">
        <v>904</v>
      </c>
      <c r="B905" t="inlineStr">
        <is>
          <t>0970785011700</t>
        </is>
      </c>
      <c r="C905" t="inlineStr">
        <is>
          <t>24VU PANEL</t>
        </is>
      </c>
      <c r="D905" t="inlineStr">
        <is>
          <t>1800108820</t>
        </is>
      </c>
      <c r="E905" t="inlineStr">
        <is>
          <t>40</t>
        </is>
      </c>
      <c r="F905" s="163" t="n">
        <v>45459</v>
      </c>
      <c r="G905" t="inlineStr"/>
      <c r="H905" t="inlineStr">
        <is>
          <t>4200570671</t>
        </is>
      </c>
      <c r="I905" t="inlineStr">
        <is>
          <t>10</t>
        </is>
      </c>
      <c r="J905" s="163" t="n">
        <v>45488</v>
      </c>
      <c r="K905" s="163" t="n">
        <v>46044</v>
      </c>
      <c r="L905" t="inlineStr"/>
      <c r="M905" s="163" t="n">
        <v>45618</v>
      </c>
      <c r="N905" s="164" t="n">
        <v>90</v>
      </c>
      <c r="O905" s="164" t="n">
        <v>8</v>
      </c>
      <c r="P905" t="inlineStr">
        <is>
          <t>Liberado</t>
        </is>
      </c>
      <c r="Q905" s="166" t="n">
        <v>1</v>
      </c>
      <c r="R905" s="166" t="n">
        <v>1</v>
      </c>
      <c r="S905" s="166" t="n">
        <v>1</v>
      </c>
      <c r="T905" s="166" t="n">
        <v>0</v>
      </c>
      <c r="U905" s="166" t="n">
        <v>1</v>
      </c>
      <c r="V905" s="166" t="n">
        <v>0</v>
      </c>
      <c r="W905" t="inlineStr">
        <is>
          <t>X</t>
        </is>
      </c>
      <c r="X905" t="inlineStr">
        <is>
          <t>0.00</t>
        </is>
      </c>
      <c r="Y905" t="inlineStr"/>
      <c r="Z905" t="inlineStr">
        <is>
          <t>JOYFE,S.L.</t>
        </is>
      </c>
      <c r="AA905" t="inlineStr">
        <is>
          <t>INDRA SISTEMAS S.A.</t>
        </is>
      </c>
      <c r="AB905" t="inlineStr">
        <is>
          <t>0970785011700</t>
        </is>
      </c>
      <c r="AC905" t="inlineStr"/>
      <c r="AD905" s="164" t="n">
        <v>2</v>
      </c>
      <c r="AE905" s="185" t="n">
        <v>1</v>
      </c>
      <c r="AG905" s="167" t="inlineStr">
        <is>
          <t>7218|JA2583_1001</t>
        </is>
      </c>
      <c r="AH905" s="47">
        <f>IF(M905=0,"-",M905-J905)</f>
        <v/>
      </c>
      <c r="AI905" s="46">
        <f>IF(AND(S905=0,M905&gt;0,L905=0),IF(AH905&gt;=120,"VERY HIGH",IF(AH905&gt;=90,"HIGH",IF(AH905&gt;=60,"MEDIUM",IF(AH905&lt;60,"LOW")))),"-")</f>
        <v/>
      </c>
      <c r="AJ905" s="12" t="n"/>
      <c r="AK905" s="53">
        <f>IF(AND(W905="X",M905&lt;=$AJ$2),"YES","")</f>
        <v/>
      </c>
      <c r="AL905" s="54">
        <f>IF(AND(W905="X",M905&lt;=$AJ$2),S905,"")</f>
        <v/>
      </c>
      <c r="AM905" s="35" t="n"/>
      <c r="AN905" s="35">
        <f>IF(AND(W905="X",M905&gt;$AJ$2),S905,"")</f>
        <v/>
      </c>
      <c r="AO905" s="35">
        <f>IF(AND(W905="",M905&gt;0,$AJ$2&gt;M905,L905=""),1,0)</f>
        <v/>
      </c>
      <c r="AP905" s="35">
        <f>IF(AND(AK905="YES",W905="X"),"X","")</f>
        <v/>
      </c>
      <c r="AQ905" s="55">
        <f>IF(AP905="X",100%,0%)</f>
        <v/>
      </c>
      <c r="AR905" s="25">
        <f>IF(AND(T905&gt;0,L905=""),H905,"")</f>
        <v/>
      </c>
      <c r="AS905" s="25">
        <f>IF(AND(D905&gt;0,H905=0,G905=""),1,"")</f>
        <v/>
      </c>
      <c r="AT905" s="25">
        <f>IF(G905="BLOQ",1,"")</f>
        <v/>
      </c>
      <c r="AU905" s="25">
        <f>IF(L905="BLOQ",1,"")</f>
        <v/>
      </c>
      <c r="AV905" s="25">
        <f>MONTH(F905)</f>
        <v/>
      </c>
      <c r="AW905" s="65">
        <f>IF(AP905="",100%,0%)</f>
        <v/>
      </c>
      <c r="AX905" s="56" t="n"/>
      <c r="AY905" s="24">
        <f>IF(M905=0,"",M905-$AX$2)</f>
        <v/>
      </c>
      <c r="AZ905" s="66">
        <f>IF(AND(W905="",AY905&gt;0,AY905&lt;15),1,0)</f>
        <v/>
      </c>
      <c r="BA905" s="24">
        <f>IF(AND(W905="",AY905&gt;0,AY905&lt;15),T905,"")</f>
        <v/>
      </c>
      <c r="BB905" s="87">
        <f>IF(R905&lt;Q905,"X","")</f>
        <v/>
      </c>
      <c r="BC905" s="190" t="inlineStr">
        <is>
          <t>NO</t>
        </is>
      </c>
      <c r="BD905" s="191" t="inlineStr">
        <is>
          <t>SI</t>
        </is>
      </c>
    </row>
    <row r="906" ht="15" customHeight="1" s="162">
      <c r="A906" s="7" t="n">
        <v>905</v>
      </c>
      <c r="B906" t="inlineStr">
        <is>
          <t>0970785241600</t>
        </is>
      </c>
      <c r="C906" t="inlineStr">
        <is>
          <t>CHASSIS 24VU</t>
        </is>
      </c>
      <c r="D906" t="inlineStr">
        <is>
          <t>1800108820</t>
        </is>
      </c>
      <c r="E906" t="inlineStr">
        <is>
          <t>50</t>
        </is>
      </c>
      <c r="F906" s="163" t="n">
        <v>45459</v>
      </c>
      <c r="G906" t="inlineStr"/>
      <c r="H906" t="inlineStr">
        <is>
          <t>4200570671</t>
        </is>
      </c>
      <c r="I906" t="inlineStr">
        <is>
          <t>20</t>
        </is>
      </c>
      <c r="J906" s="163" t="n">
        <v>45488</v>
      </c>
      <c r="K906" s="163" t="n">
        <v>46044</v>
      </c>
      <c r="L906" t="inlineStr"/>
      <c r="M906" s="163" t="n">
        <v>46046</v>
      </c>
      <c r="N906" s="164" t="n">
        <v>90</v>
      </c>
      <c r="O906" s="164" t="n">
        <v>8</v>
      </c>
      <c r="P906" t="inlineStr">
        <is>
          <t>Liberado</t>
        </is>
      </c>
      <c r="Q906" s="166" t="n">
        <v>1</v>
      </c>
      <c r="R906" s="166" t="n">
        <v>1</v>
      </c>
      <c r="S906" s="166" t="n">
        <v>1</v>
      </c>
      <c r="T906" s="166" t="n">
        <v>1</v>
      </c>
      <c r="U906" s="166" t="n">
        <v>0</v>
      </c>
      <c r="V906" s="166" t="n">
        <v>1</v>
      </c>
      <c r="W906" t="inlineStr"/>
      <c r="X906" t="inlineStr">
        <is>
          <t>182.95</t>
        </is>
      </c>
      <c r="Y906" t="inlineStr"/>
      <c r="Z906" t="inlineStr">
        <is>
          <t>JOYFE,S.L.</t>
        </is>
      </c>
      <c r="AA906" t="inlineStr">
        <is>
          <t>INDRA SISTEMAS S.A.</t>
        </is>
      </c>
      <c r="AB906" t="inlineStr">
        <is>
          <t>0970785241600</t>
        </is>
      </c>
      <c r="AC906" t="inlineStr"/>
      <c r="AD906" s="164" t="n">
        <v>4</v>
      </c>
      <c r="AE906" s="185" t="n">
        <v>4</v>
      </c>
      <c r="AG906" s="167" t="inlineStr">
        <is>
          <t>7218|JA2583_1001</t>
        </is>
      </c>
      <c r="AH906" s="47">
        <f>IF(M906=0,"-",M906-J906)</f>
        <v/>
      </c>
      <c r="AI906" s="46">
        <f>IF(AND(S906=0,M906&gt;0,L906=0),IF(AH906&gt;=120,"VERY HIGH",IF(AH906&gt;=90,"HIGH",IF(AH906&gt;=60,"MEDIUM",IF(AH906&lt;60,"LOW")))),"-")</f>
        <v/>
      </c>
      <c r="AJ906" s="12" t="n"/>
      <c r="AK906" s="53">
        <f>IF(AND(W906="X",M906&lt;=$AJ$2),"YES","")</f>
        <v/>
      </c>
      <c r="AL906" s="54">
        <f>IF(AND(W906="X",M906&lt;=$AJ$2),S906,"")</f>
        <v/>
      </c>
      <c r="AM906" s="35" t="n"/>
      <c r="AN906" s="35">
        <f>IF(AND(W906="X",M906&gt;$AJ$2),S906,"")</f>
        <v/>
      </c>
      <c r="AO906" s="35">
        <f>IF(AND(W906="",M906&gt;0,$AJ$2&gt;M906,L906=""),1,0)</f>
        <v/>
      </c>
      <c r="AP906" s="35">
        <f>IF(AND(AK906="YES",W906="X"),"X","")</f>
        <v/>
      </c>
      <c r="AQ906" s="55">
        <f>IF(AP906="X",100%,0%)</f>
        <v/>
      </c>
      <c r="AR906" s="25">
        <f>IF(AND(T906&gt;0,L906=""),H906,"")</f>
        <v/>
      </c>
      <c r="AS906" s="25">
        <f>IF(AND(D906&gt;0,H906=0,G906=""),1,"")</f>
        <v/>
      </c>
      <c r="AT906" s="25">
        <f>IF(G906="BLOQ",1,"")</f>
        <v/>
      </c>
      <c r="AU906" s="25">
        <f>IF(L906="BLOQ",1,"")</f>
        <v/>
      </c>
      <c r="AV906" s="25">
        <f>MONTH(F906)</f>
        <v/>
      </c>
      <c r="AW906" s="65">
        <f>IF(AP906="",100%,0%)</f>
        <v/>
      </c>
      <c r="AX906" s="56" t="n"/>
      <c r="AY906" s="24">
        <f>IF(M906=0,"",M906-$AX$2)</f>
        <v/>
      </c>
      <c r="AZ906" s="66">
        <f>IF(AND(W906="",AY906&gt;0,AY906&lt;15),1,0)</f>
        <v/>
      </c>
      <c r="BA906" s="24">
        <f>IF(AND(W906="",AY906&gt;0,AY906&lt;15),T906,"")</f>
        <v/>
      </c>
      <c r="BB906" s="87">
        <f>IF(R906&lt;Q906,"X","")</f>
        <v/>
      </c>
      <c r="BC906" s="190" t="inlineStr">
        <is>
          <t>NO</t>
        </is>
      </c>
      <c r="BD906" s="191" t="inlineStr">
        <is>
          <t>SI</t>
        </is>
      </c>
    </row>
    <row r="907" ht="15" customHeight="1" s="162">
      <c r="A907" s="7" t="n">
        <v>906</v>
      </c>
      <c r="B907" t="inlineStr">
        <is>
          <t>0970785241700</t>
        </is>
      </c>
      <c r="C907" t="inlineStr">
        <is>
          <t>CAN SUPPORT 24VU</t>
        </is>
      </c>
      <c r="D907" t="inlineStr">
        <is>
          <t>1800108820</t>
        </is>
      </c>
      <c r="E907" t="inlineStr">
        <is>
          <t>60</t>
        </is>
      </c>
      <c r="F907" s="163" t="n">
        <v>45459</v>
      </c>
      <c r="G907" t="inlineStr"/>
      <c r="H907" t="inlineStr">
        <is>
          <t>4200570673</t>
        </is>
      </c>
      <c r="I907" t="inlineStr">
        <is>
          <t>10</t>
        </is>
      </c>
      <c r="J907" s="163" t="n">
        <v>45488</v>
      </c>
      <c r="K907" s="163" t="n">
        <v>45489</v>
      </c>
      <c r="L907" t="inlineStr"/>
      <c r="M907" s="163" t="n">
        <v>45869</v>
      </c>
      <c r="N907" s="164" t="n">
        <v>90</v>
      </c>
      <c r="O907" s="164" t="n">
        <v>8</v>
      </c>
      <c r="P907" t="inlineStr">
        <is>
          <t>Liberado</t>
        </is>
      </c>
      <c r="Q907" s="166" t="n">
        <v>1</v>
      </c>
      <c r="R907" s="166" t="n">
        <v>1</v>
      </c>
      <c r="S907" s="166" t="n">
        <v>1</v>
      </c>
      <c r="T907" s="166" t="n">
        <v>0</v>
      </c>
      <c r="U907" s="166" t="n">
        <v>1</v>
      </c>
      <c r="V907" s="166" t="n">
        <v>0</v>
      </c>
      <c r="W907" t="inlineStr">
        <is>
          <t>X</t>
        </is>
      </c>
      <c r="X907" t="inlineStr">
        <is>
          <t>0.00</t>
        </is>
      </c>
      <c r="Y907" t="inlineStr"/>
      <c r="Z907" t="inlineStr">
        <is>
          <t>INDUSTRIAS BALMES, S.A.</t>
        </is>
      </c>
      <c r="AA907" t="inlineStr">
        <is>
          <t>INDRA SISTEMAS S.A.</t>
        </is>
      </c>
      <c r="AB907" t="inlineStr">
        <is>
          <t>0970785241700</t>
        </is>
      </c>
      <c r="AC907" t="inlineStr"/>
      <c r="AD907" s="164" t="n">
        <v>5</v>
      </c>
      <c r="AE907" s="185" t="n">
        <v>5</v>
      </c>
      <c r="AG907" s="167" t="inlineStr">
        <is>
          <t>7218|JA2583_1001</t>
        </is>
      </c>
      <c r="AH907" s="47">
        <f>IF(M907=0,"-",M907-J907)</f>
        <v/>
      </c>
      <c r="AI907" s="46">
        <f>IF(AND(S907=0,M907&gt;0,L907=0),IF(AH907&gt;=120,"VERY HIGH",IF(AH907&gt;=90,"HIGH",IF(AH907&gt;=60,"MEDIUM",IF(AH907&lt;60,"LOW")))),"-")</f>
        <v/>
      </c>
      <c r="AJ907" s="12" t="n"/>
      <c r="AK907" s="53">
        <f>IF(AND(W907="X",M907&lt;=$AJ$2),"YES","")</f>
        <v/>
      </c>
      <c r="AL907" s="54">
        <f>IF(AND(W907="X",M907&lt;=$AJ$2),S907,"")</f>
        <v/>
      </c>
      <c r="AM907" s="35" t="n"/>
      <c r="AN907" s="35">
        <f>IF(AND(W907="X",M907&gt;$AJ$2),S907,"")</f>
        <v/>
      </c>
      <c r="AO907" s="35">
        <f>IF(AND(W907="",M907&gt;0,$AJ$2&gt;M907,L907=""),1,0)</f>
        <v/>
      </c>
      <c r="AP907" s="35">
        <f>IF(AND(AK907="YES",W907="X"),"X","")</f>
        <v/>
      </c>
      <c r="AQ907" s="55">
        <f>IF(AP907="X",100%,0%)</f>
        <v/>
      </c>
      <c r="AR907" s="25">
        <f>IF(AND(T907&gt;0,L907=""),H907,"")</f>
        <v/>
      </c>
      <c r="AS907" s="25">
        <f>IF(AND(D907&gt;0,H907=0,G907=""),1,"")</f>
        <v/>
      </c>
      <c r="AT907" s="25">
        <f>IF(G907="BLOQ",1,"")</f>
        <v/>
      </c>
      <c r="AU907" s="25">
        <f>IF(L907="BLOQ",1,"")</f>
        <v/>
      </c>
      <c r="AV907" s="25">
        <f>MONTH(F907)</f>
        <v/>
      </c>
      <c r="AW907" s="65">
        <f>IF(AP907="",100%,0%)</f>
        <v/>
      </c>
      <c r="AX907" s="56" t="n"/>
      <c r="AY907" s="24">
        <f>IF(M907=0,"",M907-$AX$2)</f>
        <v/>
      </c>
      <c r="AZ907" s="66">
        <f>IF(AND(W907="",AY907&gt;0,AY907&lt;15),1,0)</f>
        <v/>
      </c>
      <c r="BA907" s="24">
        <f>IF(AND(W907="",AY907&gt;0,AY907&lt;15),T907,"")</f>
        <v/>
      </c>
      <c r="BB907" s="87">
        <f>IF(R907&lt;Q907,"X","")</f>
        <v/>
      </c>
      <c r="BC907" s="190" t="inlineStr">
        <is>
          <t>NO</t>
        </is>
      </c>
      <c r="BD907" s="191" t="inlineStr">
        <is>
          <t>SI</t>
        </is>
      </c>
    </row>
    <row r="908" ht="15" customHeight="1" s="162">
      <c r="A908" s="7" t="n">
        <v>907</v>
      </c>
      <c r="B908" t="inlineStr">
        <is>
          <t>0970785470100</t>
        </is>
      </c>
      <c r="C908" t="inlineStr">
        <is>
          <t>CARD SUPPORT 115VU</t>
        </is>
      </c>
      <c r="D908" t="inlineStr">
        <is>
          <t>1800108820</t>
        </is>
      </c>
      <c r="E908" t="inlineStr">
        <is>
          <t>70</t>
        </is>
      </c>
      <c r="F908" s="163" t="n">
        <v>45459</v>
      </c>
      <c r="G908" t="inlineStr"/>
      <c r="H908" t="inlineStr">
        <is>
          <t>4200570673</t>
        </is>
      </c>
      <c r="I908" t="inlineStr">
        <is>
          <t>20</t>
        </is>
      </c>
      <c r="J908" s="163" t="n">
        <v>45488</v>
      </c>
      <c r="K908" s="163" t="n">
        <v>45489</v>
      </c>
      <c r="L908" t="inlineStr"/>
      <c r="M908" s="163" t="n">
        <v>45639</v>
      </c>
      <c r="N908" s="164" t="n">
        <v>40</v>
      </c>
      <c r="O908" s="164" t="n">
        <v>15</v>
      </c>
      <c r="P908" t="inlineStr">
        <is>
          <t>Liberado</t>
        </is>
      </c>
      <c r="Q908" s="165" t="n">
        <v>1</v>
      </c>
      <c r="R908" s="165" t="n">
        <v>1</v>
      </c>
      <c r="S908" s="165" t="n">
        <v>1</v>
      </c>
      <c r="T908" s="165" t="n">
        <v>0</v>
      </c>
      <c r="U908" s="166" t="n">
        <v>1</v>
      </c>
      <c r="V908" s="166" t="n">
        <v>0</v>
      </c>
      <c r="W908" t="inlineStr">
        <is>
          <t>X</t>
        </is>
      </c>
      <c r="X908" t="inlineStr">
        <is>
          <t>0.00</t>
        </is>
      </c>
      <c r="Y908" t="inlineStr"/>
      <c r="Z908" t="inlineStr">
        <is>
          <t>INDUSTRIAS BALMES, S.A.</t>
        </is>
      </c>
      <c r="AA908" t="inlineStr">
        <is>
          <t>INDRA SISTEMAS S.A.</t>
        </is>
      </c>
      <c r="AB908" t="inlineStr">
        <is>
          <t>0970785470100</t>
        </is>
      </c>
      <c r="AC908" t="inlineStr"/>
      <c r="AD908" s="164" t="n">
        <v>1</v>
      </c>
      <c r="AE908" s="185" t="n">
        <v>1</v>
      </c>
      <c r="AG908" s="167" t="inlineStr">
        <is>
          <t>7218|JA2583_1001</t>
        </is>
      </c>
      <c r="AH908" s="47">
        <f>IF(M908=0,"-",M908-J908)</f>
        <v/>
      </c>
      <c r="AI908" s="46">
        <f>IF(AND(S908=0,M908&gt;0,L908=0),IF(AH908&gt;=120,"VERY HIGH",IF(AH908&gt;=90,"HIGH",IF(AH908&gt;=60,"MEDIUM",IF(AH908&lt;60,"LOW")))),"-")</f>
        <v/>
      </c>
      <c r="AJ908" s="12" t="n"/>
      <c r="AK908" s="53">
        <f>IF(AND(W908="X",M908&lt;=$AJ$2),"YES","")</f>
        <v/>
      </c>
      <c r="AL908" s="54">
        <f>IF(AND(W908="X",M908&lt;=$AJ$2),S908,"")</f>
        <v/>
      </c>
      <c r="AM908" s="35" t="n"/>
      <c r="AN908" s="35">
        <f>IF(AND(W908="X",M908&gt;$AJ$2),S908,"")</f>
        <v/>
      </c>
      <c r="AO908" s="35">
        <f>IF(AND(W908="",M908&gt;0,$AJ$2&gt;M908,L908=""),1,0)</f>
        <v/>
      </c>
      <c r="AP908" s="35">
        <f>IF(AND(AK908="YES",W908="X"),"X","")</f>
        <v/>
      </c>
      <c r="AQ908" s="55">
        <f>IF(AP908="X",100%,0%)</f>
        <v/>
      </c>
      <c r="AR908" s="25">
        <f>IF(AND(T908&gt;0,L908=""),H908,"")</f>
        <v/>
      </c>
      <c r="AS908" s="25">
        <f>IF(AND(D908&gt;0,H908=0,G908=""),1,"")</f>
        <v/>
      </c>
      <c r="AT908" s="25">
        <f>IF(G908="BLOQ",1,"")</f>
        <v/>
      </c>
      <c r="AU908" s="25">
        <f>IF(L908="BLOQ",1,"")</f>
        <v/>
      </c>
      <c r="AV908" s="25">
        <f>MONTH(F908)</f>
        <v/>
      </c>
      <c r="AW908" s="65">
        <f>IF(AP908="",100%,0%)</f>
        <v/>
      </c>
      <c r="AX908" s="56" t="n"/>
      <c r="AY908" s="24">
        <f>IF(M908=0,"",M908-$AX$2)</f>
        <v/>
      </c>
      <c r="AZ908" s="66">
        <f>IF(AND(W908="",AY908&gt;0,AY908&lt;15),1,0)</f>
        <v/>
      </c>
      <c r="BA908" s="24">
        <f>IF(AND(W908="",AY908&gt;0,AY908&lt;15),T908,"")</f>
        <v/>
      </c>
      <c r="BB908" s="87">
        <f>IF(R908&lt;Q908,"X","")</f>
        <v/>
      </c>
      <c r="BC908" s="191" t="inlineStr">
        <is>
          <t>SI</t>
        </is>
      </c>
      <c r="BD908" s="191" t="inlineStr">
        <is>
          <t>SI</t>
        </is>
      </c>
    </row>
    <row r="909" ht="15" customHeight="1" s="162">
      <c r="A909" s="7" t="n">
        <v>908</v>
      </c>
      <c r="B909" t="inlineStr">
        <is>
          <t>0970785470300</t>
        </is>
      </c>
      <c r="C909" t="inlineStr">
        <is>
          <t>CARD SUPPORT 54 VU</t>
        </is>
      </c>
      <c r="D909" t="inlineStr">
        <is>
          <t>1800108820</t>
        </is>
      </c>
      <c r="E909" t="inlineStr">
        <is>
          <t>80</t>
        </is>
      </c>
      <c r="F909" s="163" t="n">
        <v>45459</v>
      </c>
      <c r="G909" t="inlineStr"/>
      <c r="H909" t="inlineStr">
        <is>
          <t>4200571231</t>
        </is>
      </c>
      <c r="I909" t="inlineStr">
        <is>
          <t>10</t>
        </is>
      </c>
      <c r="J909" s="163" t="n">
        <v>45491</v>
      </c>
      <c r="K909" s="163" t="n">
        <v>45491</v>
      </c>
      <c r="L909" t="inlineStr"/>
      <c r="M909" s="163" t="n">
        <v>45618</v>
      </c>
      <c r="N909" s="164" t="n">
        <v>40</v>
      </c>
      <c r="O909" s="164" t="n">
        <v>15</v>
      </c>
      <c r="P909" t="inlineStr">
        <is>
          <t>Liberado</t>
        </is>
      </c>
      <c r="Q909" s="165" t="n">
        <v>2</v>
      </c>
      <c r="R909" s="165" t="n">
        <v>2</v>
      </c>
      <c r="S909" s="165" t="n">
        <v>2</v>
      </c>
      <c r="T909" s="165" t="n">
        <v>0</v>
      </c>
      <c r="U909" s="166" t="n">
        <v>2</v>
      </c>
      <c r="V909" s="166" t="n">
        <v>0</v>
      </c>
      <c r="W909" t="inlineStr">
        <is>
          <t>X</t>
        </is>
      </c>
      <c r="X909" t="inlineStr">
        <is>
          <t>0.00</t>
        </is>
      </c>
      <c r="Y909" t="inlineStr"/>
      <c r="Z909" t="inlineStr">
        <is>
          <t>JOYFE,S.L.</t>
        </is>
      </c>
      <c r="AA909" t="inlineStr">
        <is>
          <t>INDRA SISTEMAS S.A.</t>
        </is>
      </c>
      <c r="AB909" t="inlineStr">
        <is>
          <t>0970785470300</t>
        </is>
      </c>
      <c r="AC909" t="inlineStr"/>
      <c r="AD909" s="164" t="n">
        <v>2</v>
      </c>
      <c r="AE909" s="185" t="n">
        <v>1</v>
      </c>
      <c r="AG909" s="167" t="inlineStr">
        <is>
          <t>7218|JA2583_1001</t>
        </is>
      </c>
      <c r="AH909" s="47">
        <f>IF(M909=0,"-",M909-J909)</f>
        <v/>
      </c>
      <c r="AI909" s="46">
        <f>IF(AND(S909=0,M909&gt;0,L909=0),IF(AH909&gt;=120,"VERY HIGH",IF(AH909&gt;=90,"HIGH",IF(AH909&gt;=60,"MEDIUM",IF(AH909&lt;60,"LOW")))),"-")</f>
        <v/>
      </c>
      <c r="AJ909" s="12" t="n"/>
      <c r="AK909" s="53">
        <f>IF(AND(W909="X",M909&lt;=$AJ$2),"YES","")</f>
        <v/>
      </c>
      <c r="AL909" s="54">
        <f>IF(AND(W909="X",M909&lt;=$AJ$2),S909,"")</f>
        <v/>
      </c>
      <c r="AM909" s="35" t="n"/>
      <c r="AN909" s="35">
        <f>IF(AND(W909="X",M909&gt;$AJ$2),S909,"")</f>
        <v/>
      </c>
      <c r="AO909" s="35">
        <f>IF(AND(W909="",M909&gt;0,$AJ$2&gt;M909,L909=""),1,0)</f>
        <v/>
      </c>
      <c r="AP909" s="35">
        <f>IF(AND(AK909="YES",W909="X"),"X","")</f>
        <v/>
      </c>
      <c r="AQ909" s="55">
        <f>IF(AP909="X",100%,0%)</f>
        <v/>
      </c>
      <c r="AR909" s="25">
        <f>IF(AND(T909&gt;0,L909=""),H909,"")</f>
        <v/>
      </c>
      <c r="AS909" s="25">
        <f>IF(AND(D909&gt;0,H909=0,G909=""),1,"")</f>
        <v/>
      </c>
      <c r="AT909" s="25">
        <f>IF(G909="BLOQ",1,"")</f>
        <v/>
      </c>
      <c r="AU909" s="25">
        <f>IF(L909="BLOQ",1,"")</f>
        <v/>
      </c>
      <c r="AV909" s="25">
        <f>MONTH(F909)</f>
        <v/>
      </c>
      <c r="AW909" s="65">
        <f>IF(AP909="",100%,0%)</f>
        <v/>
      </c>
      <c r="AX909" s="56" t="n"/>
      <c r="AY909" s="24">
        <f>IF(M909=0,"",M909-$AX$2)</f>
        <v/>
      </c>
      <c r="AZ909" s="66">
        <f>IF(AND(W909="",AY909&gt;0,AY909&lt;15),1,0)</f>
        <v/>
      </c>
      <c r="BA909" s="24">
        <f>IF(AND(W909="",AY909&gt;0,AY909&lt;15),T909,"")</f>
        <v/>
      </c>
      <c r="BB909" s="87">
        <f>IF(R909&lt;Q909,"X","")</f>
        <v/>
      </c>
      <c r="BC909" s="191" t="inlineStr">
        <is>
          <t>SI</t>
        </is>
      </c>
      <c r="BD909" s="191" t="inlineStr">
        <is>
          <t>SI</t>
        </is>
      </c>
    </row>
    <row r="910" ht="15" customHeight="1" s="162">
      <c r="A910" s="7" t="n">
        <v>909</v>
      </c>
      <c r="B910" t="inlineStr">
        <is>
          <t>0970785470400</t>
        </is>
      </c>
      <c r="C910" t="inlineStr">
        <is>
          <t>CARD SUPPORT 110 VU</t>
        </is>
      </c>
      <c r="D910" t="inlineStr">
        <is>
          <t>1800108820</t>
        </is>
      </c>
      <c r="E910" t="inlineStr">
        <is>
          <t>90</t>
        </is>
      </c>
      <c r="F910" s="163" t="n">
        <v>45459</v>
      </c>
      <c r="G910" t="inlineStr"/>
      <c r="H910" t="inlineStr">
        <is>
          <t>4200571231</t>
        </is>
      </c>
      <c r="I910" t="inlineStr">
        <is>
          <t>20</t>
        </is>
      </c>
      <c r="J910" s="163" t="n">
        <v>45491</v>
      </c>
      <c r="K910" s="163" t="n">
        <v>45491</v>
      </c>
      <c r="L910" t="inlineStr"/>
      <c r="M910" s="163" t="n">
        <v>45618</v>
      </c>
      <c r="N910" s="164" t="n">
        <v>40</v>
      </c>
      <c r="O910" s="164" t="n">
        <v>15</v>
      </c>
      <c r="P910" t="inlineStr">
        <is>
          <t>Liberado</t>
        </is>
      </c>
      <c r="Q910" s="165" t="n">
        <v>1</v>
      </c>
      <c r="R910" s="165" t="n">
        <v>1</v>
      </c>
      <c r="S910" s="165" t="n">
        <v>1</v>
      </c>
      <c r="T910" s="165" t="n">
        <v>0</v>
      </c>
      <c r="U910" s="166" t="n">
        <v>1</v>
      </c>
      <c r="V910" s="166" t="n">
        <v>0</v>
      </c>
      <c r="W910" t="inlineStr">
        <is>
          <t>X</t>
        </is>
      </c>
      <c r="X910" t="inlineStr">
        <is>
          <t>0.00</t>
        </is>
      </c>
      <c r="Y910" t="inlineStr"/>
      <c r="Z910" t="inlineStr">
        <is>
          <t>JOYFE,S.L.</t>
        </is>
      </c>
      <c r="AA910" t="inlineStr">
        <is>
          <t>INDRA SISTEMAS S.A.</t>
        </is>
      </c>
      <c r="AB910" t="inlineStr">
        <is>
          <t>0970785470400</t>
        </is>
      </c>
      <c r="AC910" t="inlineStr"/>
      <c r="AD910" s="164" t="n">
        <v>2</v>
      </c>
      <c r="AE910" s="185" t="n">
        <v>1</v>
      </c>
      <c r="AG910" s="167" t="inlineStr">
        <is>
          <t>7218|JA2583_1001</t>
        </is>
      </c>
      <c r="AH910" s="47">
        <f>IF(M910=0,"-",M910-J910)</f>
        <v/>
      </c>
      <c r="AI910" s="46">
        <f>IF(AND(S910=0,M910&gt;0,L910=0),IF(AH910&gt;=120,"VERY HIGH",IF(AH910&gt;=90,"HIGH",IF(AH910&gt;=60,"MEDIUM",IF(AH910&lt;60,"LOW")))),"-")</f>
        <v/>
      </c>
      <c r="AJ910" s="12" t="n"/>
      <c r="AK910" s="53">
        <f>IF(AND(W910="X",M910&lt;=$AJ$2),"YES","")</f>
        <v/>
      </c>
      <c r="AL910" s="54">
        <f>IF(AND(W910="X",M910&lt;=$AJ$2),S910,"")</f>
        <v/>
      </c>
      <c r="AM910" s="35" t="n"/>
      <c r="AN910" s="35">
        <f>IF(AND(W910="X",M910&gt;$AJ$2),S910,"")</f>
        <v/>
      </c>
      <c r="AO910" s="35">
        <f>IF(AND(W910="",M910&gt;0,$AJ$2&gt;M910,L910=""),1,0)</f>
        <v/>
      </c>
      <c r="AP910" s="35">
        <f>IF(AND(AK910="YES",W910="X"),"X","")</f>
        <v/>
      </c>
      <c r="AQ910" s="55">
        <f>IF(AP910="X",100%,0%)</f>
        <v/>
      </c>
      <c r="AR910" s="25">
        <f>IF(AND(T910&gt;0,L910=""),H910,"")</f>
        <v/>
      </c>
      <c r="AS910" s="25">
        <f>IF(AND(D910&gt;0,H910=0,G910=""),1,"")</f>
        <v/>
      </c>
      <c r="AT910" s="25">
        <f>IF(G910="BLOQ",1,"")</f>
        <v/>
      </c>
      <c r="AU910" s="25">
        <f>IF(L910="BLOQ",1,"")</f>
        <v/>
      </c>
      <c r="AV910" s="25">
        <f>MONTH(F910)</f>
        <v/>
      </c>
      <c r="AW910" s="65">
        <f>IF(AP910="",100%,0%)</f>
        <v/>
      </c>
      <c r="AX910" s="56" t="n"/>
      <c r="AY910" s="24">
        <f>IF(M910=0,"",M910-$AX$2)</f>
        <v/>
      </c>
      <c r="AZ910" s="66">
        <f>IF(AND(W910="",AY910&gt;0,AY910&lt;15),1,0)</f>
        <v/>
      </c>
      <c r="BA910" s="24">
        <f>IF(AND(W910="",AY910&gt;0,AY910&lt;15),T910,"")</f>
        <v/>
      </c>
      <c r="BB910" s="87">
        <f>IF(R910&lt;Q910,"X","")</f>
        <v/>
      </c>
      <c r="BC910" s="191" t="inlineStr">
        <is>
          <t>SI</t>
        </is>
      </c>
      <c r="BD910" s="191" t="inlineStr">
        <is>
          <t>SI</t>
        </is>
      </c>
    </row>
    <row r="911" ht="15" customHeight="1" s="162">
      <c r="A911" s="7" t="n">
        <v>910</v>
      </c>
      <c r="B911" t="inlineStr">
        <is>
          <t>0970785470600</t>
        </is>
      </c>
      <c r="C911" t="inlineStr">
        <is>
          <t>CARD SUPPORT 402VU</t>
        </is>
      </c>
      <c r="D911" t="inlineStr">
        <is>
          <t>1800108820</t>
        </is>
      </c>
      <c r="E911" t="inlineStr">
        <is>
          <t>100</t>
        </is>
      </c>
      <c r="F911" s="163" t="n">
        <v>45459</v>
      </c>
      <c r="G911" t="inlineStr"/>
      <c r="H911" t="inlineStr">
        <is>
          <t>4200571231</t>
        </is>
      </c>
      <c r="I911" t="inlineStr">
        <is>
          <t>30</t>
        </is>
      </c>
      <c r="J911" s="163" t="n">
        <v>45491</v>
      </c>
      <c r="K911" s="163" t="n">
        <v>45491</v>
      </c>
      <c r="L911" t="inlineStr"/>
      <c r="M911" s="163" t="n">
        <v>45618</v>
      </c>
      <c r="N911" s="164" t="n">
        <v>40</v>
      </c>
      <c r="O911" s="164" t="n">
        <v>15</v>
      </c>
      <c r="P911" t="inlineStr">
        <is>
          <t>Liberado</t>
        </is>
      </c>
      <c r="Q911" s="165" t="n">
        <v>1</v>
      </c>
      <c r="R911" s="165" t="n">
        <v>1</v>
      </c>
      <c r="S911" s="165" t="n">
        <v>1</v>
      </c>
      <c r="T911" s="165" t="n">
        <v>0</v>
      </c>
      <c r="U911" s="166" t="n">
        <v>1</v>
      </c>
      <c r="V911" s="166" t="n">
        <v>0</v>
      </c>
      <c r="W911" t="inlineStr">
        <is>
          <t>X</t>
        </is>
      </c>
      <c r="X911" t="inlineStr">
        <is>
          <t>0.00</t>
        </is>
      </c>
      <c r="Y911" t="inlineStr"/>
      <c r="Z911" t="inlineStr">
        <is>
          <t>JOYFE,S.L.</t>
        </is>
      </c>
      <c r="AA911" t="inlineStr">
        <is>
          <t>INDRA SISTEMAS S.A.</t>
        </is>
      </c>
      <c r="AB911" t="inlineStr">
        <is>
          <t>0970785470600</t>
        </is>
      </c>
      <c r="AC911" t="inlineStr"/>
      <c r="AD911" s="164" t="n">
        <v>2</v>
      </c>
      <c r="AE911" s="185" t="n">
        <v>1</v>
      </c>
      <c r="AG911" s="167" t="inlineStr">
        <is>
          <t>7218|JA2583_1001</t>
        </is>
      </c>
      <c r="AH911" s="47">
        <f>IF(M911=0,"-",M911-J911)</f>
        <v/>
      </c>
      <c r="AI911" s="46">
        <f>IF(AND(S911=0,M911&gt;0,L911=0),IF(AH911&gt;=120,"VERY HIGH",IF(AH911&gt;=90,"HIGH",IF(AH911&gt;=60,"MEDIUM",IF(AH911&lt;60,"LOW")))),"-")</f>
        <v/>
      </c>
      <c r="AJ911" s="12" t="n"/>
      <c r="AK911" s="53">
        <f>IF(AND(W911="X",M911&lt;=$AJ$2),"YES","")</f>
        <v/>
      </c>
      <c r="AL911" s="54">
        <f>IF(AND(W911="X",M911&lt;=$AJ$2),S911,"")</f>
        <v/>
      </c>
      <c r="AM911" s="35" t="n"/>
      <c r="AN911" s="35">
        <f>IF(AND(W911="X",M911&gt;$AJ$2),S911,"")</f>
        <v/>
      </c>
      <c r="AO911" s="35">
        <f>IF(AND(W911="",M911&gt;0,$AJ$2&gt;M911,L911=""),1,0)</f>
        <v/>
      </c>
      <c r="AP911" s="35">
        <f>IF(AND(AK911="YES",W911="X"),"X","")</f>
        <v/>
      </c>
      <c r="AQ911" s="55">
        <f>IF(AP911="X",100%,0%)</f>
        <v/>
      </c>
      <c r="AR911" s="25">
        <f>IF(AND(T911&gt;0,L911=""),H911,"")</f>
        <v/>
      </c>
      <c r="AS911" s="25">
        <f>IF(AND(D911&gt;0,H911=0,G911=""),1,"")</f>
        <v/>
      </c>
      <c r="AT911" s="25">
        <f>IF(G911="BLOQ",1,"")</f>
        <v/>
      </c>
      <c r="AU911" s="25">
        <f>IF(L911="BLOQ",1,"")</f>
        <v/>
      </c>
      <c r="AV911" s="25">
        <f>MONTH(F911)</f>
        <v/>
      </c>
      <c r="AW911" s="65">
        <f>IF(AP911="",100%,0%)</f>
        <v/>
      </c>
      <c r="AX911" s="56" t="n"/>
      <c r="AY911" s="24">
        <f>IF(M911=0,"",M911-$AX$2)</f>
        <v/>
      </c>
      <c r="AZ911" s="66">
        <f>IF(AND(W911="",AY911&gt;0,AY911&lt;15),1,0)</f>
        <v/>
      </c>
      <c r="BA911" s="24">
        <f>IF(AND(W911="",AY911&gt;0,AY911&lt;15),T911,"")</f>
        <v/>
      </c>
      <c r="BB911" s="87">
        <f>IF(R911&lt;Q911,"X","")</f>
        <v/>
      </c>
      <c r="BC911" s="191" t="inlineStr">
        <is>
          <t>SI</t>
        </is>
      </c>
      <c r="BD911" s="191" t="inlineStr">
        <is>
          <t>SI</t>
        </is>
      </c>
    </row>
    <row r="912" ht="15" customHeight="1" s="162">
      <c r="A912" s="7" t="n">
        <v>911</v>
      </c>
      <c r="B912" t="inlineStr">
        <is>
          <t>0970785470700</t>
        </is>
      </c>
      <c r="C912" t="inlineStr">
        <is>
          <t>CARD SUPPORT 119VU</t>
        </is>
      </c>
      <c r="D912" t="inlineStr">
        <is>
          <t>1800108820</t>
        </is>
      </c>
      <c r="E912" t="inlineStr">
        <is>
          <t>110</t>
        </is>
      </c>
      <c r="F912" s="163" t="n">
        <v>45459</v>
      </c>
      <c r="G912" t="inlineStr"/>
      <c r="H912" t="inlineStr">
        <is>
          <t>4200571231</t>
        </is>
      </c>
      <c r="I912" t="inlineStr">
        <is>
          <t>40</t>
        </is>
      </c>
      <c r="J912" s="163" t="n">
        <v>45491</v>
      </c>
      <c r="K912" s="163" t="n">
        <v>45491</v>
      </c>
      <c r="L912" t="inlineStr"/>
      <c r="M912" s="163" t="n">
        <v>45618</v>
      </c>
      <c r="N912" s="164" t="n">
        <v>40</v>
      </c>
      <c r="O912" s="164" t="n">
        <v>15</v>
      </c>
      <c r="P912" t="inlineStr">
        <is>
          <t>Liberado</t>
        </is>
      </c>
      <c r="Q912" s="165" t="n">
        <v>1</v>
      </c>
      <c r="R912" s="165" t="n">
        <v>1</v>
      </c>
      <c r="S912" s="165" t="n">
        <v>1</v>
      </c>
      <c r="T912" s="165" t="n">
        <v>0</v>
      </c>
      <c r="U912" s="166" t="n">
        <v>1</v>
      </c>
      <c r="V912" s="166" t="n">
        <v>0</v>
      </c>
      <c r="W912" t="inlineStr">
        <is>
          <t>X</t>
        </is>
      </c>
      <c r="X912" t="inlineStr">
        <is>
          <t>0.00</t>
        </is>
      </c>
      <c r="Y912" t="inlineStr"/>
      <c r="Z912" t="inlineStr">
        <is>
          <t>JOYFE,S.L.</t>
        </is>
      </c>
      <c r="AA912" t="inlineStr">
        <is>
          <t>INDRA SISTEMAS S.A.</t>
        </is>
      </c>
      <c r="AB912" t="inlineStr">
        <is>
          <t>0970785470700</t>
        </is>
      </c>
      <c r="AC912" t="inlineStr"/>
      <c r="AD912" s="164" t="n">
        <v>2</v>
      </c>
      <c r="AE912" s="185" t="n">
        <v>1</v>
      </c>
      <c r="AG912" s="167" t="inlineStr">
        <is>
          <t>7218|JA2583_1001</t>
        </is>
      </c>
      <c r="AH912" s="47">
        <f>IF(M912=0,"-",M912-J912)</f>
        <v/>
      </c>
      <c r="AI912" s="46">
        <f>IF(AND(S912=0,M912&gt;0,L912=0),IF(AH912&gt;=120,"VERY HIGH",IF(AH912&gt;=90,"HIGH",IF(AH912&gt;=60,"MEDIUM",IF(AH912&lt;60,"LOW")))),"-")</f>
        <v/>
      </c>
      <c r="AJ912" s="12" t="n"/>
      <c r="AK912" s="53">
        <f>IF(AND(W912="X",M912&lt;=$AJ$2),"YES","")</f>
        <v/>
      </c>
      <c r="AL912" s="54">
        <f>IF(AND(W912="X",M912&lt;=$AJ$2),S912,"")</f>
        <v/>
      </c>
      <c r="AM912" s="35" t="n"/>
      <c r="AN912" s="35">
        <f>IF(AND(W912="X",M912&gt;$AJ$2),S912,"")</f>
        <v/>
      </c>
      <c r="AO912" s="35">
        <f>IF(AND(W912="",M912&gt;0,$AJ$2&gt;M912,L912=""),1,0)</f>
        <v/>
      </c>
      <c r="AP912" s="35">
        <f>IF(AND(AK912="YES",W912="X"),"X","")</f>
        <v/>
      </c>
      <c r="AQ912" s="55">
        <f>IF(AP912="X",100%,0%)</f>
        <v/>
      </c>
      <c r="AR912" s="25">
        <f>IF(AND(T912&gt;0,L912=""),H912,"")</f>
        <v/>
      </c>
      <c r="AS912" s="25">
        <f>IF(AND(D912&gt;0,H912=0,G912=""),1,"")</f>
        <v/>
      </c>
      <c r="AT912" s="25">
        <f>IF(G912="BLOQ",1,"")</f>
        <v/>
      </c>
      <c r="AU912" s="25">
        <f>IF(L912="BLOQ",1,"")</f>
        <v/>
      </c>
      <c r="AV912" s="25">
        <f>MONTH(F912)</f>
        <v/>
      </c>
      <c r="AW912" s="65">
        <f>IF(AP912="",100%,0%)</f>
        <v/>
      </c>
      <c r="AX912" s="56" t="n"/>
      <c r="AY912" s="24">
        <f>IF(M912=0,"",M912-$AX$2)</f>
        <v/>
      </c>
      <c r="AZ912" s="66">
        <f>IF(AND(W912="",AY912&gt;0,AY912&lt;15),1,0)</f>
        <v/>
      </c>
      <c r="BA912" s="24">
        <f>IF(AND(W912="",AY912&gt;0,AY912&lt;15),T912,"")</f>
        <v/>
      </c>
      <c r="BB912" s="87">
        <f>IF(R912&lt;Q912,"X","")</f>
        <v/>
      </c>
      <c r="BC912" s="191" t="inlineStr">
        <is>
          <t>SI</t>
        </is>
      </c>
      <c r="BD912" s="191" t="inlineStr">
        <is>
          <t>SI</t>
        </is>
      </c>
    </row>
    <row r="913" ht="15" customHeight="1" s="162">
      <c r="A913" s="7" t="n">
        <v>912</v>
      </c>
      <c r="B913" t="inlineStr">
        <is>
          <t>0970785470800</t>
        </is>
      </c>
      <c r="C913" t="inlineStr">
        <is>
          <t>CARD SUPPORT 130VU</t>
        </is>
      </c>
      <c r="D913" t="inlineStr">
        <is>
          <t>1800108820</t>
        </is>
      </c>
      <c r="E913" t="inlineStr">
        <is>
          <t>120</t>
        </is>
      </c>
      <c r="F913" s="163" t="n">
        <v>45459</v>
      </c>
      <c r="G913" t="inlineStr"/>
      <c r="H913" t="inlineStr">
        <is>
          <t>4200570673</t>
        </is>
      </c>
      <c r="I913" t="inlineStr">
        <is>
          <t>30</t>
        </is>
      </c>
      <c r="J913" s="163" t="n">
        <v>45488</v>
      </c>
      <c r="K913" s="163" t="n">
        <v>45489</v>
      </c>
      <c r="L913" t="inlineStr"/>
      <c r="M913" s="163" t="n">
        <v>45646</v>
      </c>
      <c r="N913" s="164" t="n">
        <v>90</v>
      </c>
      <c r="O913" s="164" t="n">
        <v>8</v>
      </c>
      <c r="P913" t="inlineStr">
        <is>
          <t>Liberado</t>
        </is>
      </c>
      <c r="Q913" s="165" t="n">
        <v>1</v>
      </c>
      <c r="R913" s="165" t="n">
        <v>1</v>
      </c>
      <c r="S913" s="165" t="n">
        <v>1</v>
      </c>
      <c r="T913" s="165" t="n">
        <v>0</v>
      </c>
      <c r="U913" s="166" t="n">
        <v>1</v>
      </c>
      <c r="V913" s="166" t="n">
        <v>0</v>
      </c>
      <c r="W913" t="inlineStr">
        <is>
          <t>X</t>
        </is>
      </c>
      <c r="X913" t="inlineStr">
        <is>
          <t>0.00</t>
        </is>
      </c>
      <c r="Y913" t="inlineStr"/>
      <c r="Z913" t="inlineStr">
        <is>
          <t>INDUSTRIAS BALMES, S.A.</t>
        </is>
      </c>
      <c r="AA913" t="inlineStr">
        <is>
          <t>INDRA SISTEMAS S.A.</t>
        </is>
      </c>
      <c r="AB913" t="inlineStr">
        <is>
          <t>0970785470800</t>
        </is>
      </c>
      <c r="AC913" t="inlineStr"/>
      <c r="AD913" s="164" t="n">
        <v>2</v>
      </c>
      <c r="AE913" s="185" t="n">
        <v>2</v>
      </c>
      <c r="AG913" s="167" t="inlineStr">
        <is>
          <t>7218|JA2583_1001</t>
        </is>
      </c>
      <c r="AH913" s="47">
        <f>IF(M913=0,"-",M913-J913)</f>
        <v/>
      </c>
      <c r="AI913" s="46">
        <f>IF(AND(S913=0,M913&gt;0,L913=0),IF(AH913&gt;=120,"VERY HIGH",IF(AH913&gt;=90,"HIGH",IF(AH913&gt;=60,"MEDIUM",IF(AH913&lt;60,"LOW")))),"-")</f>
        <v/>
      </c>
      <c r="AJ913" s="12" t="n"/>
      <c r="AK913" s="53">
        <f>IF(AND(W913="X",M913&lt;=$AJ$2),"YES","")</f>
        <v/>
      </c>
      <c r="AL913" s="54">
        <f>IF(AND(W913="X",M913&lt;=$AJ$2),S913,"")</f>
        <v/>
      </c>
      <c r="AM913" s="35" t="n"/>
      <c r="AN913" s="35">
        <f>IF(AND(W913="X",M913&gt;$AJ$2),S913,"")</f>
        <v/>
      </c>
      <c r="AO913" s="35">
        <f>IF(AND(W913="",M913&gt;0,$AJ$2&gt;M913,L913=""),1,0)</f>
        <v/>
      </c>
      <c r="AP913" s="35">
        <f>IF(AND(AK913="YES",W913="X"),"X","")</f>
        <v/>
      </c>
      <c r="AQ913" s="55">
        <f>IF(AP913="X",100%,0%)</f>
        <v/>
      </c>
      <c r="AR913" s="25">
        <f>IF(AND(T913&gt;0,L913=""),H913,"")</f>
        <v/>
      </c>
      <c r="AS913" s="25">
        <f>IF(AND(D913&gt;0,H913=0,G913=""),1,"")</f>
        <v/>
      </c>
      <c r="AT913" s="25">
        <f>IF(G913="BLOQ",1,"")</f>
        <v/>
      </c>
      <c r="AU913" s="25">
        <f>IF(L913="BLOQ",1,"")</f>
        <v/>
      </c>
      <c r="AV913" s="25">
        <f>MONTH(F913)</f>
        <v/>
      </c>
      <c r="AW913" s="65">
        <f>IF(AP913="",100%,0%)</f>
        <v/>
      </c>
      <c r="AX913" s="56" t="n"/>
      <c r="AY913" s="24">
        <f>IF(M913=0,"",M913-$AX$2)</f>
        <v/>
      </c>
      <c r="AZ913" s="66">
        <f>IF(AND(W913="",AY913&gt;0,AY913&lt;15),1,0)</f>
        <v/>
      </c>
      <c r="BA913" s="24">
        <f>IF(AND(W913="",AY913&gt;0,AY913&lt;15),T913,"")</f>
        <v/>
      </c>
      <c r="BB913" s="87">
        <f>IF(R913&lt;Q913,"X","")</f>
        <v/>
      </c>
      <c r="BC913" s="191" t="inlineStr">
        <is>
          <t>SI</t>
        </is>
      </c>
      <c r="BD913" s="191" t="inlineStr">
        <is>
          <t>SI</t>
        </is>
      </c>
    </row>
    <row r="914" ht="15" customHeight="1" s="162">
      <c r="A914" s="7" t="n">
        <v>913</v>
      </c>
      <c r="B914" t="inlineStr">
        <is>
          <t>0970785470900</t>
        </is>
      </c>
      <c r="C914" t="inlineStr">
        <is>
          <t>CARD SUPPORT 131VU</t>
        </is>
      </c>
      <c r="D914" t="inlineStr">
        <is>
          <t>1800108820</t>
        </is>
      </c>
      <c r="E914" t="inlineStr">
        <is>
          <t>130</t>
        </is>
      </c>
      <c r="F914" s="163" t="n">
        <v>45459</v>
      </c>
      <c r="G914" t="inlineStr"/>
      <c r="H914" t="inlineStr">
        <is>
          <t>4200570673</t>
        </is>
      </c>
      <c r="I914" t="inlineStr">
        <is>
          <t>40</t>
        </is>
      </c>
      <c r="J914" s="163" t="n">
        <v>45488</v>
      </c>
      <c r="K914" s="163" t="n">
        <v>45489</v>
      </c>
      <c r="L914" t="inlineStr"/>
      <c r="M914" s="163" t="n">
        <v>45646</v>
      </c>
      <c r="N914" s="164" t="n">
        <v>90</v>
      </c>
      <c r="O914" s="164" t="n">
        <v>8</v>
      </c>
      <c r="P914" t="inlineStr">
        <is>
          <t>Liberado</t>
        </is>
      </c>
      <c r="Q914" s="165" t="n">
        <v>1</v>
      </c>
      <c r="R914" s="165" t="n">
        <v>1</v>
      </c>
      <c r="S914" s="165" t="n">
        <v>1</v>
      </c>
      <c r="T914" s="165" t="n">
        <v>0</v>
      </c>
      <c r="U914" s="166" t="n">
        <v>1</v>
      </c>
      <c r="V914" s="166" t="n">
        <v>0</v>
      </c>
      <c r="W914" t="inlineStr">
        <is>
          <t>X</t>
        </is>
      </c>
      <c r="X914" t="inlineStr">
        <is>
          <t>0.00</t>
        </is>
      </c>
      <c r="Y914" t="inlineStr"/>
      <c r="Z914" t="inlineStr">
        <is>
          <t>INDUSTRIAS BALMES, S.A.</t>
        </is>
      </c>
      <c r="AA914" t="inlineStr">
        <is>
          <t>INDRA SISTEMAS S.A.</t>
        </is>
      </c>
      <c r="AB914" t="inlineStr">
        <is>
          <t>0970785470900</t>
        </is>
      </c>
      <c r="AC914" t="inlineStr"/>
      <c r="AD914" s="164" t="n">
        <v>1</v>
      </c>
      <c r="AE914" s="185" t="n">
        <v>1</v>
      </c>
      <c r="AG914" s="167" t="inlineStr">
        <is>
          <t>7218|JA2583_1001</t>
        </is>
      </c>
      <c r="AH914" s="47">
        <f>IF(M914=0,"-",M914-J914)</f>
        <v/>
      </c>
      <c r="AI914" s="46">
        <f>IF(AND(S914=0,M914&gt;0,L914=0),IF(AH914&gt;=120,"VERY HIGH",IF(AH914&gt;=90,"HIGH",IF(AH914&gt;=60,"MEDIUM",IF(AH914&lt;60,"LOW")))),"-")</f>
        <v/>
      </c>
      <c r="AJ914" s="12" t="n"/>
      <c r="AK914" s="53">
        <f>IF(AND(W914="X",M914&lt;=$AJ$2),"YES","")</f>
        <v/>
      </c>
      <c r="AL914" s="54">
        <f>IF(AND(W914="X",M914&lt;=$AJ$2),S914,"")</f>
        <v/>
      </c>
      <c r="AM914" s="35" t="n"/>
      <c r="AN914" s="35">
        <f>IF(AND(W914="X",M914&gt;$AJ$2),S914,"")</f>
        <v/>
      </c>
      <c r="AO914" s="35">
        <f>IF(AND(W914="",M914&gt;0,$AJ$2&gt;M914,L914=""),1,0)</f>
        <v/>
      </c>
      <c r="AP914" s="35">
        <f>IF(AND(AK914="YES",W914="X"),"X","")</f>
        <v/>
      </c>
      <c r="AQ914" s="55">
        <f>IF(AP914="X",100%,0%)</f>
        <v/>
      </c>
      <c r="AR914" s="25">
        <f>IF(AND(T914&gt;0,L914=""),H914,"")</f>
        <v/>
      </c>
      <c r="AS914" s="25">
        <f>IF(AND(D914&gt;0,H914=0,G914=""),1,"")</f>
        <v/>
      </c>
      <c r="AT914" s="25">
        <f>IF(G914="BLOQ",1,"")</f>
        <v/>
      </c>
      <c r="AU914" s="25">
        <f>IF(L914="BLOQ",1,"")</f>
        <v/>
      </c>
      <c r="AV914" s="25">
        <f>MONTH(F914)</f>
        <v/>
      </c>
      <c r="AW914" s="65">
        <f>IF(AP914="",100%,0%)</f>
        <v/>
      </c>
      <c r="AX914" s="56" t="n"/>
      <c r="AY914" s="24">
        <f>IF(M914=0,"",M914-$AX$2)</f>
        <v/>
      </c>
      <c r="AZ914" s="66">
        <f>IF(AND(W914="",AY914&gt;0,AY914&lt;15),1,0)</f>
        <v/>
      </c>
      <c r="BA914" s="24">
        <f>IF(AND(W914="",AY914&gt;0,AY914&lt;15),T914,"")</f>
        <v/>
      </c>
      <c r="BB914" s="87">
        <f>IF(R914&lt;Q914,"X","")</f>
        <v/>
      </c>
      <c r="BC914" s="191" t="inlineStr">
        <is>
          <t>SI</t>
        </is>
      </c>
      <c r="BD914" s="191" t="inlineStr">
        <is>
          <t>SI</t>
        </is>
      </c>
    </row>
    <row r="915" ht="15" customHeight="1" s="162">
      <c r="A915" s="7" t="n">
        <v>914</v>
      </c>
      <c r="B915" t="inlineStr">
        <is>
          <t>0971785310100</t>
        </is>
      </c>
      <c r="C915" t="inlineStr">
        <is>
          <t>DBCU BUTTON DOOR</t>
        </is>
      </c>
      <c r="D915" t="inlineStr">
        <is>
          <t>1800108821</t>
        </is>
      </c>
      <c r="E915" t="inlineStr">
        <is>
          <t>10</t>
        </is>
      </c>
      <c r="F915" s="163" t="n">
        <v>45459</v>
      </c>
      <c r="G915" t="inlineStr"/>
      <c r="H915" t="inlineStr">
        <is>
          <t>4200568954</t>
        </is>
      </c>
      <c r="I915" t="inlineStr">
        <is>
          <t>10</t>
        </is>
      </c>
      <c r="J915" s="163" t="n">
        <v>45474</v>
      </c>
      <c r="K915" s="163" t="n">
        <v>45475</v>
      </c>
      <c r="L915" t="inlineStr"/>
      <c r="M915" s="163" t="n">
        <v>45674</v>
      </c>
      <c r="N915" s="164" t="n">
        <v>90</v>
      </c>
      <c r="O915" s="164" t="n">
        <v>8</v>
      </c>
      <c r="P915" t="inlineStr">
        <is>
          <t>Liberado</t>
        </is>
      </c>
      <c r="Q915" s="165" t="n">
        <v>1</v>
      </c>
      <c r="R915" s="165" t="n">
        <v>1</v>
      </c>
      <c r="S915" s="165" t="n">
        <v>1</v>
      </c>
      <c r="T915" s="165" t="n">
        <v>0</v>
      </c>
      <c r="U915" s="166" t="n">
        <v>1</v>
      </c>
      <c r="V915" s="166" t="n">
        <v>0</v>
      </c>
      <c r="W915" t="inlineStr">
        <is>
          <t>X</t>
        </is>
      </c>
      <c r="X915" t="inlineStr">
        <is>
          <t>0.00</t>
        </is>
      </c>
      <c r="Y915" t="inlineStr"/>
      <c r="Z915" t="inlineStr">
        <is>
          <t>INDUSTRIAS BALMES, S.A.</t>
        </is>
      </c>
      <c r="AA915" t="inlineStr">
        <is>
          <t>INDRA SISTEMAS S.A.</t>
        </is>
      </c>
      <c r="AB915" t="inlineStr">
        <is>
          <t>0971785310100</t>
        </is>
      </c>
      <c r="AC915" t="inlineStr"/>
      <c r="AD915" s="164" t="n">
        <v>2</v>
      </c>
      <c r="AE915" s="185" t="n">
        <v>2</v>
      </c>
      <c r="AG915" s="167" t="inlineStr">
        <is>
          <t>7218|JA2581_1001</t>
        </is>
      </c>
      <c r="AH915" s="47">
        <f>IF(M915=0,"-",M915-J915)</f>
        <v/>
      </c>
      <c r="AI915" s="46">
        <f>IF(AND(S915=0,M915&gt;0,L915=0),IF(AH915&gt;=120,"VERY HIGH",IF(AH915&gt;=90,"HIGH",IF(AH915&gt;=60,"MEDIUM",IF(AH915&lt;60,"LOW")))),"-")</f>
        <v/>
      </c>
      <c r="AJ915" s="12" t="n"/>
      <c r="AK915" s="53">
        <f>IF(AND(W915="X",M915&lt;=$AJ$2),"YES","")</f>
        <v/>
      </c>
      <c r="AL915" s="54">
        <f>IF(AND(W915="X",M915&lt;=$AJ$2),S915,"")</f>
        <v/>
      </c>
      <c r="AM915" s="35" t="n"/>
      <c r="AN915" s="35">
        <f>IF(AND(W915="X",M915&gt;$AJ$2),S915,"")</f>
        <v/>
      </c>
      <c r="AO915" s="35">
        <f>IF(AND(W915="",M915&gt;0,$AJ$2&gt;M915,L915=""),1,0)</f>
        <v/>
      </c>
      <c r="AP915" s="35">
        <f>IF(AND(AK915="YES",W915="X"),"X","")</f>
        <v/>
      </c>
      <c r="AQ915" s="55">
        <f>IF(AP915="X",100%,0%)</f>
        <v/>
      </c>
      <c r="AR915" s="25">
        <f>IF(AND(T915&gt;0,L915=""),H915,"")</f>
        <v/>
      </c>
      <c r="AS915" s="25">
        <f>IF(AND(D915&gt;0,H915=0,G915=""),1,"")</f>
        <v/>
      </c>
      <c r="AT915" s="25">
        <f>IF(G915="BLOQ",1,"")</f>
        <v/>
      </c>
      <c r="AU915" s="25">
        <f>IF(L915="BLOQ",1,"")</f>
        <v/>
      </c>
      <c r="AV915" s="25">
        <f>MONTH(F915)</f>
        <v/>
      </c>
      <c r="AW915" s="65">
        <f>IF(AP915="",100%,0%)</f>
        <v/>
      </c>
      <c r="AX915" s="56" t="n"/>
      <c r="AY915" s="24">
        <f>IF(M915=0,"",M915-$AX$2)</f>
        <v/>
      </c>
      <c r="AZ915" s="66">
        <f>IF(AND(W915="",AY915&gt;0,AY915&lt;15),1,0)</f>
        <v/>
      </c>
      <c r="BA915" s="24">
        <f>IF(AND(W915="",AY915&gt;0,AY915&lt;15),T915,"")</f>
        <v/>
      </c>
      <c r="BB915" s="87">
        <f>IF(R915&lt;Q915,"X","")</f>
        <v/>
      </c>
      <c r="BC915" s="191" t="inlineStr">
        <is>
          <t>SI</t>
        </is>
      </c>
      <c r="BD915" s="191" t="inlineStr">
        <is>
          <t>SI</t>
        </is>
      </c>
    </row>
    <row r="916" ht="15" customHeight="1" s="162">
      <c r="A916" s="7" t="n">
        <v>915</v>
      </c>
      <c r="B916" t="inlineStr">
        <is>
          <t>0971788310100</t>
        </is>
      </c>
      <c r="C916" t="inlineStr">
        <is>
          <t>DBCU CONNECTION PLATE</t>
        </is>
      </c>
      <c r="D916" t="inlineStr">
        <is>
          <t>1800108821</t>
        </is>
      </c>
      <c r="E916" t="inlineStr">
        <is>
          <t>20</t>
        </is>
      </c>
      <c r="F916" s="163" t="n">
        <v>45459</v>
      </c>
      <c r="G916" t="inlineStr"/>
      <c r="H916" t="inlineStr">
        <is>
          <t>4200568954</t>
        </is>
      </c>
      <c r="I916" t="inlineStr">
        <is>
          <t>20</t>
        </is>
      </c>
      <c r="J916" s="163" t="n">
        <v>45474</v>
      </c>
      <c r="K916" s="163" t="n">
        <v>45475</v>
      </c>
      <c r="L916" t="inlineStr"/>
      <c r="M916" s="163" t="n">
        <v>45673</v>
      </c>
      <c r="N916" s="164" t="n">
        <v>90</v>
      </c>
      <c r="O916" s="164" t="n">
        <v>8</v>
      </c>
      <c r="P916" t="inlineStr">
        <is>
          <t>Liberado</t>
        </is>
      </c>
      <c r="Q916" s="165" t="n">
        <v>1</v>
      </c>
      <c r="R916" s="165" t="n">
        <v>1</v>
      </c>
      <c r="S916" s="165" t="n">
        <v>1</v>
      </c>
      <c r="T916" s="165" t="n">
        <v>0</v>
      </c>
      <c r="U916" s="166" t="n">
        <v>1</v>
      </c>
      <c r="V916" s="166" t="n">
        <v>0</v>
      </c>
      <c r="W916" t="inlineStr">
        <is>
          <t>X</t>
        </is>
      </c>
      <c r="X916" t="inlineStr">
        <is>
          <t>0.00</t>
        </is>
      </c>
      <c r="Y916" t="inlineStr"/>
      <c r="Z916" t="inlineStr">
        <is>
          <t>INDUSTRIAS BALMES, S.A.</t>
        </is>
      </c>
      <c r="AA916" t="inlineStr">
        <is>
          <t>INDRA SISTEMAS S.A.</t>
        </is>
      </c>
      <c r="AB916" t="inlineStr">
        <is>
          <t>0971788310100</t>
        </is>
      </c>
      <c r="AC916" t="inlineStr"/>
      <c r="AD916" s="164" t="n">
        <v>2</v>
      </c>
      <c r="AE916" s="185" t="n">
        <v>2</v>
      </c>
      <c r="AG916" s="167" t="inlineStr">
        <is>
          <t>7218|JA2581_1001</t>
        </is>
      </c>
      <c r="AH916" s="47">
        <f>IF(M916=0,"-",M916-J916)</f>
        <v/>
      </c>
      <c r="AI916" s="46">
        <f>IF(AND(S916=0,M916&gt;0,L916=0),IF(AH916&gt;=120,"VERY HIGH",IF(AH916&gt;=90,"HIGH",IF(AH916&gt;=60,"MEDIUM",IF(AH916&lt;60,"LOW")))),"-")</f>
        <v/>
      </c>
      <c r="AJ916" s="12" t="n"/>
      <c r="AK916" s="53">
        <f>IF(AND(W916="X",M916&lt;=$AJ$2),"YES","")</f>
        <v/>
      </c>
      <c r="AL916" s="54">
        <f>IF(AND(W916="X",M916&lt;=$AJ$2),S916,"")</f>
        <v/>
      </c>
      <c r="AM916" s="35" t="n"/>
      <c r="AN916" s="35">
        <f>IF(AND(W916="X",M916&gt;$AJ$2),S916,"")</f>
        <v/>
      </c>
      <c r="AO916" s="35">
        <f>IF(AND(W916="",M916&gt;0,$AJ$2&gt;M916,L916=""),1,0)</f>
        <v/>
      </c>
      <c r="AP916" s="35">
        <f>IF(AND(AK916="YES",W916="X"),"X","")</f>
        <v/>
      </c>
      <c r="AQ916" s="55">
        <f>IF(AP916="X",100%,0%)</f>
        <v/>
      </c>
      <c r="AR916" s="25">
        <f>IF(AND(T916&gt;0,L916=""),H916,"")</f>
        <v/>
      </c>
      <c r="AS916" s="25">
        <f>IF(AND(D916&gt;0,H916=0,G916=""),1,"")</f>
        <v/>
      </c>
      <c r="AT916" s="25">
        <f>IF(G916="BLOQ",1,"")</f>
        <v/>
      </c>
      <c r="AU916" s="25">
        <f>IF(L916="BLOQ",1,"")</f>
        <v/>
      </c>
      <c r="AV916" s="25">
        <f>MONTH(F916)</f>
        <v/>
      </c>
      <c r="AW916" s="65">
        <f>IF(AP916="",100%,0%)</f>
        <v/>
      </c>
      <c r="AX916" s="56" t="n"/>
      <c r="AY916" s="24">
        <f>IF(M916=0,"",M916-$AX$2)</f>
        <v/>
      </c>
      <c r="AZ916" s="66">
        <f>IF(AND(W916="",AY916&gt;0,AY916&lt;15),1,0)</f>
        <v/>
      </c>
      <c r="BA916" s="24">
        <f>IF(AND(W916="",AY916&gt;0,AY916&lt;15),T916,"")</f>
        <v/>
      </c>
      <c r="BB916" s="87">
        <f>IF(R916&lt;Q916,"X","")</f>
        <v/>
      </c>
      <c r="BC916" s="191" t="inlineStr">
        <is>
          <t>SI</t>
        </is>
      </c>
      <c r="BD916" s="191" t="inlineStr">
        <is>
          <t>SI</t>
        </is>
      </c>
    </row>
    <row r="917" ht="15" customHeight="1" s="162">
      <c r="A917" s="7" t="n">
        <v>916</v>
      </c>
      <c r="B917" t="inlineStr">
        <is>
          <t>1000954320003</t>
        </is>
      </c>
      <c r="C917" t="inlineStr">
        <is>
          <t>RST PELMET AXI 43K 0.1% 15PPM 1/4W ROHS</t>
        </is>
      </c>
      <c r="D917" t="inlineStr">
        <is>
          <t>1800108821</t>
        </is>
      </c>
      <c r="E917" t="inlineStr">
        <is>
          <t>30</t>
        </is>
      </c>
      <c r="F917" s="163" t="n">
        <v>45459</v>
      </c>
      <c r="G917" t="inlineStr"/>
      <c r="H917" t="inlineStr">
        <is>
          <t>4200568748</t>
        </is>
      </c>
      <c r="I917" t="inlineStr">
        <is>
          <t>80</t>
        </is>
      </c>
      <c r="J917" s="163" t="n">
        <v>45471</v>
      </c>
      <c r="K917" s="163" t="n">
        <v>45471</v>
      </c>
      <c r="L917" t="inlineStr"/>
      <c r="M917" s="163" t="n">
        <v>45490</v>
      </c>
      <c r="N917" s="164" t="n">
        <v>40</v>
      </c>
      <c r="O917" s="164" t="n">
        <v>8</v>
      </c>
      <c r="P917" t="inlineStr">
        <is>
          <t>Liberado</t>
        </is>
      </c>
      <c r="Q917" s="165" t="n">
        <v>40</v>
      </c>
      <c r="R917" s="165" t="n">
        <v>40</v>
      </c>
      <c r="S917" s="165" t="n">
        <v>40</v>
      </c>
      <c r="T917" s="165" t="n">
        <v>0</v>
      </c>
      <c r="U917" s="166" t="n">
        <v>40</v>
      </c>
      <c r="V917" s="166" t="n">
        <v>0</v>
      </c>
      <c r="W917" t="inlineStr">
        <is>
          <t>X</t>
        </is>
      </c>
      <c r="X917" t="inlineStr">
        <is>
          <t>0.00</t>
        </is>
      </c>
      <c r="Y917" t="inlineStr"/>
      <c r="Z917" t="inlineStr">
        <is>
          <t>ICOMPPLUS ELECTRONICS S.L</t>
        </is>
      </c>
      <c r="AA917" t="inlineStr">
        <is>
          <t>TE CONNECTIVITY</t>
        </is>
      </c>
      <c r="AB917" t="inlineStr">
        <is>
          <t>H843K2BYA</t>
        </is>
      </c>
      <c r="AC917" t="inlineStr"/>
      <c r="AD917" s="164" t="n">
        <v>0</v>
      </c>
      <c r="AE917" s="185" t="n">
        <v>0</v>
      </c>
      <c r="AG917" s="167" t="inlineStr">
        <is>
          <t>7218|JA2612_1001</t>
        </is>
      </c>
      <c r="AH917" s="47">
        <f>IF(M917=0,"-",M917-J917)</f>
        <v/>
      </c>
      <c r="AI917" s="46">
        <f>IF(AND(S917=0,M917&gt;0,L917=0),IF(AH917&gt;=120,"VERY HIGH",IF(AH917&gt;=90,"HIGH",IF(AH917&gt;=60,"MEDIUM",IF(AH917&lt;60,"LOW")))),"-")</f>
        <v/>
      </c>
      <c r="AJ917" s="12" t="n"/>
      <c r="AK917" s="53">
        <f>IF(AND(W917="X",M917&lt;=$AJ$2),"YES","")</f>
        <v/>
      </c>
      <c r="AL917" s="54">
        <f>IF(AND(W917="X",M917&lt;=$AJ$2),S917,"")</f>
        <v/>
      </c>
      <c r="AM917" s="35" t="n"/>
      <c r="AN917" s="35">
        <f>IF(AND(W917="X",M917&gt;$AJ$2),S917,"")</f>
        <v/>
      </c>
      <c r="AO917" s="35">
        <f>IF(AND(W917="",M917&gt;0,$AJ$2&gt;M917,L917=""),1,0)</f>
        <v/>
      </c>
      <c r="AP917" s="35">
        <f>IF(AND(AK917="YES",W917="X"),"X","")</f>
        <v/>
      </c>
      <c r="AQ917" s="55">
        <f>IF(AP917="X",100%,0%)</f>
        <v/>
      </c>
      <c r="AR917" s="25">
        <f>IF(AND(T917&gt;0,L917=""),H917,"")</f>
        <v/>
      </c>
      <c r="AS917" s="25">
        <f>IF(AND(D917&gt;0,H917=0,G917=""),1,"")</f>
        <v/>
      </c>
      <c r="AT917" s="25">
        <f>IF(G917="BLOQ",1,"")</f>
        <v/>
      </c>
      <c r="AU917" s="25">
        <f>IF(L917="BLOQ",1,"")</f>
        <v/>
      </c>
      <c r="AV917" s="25">
        <f>MONTH(F917)</f>
        <v/>
      </c>
      <c r="AW917" s="65">
        <f>IF(AP917="",100%,0%)</f>
        <v/>
      </c>
      <c r="AX917" s="56" t="n"/>
      <c r="AY917" s="24">
        <f>IF(M917=0,"",M917-$AX$2)</f>
        <v/>
      </c>
      <c r="AZ917" s="66">
        <f>IF(AND(W917="",AY917&gt;0,AY917&lt;15),1,0)</f>
        <v/>
      </c>
      <c r="BA917" s="24">
        <f>IF(AND(W917="",AY917&gt;0,AY917&lt;15),T917,"")</f>
        <v/>
      </c>
      <c r="BB917" s="87">
        <f>IF(R917&lt;Q917,"X","")</f>
        <v/>
      </c>
      <c r="BC917" s="190" t="inlineStr">
        <is>
          <t>NO</t>
        </is>
      </c>
      <c r="BD917" s="191" t="inlineStr">
        <is>
          <t>SI</t>
        </is>
      </c>
    </row>
    <row r="918" ht="15" customHeight="1" s="162">
      <c r="A918" s="7" t="n">
        <v>917</v>
      </c>
      <c r="B918" t="inlineStr">
        <is>
          <t>1002548203009</t>
        </is>
      </c>
      <c r="C918" t="inlineStr">
        <is>
          <t>RST PELCAR 8K205% 1/4W 0207</t>
        </is>
      </c>
      <c r="D918" t="inlineStr">
        <is>
          <t>1800108821</t>
        </is>
      </c>
      <c r="E918" t="inlineStr">
        <is>
          <t>40</t>
        </is>
      </c>
      <c r="F918" s="163" t="n">
        <v>45459</v>
      </c>
      <c r="G918" t="inlineStr"/>
      <c r="H918" t="inlineStr">
        <is>
          <t>4200569759</t>
        </is>
      </c>
      <c r="I918" t="inlineStr">
        <is>
          <t>90</t>
        </is>
      </c>
      <c r="J918" s="163" t="n">
        <v>45481</v>
      </c>
      <c r="K918" s="163" t="n">
        <v>45490</v>
      </c>
      <c r="L918" t="inlineStr"/>
      <c r="M918" s="163" t="n">
        <v>45488</v>
      </c>
      <c r="N918" s="164" t="n">
        <v>100</v>
      </c>
      <c r="O918" s="164" t="n">
        <v>8</v>
      </c>
      <c r="P918" t="inlineStr">
        <is>
          <t>Liberado</t>
        </is>
      </c>
      <c r="Q918" s="165" t="n">
        <v>40</v>
      </c>
      <c r="R918" s="165" t="n">
        <v>40</v>
      </c>
      <c r="S918" s="165" t="n">
        <v>40</v>
      </c>
      <c r="T918" s="165" t="n">
        <v>0</v>
      </c>
      <c r="U918" s="166" t="n">
        <v>40</v>
      </c>
      <c r="V918" s="166" t="n">
        <v>0</v>
      </c>
      <c r="W918" t="inlineStr">
        <is>
          <t>X</t>
        </is>
      </c>
      <c r="X918" t="inlineStr">
        <is>
          <t>0.00</t>
        </is>
      </c>
      <c r="Y918" t="inlineStr"/>
      <c r="Z918" t="inlineStr">
        <is>
          <t>TCX MICRO, S.L.U</t>
        </is>
      </c>
      <c r="AA918" t="inlineStr"/>
      <c r="AB918" t="inlineStr"/>
      <c r="AC918" t="inlineStr"/>
      <c r="AD918" s="164" t="n">
        <v>0</v>
      </c>
      <c r="AE918" s="185" t="n">
        <v>0</v>
      </c>
      <c r="AG918" s="167" t="inlineStr">
        <is>
          <t>7218|JA2612_1001</t>
        </is>
      </c>
      <c r="AH918" s="47">
        <f>IF(M918=0,"-",M918-J918)</f>
        <v/>
      </c>
      <c r="AI918" s="46">
        <f>IF(AND(S918=0,M918&gt;0,L918=0),IF(AH918&gt;=120,"VERY HIGH",IF(AH918&gt;=90,"HIGH",IF(AH918&gt;=60,"MEDIUM",IF(AH918&lt;60,"LOW")))),"-")</f>
        <v/>
      </c>
      <c r="AJ918" s="12" t="n"/>
      <c r="AK918" s="53">
        <f>IF(AND(W918="X",M918&lt;=$AJ$2),"YES","")</f>
        <v/>
      </c>
      <c r="AL918" s="54">
        <f>IF(AND(W918="X",M918&lt;=$AJ$2),S918,"")</f>
        <v/>
      </c>
      <c r="AM918" s="35" t="n"/>
      <c r="AN918" s="35">
        <f>IF(AND(W918="X",M918&gt;$AJ$2),S918,"")</f>
        <v/>
      </c>
      <c r="AO918" s="35">
        <f>IF(AND(W918="",M918&gt;0,$AJ$2&gt;M918,L918=""),1,0)</f>
        <v/>
      </c>
      <c r="AP918" s="35">
        <f>IF(AND(AK918="YES",W918="X"),"X","")</f>
        <v/>
      </c>
      <c r="AQ918" s="55">
        <f>IF(AP918="X",100%,0%)</f>
        <v/>
      </c>
      <c r="AR918" s="25">
        <f>IF(AND(T918&gt;0,L918=""),H918,"")</f>
        <v/>
      </c>
      <c r="AS918" s="25">
        <f>IF(AND(D918&gt;0,H918=0,G918=""),1,"")</f>
        <v/>
      </c>
      <c r="AT918" s="25">
        <f>IF(G918="BLOQ",1,"")</f>
        <v/>
      </c>
      <c r="AU918" s="25">
        <f>IF(L918="BLOQ",1,"")</f>
        <v/>
      </c>
      <c r="AV918" s="25">
        <f>MONTH(F918)</f>
        <v/>
      </c>
      <c r="AW918" s="65">
        <f>IF(AP918="",100%,0%)</f>
        <v/>
      </c>
      <c r="AX918" s="56" t="n"/>
      <c r="AY918" s="24">
        <f>IF(M918=0,"",M918-$AX$2)</f>
        <v/>
      </c>
      <c r="AZ918" s="66">
        <f>IF(AND(W918="",AY918&gt;0,AY918&lt;15),1,0)</f>
        <v/>
      </c>
      <c r="BA918" s="24">
        <f>IF(AND(W918="",AY918&gt;0,AY918&lt;15),T918,"")</f>
        <v/>
      </c>
      <c r="BB918" s="87">
        <f>IF(R918&lt;Q918,"X","")</f>
        <v/>
      </c>
      <c r="BC918" s="190" t="inlineStr">
        <is>
          <t>NO</t>
        </is>
      </c>
      <c r="BD918" s="191" t="inlineStr">
        <is>
          <t>SI</t>
        </is>
      </c>
    </row>
    <row r="919" ht="15" customHeight="1" s="162">
      <c r="A919" s="7" t="n">
        <v>918</v>
      </c>
      <c r="B919" t="inlineStr">
        <is>
          <t>1139990091100</t>
        </is>
      </c>
      <c r="C919" t="inlineStr">
        <is>
          <t>ZOCALO RELE CARRIL DIN P/RELE 4PCO</t>
        </is>
      </c>
      <c r="D919" t="inlineStr">
        <is>
          <t>1800108821</t>
        </is>
      </c>
      <c r="E919" t="inlineStr">
        <is>
          <t>50</t>
        </is>
      </c>
      <c r="F919" s="163" t="n">
        <v>45459</v>
      </c>
      <c r="G919" t="inlineStr"/>
      <c r="H919" t="inlineStr">
        <is>
          <t>4200568057</t>
        </is>
      </c>
      <c r="I919" t="inlineStr">
        <is>
          <t>10</t>
        </is>
      </c>
      <c r="J919" s="163" t="n">
        <v>45464</v>
      </c>
      <c r="K919" s="163" t="n">
        <v>45464</v>
      </c>
      <c r="L919" t="inlineStr"/>
      <c r="M919" s="163" t="n">
        <v>45488</v>
      </c>
      <c r="N919" s="164" t="n">
        <v>50</v>
      </c>
      <c r="O919" s="164" t="n">
        <v>8</v>
      </c>
      <c r="P919" t="inlineStr">
        <is>
          <t>Liberado</t>
        </is>
      </c>
      <c r="Q919" s="165" t="n">
        <v>10</v>
      </c>
      <c r="R919" s="165" t="n">
        <v>10</v>
      </c>
      <c r="S919" s="165" t="n">
        <v>10</v>
      </c>
      <c r="T919" s="165" t="n">
        <v>0</v>
      </c>
      <c r="U919" s="166" t="n">
        <v>10</v>
      </c>
      <c r="V919" s="166" t="n">
        <v>0</v>
      </c>
      <c r="W919" t="inlineStr">
        <is>
          <t>X</t>
        </is>
      </c>
      <c r="X919" t="inlineStr">
        <is>
          <t>0.00</t>
        </is>
      </c>
      <c r="Y919" t="inlineStr"/>
      <c r="Z919" t="inlineStr">
        <is>
          <t>ICOMPPLUS ELECTRONICS S.L</t>
        </is>
      </c>
      <c r="AA919" t="inlineStr">
        <is>
          <t>FINDER</t>
        </is>
      </c>
      <c r="AB919" t="inlineStr">
        <is>
          <t>96.72</t>
        </is>
      </c>
      <c r="AC919" t="inlineStr"/>
      <c r="AD919" s="164" t="n">
        <v>0</v>
      </c>
      <c r="AE919" s="185" t="n">
        <v>0</v>
      </c>
      <c r="AG919" s="167" t="inlineStr">
        <is>
          <t>7218|JA2612_1001</t>
        </is>
      </c>
      <c r="AH919" s="47">
        <f>IF(M919=0,"-",M919-J919)</f>
        <v/>
      </c>
      <c r="AI919" s="46">
        <f>IF(AND(S919=0,M919&gt;0,L919=0),IF(AH919&gt;=120,"VERY HIGH",IF(AH919&gt;=90,"HIGH",IF(AH919&gt;=60,"MEDIUM",IF(AH919&lt;60,"LOW")))),"-")</f>
        <v/>
      </c>
      <c r="AJ919" s="12" t="n"/>
      <c r="AK919" s="53">
        <f>IF(AND(W919="X",M919&lt;=$AJ$2),"YES","")</f>
        <v/>
      </c>
      <c r="AL919" s="54">
        <f>IF(AND(W919="X",M919&lt;=$AJ$2),S919,"")</f>
        <v/>
      </c>
      <c r="AM919" s="35" t="n"/>
      <c r="AN919" s="35">
        <f>IF(AND(W919="X",M919&gt;$AJ$2),S919,"")</f>
        <v/>
      </c>
      <c r="AO919" s="35">
        <f>IF(AND(W919="",M919&gt;0,$AJ$2&gt;M919,L919=""),1,0)</f>
        <v/>
      </c>
      <c r="AP919" s="35">
        <f>IF(AND(AK919="YES",W919="X"),"X","")</f>
        <v/>
      </c>
      <c r="AQ919" s="55">
        <f>IF(AP919="X",100%,0%)</f>
        <v/>
      </c>
      <c r="AR919" s="25">
        <f>IF(AND(T919&gt;0,L919=""),H919,"")</f>
        <v/>
      </c>
      <c r="AS919" s="25">
        <f>IF(AND(D919&gt;0,H919=0,G919=""),1,"")</f>
        <v/>
      </c>
      <c r="AT919" s="25">
        <f>IF(G919="BLOQ",1,"")</f>
        <v/>
      </c>
      <c r="AU919" s="25">
        <f>IF(L919="BLOQ",1,"")</f>
        <v/>
      </c>
      <c r="AV919" s="25">
        <f>MONTH(F919)</f>
        <v/>
      </c>
      <c r="AW919" s="65">
        <f>IF(AP919="",100%,0%)</f>
        <v/>
      </c>
      <c r="AX919" s="56" t="n"/>
      <c r="AY919" s="24">
        <f>IF(M919=0,"",M919-$AX$2)</f>
        <v/>
      </c>
      <c r="AZ919" s="66">
        <f>IF(AND(W919="",AY919&gt;0,AY919&lt;15),1,0)</f>
        <v/>
      </c>
      <c r="BA919" s="24">
        <f>IF(AND(W919="",AY919&gt;0,AY919&lt;15),T919,"")</f>
        <v/>
      </c>
      <c r="BB919" s="87">
        <f>IF(R919&lt;Q919,"X","")</f>
        <v/>
      </c>
      <c r="BC919" s="190" t="inlineStr">
        <is>
          <t>NO</t>
        </is>
      </c>
      <c r="BD919" s="191" t="inlineStr">
        <is>
          <t>SI</t>
        </is>
      </c>
    </row>
    <row r="920" ht="15" customHeight="1" s="162">
      <c r="A920" s="7" t="n">
        <v>919</v>
      </c>
      <c r="B920" t="inlineStr">
        <is>
          <t>1139990091300</t>
        </is>
      </c>
      <c r="C920" t="inlineStr">
        <is>
          <t>ZOCALO RELE 250VAC 35MM TOR AZUL P/56.34</t>
        </is>
      </c>
      <c r="D920" t="inlineStr">
        <is>
          <t>1800108821</t>
        </is>
      </c>
      <c r="E920" t="inlineStr">
        <is>
          <t>60</t>
        </is>
      </c>
      <c r="F920" s="163" t="n">
        <v>45459</v>
      </c>
      <c r="G920" t="inlineStr"/>
      <c r="H920" t="inlineStr">
        <is>
          <t>4200568061</t>
        </is>
      </c>
      <c r="I920" t="inlineStr">
        <is>
          <t>10</t>
        </is>
      </c>
      <c r="J920" s="163" t="n">
        <v>45464</v>
      </c>
      <c r="K920" s="163" t="n">
        <v>45464</v>
      </c>
      <c r="L920" t="inlineStr"/>
      <c r="M920" s="163" t="n">
        <v>45488</v>
      </c>
      <c r="N920" s="164" t="n">
        <v>40</v>
      </c>
      <c r="O920" s="164" t="n">
        <v>8</v>
      </c>
      <c r="P920" t="inlineStr">
        <is>
          <t>Liberado</t>
        </is>
      </c>
      <c r="Q920" s="165" t="n">
        <v>2</v>
      </c>
      <c r="R920" s="165" t="n">
        <v>2</v>
      </c>
      <c r="S920" s="165" t="n">
        <v>2</v>
      </c>
      <c r="T920" s="165" t="n">
        <v>0</v>
      </c>
      <c r="U920" s="166" t="n">
        <v>2</v>
      </c>
      <c r="V920" s="166" t="n">
        <v>0</v>
      </c>
      <c r="W920" t="inlineStr">
        <is>
          <t>X</t>
        </is>
      </c>
      <c r="X920" t="inlineStr">
        <is>
          <t>0.00</t>
        </is>
      </c>
      <c r="Y920" t="inlineStr"/>
      <c r="Z920" t="inlineStr">
        <is>
          <t>FARNELL COMPONENTS, S.L.</t>
        </is>
      </c>
      <c r="AA920" t="inlineStr">
        <is>
          <t>FINDER</t>
        </is>
      </c>
      <c r="AB920" t="inlineStr">
        <is>
          <t>96.74SMA</t>
        </is>
      </c>
      <c r="AC920" t="inlineStr"/>
      <c r="AD920" s="164" t="n">
        <v>0</v>
      </c>
      <c r="AE920" s="185" t="n">
        <v>0</v>
      </c>
      <c r="AG920" s="167" t="inlineStr">
        <is>
          <t>7218|JA2581_1001</t>
        </is>
      </c>
      <c r="AH920" s="47">
        <f>IF(M920=0,"-",M920-J920)</f>
        <v/>
      </c>
      <c r="AI920" s="46">
        <f>IF(AND(S920=0,M920&gt;0,L920=0),IF(AH920&gt;=120,"VERY HIGH",IF(AH920&gt;=90,"HIGH",IF(AH920&gt;=60,"MEDIUM",IF(AH920&lt;60,"LOW")))),"-")</f>
        <v/>
      </c>
      <c r="AJ920" s="12" t="n"/>
      <c r="AK920" s="53">
        <f>IF(AND(W920="X",M920&lt;=$AJ$2),"YES","")</f>
        <v/>
      </c>
      <c r="AL920" s="54">
        <f>IF(AND(W920="X",M920&lt;=$AJ$2),S920,"")</f>
        <v/>
      </c>
      <c r="AM920" s="35" t="n"/>
      <c r="AN920" s="35">
        <f>IF(AND(W920="X",M920&gt;$AJ$2),S920,"")</f>
        <v/>
      </c>
      <c r="AO920" s="35">
        <f>IF(AND(W920="",M920&gt;0,$AJ$2&gt;M920,L920=""),1,0)</f>
        <v/>
      </c>
      <c r="AP920" s="35">
        <f>IF(AND(AK920="YES",W920="X"),"X","")</f>
        <v/>
      </c>
      <c r="AQ920" s="55">
        <f>IF(AP920="X",100%,0%)</f>
        <v/>
      </c>
      <c r="AR920" s="25">
        <f>IF(AND(T920&gt;0,L920=""),H920,"")</f>
        <v/>
      </c>
      <c r="AS920" s="25">
        <f>IF(AND(D920&gt;0,H920=0,G920=""),1,"")</f>
        <v/>
      </c>
      <c r="AT920" s="25">
        <f>IF(G920="BLOQ",1,"")</f>
        <v/>
      </c>
      <c r="AU920" s="25">
        <f>IF(L920="BLOQ",1,"")</f>
        <v/>
      </c>
      <c r="AV920" s="25">
        <f>MONTH(F920)</f>
        <v/>
      </c>
      <c r="AW920" s="65">
        <f>IF(AP920="",100%,0%)</f>
        <v/>
      </c>
      <c r="AX920" s="56" t="n"/>
      <c r="AY920" s="24">
        <f>IF(M920=0,"",M920-$AX$2)</f>
        <v/>
      </c>
      <c r="AZ920" s="66">
        <f>IF(AND(W920="",AY920&gt;0,AY920&lt;15),1,0)</f>
        <v/>
      </c>
      <c r="BA920" s="24">
        <f>IF(AND(W920="",AY920&gt;0,AY920&lt;15),T920,"")</f>
        <v/>
      </c>
      <c r="BB920" s="87">
        <f>IF(R920&lt;Q920,"X","")</f>
        <v/>
      </c>
      <c r="BC920" s="190" t="inlineStr">
        <is>
          <t>NO</t>
        </is>
      </c>
      <c r="BD920" s="191" t="inlineStr">
        <is>
          <t>SI</t>
        </is>
      </c>
    </row>
    <row r="921" ht="15" customHeight="1" s="162">
      <c r="A921" s="7" t="n">
        <v>920</v>
      </c>
      <c r="B921" t="inlineStr">
        <is>
          <t>1142012242600</t>
        </is>
      </c>
      <c r="C921" t="inlineStr">
        <is>
          <t>INDICADOR LED C/CUERP 24V PLASTIC NARANJ</t>
        </is>
      </c>
      <c r="D921" t="inlineStr">
        <is>
          <t>1800108821</t>
        </is>
      </c>
      <c r="E921" t="inlineStr">
        <is>
          <t>70</t>
        </is>
      </c>
      <c r="F921" s="163" t="n">
        <v>45459</v>
      </c>
      <c r="G921" t="inlineStr"/>
      <c r="H921" t="inlineStr">
        <is>
          <t>4200569759</t>
        </is>
      </c>
      <c r="I921" t="inlineStr">
        <is>
          <t>100</t>
        </is>
      </c>
      <c r="J921" s="163" t="n">
        <v>45481</v>
      </c>
      <c r="K921" s="163" t="n">
        <v>45490</v>
      </c>
      <c r="L921" t="inlineStr"/>
      <c r="M921" s="163" t="n">
        <v>45502</v>
      </c>
      <c r="N921" s="164" t="n">
        <v>40</v>
      </c>
      <c r="O921" s="164" t="n">
        <v>8</v>
      </c>
      <c r="P921" t="inlineStr">
        <is>
          <t>Liberado</t>
        </is>
      </c>
      <c r="Q921" s="165" t="n">
        <v>1</v>
      </c>
      <c r="R921" s="165" t="n">
        <v>1</v>
      </c>
      <c r="S921" s="165" t="n">
        <v>1</v>
      </c>
      <c r="T921" s="165" t="n">
        <v>0</v>
      </c>
      <c r="U921" s="166" t="n">
        <v>1</v>
      </c>
      <c r="V921" s="166" t="n">
        <v>0</v>
      </c>
      <c r="W921" t="inlineStr">
        <is>
          <t>X</t>
        </is>
      </c>
      <c r="X921" t="inlineStr">
        <is>
          <t>0.00</t>
        </is>
      </c>
      <c r="Y921" t="inlineStr"/>
      <c r="Z921" t="inlineStr">
        <is>
          <t>TCX MICRO, S.L.U</t>
        </is>
      </c>
      <c r="AA921" t="inlineStr">
        <is>
          <t>SCHNEIDER ELECTRIC</t>
        </is>
      </c>
      <c r="AB921" t="inlineStr">
        <is>
          <t>ZB5AVB5</t>
        </is>
      </c>
      <c r="AC921" t="inlineStr"/>
      <c r="AD921" s="164" t="n">
        <v>0</v>
      </c>
      <c r="AE921" s="185" t="n">
        <v>0</v>
      </c>
      <c r="AG921" s="167" t="inlineStr">
        <is>
          <t>7218|JA2612_1001</t>
        </is>
      </c>
      <c r="AH921" s="47">
        <f>IF(M921=0,"-",M921-J921)</f>
        <v/>
      </c>
      <c r="AI921" s="46">
        <f>IF(AND(S921=0,M921&gt;0,L921=0),IF(AH921&gt;=120,"VERY HIGH",IF(AH921&gt;=90,"HIGH",IF(AH921&gt;=60,"MEDIUM",IF(AH921&lt;60,"LOW")))),"-")</f>
        <v/>
      </c>
      <c r="AJ921" s="12" t="n"/>
      <c r="AK921" s="53">
        <f>IF(AND(W921="X",M921&lt;=$AJ$2),"YES","")</f>
        <v/>
      </c>
      <c r="AL921" s="54">
        <f>IF(AND(W921="X",M921&lt;=$AJ$2),S921,"")</f>
        <v/>
      </c>
      <c r="AM921" s="35" t="n"/>
      <c r="AN921" s="35">
        <f>IF(AND(W921="X",M921&gt;$AJ$2),S921,"")</f>
        <v/>
      </c>
      <c r="AO921" s="35">
        <f>IF(AND(W921="",M921&gt;0,$AJ$2&gt;M921,L921=""),1,0)</f>
        <v/>
      </c>
      <c r="AP921" s="35">
        <f>IF(AND(AK921="YES",W921="X"),"X","")</f>
        <v/>
      </c>
      <c r="AQ921" s="55">
        <f>IF(AP921="X",100%,0%)</f>
        <v/>
      </c>
      <c r="AR921" s="25">
        <f>IF(AND(T921&gt;0,L921=""),H921,"")</f>
        <v/>
      </c>
      <c r="AS921" s="25">
        <f>IF(AND(D921&gt;0,H921=0,G921=""),1,"")</f>
        <v/>
      </c>
      <c r="AT921" s="25">
        <f>IF(G921="BLOQ",1,"")</f>
        <v/>
      </c>
      <c r="AU921" s="25">
        <f>IF(L921="BLOQ",1,"")</f>
        <v/>
      </c>
      <c r="AV921" s="25">
        <f>MONTH(F921)</f>
        <v/>
      </c>
      <c r="AW921" s="65">
        <f>IF(AP921="",100%,0%)</f>
        <v/>
      </c>
      <c r="AX921" s="56" t="n"/>
      <c r="AY921" s="24">
        <f>IF(M921=0,"",M921-$AX$2)</f>
        <v/>
      </c>
      <c r="AZ921" s="66">
        <f>IF(AND(W921="",AY921&gt;0,AY921&lt;15),1,0)</f>
        <v/>
      </c>
      <c r="BA921" s="24">
        <f>IF(AND(W921="",AY921&gt;0,AY921&lt;15),T921,"")</f>
        <v/>
      </c>
      <c r="BB921" s="87">
        <f>IF(R921&lt;Q921,"X","")</f>
        <v/>
      </c>
      <c r="BC921" s="190" t="inlineStr">
        <is>
          <t>NO</t>
        </is>
      </c>
      <c r="BD921" s="191" t="inlineStr">
        <is>
          <t>SI</t>
        </is>
      </c>
    </row>
    <row r="922" ht="15" customHeight="1" s="162">
      <c r="A922" s="7" t="n">
        <v>921</v>
      </c>
      <c r="B922" t="inlineStr">
        <is>
          <t>1146093240100</t>
        </is>
      </c>
      <c r="C922" t="inlineStr">
        <is>
          <t>AVISADOR LUMINOSO 24V AMBAR CAJA-BLANCA</t>
        </is>
      </c>
      <c r="D922" t="inlineStr">
        <is>
          <t>1800108821</t>
        </is>
      </c>
      <c r="E922" t="inlineStr">
        <is>
          <t>80</t>
        </is>
      </c>
      <c r="F922" s="163" t="n">
        <v>45459</v>
      </c>
      <c r="G922" t="inlineStr"/>
      <c r="H922" t="inlineStr">
        <is>
          <t>4200571051</t>
        </is>
      </c>
      <c r="I922" t="inlineStr">
        <is>
          <t>10</t>
        </is>
      </c>
      <c r="J922" s="163" t="n">
        <v>45490</v>
      </c>
      <c r="K922" s="163" t="n">
        <v>45490</v>
      </c>
      <c r="L922" t="inlineStr"/>
      <c r="M922" s="163" t="n">
        <v>45499</v>
      </c>
      <c r="N922" s="164" t="n">
        <v>40</v>
      </c>
      <c r="O922" s="164" t="n">
        <v>8</v>
      </c>
      <c r="P922" t="inlineStr">
        <is>
          <t>Liberado</t>
        </is>
      </c>
      <c r="Q922" s="165" t="n">
        <v>2</v>
      </c>
      <c r="R922" s="165" t="n">
        <v>2</v>
      </c>
      <c r="S922" s="165" t="n">
        <v>2</v>
      </c>
      <c r="T922" s="165" t="n">
        <v>0</v>
      </c>
      <c r="U922" s="166" t="n">
        <v>2</v>
      </c>
      <c r="V922" s="166" t="n">
        <v>0</v>
      </c>
      <c r="W922" t="inlineStr">
        <is>
          <t>X</t>
        </is>
      </c>
      <c r="X922" t="inlineStr">
        <is>
          <t>0.00</t>
        </is>
      </c>
      <c r="Y922" t="inlineStr"/>
      <c r="Z922" t="inlineStr">
        <is>
          <t>ICOMPPLUS ELECTRONICS S.L</t>
        </is>
      </c>
      <c r="AA922" t="inlineStr">
        <is>
          <t>E2S</t>
        </is>
      </c>
      <c r="AB922" t="inlineStr">
        <is>
          <t>L101XDC024BW/A</t>
        </is>
      </c>
      <c r="AC922" t="inlineStr"/>
      <c r="AD922" s="164" t="n">
        <v>0</v>
      </c>
      <c r="AE922" s="185" t="n">
        <v>0</v>
      </c>
      <c r="AG922" s="167" t="inlineStr">
        <is>
          <t>7218|JA2612_1001</t>
        </is>
      </c>
      <c r="AH922" s="47">
        <f>IF(M922=0,"-",M922-J922)</f>
        <v/>
      </c>
      <c r="AI922" s="46">
        <f>IF(AND(S922=0,M922&gt;0,L922=0),IF(AH922&gt;=120,"VERY HIGH",IF(AH922&gt;=90,"HIGH",IF(AH922&gt;=60,"MEDIUM",IF(AH922&lt;60,"LOW")))),"-")</f>
        <v/>
      </c>
      <c r="AJ922" s="12" t="n"/>
      <c r="AK922" s="53">
        <f>IF(AND(W922="X",M922&lt;=$AJ$2),"YES","")</f>
        <v/>
      </c>
      <c r="AL922" s="54">
        <f>IF(AND(W922="X",M922&lt;=$AJ$2),S922,"")</f>
        <v/>
      </c>
      <c r="AM922" s="35" t="n"/>
      <c r="AN922" s="35">
        <f>IF(AND(W922="X",M922&gt;$AJ$2),S922,"")</f>
        <v/>
      </c>
      <c r="AO922" s="35">
        <f>IF(AND(W922="",M922&gt;0,$AJ$2&gt;M922,L922=""),1,0)</f>
        <v/>
      </c>
      <c r="AP922" s="35">
        <f>IF(AND(AK922="YES",W922="X"),"X","")</f>
        <v/>
      </c>
      <c r="AQ922" s="55">
        <f>IF(AP922="X",100%,0%)</f>
        <v/>
      </c>
      <c r="AR922" s="25">
        <f>IF(AND(T922&gt;0,L922=""),H922,"")</f>
        <v/>
      </c>
      <c r="AS922" s="25">
        <f>IF(AND(D922&gt;0,H922=0,G922=""),1,"")</f>
        <v/>
      </c>
      <c r="AT922" s="25">
        <f>IF(G922="BLOQ",1,"")</f>
        <v/>
      </c>
      <c r="AU922" s="25">
        <f>IF(L922="BLOQ",1,"")</f>
        <v/>
      </c>
      <c r="AV922" s="25">
        <f>MONTH(F922)</f>
        <v/>
      </c>
      <c r="AW922" s="65">
        <f>IF(AP922="",100%,0%)</f>
        <v/>
      </c>
      <c r="AX922" s="56" t="n"/>
      <c r="AY922" s="24">
        <f>IF(M922=0,"",M922-$AX$2)</f>
        <v/>
      </c>
      <c r="AZ922" s="66">
        <f>IF(AND(W922="",AY922&gt;0,AY922&lt;15),1,0)</f>
        <v/>
      </c>
      <c r="BA922" s="24">
        <f>IF(AND(W922="",AY922&gt;0,AY922&lt;15),T922,"")</f>
        <v/>
      </c>
      <c r="BB922" s="87">
        <f>IF(R922&lt;Q922,"X","")</f>
        <v/>
      </c>
      <c r="BC922" s="191" t="inlineStr">
        <is>
          <t>SI</t>
        </is>
      </c>
      <c r="BD922" s="191" t="inlineStr">
        <is>
          <t>SI</t>
        </is>
      </c>
    </row>
    <row r="923" ht="15" customHeight="1" s="162">
      <c r="A923" s="7" t="n">
        <v>922</v>
      </c>
      <c r="B923" t="inlineStr">
        <is>
          <t>1237000282000</t>
        </is>
      </c>
      <c r="C923" t="inlineStr">
        <is>
          <t>TERMINAL REGLETA AWG28-14 600V GRIS</t>
        </is>
      </c>
      <c r="D923" t="inlineStr">
        <is>
          <t>1800108821</t>
        </is>
      </c>
      <c r="E923" t="inlineStr">
        <is>
          <t>90</t>
        </is>
      </c>
      <c r="F923" s="163" t="n">
        <v>45459</v>
      </c>
      <c r="G923" t="inlineStr"/>
      <c r="H923" t="inlineStr">
        <is>
          <t>4200570311</t>
        </is>
      </c>
      <c r="I923" t="inlineStr">
        <is>
          <t>110</t>
        </is>
      </c>
      <c r="J923" s="163" t="n">
        <v>45484</v>
      </c>
      <c r="K923" s="163" t="n">
        <v>45489</v>
      </c>
      <c r="L923" t="inlineStr"/>
      <c r="M923" s="163" t="n">
        <v>45569</v>
      </c>
      <c r="N923" s="164" t="n">
        <v>30</v>
      </c>
      <c r="O923" s="164" t="n">
        <v>8</v>
      </c>
      <c r="P923" t="inlineStr">
        <is>
          <t>Liberado</t>
        </is>
      </c>
      <c r="Q923" s="165" t="n">
        <v>200</v>
      </c>
      <c r="R923" s="165" t="n">
        <v>200</v>
      </c>
      <c r="S923" s="165" t="n">
        <v>200</v>
      </c>
      <c r="T923" s="165" t="n">
        <v>0</v>
      </c>
      <c r="U923" s="166" t="n">
        <v>200</v>
      </c>
      <c r="V923" s="166" t="n">
        <v>0</v>
      </c>
      <c r="W923" t="inlineStr">
        <is>
          <t>X</t>
        </is>
      </c>
      <c r="X923" t="inlineStr">
        <is>
          <t>0.00</t>
        </is>
      </c>
      <c r="Y923" t="inlineStr"/>
      <c r="Z923" t="inlineStr">
        <is>
          <t>DICOMAT, S.L.</t>
        </is>
      </c>
      <c r="AA923" t="inlineStr">
        <is>
          <t>WAGO</t>
        </is>
      </c>
      <c r="AB923" t="inlineStr">
        <is>
          <t>280-621</t>
        </is>
      </c>
      <c r="AC923" t="inlineStr"/>
      <c r="AD923" s="164" t="n">
        <v>1</v>
      </c>
      <c r="AE923" s="185" t="n">
        <v>0</v>
      </c>
      <c r="AG923" s="167" t="inlineStr">
        <is>
          <t>7218|JA2581_1001</t>
        </is>
      </c>
      <c r="AH923" s="47">
        <f>IF(M923=0,"-",M923-J923)</f>
        <v/>
      </c>
      <c r="AI923" s="46">
        <f>IF(AND(S923=0,M923&gt;0,L923=0),IF(AH923&gt;=120,"VERY HIGH",IF(AH923&gt;=90,"HIGH",IF(AH923&gt;=60,"MEDIUM",IF(AH923&lt;60,"LOW")))),"-")</f>
        <v/>
      </c>
      <c r="AJ923" s="12" t="n"/>
      <c r="AK923" s="53">
        <f>IF(AND(W923="X",M923&lt;=$AJ$2),"YES","")</f>
        <v/>
      </c>
      <c r="AL923" s="54">
        <f>IF(AND(W923="X",M923&lt;=$AJ$2),S923,"")</f>
        <v/>
      </c>
      <c r="AM923" s="35" t="n"/>
      <c r="AN923" s="35">
        <f>IF(AND(W923="X",M923&gt;$AJ$2),S923,"")</f>
        <v/>
      </c>
      <c r="AO923" s="35">
        <f>IF(AND(W923="",M923&gt;0,$AJ$2&gt;M923,L923=""),1,0)</f>
        <v/>
      </c>
      <c r="AP923" s="35">
        <f>IF(AND(AK923="YES",W923="X"),"X","")</f>
        <v/>
      </c>
      <c r="AQ923" s="55">
        <f>IF(AP923="X",100%,0%)</f>
        <v/>
      </c>
      <c r="AR923" s="25">
        <f>IF(AND(T923&gt;0,L923=""),H923,"")</f>
        <v/>
      </c>
      <c r="AS923" s="25">
        <f>IF(AND(D923&gt;0,H923=0,G923=""),1,"")</f>
        <v/>
      </c>
      <c r="AT923" s="25">
        <f>IF(G923="BLOQ",1,"")</f>
        <v/>
      </c>
      <c r="AU923" s="25">
        <f>IF(L923="BLOQ",1,"")</f>
        <v/>
      </c>
      <c r="AV923" s="25">
        <f>MONTH(F923)</f>
        <v/>
      </c>
      <c r="AW923" s="65">
        <f>IF(AP923="",100%,0%)</f>
        <v/>
      </c>
      <c r="AX923" s="56" t="n"/>
      <c r="AY923" s="24">
        <f>IF(M923=0,"",M923-$AX$2)</f>
        <v/>
      </c>
      <c r="AZ923" s="66">
        <f>IF(AND(W923="",AY923&gt;0,AY923&lt;15),1,0)</f>
        <v/>
      </c>
      <c r="BA923" s="24">
        <f>IF(AND(W923="",AY923&gt;0,AY923&lt;15),T923,"")</f>
        <v/>
      </c>
      <c r="BB923" s="87">
        <f>IF(R923&lt;Q923,"X","")</f>
        <v/>
      </c>
      <c r="BC923" s="190" t="inlineStr">
        <is>
          <t>NO</t>
        </is>
      </c>
      <c r="BD923" s="191" t="inlineStr">
        <is>
          <t>SI</t>
        </is>
      </c>
    </row>
    <row r="924" ht="15" customHeight="1" s="162">
      <c r="A924" s="7" t="n">
        <v>923</v>
      </c>
      <c r="B924" t="inlineStr">
        <is>
          <t>1237090350800</t>
        </is>
      </c>
      <c r="C924" t="inlineStr">
        <is>
          <t>PLACA 2,5MM INTERM/FINAL REGLETA GRIS (1</t>
        </is>
      </c>
      <c r="D924" t="inlineStr">
        <is>
          <t>1800108821</t>
        </is>
      </c>
      <c r="E924" t="inlineStr">
        <is>
          <t>100</t>
        </is>
      </c>
      <c r="F924" s="163" t="n">
        <v>45459</v>
      </c>
      <c r="G924" t="inlineStr"/>
      <c r="H924" t="inlineStr">
        <is>
          <t>4200570311</t>
        </is>
      </c>
      <c r="I924" t="inlineStr">
        <is>
          <t>120</t>
        </is>
      </c>
      <c r="J924" s="163" t="n">
        <v>45484</v>
      </c>
      <c r="K924" s="163" t="n">
        <v>45489</v>
      </c>
      <c r="L924" t="inlineStr"/>
      <c r="M924" s="163" t="n">
        <v>45569</v>
      </c>
      <c r="N924" s="164" t="n">
        <v>110</v>
      </c>
      <c r="O924" s="164" t="n">
        <v>8</v>
      </c>
      <c r="P924" t="inlineStr">
        <is>
          <t>Liberado</t>
        </is>
      </c>
      <c r="Q924" s="165" t="n">
        <v>40</v>
      </c>
      <c r="R924" s="165" t="n">
        <v>50</v>
      </c>
      <c r="S924" s="165" t="n">
        <v>50</v>
      </c>
      <c r="T924" s="165" t="n">
        <v>0</v>
      </c>
      <c r="U924" s="166" t="n">
        <v>50</v>
      </c>
      <c r="V924" s="166" t="n">
        <v>0</v>
      </c>
      <c r="W924" t="inlineStr">
        <is>
          <t>X</t>
        </is>
      </c>
      <c r="X924" t="inlineStr">
        <is>
          <t>0.00</t>
        </is>
      </c>
      <c r="Y924" t="inlineStr"/>
      <c r="Z924" t="inlineStr">
        <is>
          <t>DICOMAT, S.L.</t>
        </is>
      </c>
      <c r="AA924" t="inlineStr">
        <is>
          <t>WAGO</t>
        </is>
      </c>
      <c r="AB924" t="inlineStr">
        <is>
          <t>280-316</t>
        </is>
      </c>
      <c r="AC924" t="inlineStr"/>
      <c r="AD924" s="164" t="n">
        <v>1</v>
      </c>
      <c r="AE924" s="185" t="n">
        <v>0</v>
      </c>
      <c r="AG924" s="167" t="inlineStr">
        <is>
          <t>7218|JA2581_1001</t>
        </is>
      </c>
      <c r="AH924" s="47">
        <f>IF(M924=0,"-",M924-J924)</f>
        <v/>
      </c>
      <c r="AI924" s="46">
        <f>IF(AND(S924=0,M924&gt;0,L924=0),IF(AH924&gt;=120,"VERY HIGH",IF(AH924&gt;=90,"HIGH",IF(AH924&gt;=60,"MEDIUM",IF(AH924&lt;60,"LOW")))),"-")</f>
        <v/>
      </c>
      <c r="AJ924" s="12" t="n"/>
      <c r="AK924" s="53">
        <f>IF(AND(W924="X",M924&lt;=$AJ$2),"YES","")</f>
        <v/>
      </c>
      <c r="AL924" s="54">
        <f>IF(AND(W924="X",M924&lt;=$AJ$2),S924,"")</f>
        <v/>
      </c>
      <c r="AM924" s="35" t="n"/>
      <c r="AN924" s="35">
        <f>IF(AND(W924="X",M924&gt;$AJ$2),S924,"")</f>
        <v/>
      </c>
      <c r="AO924" s="35">
        <f>IF(AND(W924="",M924&gt;0,$AJ$2&gt;M924,L924=""),1,0)</f>
        <v/>
      </c>
      <c r="AP924" s="35">
        <f>IF(AND(AK924="YES",W924="X"),"X","")</f>
        <v/>
      </c>
      <c r="AQ924" s="55">
        <f>IF(AP924="X",100%,0%)</f>
        <v/>
      </c>
      <c r="AR924" s="25">
        <f>IF(AND(T924&gt;0,L924=""),H924,"")</f>
        <v/>
      </c>
      <c r="AS924" s="25">
        <f>IF(AND(D924&gt;0,H924=0,G924=""),1,"")</f>
        <v/>
      </c>
      <c r="AT924" s="25">
        <f>IF(G924="BLOQ",1,"")</f>
        <v/>
      </c>
      <c r="AU924" s="25">
        <f>IF(L924="BLOQ",1,"")</f>
        <v/>
      </c>
      <c r="AV924" s="25">
        <f>MONTH(F924)</f>
        <v/>
      </c>
      <c r="AW924" s="65">
        <f>IF(AP924="",100%,0%)</f>
        <v/>
      </c>
      <c r="AX924" s="56" t="n"/>
      <c r="AY924" s="24">
        <f>IF(M924=0,"",M924-$AX$2)</f>
        <v/>
      </c>
      <c r="AZ924" s="66">
        <f>IF(AND(W924="",AY924&gt;0,AY924&lt;15),1,0)</f>
        <v/>
      </c>
      <c r="BA924" s="24">
        <f>IF(AND(W924="",AY924&gt;0,AY924&lt;15),T924,"")</f>
        <v/>
      </c>
      <c r="BB924" s="87">
        <f>IF(R924&lt;Q924,"X","")</f>
        <v/>
      </c>
      <c r="BC924" s="190" t="inlineStr">
        <is>
          <t>NO</t>
        </is>
      </c>
      <c r="BD924" s="191" t="inlineStr">
        <is>
          <t>SI</t>
        </is>
      </c>
    </row>
    <row r="925" ht="15" customHeight="1" s="162">
      <c r="A925" s="7" t="n">
        <v>924</v>
      </c>
      <c r="B925" t="inlineStr">
        <is>
          <t>1238524420660</t>
        </is>
      </c>
      <c r="C925" t="inlineStr">
        <is>
          <t>TERM PREAISL DIA 4,2MM CBL AWG16-14 AZUL</t>
        </is>
      </c>
      <c r="D925" t="inlineStr">
        <is>
          <t>1800108821</t>
        </is>
      </c>
      <c r="E925" t="inlineStr">
        <is>
          <t>110</t>
        </is>
      </c>
      <c r="F925" s="163" t="n">
        <v>45459</v>
      </c>
      <c r="G925" t="inlineStr"/>
      <c r="H925" t="inlineStr">
        <is>
          <t>4200569232</t>
        </is>
      </c>
      <c r="I925" t="inlineStr">
        <is>
          <t>50</t>
        </is>
      </c>
      <c r="J925" s="163" t="n">
        <v>45476</v>
      </c>
      <c r="K925" s="163" t="n">
        <v>45483</v>
      </c>
      <c r="L925" t="inlineStr"/>
      <c r="M925" s="163" t="n">
        <v>45494</v>
      </c>
      <c r="N925" s="164" t="n">
        <v>30</v>
      </c>
      <c r="O925" s="164" t="n">
        <v>8</v>
      </c>
      <c r="P925" t="inlineStr">
        <is>
          <t>Liberado</t>
        </is>
      </c>
      <c r="Q925" s="165" t="n">
        <v>100</v>
      </c>
      <c r="R925" s="165" t="n">
        <v>1000</v>
      </c>
      <c r="S925" s="165" t="n">
        <v>1000</v>
      </c>
      <c r="T925" s="165" t="n">
        <v>0</v>
      </c>
      <c r="U925" s="166" t="n">
        <v>1000</v>
      </c>
      <c r="V925" s="166" t="n">
        <v>0</v>
      </c>
      <c r="W925" t="inlineStr">
        <is>
          <t>X</t>
        </is>
      </c>
      <c r="X925" t="inlineStr">
        <is>
          <t>0.00</t>
        </is>
      </c>
      <c r="Y925" t="inlineStr"/>
      <c r="Z925" t="inlineStr">
        <is>
          <t>TTI INC.</t>
        </is>
      </c>
      <c r="AA925" t="inlineStr">
        <is>
          <t>MILITARY STANDARDS</t>
        </is>
      </c>
      <c r="AB925" t="inlineStr">
        <is>
          <t>MS25036-153</t>
        </is>
      </c>
      <c r="AC925" t="inlineStr"/>
      <c r="AD925" s="164" t="n">
        <v>0</v>
      </c>
      <c r="AE925" s="185" t="n">
        <v>0</v>
      </c>
      <c r="AG925" s="167" t="inlineStr">
        <is>
          <t>7218|JA2612_1001</t>
        </is>
      </c>
      <c r="AH925" s="47">
        <f>IF(M925=0,"-",M925-J925)</f>
        <v/>
      </c>
      <c r="AI925" s="46">
        <f>IF(AND(S925=0,M925&gt;0,L925=0),IF(AH925&gt;=120,"VERY HIGH",IF(AH925&gt;=90,"HIGH",IF(AH925&gt;=60,"MEDIUM",IF(AH925&lt;60,"LOW")))),"-")</f>
        <v/>
      </c>
      <c r="AJ925" s="12" t="n"/>
      <c r="AK925" s="53">
        <f>IF(AND(W925="X",M925&lt;=$AJ$2),"YES","")</f>
        <v/>
      </c>
      <c r="AL925" s="54">
        <f>IF(AND(W925="X",M925&lt;=$AJ$2),S925,"")</f>
        <v/>
      </c>
      <c r="AM925" s="35" t="n"/>
      <c r="AN925" s="35">
        <f>IF(AND(W925="X",M925&gt;$AJ$2),S925,"")</f>
        <v/>
      </c>
      <c r="AO925" s="35">
        <f>IF(AND(W925="",M925&gt;0,$AJ$2&gt;M925,L925=""),1,0)</f>
        <v/>
      </c>
      <c r="AP925" s="35">
        <f>IF(AND(AK925="YES",W925="X"),"X","")</f>
        <v/>
      </c>
      <c r="AQ925" s="55">
        <f>IF(AP925="X",100%,0%)</f>
        <v/>
      </c>
      <c r="AR925" s="25">
        <f>IF(AND(T925&gt;0,L925=""),H925,"")</f>
        <v/>
      </c>
      <c r="AS925" s="25">
        <f>IF(AND(D925&gt;0,H925=0,G925=""),1,"")</f>
        <v/>
      </c>
      <c r="AT925" s="25">
        <f>IF(G925="BLOQ",1,"")</f>
        <v/>
      </c>
      <c r="AU925" s="25">
        <f>IF(L925="BLOQ",1,"")</f>
        <v/>
      </c>
      <c r="AV925" s="25">
        <f>MONTH(F925)</f>
        <v/>
      </c>
      <c r="AW925" s="65">
        <f>IF(AP925="",100%,0%)</f>
        <v/>
      </c>
      <c r="AX925" s="56" t="n"/>
      <c r="AY925" s="24">
        <f>IF(M925=0,"",M925-$AX$2)</f>
        <v/>
      </c>
      <c r="AZ925" s="66">
        <f>IF(AND(W925="",AY925&gt;0,AY925&lt;15),1,0)</f>
        <v/>
      </c>
      <c r="BA925" s="24">
        <f>IF(AND(W925="",AY925&gt;0,AY925&lt;15),T925,"")</f>
        <v/>
      </c>
      <c r="BB925" s="87">
        <f>IF(R925&lt;Q925,"X","")</f>
        <v/>
      </c>
      <c r="BC925" s="190" t="inlineStr">
        <is>
          <t>NO</t>
        </is>
      </c>
      <c r="BD925" s="191" t="inlineStr">
        <is>
          <t>SI</t>
        </is>
      </c>
    </row>
    <row r="926" ht="15" customHeight="1" s="162">
      <c r="A926" s="7" t="n">
        <v>925</v>
      </c>
      <c r="B926" t="inlineStr">
        <is>
          <t>1289991640000</t>
        </is>
      </c>
      <c r="C926" t="inlineStr">
        <is>
          <t>TAPON BOTON BLANCO FLECHA-ARIBA XB4/XB5</t>
        </is>
      </c>
      <c r="D926" t="inlineStr">
        <is>
          <t>1800108821</t>
        </is>
      </c>
      <c r="E926" t="inlineStr">
        <is>
          <t>120</t>
        </is>
      </c>
      <c r="F926" s="163" t="n">
        <v>45459</v>
      </c>
      <c r="G926" t="inlineStr"/>
      <c r="H926" t="inlineStr">
        <is>
          <t>4200569504</t>
        </is>
      </c>
      <c r="I926" t="inlineStr">
        <is>
          <t>260</t>
        </is>
      </c>
      <c r="J926" s="163" t="n">
        <v>45478</v>
      </c>
      <c r="K926" s="163" t="n">
        <v>45478</v>
      </c>
      <c r="L926" t="inlineStr"/>
      <c r="M926" s="163" t="n">
        <v>45488</v>
      </c>
      <c r="N926" s="164" t="n">
        <v>85</v>
      </c>
      <c r="O926" s="164" t="n">
        <v>8</v>
      </c>
      <c r="P926" t="inlineStr">
        <is>
          <t>Liberado</t>
        </is>
      </c>
      <c r="Q926" s="165" t="n">
        <v>3</v>
      </c>
      <c r="R926" s="165" t="n">
        <v>10</v>
      </c>
      <c r="S926" s="165" t="n">
        <v>10</v>
      </c>
      <c r="T926" s="165" t="n">
        <v>0</v>
      </c>
      <c r="U926" s="166" t="n">
        <v>10</v>
      </c>
      <c r="V926" s="166" t="n">
        <v>0</v>
      </c>
      <c r="W926" t="inlineStr">
        <is>
          <t>X</t>
        </is>
      </c>
      <c r="X926" t="inlineStr">
        <is>
          <t>0.00</t>
        </is>
      </c>
      <c r="Y926" t="inlineStr"/>
      <c r="Z926" t="inlineStr">
        <is>
          <t>(AEMSA)ALMACENES ELECTRICOS MADRILE</t>
        </is>
      </c>
      <c r="AA926" t="inlineStr">
        <is>
          <t>SCHNEIDER ELECTRIC</t>
        </is>
      </c>
      <c r="AB926" t="inlineStr">
        <is>
          <t>ZBAF334</t>
        </is>
      </c>
      <c r="AC926" t="inlineStr"/>
      <c r="AD926" s="164" t="n">
        <v>0</v>
      </c>
      <c r="AE926" s="185" t="n">
        <v>0</v>
      </c>
      <c r="AG926" s="167" t="inlineStr">
        <is>
          <t>7218|JA2612_1001</t>
        </is>
      </c>
      <c r="AH926" s="47">
        <f>IF(M926=0,"-",M926-J926)</f>
        <v/>
      </c>
      <c r="AI926" s="46">
        <f>IF(AND(S926=0,M926&gt;0,L926=0),IF(AH926&gt;=120,"VERY HIGH",IF(AH926&gt;=90,"HIGH",IF(AH926&gt;=60,"MEDIUM",IF(AH926&lt;60,"LOW")))),"-")</f>
        <v/>
      </c>
      <c r="AJ926" s="12" t="n"/>
      <c r="AK926" s="53">
        <f>IF(AND(W926="X",M926&lt;=$AJ$2),"YES","")</f>
        <v/>
      </c>
      <c r="AL926" s="54">
        <f>IF(AND(W926="X",M926&lt;=$AJ$2),S926,"")</f>
        <v/>
      </c>
      <c r="AM926" s="35" t="n"/>
      <c r="AN926" s="35">
        <f>IF(AND(W926="X",M926&gt;$AJ$2),S926,"")</f>
        <v/>
      </c>
      <c r="AO926" s="35">
        <f>IF(AND(W926="",M926&gt;0,$AJ$2&gt;M926,L926=""),1,0)</f>
        <v/>
      </c>
      <c r="AP926" s="35">
        <f>IF(AND(AK926="YES",W926="X"),"X","")</f>
        <v/>
      </c>
      <c r="AQ926" s="55">
        <f>IF(AP926="X",100%,0%)</f>
        <v/>
      </c>
      <c r="AR926" s="25">
        <f>IF(AND(T926&gt;0,L926=""),H926,"")</f>
        <v/>
      </c>
      <c r="AS926" s="25">
        <f>IF(AND(D926&gt;0,H926=0,G926=""),1,"")</f>
        <v/>
      </c>
      <c r="AT926" s="25">
        <f>IF(G926="BLOQ",1,"")</f>
        <v/>
      </c>
      <c r="AU926" s="25">
        <f>IF(L926="BLOQ",1,"")</f>
        <v/>
      </c>
      <c r="AV926" s="25">
        <f>MONTH(F926)</f>
        <v/>
      </c>
      <c r="AW926" s="65">
        <f>IF(AP926="",100%,0%)</f>
        <v/>
      </c>
      <c r="AX926" s="56" t="n"/>
      <c r="AY926" s="24">
        <f>IF(M926=0,"",M926-$AX$2)</f>
        <v/>
      </c>
      <c r="AZ926" s="66">
        <f>IF(AND(W926="",AY926&gt;0,AY926&lt;15),1,0)</f>
        <v/>
      </c>
      <c r="BA926" s="24">
        <f>IF(AND(W926="",AY926&gt;0,AY926&lt;15),T926,"")</f>
        <v/>
      </c>
      <c r="BB926" s="87">
        <f>IF(R926&lt;Q926,"X","")</f>
        <v/>
      </c>
      <c r="BC926" s="190" t="inlineStr">
        <is>
          <t>NO</t>
        </is>
      </c>
      <c r="BD926" s="191" t="inlineStr">
        <is>
          <t>SI</t>
        </is>
      </c>
    </row>
    <row r="927" ht="15" customHeight="1" s="162">
      <c r="A927" s="7" t="n">
        <v>926</v>
      </c>
      <c r="B927" t="inlineStr">
        <is>
          <t>1289991640001</t>
        </is>
      </c>
      <c r="C927" t="inlineStr">
        <is>
          <t>TAPON BOTON NEGRO FLECHA-ARIBA XB4/XB5</t>
        </is>
      </c>
      <c r="D927" t="inlineStr">
        <is>
          <t>1800108821</t>
        </is>
      </c>
      <c r="E927" t="inlineStr">
        <is>
          <t>130</t>
        </is>
      </c>
      <c r="F927" s="163" t="n">
        <v>45459</v>
      </c>
      <c r="G927" t="inlineStr"/>
      <c r="H927" t="inlineStr">
        <is>
          <t>4200569504</t>
        </is>
      </c>
      <c r="I927" t="inlineStr">
        <is>
          <t>270</t>
        </is>
      </c>
      <c r="J927" s="163" t="n">
        <v>45478</v>
      </c>
      <c r="K927" s="163" t="n">
        <v>45478</v>
      </c>
      <c r="L927" t="inlineStr"/>
      <c r="M927" s="163" t="n">
        <v>45488</v>
      </c>
      <c r="N927" s="164" t="n">
        <v>85</v>
      </c>
      <c r="O927" s="164" t="n">
        <v>8</v>
      </c>
      <c r="P927" t="inlineStr">
        <is>
          <t>Liberado</t>
        </is>
      </c>
      <c r="Q927" s="165" t="n">
        <v>3</v>
      </c>
      <c r="R927" s="165" t="n">
        <v>10</v>
      </c>
      <c r="S927" s="165" t="n">
        <v>10</v>
      </c>
      <c r="T927" s="165" t="n">
        <v>0</v>
      </c>
      <c r="U927" s="166" t="n">
        <v>10</v>
      </c>
      <c r="V927" s="166" t="n">
        <v>0</v>
      </c>
      <c r="W927" t="inlineStr">
        <is>
          <t>X</t>
        </is>
      </c>
      <c r="X927" t="inlineStr">
        <is>
          <t>0.00</t>
        </is>
      </c>
      <c r="Y927" t="inlineStr"/>
      <c r="Z927" t="inlineStr">
        <is>
          <t>(AEMSA)ALMACENES ELECTRICOS MADRILE</t>
        </is>
      </c>
      <c r="AA927" t="inlineStr">
        <is>
          <t>SCHNEIDER ELECTRIC</t>
        </is>
      </c>
      <c r="AB927" t="inlineStr">
        <is>
          <t>ZBAF335</t>
        </is>
      </c>
      <c r="AC927" t="inlineStr"/>
      <c r="AD927" s="164" t="n">
        <v>0</v>
      </c>
      <c r="AE927" s="185" t="n">
        <v>0</v>
      </c>
      <c r="AG927" s="167" t="inlineStr">
        <is>
          <t>7218|JA2612_1001</t>
        </is>
      </c>
      <c r="AH927" s="47">
        <f>IF(M927=0,"-",M927-J927)</f>
        <v/>
      </c>
      <c r="AI927" s="46">
        <f>IF(AND(S927=0,M927&gt;0,L927=0),IF(AH927&gt;=120,"VERY HIGH",IF(AH927&gt;=90,"HIGH",IF(AH927&gt;=60,"MEDIUM",IF(AH927&lt;60,"LOW")))),"-")</f>
        <v/>
      </c>
      <c r="AJ927" s="12" t="n"/>
      <c r="AK927" s="53">
        <f>IF(AND(W927="X",M927&lt;=$AJ$2),"YES","")</f>
        <v/>
      </c>
      <c r="AL927" s="54">
        <f>IF(AND(W927="X",M927&lt;=$AJ$2),S927,"")</f>
        <v/>
      </c>
      <c r="AM927" s="35" t="n"/>
      <c r="AN927" s="35">
        <f>IF(AND(W927="X",M927&gt;$AJ$2),S927,"")</f>
        <v/>
      </c>
      <c r="AO927" s="35">
        <f>IF(AND(W927="",M927&gt;0,$AJ$2&gt;M927,L927=""),1,0)</f>
        <v/>
      </c>
      <c r="AP927" s="35">
        <f>IF(AND(AK927="YES",W927="X"),"X","")</f>
        <v/>
      </c>
      <c r="AQ927" s="55">
        <f>IF(AP927="X",100%,0%)</f>
        <v/>
      </c>
      <c r="AR927" s="25">
        <f>IF(AND(T927&gt;0,L927=""),H927,"")</f>
        <v/>
      </c>
      <c r="AS927" s="25">
        <f>IF(AND(D927&gt;0,H927=0,G927=""),1,"")</f>
        <v/>
      </c>
      <c r="AT927" s="25">
        <f>IF(G927="BLOQ",1,"")</f>
        <v/>
      </c>
      <c r="AU927" s="25">
        <f>IF(L927="BLOQ",1,"")</f>
        <v/>
      </c>
      <c r="AV927" s="25">
        <f>MONTH(F927)</f>
        <v/>
      </c>
      <c r="AW927" s="65">
        <f>IF(AP927="",100%,0%)</f>
        <v/>
      </c>
      <c r="AX927" s="56" t="n"/>
      <c r="AY927" s="24">
        <f>IF(M927=0,"",M927-$AX$2)</f>
        <v/>
      </c>
      <c r="AZ927" s="66">
        <f>IF(AND(W927="",AY927&gt;0,AY927&lt;15),1,0)</f>
        <v/>
      </c>
      <c r="BA927" s="24">
        <f>IF(AND(W927="",AY927&gt;0,AY927&lt;15),T927,"")</f>
        <v/>
      </c>
      <c r="BB927" s="87">
        <f>IF(R927&lt;Q927,"X","")</f>
        <v/>
      </c>
      <c r="BC927" s="190" t="inlineStr">
        <is>
          <t>NO</t>
        </is>
      </c>
      <c r="BD927" s="191" t="inlineStr">
        <is>
          <t>SI</t>
        </is>
      </c>
    </row>
    <row r="928" ht="15" customHeight="1" s="162">
      <c r="A928" s="7" t="n">
        <v>927</v>
      </c>
      <c r="B928" t="inlineStr">
        <is>
          <t>1390701501200</t>
        </is>
      </c>
      <c r="C928" t="inlineStr">
        <is>
          <t>PASARELA IND-13102022-1700 S/OF</t>
        </is>
      </c>
      <c r="D928" t="inlineStr">
        <is>
          <t>1800108821</t>
        </is>
      </c>
      <c r="E928" t="inlineStr">
        <is>
          <t>140</t>
        </is>
      </c>
      <c r="F928" s="163" t="n">
        <v>45459</v>
      </c>
      <c r="G928" t="inlineStr"/>
      <c r="H928" t="inlineStr">
        <is>
          <t>4200567373</t>
        </is>
      </c>
      <c r="I928" t="inlineStr">
        <is>
          <t>10</t>
        </is>
      </c>
      <c r="J928" s="163" t="n">
        <v>45460</v>
      </c>
      <c r="K928" s="163" t="n">
        <v>45621</v>
      </c>
      <c r="L928" t="inlineStr"/>
      <c r="M928" s="163" t="n">
        <v>45621</v>
      </c>
      <c r="N928" s="164" t="n">
        <v>110</v>
      </c>
      <c r="O928" s="164" t="n">
        <v>8</v>
      </c>
      <c r="P928" t="inlineStr">
        <is>
          <t>Liberado</t>
        </is>
      </c>
      <c r="Q928" s="165" t="n">
        <v>1</v>
      </c>
      <c r="R928" s="165" t="n">
        <v>1</v>
      </c>
      <c r="S928" s="165" t="n">
        <v>1</v>
      </c>
      <c r="T928" s="165" t="n">
        <v>0</v>
      </c>
      <c r="U928" s="166" t="n">
        <v>1</v>
      </c>
      <c r="V928" s="166" t="n">
        <v>0</v>
      </c>
      <c r="W928" t="inlineStr">
        <is>
          <t>X</t>
        </is>
      </c>
      <c r="X928" t="inlineStr">
        <is>
          <t>0.00</t>
        </is>
      </c>
      <c r="Y928" t="inlineStr"/>
      <c r="Z928" t="inlineStr">
        <is>
          <t>TALLERES XUQUER, SL</t>
        </is>
      </c>
      <c r="AA928" t="inlineStr">
        <is>
          <t>TALLERES XUQUER</t>
        </is>
      </c>
      <c r="AB928" t="inlineStr">
        <is>
          <t>0712100000001/IND-13102022-1700</t>
        </is>
      </c>
      <c r="AC928" t="inlineStr"/>
      <c r="AD928" s="164" t="n">
        <v>2</v>
      </c>
      <c r="AE928" s="185" t="n">
        <v>2</v>
      </c>
      <c r="AG928" s="167" t="inlineStr">
        <is>
          <t>7218|JA2581_1001</t>
        </is>
      </c>
      <c r="AH928" s="47">
        <f>IF(M928=0,"-",M928-J928)</f>
        <v/>
      </c>
      <c r="AI928" s="46">
        <f>IF(AND(S928=0,M928&gt;0,L928=0),IF(AH928&gt;=120,"VERY HIGH",IF(AH928&gt;=90,"HIGH",IF(AH928&gt;=60,"MEDIUM",IF(AH928&lt;60,"LOW")))),"-")</f>
        <v/>
      </c>
      <c r="AJ928" s="12" t="n"/>
      <c r="AK928" s="53">
        <f>IF(AND(W928="X",M928&lt;=$AJ$2),"YES","")</f>
        <v/>
      </c>
      <c r="AL928" s="54">
        <f>IF(AND(W928="X",M928&lt;=$AJ$2),S928,"")</f>
        <v/>
      </c>
      <c r="AM928" s="35" t="n"/>
      <c r="AN928" s="35">
        <f>IF(AND(W928="X",M928&gt;$AJ$2),S928,"")</f>
        <v/>
      </c>
      <c r="AO928" s="35">
        <f>IF(AND(W928="",M928&gt;0,$AJ$2&gt;M928,L928=""),1,0)</f>
        <v/>
      </c>
      <c r="AP928" s="35">
        <f>IF(AND(AK928="YES",W928="X"),"X","")</f>
        <v/>
      </c>
      <c r="AQ928" s="55">
        <f>IF(AP928="X",100%,0%)</f>
        <v/>
      </c>
      <c r="AR928" s="25">
        <f>IF(AND(T928&gt;0,L928=""),H928,"")</f>
        <v/>
      </c>
      <c r="AS928" s="25">
        <f>IF(AND(D928&gt;0,H928=0,G928=""),1,"")</f>
        <v/>
      </c>
      <c r="AT928" s="25">
        <f>IF(G928="BLOQ",1,"")</f>
        <v/>
      </c>
      <c r="AU928" s="25">
        <f>IF(L928="BLOQ",1,"")</f>
        <v/>
      </c>
      <c r="AV928" s="25">
        <f>MONTH(F928)</f>
        <v/>
      </c>
      <c r="AW928" s="65">
        <f>IF(AP928="",100%,0%)</f>
        <v/>
      </c>
      <c r="AX928" s="56" t="n"/>
      <c r="AY928" s="24">
        <f>IF(M928=0,"",M928-$AX$2)</f>
        <v/>
      </c>
      <c r="AZ928" s="66">
        <f>IF(AND(W928="",AY928&gt;0,AY928&lt;15),1,0)</f>
        <v/>
      </c>
      <c r="BA928" s="24">
        <f>IF(AND(W928="",AY928&gt;0,AY928&lt;15),T928,"")</f>
        <v/>
      </c>
      <c r="BB928" s="87">
        <f>IF(R928&lt;Q928,"X","")</f>
        <v/>
      </c>
      <c r="BC928" s="191" t="inlineStr">
        <is>
          <t>SI</t>
        </is>
      </c>
      <c r="BD928" s="191" t="inlineStr">
        <is>
          <t>SI</t>
        </is>
      </c>
    </row>
    <row r="929" ht="15" customHeight="1" s="162">
      <c r="A929" s="7" t="n">
        <v>928</v>
      </c>
      <c r="B929" t="inlineStr">
        <is>
          <t>1589990770000</t>
        </is>
      </c>
      <c r="C929" t="inlineStr">
        <is>
          <t>CARRIL DIN 35X7,5MM L=2MTR</t>
        </is>
      </c>
      <c r="D929" t="inlineStr">
        <is>
          <t>1800108821</t>
        </is>
      </c>
      <c r="E929" t="inlineStr">
        <is>
          <t>150</t>
        </is>
      </c>
      <c r="F929" s="163" t="n">
        <v>45459</v>
      </c>
      <c r="G929" t="inlineStr"/>
      <c r="H929" t="inlineStr">
        <is>
          <t>4200575586</t>
        </is>
      </c>
      <c r="I929" t="inlineStr">
        <is>
          <t>10</t>
        </is>
      </c>
      <c r="J929" s="163" t="n">
        <v>45533</v>
      </c>
      <c r="K929" s="163" t="n">
        <v>45533</v>
      </c>
      <c r="L929" t="inlineStr"/>
      <c r="M929" s="163" t="n">
        <v>45539</v>
      </c>
      <c r="N929" s="164" t="n">
        <v>30</v>
      </c>
      <c r="O929" s="164" t="n">
        <v>8</v>
      </c>
      <c r="P929" t="inlineStr">
        <is>
          <t>Liberado</t>
        </is>
      </c>
      <c r="Q929" s="165" t="n">
        <v>5</v>
      </c>
      <c r="R929" s="165" t="n">
        <v>10</v>
      </c>
      <c r="S929" s="165" t="n">
        <v>10</v>
      </c>
      <c r="T929" s="165" t="n">
        <v>0</v>
      </c>
      <c r="U929" s="166" t="n">
        <v>10</v>
      </c>
      <c r="V929" s="166" t="n">
        <v>0</v>
      </c>
      <c r="W929" t="inlineStr">
        <is>
          <t>X</t>
        </is>
      </c>
      <c r="X929" t="inlineStr">
        <is>
          <t>0.00</t>
        </is>
      </c>
      <c r="Y929" t="inlineStr"/>
      <c r="Z929" t="inlineStr">
        <is>
          <t>LUJISA, S.A.</t>
        </is>
      </c>
      <c r="AA929" t="inlineStr">
        <is>
          <t>WAGO</t>
        </is>
      </c>
      <c r="AB929" t="inlineStr">
        <is>
          <t>210-113</t>
        </is>
      </c>
      <c r="AC929" t="inlineStr"/>
      <c r="AD929" s="164" t="n">
        <v>0</v>
      </c>
      <c r="AE929" s="185" t="n">
        <v>0</v>
      </c>
      <c r="AG929" s="167" t="inlineStr">
        <is>
          <t>7218|JA2581_1001</t>
        </is>
      </c>
      <c r="AH929" s="47">
        <f>IF(M929=0,"-",M929-J929)</f>
        <v/>
      </c>
      <c r="AI929" s="46">
        <f>IF(AND(S929=0,M929&gt;0,L929=0),IF(AH929&gt;=120,"VERY HIGH",IF(AH929&gt;=90,"HIGH",IF(AH929&gt;=60,"MEDIUM",IF(AH929&lt;60,"LOW")))),"-")</f>
        <v/>
      </c>
      <c r="AJ929" s="12" t="n"/>
      <c r="AK929" s="53">
        <f>IF(AND(W929="X",M929&lt;=$AJ$2),"YES","")</f>
        <v/>
      </c>
      <c r="AL929" s="54">
        <f>IF(AND(W929="X",M929&lt;=$AJ$2),S929,"")</f>
        <v/>
      </c>
      <c r="AM929" s="35" t="n"/>
      <c r="AN929" s="35">
        <f>IF(AND(W929="X",M929&gt;$AJ$2),S929,"")</f>
        <v/>
      </c>
      <c r="AO929" s="35">
        <f>IF(AND(W929="",M929&gt;0,$AJ$2&gt;M929,L929=""),1,0)</f>
        <v/>
      </c>
      <c r="AP929" s="35">
        <f>IF(AND(AK929="YES",W929="X"),"X","")</f>
        <v/>
      </c>
      <c r="AQ929" s="55">
        <f>IF(AP929="X",100%,0%)</f>
        <v/>
      </c>
      <c r="AR929" s="25">
        <f>IF(AND(T929&gt;0,L929=""),H929,"")</f>
        <v/>
      </c>
      <c r="AS929" s="25">
        <f>IF(AND(D929&gt;0,H929=0,G929=""),1,"")</f>
        <v/>
      </c>
      <c r="AT929" s="25">
        <f>IF(G929="BLOQ",1,"")</f>
        <v/>
      </c>
      <c r="AU929" s="25">
        <f>IF(L929="BLOQ",1,"")</f>
        <v/>
      </c>
      <c r="AV929" s="25">
        <f>MONTH(F929)</f>
        <v/>
      </c>
      <c r="AW929" s="65">
        <f>IF(AP929="",100%,0%)</f>
        <v/>
      </c>
      <c r="AX929" s="56" t="n"/>
      <c r="AY929" s="24">
        <f>IF(M929=0,"",M929-$AX$2)</f>
        <v/>
      </c>
      <c r="AZ929" s="66">
        <f>IF(AND(W929="",AY929&gt;0,AY929&lt;15),1,0)</f>
        <v/>
      </c>
      <c r="BA929" s="24">
        <f>IF(AND(W929="",AY929&gt;0,AY929&lt;15),T929,"")</f>
        <v/>
      </c>
      <c r="BB929" s="87">
        <f>IF(R929&lt;Q929,"X","")</f>
        <v/>
      </c>
      <c r="BC929" s="190" t="inlineStr">
        <is>
          <t>NO</t>
        </is>
      </c>
      <c r="BD929" s="191" t="inlineStr">
        <is>
          <t>SI</t>
        </is>
      </c>
    </row>
    <row r="930" ht="15" customHeight="1" s="162">
      <c r="A930" s="7" t="n">
        <v>929</v>
      </c>
      <c r="B930" t="inlineStr">
        <is>
          <t>1390705229900</t>
        </is>
      </c>
      <c r="C930" t="inlineStr">
        <is>
          <t>KIT SISTEMA MOV GEN3 SIMULA CC91958</t>
        </is>
      </c>
      <c r="D930" t="inlineStr">
        <is>
          <t>1800108899</t>
        </is>
      </c>
      <c r="E930" t="inlineStr">
        <is>
          <t>10</t>
        </is>
      </c>
      <c r="F930" s="163" t="n">
        <v>45462</v>
      </c>
      <c r="G930" t="inlineStr"/>
      <c r="H930" t="inlineStr">
        <is>
          <t>4600003976</t>
        </is>
      </c>
      <c r="I930" t="inlineStr">
        <is>
          <t>10</t>
        </is>
      </c>
      <c r="J930" s="163" t="n">
        <v>45464</v>
      </c>
      <c r="K930" s="163" t="n">
        <v>45546</v>
      </c>
      <c r="L930" t="inlineStr">
        <is>
          <t>BORR</t>
        </is>
      </c>
      <c r="M930" s="163" t="n">
        <v>45567</v>
      </c>
      <c r="N930" s="164" t="n">
        <v>40</v>
      </c>
      <c r="O930" s="164" t="n">
        <v>8</v>
      </c>
      <c r="P930" t="inlineStr">
        <is>
          <t>Liberado</t>
        </is>
      </c>
      <c r="Q930" s="165" t="n">
        <v>1</v>
      </c>
      <c r="R930" s="165" t="n">
        <v>1</v>
      </c>
      <c r="S930" s="165" t="n">
        <v>0</v>
      </c>
      <c r="T930" s="165" t="n">
        <v>1</v>
      </c>
      <c r="U930" s="166" t="n">
        <v>0</v>
      </c>
      <c r="V930" s="166" t="n">
        <v>0</v>
      </c>
      <c r="W930" t="inlineStr"/>
      <c r="X930" t="inlineStr">
        <is>
          <t>480436.00</t>
        </is>
      </c>
      <c r="Y930" t="inlineStr"/>
      <c r="Z930" t="inlineStr">
        <is>
          <t>MOOG, B.V.</t>
        </is>
      </c>
      <c r="AA930" t="inlineStr">
        <is>
          <t>MOOG</t>
        </is>
      </c>
      <c r="AB930" t="inlineStr">
        <is>
          <t>CC91958-000A-075-0</t>
        </is>
      </c>
      <c r="AC930" t="inlineStr">
        <is>
          <t>X</t>
        </is>
      </c>
      <c r="AD930" s="164" t="n">
        <v>0</v>
      </c>
      <c r="AE930" s="185" t="n">
        <v>0</v>
      </c>
      <c r="AG930" s="167" t="inlineStr">
        <is>
          <t>7218|JA2612_1001</t>
        </is>
      </c>
      <c r="AH930" s="47">
        <f>IF(M930=0,"-",M930-J930)</f>
        <v/>
      </c>
      <c r="AI930" s="46">
        <f>IF(AND(S930=0,M930&gt;0,L930=0),IF(AH930&gt;=120,"VERY HIGH",IF(AH930&gt;=90,"HIGH",IF(AH930&gt;=60,"MEDIUM",IF(AH930&lt;60,"LOW")))),"-")</f>
        <v/>
      </c>
      <c r="AJ930" s="12" t="n"/>
      <c r="AK930" s="53">
        <f>IF(AND(W930="X",M930&lt;=$AJ$2),"YES","")</f>
        <v/>
      </c>
      <c r="AL930" s="54">
        <f>IF(AND(W930="X",M930&lt;=$AJ$2),S930,"")</f>
        <v/>
      </c>
      <c r="AM930" s="35" t="n"/>
      <c r="AN930" s="35">
        <f>IF(AND(W930="X",M930&gt;$AJ$2),S930,"")</f>
        <v/>
      </c>
      <c r="AO930" s="35">
        <f>IF(AND(W930="",M930&gt;0,$AJ$2&gt;M930,L930=""),1,0)</f>
        <v/>
      </c>
      <c r="AP930" s="35">
        <f>IF(AND(AK930="YES",W930="X"),"X","")</f>
        <v/>
      </c>
      <c r="AQ930" s="55">
        <f>IF(AP930="X",100%,0%)</f>
        <v/>
      </c>
      <c r="AR930" s="25">
        <f>IF(AND(T930&gt;0,L930=""),H930,"")</f>
        <v/>
      </c>
      <c r="AS930" s="25">
        <f>IF(AND(D930&gt;0,H930=0,G930=""),1,"")</f>
        <v/>
      </c>
      <c r="AT930" s="25">
        <f>IF(G930="BLOQ",1,"")</f>
        <v/>
      </c>
      <c r="AU930" s="25">
        <f>IF(L930="BLOQ",1,"")</f>
        <v/>
      </c>
      <c r="AV930" s="25">
        <f>MONTH(F930)</f>
        <v/>
      </c>
      <c r="AW930" s="65">
        <f>IF(AP930="",100%,0%)</f>
        <v/>
      </c>
      <c r="AX930" s="56" t="n"/>
      <c r="AY930" s="24">
        <f>IF(M930=0,"",M930-$AX$2)</f>
        <v/>
      </c>
      <c r="AZ930" s="66">
        <f>IF(AND(W930="",AY930&gt;0,AY930&lt;15),1,0)</f>
        <v/>
      </c>
      <c r="BA930" s="24">
        <f>IF(AND(W930="",AY930&gt;0,AY930&lt;15),T930,"")</f>
        <v/>
      </c>
      <c r="BB930" s="87">
        <f>IF(R930&lt;Q930,"X","")</f>
        <v/>
      </c>
      <c r="BC930" s="191" t="inlineStr">
        <is>
          <t>SI</t>
        </is>
      </c>
      <c r="BD930" s="191" t="inlineStr">
        <is>
          <t>SI</t>
        </is>
      </c>
    </row>
    <row r="931" ht="15" customHeight="1" s="162">
      <c r="A931" s="7" t="n">
        <v>930</v>
      </c>
      <c r="B931" t="inlineStr">
        <is>
          <t>1139900460100</t>
        </is>
      </c>
      <c r="C931" t="inlineStr">
        <is>
          <t>CLIP FIJACION RELES SPDT/DPDT ESTANDAR L</t>
        </is>
      </c>
      <c r="D931" t="inlineStr">
        <is>
          <t>1800108945</t>
        </is>
      </c>
      <c r="E931" t="inlineStr">
        <is>
          <t>10</t>
        </is>
      </c>
      <c r="F931" s="163" t="n">
        <v>45462</v>
      </c>
      <c r="G931" t="inlineStr"/>
      <c r="H931" t="inlineStr">
        <is>
          <t>4200571230</t>
        </is>
      </c>
      <c r="I931" t="inlineStr">
        <is>
          <t>10</t>
        </is>
      </c>
      <c r="J931" s="163" t="n">
        <v>45491</v>
      </c>
      <c r="K931" s="163" t="n">
        <v>45491</v>
      </c>
      <c r="L931" t="inlineStr"/>
      <c r="M931" s="163" t="n">
        <v>45505</v>
      </c>
      <c r="N931" s="164" t="n">
        <v>50</v>
      </c>
      <c r="O931" s="164" t="n">
        <v>8</v>
      </c>
      <c r="P931" t="inlineStr">
        <is>
          <t>Liberado</t>
        </is>
      </c>
      <c r="Q931" s="165" t="n">
        <v>50</v>
      </c>
      <c r="R931" s="165" t="n">
        <v>50</v>
      </c>
      <c r="S931" s="165" t="n">
        <v>50</v>
      </c>
      <c r="T931" s="165" t="n">
        <v>0</v>
      </c>
      <c r="U931" s="166" t="n">
        <v>50</v>
      </c>
      <c r="V931" s="166" t="n">
        <v>0</v>
      </c>
      <c r="W931" t="inlineStr">
        <is>
          <t>X</t>
        </is>
      </c>
      <c r="X931" t="inlineStr">
        <is>
          <t>0.00</t>
        </is>
      </c>
      <c r="Y931" t="inlineStr"/>
      <c r="Z931" t="inlineStr">
        <is>
          <t>GITEC CONTROL, S.L.</t>
        </is>
      </c>
      <c r="AA931" t="inlineStr">
        <is>
          <t>OMRON TATEISI</t>
        </is>
      </c>
      <c r="AB931" t="inlineStr">
        <is>
          <t>PYC-P</t>
        </is>
      </c>
      <c r="AC931" t="inlineStr"/>
      <c r="AD931" s="164" t="n">
        <v>0</v>
      </c>
      <c r="AE931" s="185" t="n">
        <v>0</v>
      </c>
      <c r="AG931" s="167" t="inlineStr">
        <is>
          <t>7218|JA2581_1001</t>
        </is>
      </c>
      <c r="AH931" s="47">
        <f>IF(M931=0,"-",M931-J931)</f>
        <v/>
      </c>
      <c r="AI931" s="46">
        <f>IF(AND(S931=0,M931&gt;0,L931=0),IF(AH931&gt;=120,"VERY HIGH",IF(AH931&gt;=90,"HIGH",IF(AH931&gt;=60,"MEDIUM",IF(AH931&lt;60,"LOW")))),"-")</f>
        <v/>
      </c>
      <c r="AJ931" s="12" t="n"/>
      <c r="AK931" s="53">
        <f>IF(AND(W931="X",M931&lt;=$AJ$2),"YES","")</f>
        <v/>
      </c>
      <c r="AL931" s="54">
        <f>IF(AND(W931="X",M931&lt;=$AJ$2),S931,"")</f>
        <v/>
      </c>
      <c r="AM931" s="35" t="n"/>
      <c r="AN931" s="35">
        <f>IF(AND(W931="X",M931&gt;$AJ$2),S931,"")</f>
        <v/>
      </c>
      <c r="AO931" s="35">
        <f>IF(AND(W931="",M931&gt;0,$AJ$2&gt;M931,L931=""),1,0)</f>
        <v/>
      </c>
      <c r="AP931" s="35">
        <f>IF(AND(AK931="YES",W931="X"),"X","")</f>
        <v/>
      </c>
      <c r="AQ931" s="55">
        <f>IF(AP931="X",100%,0%)</f>
        <v/>
      </c>
      <c r="AR931" s="25">
        <f>IF(AND(T931&gt;0,L931=""),H931,"")</f>
        <v/>
      </c>
      <c r="AS931" s="25">
        <f>IF(AND(D931&gt;0,H931=0,G931=""),1,"")</f>
        <v/>
      </c>
      <c r="AT931" s="25">
        <f>IF(G931="BLOQ",1,"")</f>
        <v/>
      </c>
      <c r="AU931" s="25">
        <f>IF(L931="BLOQ",1,"")</f>
        <v/>
      </c>
      <c r="AV931" s="25">
        <f>MONTH(F931)</f>
        <v/>
      </c>
      <c r="AW931" s="65">
        <f>IF(AP931="",100%,0%)</f>
        <v/>
      </c>
      <c r="AX931" s="56" t="n"/>
      <c r="AY931" s="24">
        <f>IF(M931=0,"",M931-$AX$2)</f>
        <v/>
      </c>
      <c r="AZ931" s="66">
        <f>IF(AND(W931="",AY931&gt;0,AY931&lt;15),1,0)</f>
        <v/>
      </c>
      <c r="BA931" s="24">
        <f>IF(AND(W931="",AY931&gt;0,AY931&lt;15),T931,"")</f>
        <v/>
      </c>
      <c r="BB931" s="87">
        <f>IF(R931&lt;Q931,"X","")</f>
        <v/>
      </c>
      <c r="BC931" s="190" t="inlineStr">
        <is>
          <t>NO</t>
        </is>
      </c>
      <c r="BD931" s="191" t="inlineStr">
        <is>
          <t>SI</t>
        </is>
      </c>
    </row>
    <row r="932" ht="15" customHeight="1" s="162">
      <c r="A932" s="7" t="n">
        <v>931</v>
      </c>
      <c r="B932" t="inlineStr">
        <is>
          <t>1220100202011</t>
        </is>
      </c>
      <c r="C932" t="inlineStr">
        <is>
          <t>CBL HOOK-UP 20AWG 19X32 600V 1M NEGRO</t>
        </is>
      </c>
      <c r="D932" t="inlineStr">
        <is>
          <t>1800108945</t>
        </is>
      </c>
      <c r="E932" t="inlineStr">
        <is>
          <t>20</t>
        </is>
      </c>
      <c r="F932" s="163" t="n">
        <v>45462</v>
      </c>
      <c r="G932" t="inlineStr"/>
      <c r="H932" t="inlineStr">
        <is>
          <t>4200572816</t>
        </is>
      </c>
      <c r="I932" t="inlineStr">
        <is>
          <t>10</t>
        </is>
      </c>
      <c r="J932" s="163" t="n">
        <v>45503</v>
      </c>
      <c r="K932" s="163" t="n">
        <v>45503</v>
      </c>
      <c r="L932" t="inlineStr"/>
      <c r="M932" s="163" t="n">
        <v>45512</v>
      </c>
      <c r="N932" s="164" t="n">
        <v>85</v>
      </c>
      <c r="O932" s="164" t="n">
        <v>8</v>
      </c>
      <c r="P932" t="inlineStr">
        <is>
          <t>Liberado</t>
        </is>
      </c>
      <c r="Q932" s="165" t="n">
        <v>600</v>
      </c>
      <c r="R932" s="165" t="n">
        <v>600</v>
      </c>
      <c r="S932" s="165" t="n">
        <v>600</v>
      </c>
      <c r="T932" s="165" t="n">
        <v>0</v>
      </c>
      <c r="U932" s="166" t="n">
        <v>600</v>
      </c>
      <c r="V932" s="166" t="n">
        <v>0</v>
      </c>
      <c r="W932" t="inlineStr">
        <is>
          <t>X</t>
        </is>
      </c>
      <c r="X932" t="inlineStr">
        <is>
          <t>0.00</t>
        </is>
      </c>
      <c r="Y932" t="inlineStr"/>
      <c r="Z932" t="inlineStr">
        <is>
          <t>TTI INC.</t>
        </is>
      </c>
      <c r="AA932" t="inlineStr">
        <is>
          <t>RAYCHEM CORP</t>
        </is>
      </c>
      <c r="AB932" t="inlineStr">
        <is>
          <t>44A0111-20-0</t>
        </is>
      </c>
      <c r="AC932" t="inlineStr"/>
      <c r="AD932" s="164" t="n">
        <v>0</v>
      </c>
      <c r="AE932" s="185" t="n">
        <v>0</v>
      </c>
      <c r="AG932" s="167" t="inlineStr">
        <is>
          <t>7218|JA2581_1001</t>
        </is>
      </c>
      <c r="AH932" s="47">
        <f>IF(M932=0,"-",M932-J932)</f>
        <v/>
      </c>
      <c r="AI932" s="46">
        <f>IF(AND(S932=0,M932&gt;0,L932=0),IF(AH932&gt;=120,"VERY HIGH",IF(AH932&gt;=90,"HIGH",IF(AH932&gt;=60,"MEDIUM",IF(AH932&lt;60,"LOW")))),"-")</f>
        <v/>
      </c>
      <c r="AJ932" s="12" t="n"/>
      <c r="AK932" s="53">
        <f>IF(AND(W932="X",M932&lt;=$AJ$2),"YES","")</f>
        <v/>
      </c>
      <c r="AL932" s="54">
        <f>IF(AND(W932="X",M932&lt;=$AJ$2),S932,"")</f>
        <v/>
      </c>
      <c r="AM932" s="35" t="n"/>
      <c r="AN932" s="35">
        <f>IF(AND(W932="X",M932&gt;$AJ$2),S932,"")</f>
        <v/>
      </c>
      <c r="AO932" s="35">
        <f>IF(AND(W932="",M932&gt;0,$AJ$2&gt;M932,L932=""),1,0)</f>
        <v/>
      </c>
      <c r="AP932" s="35">
        <f>IF(AND(AK932="YES",W932="X"),"X","")</f>
        <v/>
      </c>
      <c r="AQ932" s="55">
        <f>IF(AP932="X",100%,0%)</f>
        <v/>
      </c>
      <c r="AR932" s="25">
        <f>IF(AND(T932&gt;0,L932=""),H932,"")</f>
        <v/>
      </c>
      <c r="AS932" s="25">
        <f>IF(AND(D932&gt;0,H932=0,G932=""),1,"")</f>
        <v/>
      </c>
      <c r="AT932" s="25">
        <f>IF(G932="BLOQ",1,"")</f>
        <v/>
      </c>
      <c r="AU932" s="25">
        <f>IF(L932="BLOQ",1,"")</f>
        <v/>
      </c>
      <c r="AV932" s="25">
        <f>MONTH(F932)</f>
        <v/>
      </c>
      <c r="AW932" s="65">
        <f>IF(AP932="",100%,0%)</f>
        <v/>
      </c>
      <c r="AX932" s="56" t="n"/>
      <c r="AY932" s="24">
        <f>IF(M932=0,"",M932-$AX$2)</f>
        <v/>
      </c>
      <c r="AZ932" s="66">
        <f>IF(AND(W932="",AY932&gt;0,AY932&lt;15),1,0)</f>
        <v/>
      </c>
      <c r="BA932" s="24">
        <f>IF(AND(W932="",AY932&gt;0,AY932&lt;15),T932,"")</f>
        <v/>
      </c>
      <c r="BB932" s="87">
        <f>IF(R932&lt;Q932,"X","")</f>
        <v/>
      </c>
      <c r="BC932" s="190" t="inlineStr">
        <is>
          <t>NO</t>
        </is>
      </c>
      <c r="BD932" s="191" t="inlineStr">
        <is>
          <t>SI</t>
        </is>
      </c>
    </row>
    <row r="933" ht="15" customHeight="1" s="162">
      <c r="A933" s="7" t="n">
        <v>932</v>
      </c>
      <c r="B933" t="inlineStr">
        <is>
          <t>1220100202011</t>
        </is>
      </c>
      <c r="C933" t="inlineStr">
        <is>
          <t>CBL HOOK-UP 20AWG 19X32 600V 1M NEGRO</t>
        </is>
      </c>
      <c r="D933" t="inlineStr">
        <is>
          <t>1800108945</t>
        </is>
      </c>
      <c r="E933" t="inlineStr">
        <is>
          <t>20</t>
        </is>
      </c>
      <c r="F933" s="163" t="n">
        <v>45462</v>
      </c>
      <c r="G933" t="inlineStr"/>
      <c r="H933" t="inlineStr">
        <is>
          <t>4200571584</t>
        </is>
      </c>
      <c r="I933" t="inlineStr">
        <is>
          <t>10</t>
        </is>
      </c>
      <c r="J933" s="163" t="n">
        <v>45495</v>
      </c>
      <c r="K933" s="163" t="n">
        <v>45776</v>
      </c>
      <c r="L933" t="inlineStr">
        <is>
          <t>BORR</t>
        </is>
      </c>
      <c r="M933" s="163" t="n">
        <v>45502</v>
      </c>
      <c r="N933" s="164" t="n">
        <v>85</v>
      </c>
      <c r="O933" s="164" t="n">
        <v>8</v>
      </c>
      <c r="P933" t="inlineStr">
        <is>
          <t>Liberado</t>
        </is>
      </c>
      <c r="Q933" s="165" t="n">
        <v>600</v>
      </c>
      <c r="R933" s="165" t="n">
        <v>600</v>
      </c>
      <c r="S933" s="165" t="n">
        <v>0</v>
      </c>
      <c r="T933" s="165" t="n">
        <v>600</v>
      </c>
      <c r="U933" s="166" t="n">
        <v>0</v>
      </c>
      <c r="V933" s="166" t="n">
        <v>0</v>
      </c>
      <c r="W933" t="inlineStr"/>
      <c r="X933" t="inlineStr">
        <is>
          <t>372.00</t>
        </is>
      </c>
      <c r="Y933" t="inlineStr"/>
      <c r="Z933" t="inlineStr">
        <is>
          <t>FARNELL COMPONENTS, S.L.</t>
        </is>
      </c>
      <c r="AA933" t="inlineStr">
        <is>
          <t>RAYCHEM CORP</t>
        </is>
      </c>
      <c r="AB933" t="inlineStr">
        <is>
          <t>44A0111-20-0</t>
        </is>
      </c>
      <c r="AC933" t="inlineStr"/>
      <c r="AD933" s="164" t="n">
        <v>0</v>
      </c>
      <c r="AE933" s="185" t="n">
        <v>0</v>
      </c>
      <c r="AG933" s="167" t="inlineStr">
        <is>
          <t>7218|JA2581_1001</t>
        </is>
      </c>
      <c r="AH933" s="47">
        <f>IF(M933=0,"-",M933-J933)</f>
        <v/>
      </c>
      <c r="AI933" s="46">
        <f>IF(AND(S933=0,M933&gt;0,L933=0),IF(AH933&gt;=120,"VERY HIGH",IF(AH933&gt;=90,"HIGH",IF(AH933&gt;=60,"MEDIUM",IF(AH933&lt;60,"LOW")))),"-")</f>
        <v/>
      </c>
      <c r="AJ933" s="12" t="n"/>
      <c r="AK933" s="53">
        <f>IF(AND(W933="X",M933&lt;=$AJ$2),"YES","")</f>
        <v/>
      </c>
      <c r="AL933" s="54">
        <f>IF(AND(W933="X",M933&lt;=$AJ$2),S933,"")</f>
        <v/>
      </c>
      <c r="AM933" s="35" t="n"/>
      <c r="AN933" s="35">
        <f>IF(AND(W933="X",M933&gt;$AJ$2),S933,"")</f>
        <v/>
      </c>
      <c r="AO933" s="35">
        <f>IF(AND(W933="",M933&gt;0,$AJ$2&gt;M933,L933=""),1,0)</f>
        <v/>
      </c>
      <c r="AP933" s="35">
        <f>IF(AND(AK933="YES",W933="X"),"X","")</f>
        <v/>
      </c>
      <c r="AQ933" s="55">
        <f>IF(AP933="X",100%,0%)</f>
        <v/>
      </c>
      <c r="AR933" s="25">
        <f>IF(AND(T933&gt;0,L933=""),H933,"")</f>
        <v/>
      </c>
      <c r="AS933" s="25">
        <f>IF(AND(D933&gt;0,H933=0,G933=""),1,"")</f>
        <v/>
      </c>
      <c r="AT933" s="25">
        <f>IF(G933="BLOQ",1,"")</f>
        <v/>
      </c>
      <c r="AU933" s="25">
        <f>IF(L933="BLOQ",1,"")</f>
        <v/>
      </c>
      <c r="AV933" s="25">
        <f>MONTH(F933)</f>
        <v/>
      </c>
      <c r="AW933" s="65">
        <f>IF(AP933="",100%,0%)</f>
        <v/>
      </c>
      <c r="AX933" s="56" t="n"/>
      <c r="AY933" s="24">
        <f>IF(M933=0,"",M933-$AX$2)</f>
        <v/>
      </c>
      <c r="AZ933" s="66">
        <f>IF(AND(W933="",AY933&gt;0,AY933&lt;15),1,0)</f>
        <v/>
      </c>
      <c r="BA933" s="24">
        <f>IF(AND(W933="",AY933&gt;0,AY933&lt;15),T933,"")</f>
        <v/>
      </c>
      <c r="BB933" s="87">
        <f>IF(R933&lt;Q933,"X","")</f>
        <v/>
      </c>
      <c r="BC933" s="190" t="inlineStr">
        <is>
          <t>NO</t>
        </is>
      </c>
      <c r="BD933" s="191" t="inlineStr">
        <is>
          <t>SI</t>
        </is>
      </c>
    </row>
    <row r="934" ht="15" customHeight="1" s="162">
      <c r="A934" s="7" t="n">
        <v>933</v>
      </c>
      <c r="B934" t="inlineStr">
        <is>
          <t>1220100203230</t>
        </is>
      </c>
      <c r="C934" t="inlineStr">
        <is>
          <t>CBL FLEX 1XAWG20 600V PVDF ROJO ROHS</t>
        </is>
      </c>
      <c r="D934" t="inlineStr">
        <is>
          <t>1800108945</t>
        </is>
      </c>
      <c r="E934" t="inlineStr">
        <is>
          <t>30</t>
        </is>
      </c>
      <c r="F934" s="163" t="n">
        <v>45462</v>
      </c>
      <c r="G934" t="inlineStr"/>
      <c r="H934" t="inlineStr">
        <is>
          <t>4200571563</t>
        </is>
      </c>
      <c r="I934" t="inlineStr">
        <is>
          <t>10</t>
        </is>
      </c>
      <c r="J934" s="163" t="n">
        <v>45492</v>
      </c>
      <c r="K934" s="163" t="n">
        <v>45497</v>
      </c>
      <c r="L934" t="inlineStr"/>
      <c r="M934" s="163" t="n">
        <v>45502</v>
      </c>
      <c r="N934" s="164" t="n">
        <v>60</v>
      </c>
      <c r="O934" s="164" t="n">
        <v>8</v>
      </c>
      <c r="P934" t="inlineStr">
        <is>
          <t>Liberado</t>
        </is>
      </c>
      <c r="Q934" s="165" t="n">
        <v>600</v>
      </c>
      <c r="R934" s="165" t="n">
        <v>600</v>
      </c>
      <c r="S934" s="165" t="n">
        <v>600</v>
      </c>
      <c r="T934" s="165" t="n">
        <v>0</v>
      </c>
      <c r="U934" s="166" t="n">
        <v>0</v>
      </c>
      <c r="V934" s="166" t="n">
        <v>0</v>
      </c>
      <c r="W934" t="inlineStr">
        <is>
          <t>X</t>
        </is>
      </c>
      <c r="X934" t="inlineStr">
        <is>
          <t>0.00</t>
        </is>
      </c>
      <c r="Y934" t="inlineStr"/>
      <c r="Z934" t="inlineStr">
        <is>
          <t>SUMINISTROS CONECTORES PROF.,SA.</t>
        </is>
      </c>
      <c r="AA934" t="inlineStr">
        <is>
          <t>MILITARY SPECS.</t>
        </is>
      </c>
      <c r="AB934" t="inlineStr">
        <is>
          <t>M81044/12-20-2</t>
        </is>
      </c>
      <c r="AC934" t="inlineStr"/>
      <c r="AD934" s="164" t="n">
        <v>0</v>
      </c>
      <c r="AE934" s="185" t="n">
        <v>0</v>
      </c>
      <c r="AG934" s="167" t="inlineStr">
        <is>
          <t>7218|JA2581_1001</t>
        </is>
      </c>
      <c r="AH934" s="47">
        <f>IF(M934=0,"-",M934-J934)</f>
        <v/>
      </c>
      <c r="AI934" s="46">
        <f>IF(AND(S934=0,M934&gt;0,L934=0),IF(AH934&gt;=120,"VERY HIGH",IF(AH934&gt;=90,"HIGH",IF(AH934&gt;=60,"MEDIUM",IF(AH934&lt;60,"LOW")))),"-")</f>
        <v/>
      </c>
      <c r="AJ934" s="12" t="n"/>
      <c r="AK934" s="53">
        <f>IF(AND(W934="X",M934&lt;=$AJ$2),"YES","")</f>
        <v/>
      </c>
      <c r="AL934" s="54">
        <f>IF(AND(W934="X",M934&lt;=$AJ$2),S934,"")</f>
        <v/>
      </c>
      <c r="AM934" s="35" t="n"/>
      <c r="AN934" s="35">
        <f>IF(AND(W934="X",M934&gt;$AJ$2),S934,"")</f>
        <v/>
      </c>
      <c r="AO934" s="35">
        <f>IF(AND(W934="",M934&gt;0,$AJ$2&gt;M934,L934=""),1,0)</f>
        <v/>
      </c>
      <c r="AP934" s="35">
        <f>IF(AND(AK934="YES",W934="X"),"X","")</f>
        <v/>
      </c>
      <c r="AQ934" s="55">
        <f>IF(AP934="X",100%,0%)</f>
        <v/>
      </c>
      <c r="AR934" s="25">
        <f>IF(AND(T934&gt;0,L934=""),H934,"")</f>
        <v/>
      </c>
      <c r="AS934" s="25">
        <f>IF(AND(D934&gt;0,H934=0,G934=""),1,"")</f>
        <v/>
      </c>
      <c r="AT934" s="25">
        <f>IF(G934="BLOQ",1,"")</f>
        <v/>
      </c>
      <c r="AU934" s="25">
        <f>IF(L934="BLOQ",1,"")</f>
        <v/>
      </c>
      <c r="AV934" s="25">
        <f>MONTH(F934)</f>
        <v/>
      </c>
      <c r="AW934" s="65">
        <f>IF(AP934="",100%,0%)</f>
        <v/>
      </c>
      <c r="AX934" s="56" t="n"/>
      <c r="AY934" s="24">
        <f>IF(M934=0,"",M934-$AX$2)</f>
        <v/>
      </c>
      <c r="AZ934" s="66">
        <f>IF(AND(W934="",AY934&gt;0,AY934&lt;15),1,0)</f>
        <v/>
      </c>
      <c r="BA934" s="24">
        <f>IF(AND(W934="",AY934&gt;0,AY934&lt;15),T934,"")</f>
        <v/>
      </c>
      <c r="BB934" s="87">
        <f>IF(R934&lt;Q934,"X","")</f>
        <v/>
      </c>
      <c r="BC934" s="190" t="inlineStr">
        <is>
          <t>NO</t>
        </is>
      </c>
      <c r="BD934" s="191" t="inlineStr">
        <is>
          <t>SI</t>
        </is>
      </c>
    </row>
    <row r="935" ht="15" customHeight="1" s="162">
      <c r="A935" s="7" t="n">
        <v>934</v>
      </c>
      <c r="B935" t="inlineStr">
        <is>
          <t>1220100223030</t>
        </is>
      </c>
      <c r="C935" t="inlineStr">
        <is>
          <t>CBL FLEX 1XAWG22 600V PVDF NEGRO ROHS</t>
        </is>
      </c>
      <c r="D935" t="inlineStr">
        <is>
          <t>1800108945</t>
        </is>
      </c>
      <c r="E935" t="inlineStr">
        <is>
          <t>40</t>
        </is>
      </c>
      <c r="F935" s="163" t="n">
        <v>45462</v>
      </c>
      <c r="G935" t="inlineStr"/>
      <c r="H935" t="inlineStr">
        <is>
          <t>4200571599</t>
        </is>
      </c>
      <c r="I935" t="inlineStr">
        <is>
          <t>10</t>
        </is>
      </c>
      <c r="J935" s="163" t="n">
        <v>45495</v>
      </c>
      <c r="K935" s="163" t="n">
        <v>45497</v>
      </c>
      <c r="L935" t="inlineStr"/>
      <c r="M935" s="163" t="n">
        <v>45526</v>
      </c>
      <c r="N935" s="164" t="n">
        <v>40</v>
      </c>
      <c r="O935" s="164" t="n">
        <v>8</v>
      </c>
      <c r="P935" t="inlineStr">
        <is>
          <t>Liberado</t>
        </is>
      </c>
      <c r="Q935" s="165" t="n">
        <v>1000</v>
      </c>
      <c r="R935" s="165" t="n">
        <v>1000</v>
      </c>
      <c r="S935" s="165" t="n">
        <v>1000</v>
      </c>
      <c r="T935" s="165" t="n">
        <v>0</v>
      </c>
      <c r="U935" s="166" t="n">
        <v>1000</v>
      </c>
      <c r="V935" s="166" t="n">
        <v>0</v>
      </c>
      <c r="W935" t="inlineStr">
        <is>
          <t>X</t>
        </is>
      </c>
      <c r="X935" t="inlineStr">
        <is>
          <t>0.00</t>
        </is>
      </c>
      <c r="Y935" t="inlineStr"/>
      <c r="Z935" t="inlineStr">
        <is>
          <t>CONECTORES Y CABLES VAHER, S.A.</t>
        </is>
      </c>
      <c r="AA935" t="inlineStr">
        <is>
          <t>SAE INC.</t>
        </is>
      </c>
      <c r="AB935" t="inlineStr">
        <is>
          <t>M81044/12-22-0</t>
        </is>
      </c>
      <c r="AC935" t="inlineStr"/>
      <c r="AD935" s="164" t="n">
        <v>0</v>
      </c>
      <c r="AE935" s="185" t="n">
        <v>0</v>
      </c>
      <c r="AG935" s="167" t="inlineStr">
        <is>
          <t>7218|JA2581_1001</t>
        </is>
      </c>
      <c r="AH935" s="47">
        <f>IF(M935=0,"-",M935-J935)</f>
        <v/>
      </c>
      <c r="AI935" s="46">
        <f>IF(AND(S935=0,M935&gt;0,L935=0),IF(AH935&gt;=120,"VERY HIGH",IF(AH935&gt;=90,"HIGH",IF(AH935&gt;=60,"MEDIUM",IF(AH935&lt;60,"LOW")))),"-")</f>
        <v/>
      </c>
      <c r="AJ935" s="12" t="n"/>
      <c r="AK935" s="53">
        <f>IF(AND(W935="X",M935&lt;=$AJ$2),"YES","")</f>
        <v/>
      </c>
      <c r="AL935" s="54">
        <f>IF(AND(W935="X",M935&lt;=$AJ$2),S935,"")</f>
        <v/>
      </c>
      <c r="AM935" s="35" t="n"/>
      <c r="AN935" s="35">
        <f>IF(AND(W935="X",M935&gt;$AJ$2),S935,"")</f>
        <v/>
      </c>
      <c r="AO935" s="35">
        <f>IF(AND(W935="",M935&gt;0,$AJ$2&gt;M935,L935=""),1,0)</f>
        <v/>
      </c>
      <c r="AP935" s="35">
        <f>IF(AND(AK935="YES",W935="X"),"X","")</f>
        <v/>
      </c>
      <c r="AQ935" s="55">
        <f>IF(AP935="X",100%,0%)</f>
        <v/>
      </c>
      <c r="AR935" s="25">
        <f>IF(AND(T935&gt;0,L935=""),H935,"")</f>
        <v/>
      </c>
      <c r="AS935" s="25">
        <f>IF(AND(D935&gt;0,H935=0,G935=""),1,"")</f>
        <v/>
      </c>
      <c r="AT935" s="25">
        <f>IF(G935="BLOQ",1,"")</f>
        <v/>
      </c>
      <c r="AU935" s="25">
        <f>IF(L935="BLOQ",1,"")</f>
        <v/>
      </c>
      <c r="AV935" s="25">
        <f>MONTH(F935)</f>
        <v/>
      </c>
      <c r="AW935" s="65">
        <f>IF(AP935="",100%,0%)</f>
        <v/>
      </c>
      <c r="AX935" s="56" t="n"/>
      <c r="AY935" s="24">
        <f>IF(M935=0,"",M935-$AX$2)</f>
        <v/>
      </c>
      <c r="AZ935" s="66">
        <f>IF(AND(W935="",AY935&gt;0,AY935&lt;15),1,0)</f>
        <v/>
      </c>
      <c r="BA935" s="24">
        <f>IF(AND(W935="",AY935&gt;0,AY935&lt;15),T935,"")</f>
        <v/>
      </c>
      <c r="BB935" s="87">
        <f>IF(R935&lt;Q935,"X","")</f>
        <v/>
      </c>
      <c r="BC935" s="190" t="inlineStr">
        <is>
          <t>NO</t>
        </is>
      </c>
      <c r="BD935" s="191" t="inlineStr">
        <is>
          <t>SI</t>
        </is>
      </c>
    </row>
    <row r="936" ht="15" customHeight="1" s="162">
      <c r="A936" s="7" t="n">
        <v>935</v>
      </c>
      <c r="B936" t="inlineStr">
        <is>
          <t>1220100223930</t>
        </is>
      </c>
      <c r="C936" t="inlineStr">
        <is>
          <t>CBL FLEX 1XAWG22 600V PVDF BLANCO ROHS</t>
        </is>
      </c>
      <c r="D936" t="inlineStr">
        <is>
          <t>1800108945</t>
        </is>
      </c>
      <c r="E936" t="inlineStr">
        <is>
          <t>50</t>
        </is>
      </c>
      <c r="F936" s="163" t="n">
        <v>45462</v>
      </c>
      <c r="G936" t="inlineStr"/>
      <c r="H936" t="inlineStr">
        <is>
          <t>4200571599</t>
        </is>
      </c>
      <c r="I936" t="inlineStr">
        <is>
          <t>20</t>
        </is>
      </c>
      <c r="J936" s="163" t="n">
        <v>45495</v>
      </c>
      <c r="K936" s="163" t="n">
        <v>45497</v>
      </c>
      <c r="L936" t="inlineStr"/>
      <c r="M936" s="163" t="n">
        <v>45523</v>
      </c>
      <c r="N936" s="164" t="n">
        <v>55</v>
      </c>
      <c r="O936" s="164" t="n">
        <v>8</v>
      </c>
      <c r="P936" t="inlineStr">
        <is>
          <t>Liberado</t>
        </is>
      </c>
      <c r="Q936" s="165" t="n">
        <v>4000</v>
      </c>
      <c r="R936" s="165" t="n">
        <v>4000</v>
      </c>
      <c r="S936" s="165" t="n">
        <v>4000</v>
      </c>
      <c r="T936" s="165" t="n">
        <v>0</v>
      </c>
      <c r="U936" s="166" t="n">
        <v>4000</v>
      </c>
      <c r="V936" s="166" t="n">
        <v>0</v>
      </c>
      <c r="W936" t="inlineStr">
        <is>
          <t>X</t>
        </is>
      </c>
      <c r="X936" t="inlineStr">
        <is>
          <t>0.00</t>
        </is>
      </c>
      <c r="Y936" t="inlineStr"/>
      <c r="Z936" t="inlineStr">
        <is>
          <t>CONECTORES Y CABLES VAHER, S.A.</t>
        </is>
      </c>
      <c r="AA936" t="inlineStr">
        <is>
          <t>SAE INC.</t>
        </is>
      </c>
      <c r="AB936" t="inlineStr">
        <is>
          <t>M81044/12-22-9</t>
        </is>
      </c>
      <c r="AC936" t="inlineStr"/>
      <c r="AD936" s="164" t="n">
        <v>0</v>
      </c>
      <c r="AE936" s="185" t="n">
        <v>0</v>
      </c>
      <c r="AG936" s="167" t="inlineStr">
        <is>
          <t>7218|JA2581_1001</t>
        </is>
      </c>
      <c r="AH936" s="47">
        <f>IF(M936=0,"-",M936-J936)</f>
        <v/>
      </c>
      <c r="AI936" s="46">
        <f>IF(AND(S936=0,M936&gt;0,L936=0),IF(AH936&gt;=120,"VERY HIGH",IF(AH936&gt;=90,"HIGH",IF(AH936&gt;=60,"MEDIUM",IF(AH936&lt;60,"LOW")))),"-")</f>
        <v/>
      </c>
      <c r="AJ936" s="12" t="n"/>
      <c r="AK936" s="53">
        <f>IF(AND(W936="X",M936&lt;=$AJ$2),"YES","")</f>
        <v/>
      </c>
      <c r="AL936" s="54">
        <f>IF(AND(W936="X",M936&lt;=$AJ$2),S936,"")</f>
        <v/>
      </c>
      <c r="AM936" s="35" t="n"/>
      <c r="AN936" s="35">
        <f>IF(AND(W936="X",M936&gt;$AJ$2),S936,"")</f>
        <v/>
      </c>
      <c r="AO936" s="35">
        <f>IF(AND(W936="",M936&gt;0,$AJ$2&gt;M936,L936=""),1,0)</f>
        <v/>
      </c>
      <c r="AP936" s="35">
        <f>IF(AND(AK936="YES",W936="X"),"X","")</f>
        <v/>
      </c>
      <c r="AQ936" s="55">
        <f>IF(AP936="X",100%,0%)</f>
        <v/>
      </c>
      <c r="AR936" s="25">
        <f>IF(AND(T936&gt;0,L936=""),H936,"")</f>
        <v/>
      </c>
      <c r="AS936" s="25">
        <f>IF(AND(D936&gt;0,H936=0,G936=""),1,"")</f>
        <v/>
      </c>
      <c r="AT936" s="25">
        <f>IF(G936="BLOQ",1,"")</f>
        <v/>
      </c>
      <c r="AU936" s="25">
        <f>IF(L936="BLOQ",1,"")</f>
        <v/>
      </c>
      <c r="AV936" s="25">
        <f>MONTH(F936)</f>
        <v/>
      </c>
      <c r="AW936" s="65">
        <f>IF(AP936="",100%,0%)</f>
        <v/>
      </c>
      <c r="AX936" s="56" t="n"/>
      <c r="AY936" s="24">
        <f>IF(M936=0,"",M936-$AX$2)</f>
        <v/>
      </c>
      <c r="AZ936" s="66">
        <f>IF(AND(W936="",AY936&gt;0,AY936&lt;15),1,0)</f>
        <v/>
      </c>
      <c r="BA936" s="24">
        <f>IF(AND(W936="",AY936&gt;0,AY936&lt;15),T936,"")</f>
        <v/>
      </c>
      <c r="BB936" s="87">
        <f>IF(R936&lt;Q936,"X","")</f>
        <v/>
      </c>
      <c r="BC936" s="190" t="inlineStr">
        <is>
          <t>NO</t>
        </is>
      </c>
      <c r="BD936" s="191" t="inlineStr">
        <is>
          <t>SI</t>
        </is>
      </c>
    </row>
    <row r="937" ht="15" customHeight="1" s="162">
      <c r="A937" s="7" t="n">
        <v>936</v>
      </c>
      <c r="B937" t="inlineStr">
        <is>
          <t>1220100243230</t>
        </is>
      </c>
      <c r="C937" t="inlineStr">
        <is>
          <t>CBL FLEX 1XAWG24 600V PVDF ROJO ROHS</t>
        </is>
      </c>
      <c r="D937" t="inlineStr">
        <is>
          <t>1800108945</t>
        </is>
      </c>
      <c r="E937" t="inlineStr">
        <is>
          <t>60</t>
        </is>
      </c>
      <c r="F937" s="163" t="n">
        <v>45462</v>
      </c>
      <c r="G937" t="inlineStr"/>
      <c r="H937" t="inlineStr">
        <is>
          <t>4200571599</t>
        </is>
      </c>
      <c r="I937" t="inlineStr">
        <is>
          <t>30</t>
        </is>
      </c>
      <c r="J937" s="163" t="n">
        <v>45495</v>
      </c>
      <c r="K937" s="163" t="n">
        <v>45497</v>
      </c>
      <c r="L937" t="inlineStr"/>
      <c r="M937" s="163" t="n">
        <v>45499</v>
      </c>
      <c r="N937" s="164" t="n">
        <v>40</v>
      </c>
      <c r="O937" s="164" t="n">
        <v>8</v>
      </c>
      <c r="P937" t="inlineStr">
        <is>
          <t>Liberado</t>
        </is>
      </c>
      <c r="Q937" s="165" t="n">
        <v>1000</v>
      </c>
      <c r="R937" s="165" t="n">
        <v>1000</v>
      </c>
      <c r="S937" s="165" t="n">
        <v>1000</v>
      </c>
      <c r="T937" s="165" t="n">
        <v>0</v>
      </c>
      <c r="U937" s="166" t="n">
        <v>1000</v>
      </c>
      <c r="V937" s="166" t="n">
        <v>0</v>
      </c>
      <c r="W937" t="inlineStr">
        <is>
          <t>X</t>
        </is>
      </c>
      <c r="X937" t="inlineStr">
        <is>
          <t>0.00</t>
        </is>
      </c>
      <c r="Y937" t="inlineStr"/>
      <c r="Z937" t="inlineStr">
        <is>
          <t>CONECTORES Y CABLES VAHER, S.A.</t>
        </is>
      </c>
      <c r="AA937" t="inlineStr">
        <is>
          <t>SAE INC.</t>
        </is>
      </c>
      <c r="AB937" t="inlineStr">
        <is>
          <t>M81044/12-24-2</t>
        </is>
      </c>
      <c r="AC937" t="inlineStr"/>
      <c r="AD937" s="164" t="n">
        <v>0</v>
      </c>
      <c r="AE937" s="185" t="n">
        <v>0</v>
      </c>
      <c r="AG937" s="167" t="inlineStr">
        <is>
          <t>7218|JA2581_1001</t>
        </is>
      </c>
      <c r="AH937" s="47">
        <f>IF(M937=0,"-",M937-J937)</f>
        <v/>
      </c>
      <c r="AI937" s="46">
        <f>IF(AND(S937=0,M937&gt;0,L937=0),IF(AH937&gt;=120,"VERY HIGH",IF(AH937&gt;=90,"HIGH",IF(AH937&gt;=60,"MEDIUM",IF(AH937&lt;60,"LOW")))),"-")</f>
        <v/>
      </c>
      <c r="AJ937" s="12" t="n"/>
      <c r="AK937" s="53">
        <f>IF(AND(W937="X",M937&lt;=$AJ$2),"YES","")</f>
        <v/>
      </c>
      <c r="AL937" s="54">
        <f>IF(AND(W937="X",M937&lt;=$AJ$2),S937,"")</f>
        <v/>
      </c>
      <c r="AM937" s="35" t="n"/>
      <c r="AN937" s="35">
        <f>IF(AND(W937="X",M937&gt;$AJ$2),S937,"")</f>
        <v/>
      </c>
      <c r="AO937" s="35">
        <f>IF(AND(W937="",M937&gt;0,$AJ$2&gt;M937,L937=""),1,0)</f>
        <v/>
      </c>
      <c r="AP937" s="35">
        <f>IF(AND(AK937="YES",W937="X"),"X","")</f>
        <v/>
      </c>
      <c r="AQ937" s="55">
        <f>IF(AP937="X",100%,0%)</f>
        <v/>
      </c>
      <c r="AR937" s="25">
        <f>IF(AND(T937&gt;0,L937=""),H937,"")</f>
        <v/>
      </c>
      <c r="AS937" s="25">
        <f>IF(AND(D937&gt;0,H937=0,G937=""),1,"")</f>
        <v/>
      </c>
      <c r="AT937" s="25">
        <f>IF(G937="BLOQ",1,"")</f>
        <v/>
      </c>
      <c r="AU937" s="25">
        <f>IF(L937="BLOQ",1,"")</f>
        <v/>
      </c>
      <c r="AV937" s="25">
        <f>MONTH(F937)</f>
        <v/>
      </c>
      <c r="AW937" s="65">
        <f>IF(AP937="",100%,0%)</f>
        <v/>
      </c>
      <c r="AX937" s="56" t="n"/>
      <c r="AY937" s="24">
        <f>IF(M937=0,"",M937-$AX$2)</f>
        <v/>
      </c>
      <c r="AZ937" s="66">
        <f>IF(AND(W937="",AY937&gt;0,AY937&lt;15),1,0)</f>
        <v/>
      </c>
      <c r="BA937" s="24">
        <f>IF(AND(W937="",AY937&gt;0,AY937&lt;15),T937,"")</f>
        <v/>
      </c>
      <c r="BB937" s="87">
        <f>IF(R937&lt;Q937,"X","")</f>
        <v/>
      </c>
      <c r="BC937" s="190" t="inlineStr">
        <is>
          <t>NO</t>
        </is>
      </c>
      <c r="BD937" s="191" t="inlineStr">
        <is>
          <t>SI</t>
        </is>
      </c>
    </row>
    <row r="938" ht="15" customHeight="1" s="162">
      <c r="A938" s="7" t="n">
        <v>937</v>
      </c>
      <c r="B938" t="inlineStr">
        <is>
          <t>1221100182200</t>
        </is>
      </c>
      <c r="C938" t="inlineStr">
        <is>
          <t>CBL APANT 1XAWG18 PVDF 600V RO</t>
        </is>
      </c>
      <c r="D938" t="inlineStr">
        <is>
          <t>1800108945</t>
        </is>
      </c>
      <c r="E938" t="inlineStr">
        <is>
          <t>70</t>
        </is>
      </c>
      <c r="F938" s="163" t="n">
        <v>45462</v>
      </c>
      <c r="G938" t="inlineStr"/>
      <c r="H938" t="inlineStr">
        <is>
          <t>4200571582</t>
        </is>
      </c>
      <c r="I938" t="inlineStr">
        <is>
          <t>10</t>
        </is>
      </c>
      <c r="J938" s="163" t="n">
        <v>45495</v>
      </c>
      <c r="K938" s="163" t="inlineStr"/>
      <c r="L938" t="inlineStr">
        <is>
          <t>BORR</t>
        </is>
      </c>
      <c r="M938" s="163" t="n">
        <v>45504</v>
      </c>
      <c r="N938" s="164" t="n">
        <v>30</v>
      </c>
      <c r="O938" s="164" t="n">
        <v>8</v>
      </c>
      <c r="P938" t="inlineStr"/>
      <c r="Q938" s="165" t="n">
        <v>300</v>
      </c>
      <c r="R938" s="165" t="n">
        <v>300</v>
      </c>
      <c r="S938" s="165" t="n">
        <v>0</v>
      </c>
      <c r="T938" s="165" t="n">
        <v>300</v>
      </c>
      <c r="U938" s="166" t="n">
        <v>0</v>
      </c>
      <c r="V938" s="166" t="n">
        <v>0</v>
      </c>
      <c r="W938" t="inlineStr"/>
      <c r="X938" t="inlineStr">
        <is>
          <t>417.00</t>
        </is>
      </c>
      <c r="Y938" t="inlineStr"/>
      <c r="Z938" t="inlineStr">
        <is>
          <t>ICOMPPLUS ELECTRONICS S.L</t>
        </is>
      </c>
      <c r="AA938" t="inlineStr">
        <is>
          <t>RAYCHEM CORP</t>
        </is>
      </c>
      <c r="AB938" t="inlineStr">
        <is>
          <t>44A0111-18-2</t>
        </is>
      </c>
      <c r="AC938" t="inlineStr"/>
      <c r="AD938" s="164" t="n">
        <v>0</v>
      </c>
      <c r="AE938" s="185" t="n">
        <v>0</v>
      </c>
      <c r="AG938" s="167" t="inlineStr">
        <is>
          <t>7218|JA2581_1001</t>
        </is>
      </c>
      <c r="AH938" s="47">
        <f>IF(M938=0,"-",M938-J938)</f>
        <v/>
      </c>
      <c r="AI938" s="46">
        <f>IF(AND(S938=0,M938&gt;0,L938=0),IF(AH938&gt;=120,"VERY HIGH",IF(AH938&gt;=90,"HIGH",IF(AH938&gt;=60,"MEDIUM",IF(AH938&lt;60,"LOW")))),"-")</f>
        <v/>
      </c>
      <c r="AJ938" s="12" t="n"/>
      <c r="AK938" s="53">
        <f>IF(AND(W938="X",M938&lt;=$AJ$2),"YES","")</f>
        <v/>
      </c>
      <c r="AL938" s="54">
        <f>IF(AND(W938="X",M938&lt;=$AJ$2),S938,"")</f>
        <v/>
      </c>
      <c r="AM938" s="35" t="n"/>
      <c r="AN938" s="35">
        <f>IF(AND(W938="X",M938&gt;$AJ$2),S938,"")</f>
        <v/>
      </c>
      <c r="AO938" s="35">
        <f>IF(AND(W938="",M938&gt;0,$AJ$2&gt;M938,L938=""),1,0)</f>
        <v/>
      </c>
      <c r="AP938" s="35">
        <f>IF(AND(AK938="YES",W938="X"),"X","")</f>
        <v/>
      </c>
      <c r="AQ938" s="55">
        <f>IF(AP938="X",100%,0%)</f>
        <v/>
      </c>
      <c r="AR938" s="25">
        <f>IF(AND(T938&gt;0,L938=""),H938,"")</f>
        <v/>
      </c>
      <c r="AS938" s="25">
        <f>IF(AND(D938&gt;0,H938=0,G938=""),1,"")</f>
        <v/>
      </c>
      <c r="AT938" s="25">
        <f>IF(G938="BLOQ",1,"")</f>
        <v/>
      </c>
      <c r="AU938" s="25">
        <f>IF(L938="BLOQ",1,"")</f>
        <v/>
      </c>
      <c r="AV938" s="25">
        <f>MONTH(F938)</f>
        <v/>
      </c>
      <c r="AW938" s="65">
        <f>IF(AP938="",100%,0%)</f>
        <v/>
      </c>
      <c r="AX938" s="56" t="n"/>
      <c r="AY938" s="24">
        <f>IF(M938=0,"",M938-$AX$2)</f>
        <v/>
      </c>
      <c r="AZ938" s="66">
        <f>IF(AND(W938="",AY938&gt;0,AY938&lt;15),1,0)</f>
        <v/>
      </c>
      <c r="BA938" s="24">
        <f>IF(AND(W938="",AY938&gt;0,AY938&lt;15),T938,"")</f>
        <v/>
      </c>
      <c r="BB938" s="87">
        <f>IF(R938&lt;Q938,"X","")</f>
        <v/>
      </c>
      <c r="BC938" s="190" t="inlineStr">
        <is>
          <t>NO</t>
        </is>
      </c>
      <c r="BD938" s="191" t="inlineStr">
        <is>
          <t>SI</t>
        </is>
      </c>
    </row>
    <row r="939" ht="15" customHeight="1" s="162">
      <c r="A939" s="7" t="n">
        <v>938</v>
      </c>
      <c r="B939" t="inlineStr">
        <is>
          <t>1221100182200</t>
        </is>
      </c>
      <c r="C939" t="inlineStr">
        <is>
          <t>CBL APANT 1XAWG18 PVDF 600V RO</t>
        </is>
      </c>
      <c r="D939" t="inlineStr">
        <is>
          <t>1800108945</t>
        </is>
      </c>
      <c r="E939" t="inlineStr">
        <is>
          <t>70</t>
        </is>
      </c>
      <c r="F939" s="163" t="n">
        <v>45462</v>
      </c>
      <c r="G939" t="inlineStr"/>
      <c r="H939" t="inlineStr">
        <is>
          <t>4200571579</t>
        </is>
      </c>
      <c r="I939" t="inlineStr">
        <is>
          <t>70</t>
        </is>
      </c>
      <c r="J939" s="163" t="n">
        <v>45495</v>
      </c>
      <c r="K939" s="163" t="n">
        <v>45497</v>
      </c>
      <c r="L939" t="inlineStr"/>
      <c r="M939" s="163" t="n">
        <v>45504</v>
      </c>
      <c r="N939" s="164" t="n">
        <v>30</v>
      </c>
      <c r="O939" s="164" t="n">
        <v>8</v>
      </c>
      <c r="P939" t="inlineStr">
        <is>
          <t>Liberado</t>
        </is>
      </c>
      <c r="Q939" s="165" t="n">
        <v>300</v>
      </c>
      <c r="R939" s="165" t="n">
        <v>300</v>
      </c>
      <c r="S939" s="165" t="n">
        <v>300</v>
      </c>
      <c r="T939" s="165" t="n">
        <v>0</v>
      </c>
      <c r="U939" s="166" t="n">
        <v>300</v>
      </c>
      <c r="V939" s="166" t="n">
        <v>0</v>
      </c>
      <c r="W939" t="inlineStr">
        <is>
          <t>X</t>
        </is>
      </c>
      <c r="X939" t="inlineStr">
        <is>
          <t>0.00</t>
        </is>
      </c>
      <c r="Y939" t="inlineStr"/>
      <c r="Z939" t="inlineStr">
        <is>
          <t>ICOMPPLUS ELECTRONICS S.L</t>
        </is>
      </c>
      <c r="AA939" t="inlineStr">
        <is>
          <t>RAYCHEM CORP</t>
        </is>
      </c>
      <c r="AB939" t="inlineStr">
        <is>
          <t>44A0111-18-2</t>
        </is>
      </c>
      <c r="AC939" t="inlineStr"/>
      <c r="AD939" s="164" t="n">
        <v>1</v>
      </c>
      <c r="AE939" s="185" t="n">
        <v>1</v>
      </c>
      <c r="AG939" s="167" t="inlineStr">
        <is>
          <t>7218|JA2581_1001</t>
        </is>
      </c>
      <c r="AH939" s="47">
        <f>IF(M939=0,"-",M939-J939)</f>
        <v/>
      </c>
      <c r="AI939" s="46">
        <f>IF(AND(S939=0,M939&gt;0,L939=0),IF(AH939&gt;=120,"VERY HIGH",IF(AH939&gt;=90,"HIGH",IF(AH939&gt;=60,"MEDIUM",IF(AH939&lt;60,"LOW")))),"-")</f>
        <v/>
      </c>
      <c r="AJ939" s="12" t="n"/>
      <c r="AK939" s="53">
        <f>IF(AND(W939="X",M939&lt;=$AJ$2),"YES","")</f>
        <v/>
      </c>
      <c r="AL939" s="54">
        <f>IF(AND(W939="X",M939&lt;=$AJ$2),S939,"")</f>
        <v/>
      </c>
      <c r="AM939" s="35" t="n"/>
      <c r="AN939" s="35">
        <f>IF(AND(W939="X",M939&gt;$AJ$2),S939,"")</f>
        <v/>
      </c>
      <c r="AO939" s="35">
        <f>IF(AND(W939="",M939&gt;0,$AJ$2&gt;M939,L939=""),1,0)</f>
        <v/>
      </c>
      <c r="AP939" s="35">
        <f>IF(AND(AK939="YES",W939="X"),"X","")</f>
        <v/>
      </c>
      <c r="AQ939" s="55">
        <f>IF(AP939="X",100%,0%)</f>
        <v/>
      </c>
      <c r="AR939" s="25">
        <f>IF(AND(T939&gt;0,L939=""),H939,"")</f>
        <v/>
      </c>
      <c r="AS939" s="25">
        <f>IF(AND(D939&gt;0,H939=0,G939=""),1,"")</f>
        <v/>
      </c>
      <c r="AT939" s="25">
        <f>IF(G939="BLOQ",1,"")</f>
        <v/>
      </c>
      <c r="AU939" s="25">
        <f>IF(L939="BLOQ",1,"")</f>
        <v/>
      </c>
      <c r="AV939" s="25">
        <f>MONTH(F939)</f>
        <v/>
      </c>
      <c r="AW939" s="65">
        <f>IF(AP939="",100%,0%)</f>
        <v/>
      </c>
      <c r="AX939" s="56" t="n"/>
      <c r="AY939" s="24">
        <f>IF(M939=0,"",M939-$AX$2)</f>
        <v/>
      </c>
      <c r="AZ939" s="66">
        <f>IF(AND(W939="",AY939&gt;0,AY939&lt;15),1,0)</f>
        <v/>
      </c>
      <c r="BA939" s="24">
        <f>IF(AND(W939="",AY939&gt;0,AY939&lt;15),T939,"")</f>
        <v/>
      </c>
      <c r="BB939" s="87">
        <f>IF(R939&lt;Q939,"X","")</f>
        <v/>
      </c>
      <c r="BC939" s="190" t="inlineStr">
        <is>
          <t>NO</t>
        </is>
      </c>
      <c r="BD939" s="191" t="inlineStr">
        <is>
          <t>SI</t>
        </is>
      </c>
    </row>
    <row r="940" ht="15" customHeight="1" s="162">
      <c r="A940" s="7" t="n">
        <v>939</v>
      </c>
      <c r="B940" t="inlineStr">
        <is>
          <t>1229991039503</t>
        </is>
      </c>
      <c r="C940" t="inlineStr">
        <is>
          <t>CBL FLEX 1XAWG24 600V PVDF NEGRO ROHS</t>
        </is>
      </c>
      <c r="D940" t="inlineStr">
        <is>
          <t>1800108945</t>
        </is>
      </c>
      <c r="E940" t="inlineStr">
        <is>
          <t>80</t>
        </is>
      </c>
      <c r="F940" s="163" t="n">
        <v>45462</v>
      </c>
      <c r="G940" t="inlineStr"/>
      <c r="H940" t="inlineStr">
        <is>
          <t>4200570835</t>
        </is>
      </c>
      <c r="I940" t="inlineStr">
        <is>
          <t>10</t>
        </is>
      </c>
      <c r="J940" s="163" t="n">
        <v>45489</v>
      </c>
      <c r="K940" s="163" t="n">
        <v>45490</v>
      </c>
      <c r="L940" t="inlineStr"/>
      <c r="M940" s="163" t="n">
        <v>45496</v>
      </c>
      <c r="N940" s="164" t="n">
        <v>55</v>
      </c>
      <c r="O940" s="164" t="n">
        <v>8</v>
      </c>
      <c r="P940" t="inlineStr">
        <is>
          <t>Liberado</t>
        </is>
      </c>
      <c r="Q940" s="165" t="n">
        <v>1000</v>
      </c>
      <c r="R940" s="165" t="n">
        <v>1000</v>
      </c>
      <c r="S940" s="165" t="n">
        <v>1000</v>
      </c>
      <c r="T940" s="165" t="n">
        <v>0</v>
      </c>
      <c r="U940" s="166" t="n">
        <v>0</v>
      </c>
      <c r="V940" s="166" t="n">
        <v>0</v>
      </c>
      <c r="W940" t="inlineStr">
        <is>
          <t>X</t>
        </is>
      </c>
      <c r="X940" t="inlineStr">
        <is>
          <t>0.00</t>
        </is>
      </c>
      <c r="Y940" t="inlineStr"/>
      <c r="Z940" t="inlineStr">
        <is>
          <t>TTI INC.</t>
        </is>
      </c>
      <c r="AA940" t="inlineStr">
        <is>
          <t>TE CONNECTIVITY</t>
        </is>
      </c>
      <c r="AB940" t="inlineStr">
        <is>
          <t>44A0111-24-0</t>
        </is>
      </c>
      <c r="AC940" t="inlineStr"/>
      <c r="AD940" s="164" t="n">
        <v>0</v>
      </c>
      <c r="AE940" s="185" t="n">
        <v>0</v>
      </c>
      <c r="AG940" s="167" t="inlineStr">
        <is>
          <t>7218|JA2581_1001</t>
        </is>
      </c>
      <c r="AH940" s="47">
        <f>IF(M940=0,"-",M940-J940)</f>
        <v/>
      </c>
      <c r="AI940" s="46">
        <f>IF(AND(S940=0,M940&gt;0,L940=0),IF(AH940&gt;=120,"VERY HIGH",IF(AH940&gt;=90,"HIGH",IF(AH940&gt;=60,"MEDIUM",IF(AH940&lt;60,"LOW")))),"-")</f>
        <v/>
      </c>
      <c r="AJ940" s="12" t="n"/>
      <c r="AK940" s="53">
        <f>IF(AND(W940="X",M940&lt;=$AJ$2),"YES","")</f>
        <v/>
      </c>
      <c r="AL940" s="54">
        <f>IF(AND(W940="X",M940&lt;=$AJ$2),S940,"")</f>
        <v/>
      </c>
      <c r="AM940" s="35" t="n"/>
      <c r="AN940" s="35">
        <f>IF(AND(W940="X",M940&gt;$AJ$2),S940,"")</f>
        <v/>
      </c>
      <c r="AO940" s="35">
        <f>IF(AND(W940="",M940&gt;0,$AJ$2&gt;M940,L940=""),1,0)</f>
        <v/>
      </c>
      <c r="AP940" s="35">
        <f>IF(AND(AK940="YES",W940="X"),"X","")</f>
        <v/>
      </c>
      <c r="AQ940" s="55">
        <f>IF(AP940="X",100%,0%)</f>
        <v/>
      </c>
      <c r="AR940" s="25">
        <f>IF(AND(T940&gt;0,L940=""),H940,"")</f>
        <v/>
      </c>
      <c r="AS940" s="25">
        <f>IF(AND(D940&gt;0,H940=0,G940=""),1,"")</f>
        <v/>
      </c>
      <c r="AT940" s="25">
        <f>IF(G940="BLOQ",1,"")</f>
        <v/>
      </c>
      <c r="AU940" s="25">
        <f>IF(L940="BLOQ",1,"")</f>
        <v/>
      </c>
      <c r="AV940" s="25">
        <f>MONTH(F940)</f>
        <v/>
      </c>
      <c r="AW940" s="65">
        <f>IF(AP940="",100%,0%)</f>
        <v/>
      </c>
      <c r="AX940" s="56" t="n"/>
      <c r="AY940" s="24">
        <f>IF(M940=0,"",M940-$AX$2)</f>
        <v/>
      </c>
      <c r="AZ940" s="66">
        <f>IF(AND(W940="",AY940&gt;0,AY940&lt;15),1,0)</f>
        <v/>
      </c>
      <c r="BA940" s="24">
        <f>IF(AND(W940="",AY940&gt;0,AY940&lt;15),T940,"")</f>
        <v/>
      </c>
      <c r="BB940" s="87">
        <f>IF(R940&lt;Q940,"X","")</f>
        <v/>
      </c>
      <c r="BC940" s="190" t="inlineStr">
        <is>
          <t>NO</t>
        </is>
      </c>
      <c r="BD940" s="191" t="inlineStr">
        <is>
          <t>SI</t>
        </is>
      </c>
    </row>
    <row r="941" ht="15" customHeight="1" s="162">
      <c r="A941" s="7" t="n">
        <v>940</v>
      </c>
      <c r="B941" t="inlineStr">
        <is>
          <t>1229991069511</t>
        </is>
      </c>
      <c r="C941" t="inlineStr">
        <is>
          <t>CBL FLEX 1XAWG12 600V PVDF NEGRO ROHS</t>
        </is>
      </c>
      <c r="D941" t="inlineStr">
        <is>
          <t>1800108945</t>
        </is>
      </c>
      <c r="E941" t="inlineStr">
        <is>
          <t>90</t>
        </is>
      </c>
      <c r="F941" s="163" t="n">
        <v>45462</v>
      </c>
      <c r="G941" t="inlineStr"/>
      <c r="H941" t="inlineStr">
        <is>
          <t>4200571599</t>
        </is>
      </c>
      <c r="I941" t="inlineStr">
        <is>
          <t>40</t>
        </is>
      </c>
      <c r="J941" s="163" t="n">
        <v>45495</v>
      </c>
      <c r="K941" s="163" t="n">
        <v>45497</v>
      </c>
      <c r="L941" t="inlineStr"/>
      <c r="M941" s="163" t="n">
        <v>45523</v>
      </c>
      <c r="N941" s="164" t="n">
        <v>85</v>
      </c>
      <c r="O941" s="164" t="n">
        <v>8</v>
      </c>
      <c r="P941" t="inlineStr">
        <is>
          <t>Liberado</t>
        </is>
      </c>
      <c r="Q941" s="165" t="n">
        <v>300</v>
      </c>
      <c r="R941" s="165" t="n">
        <v>300</v>
      </c>
      <c r="S941" s="165" t="n">
        <v>300</v>
      </c>
      <c r="T941" s="165" t="n">
        <v>0</v>
      </c>
      <c r="U941" s="166" t="n">
        <v>300</v>
      </c>
      <c r="V941" s="166" t="n">
        <v>0</v>
      </c>
      <c r="W941" t="inlineStr">
        <is>
          <t>X</t>
        </is>
      </c>
      <c r="X941" t="inlineStr">
        <is>
          <t>0.00</t>
        </is>
      </c>
      <c r="Y941" t="inlineStr"/>
      <c r="Z941" t="inlineStr">
        <is>
          <t>CONECTORES Y CABLES VAHER, S.A.</t>
        </is>
      </c>
      <c r="AA941" t="inlineStr">
        <is>
          <t>SAE INC.</t>
        </is>
      </c>
      <c r="AB941" t="inlineStr">
        <is>
          <t>M81044/12-12-0</t>
        </is>
      </c>
      <c r="AC941" t="inlineStr"/>
      <c r="AD941" s="164" t="n">
        <v>0</v>
      </c>
      <c r="AE941" s="185" t="n">
        <v>0</v>
      </c>
      <c r="AG941" s="167" t="inlineStr">
        <is>
          <t>7218|JA2581_1001</t>
        </is>
      </c>
      <c r="AH941" s="47">
        <f>IF(M941=0,"-",M941-J941)</f>
        <v/>
      </c>
      <c r="AI941" s="46">
        <f>IF(AND(S941=0,M941&gt;0,L941=0),IF(AH941&gt;=120,"VERY HIGH",IF(AH941&gt;=90,"HIGH",IF(AH941&gt;=60,"MEDIUM",IF(AH941&lt;60,"LOW")))),"-")</f>
        <v/>
      </c>
      <c r="AJ941" s="12" t="n"/>
      <c r="AK941" s="53">
        <f>IF(AND(W941="X",M941&lt;=$AJ$2),"YES","")</f>
        <v/>
      </c>
      <c r="AL941" s="54">
        <f>IF(AND(W941="X",M941&lt;=$AJ$2),S941,"")</f>
        <v/>
      </c>
      <c r="AM941" s="35" t="n"/>
      <c r="AN941" s="35">
        <f>IF(AND(W941="X",M941&gt;$AJ$2),S941,"")</f>
        <v/>
      </c>
      <c r="AO941" s="35">
        <f>IF(AND(W941="",M941&gt;0,$AJ$2&gt;M941,L941=""),1,0)</f>
        <v/>
      </c>
      <c r="AP941" s="35">
        <f>IF(AND(AK941="YES",W941="X"),"X","")</f>
        <v/>
      </c>
      <c r="AQ941" s="55">
        <f>IF(AP941="X",100%,0%)</f>
        <v/>
      </c>
      <c r="AR941" s="25">
        <f>IF(AND(T941&gt;0,L941=""),H941,"")</f>
        <v/>
      </c>
      <c r="AS941" s="25">
        <f>IF(AND(D941&gt;0,H941=0,G941=""),1,"")</f>
        <v/>
      </c>
      <c r="AT941" s="25">
        <f>IF(G941="BLOQ",1,"")</f>
        <v/>
      </c>
      <c r="AU941" s="25">
        <f>IF(L941="BLOQ",1,"")</f>
        <v/>
      </c>
      <c r="AV941" s="25">
        <f>MONTH(F941)</f>
        <v/>
      </c>
      <c r="AW941" s="65">
        <f>IF(AP941="",100%,0%)</f>
        <v/>
      </c>
      <c r="AX941" s="56" t="n"/>
      <c r="AY941" s="24">
        <f>IF(M941=0,"",M941-$AX$2)</f>
        <v/>
      </c>
      <c r="AZ941" s="66">
        <f>IF(AND(W941="",AY941&gt;0,AY941&lt;15),1,0)</f>
        <v/>
      </c>
      <c r="BA941" s="24">
        <f>IF(AND(W941="",AY941&gt;0,AY941&lt;15),T941,"")</f>
        <v/>
      </c>
      <c r="BB941" s="87">
        <f>IF(R941&lt;Q941,"X","")</f>
        <v/>
      </c>
      <c r="BC941" s="190" t="inlineStr">
        <is>
          <t>NO</t>
        </is>
      </c>
      <c r="BD941" s="191" t="inlineStr">
        <is>
          <t>SI</t>
        </is>
      </c>
    </row>
    <row r="942" ht="15" customHeight="1" s="162">
      <c r="A942" s="7" t="n">
        <v>941</v>
      </c>
      <c r="B942" t="inlineStr">
        <is>
          <t>1229991069512</t>
        </is>
      </c>
      <c r="C942" t="inlineStr">
        <is>
          <t>CBL FLEX 1XAWG12 600V PVDF ROJO ROHS</t>
        </is>
      </c>
      <c r="D942" t="inlineStr">
        <is>
          <t>1800108945</t>
        </is>
      </c>
      <c r="E942" t="inlineStr">
        <is>
          <t>100</t>
        </is>
      </c>
      <c r="F942" s="163" t="n">
        <v>45462</v>
      </c>
      <c r="G942" t="inlineStr"/>
      <c r="H942" t="inlineStr">
        <is>
          <t>4200571849</t>
        </is>
      </c>
      <c r="I942" t="inlineStr">
        <is>
          <t>110</t>
        </is>
      </c>
      <c r="J942" s="163" t="n">
        <v>45496</v>
      </c>
      <c r="K942" s="163" t="n">
        <v>45511</v>
      </c>
      <c r="L942" t="inlineStr"/>
      <c r="M942" s="163" t="n">
        <v>45504</v>
      </c>
      <c r="N942" s="164" t="n">
        <v>100</v>
      </c>
      <c r="O942" s="164" t="n">
        <v>8</v>
      </c>
      <c r="P942" t="inlineStr">
        <is>
          <t>Liberado</t>
        </is>
      </c>
      <c r="Q942" s="165" t="n">
        <v>300</v>
      </c>
      <c r="R942" s="165" t="n">
        <v>300</v>
      </c>
      <c r="S942" s="165" t="n">
        <v>300</v>
      </c>
      <c r="T942" s="165" t="n">
        <v>0</v>
      </c>
      <c r="U942" s="166" t="n">
        <v>0</v>
      </c>
      <c r="V942" s="166" t="n">
        <v>0</v>
      </c>
      <c r="W942" t="inlineStr">
        <is>
          <t>X</t>
        </is>
      </c>
      <c r="X942" t="inlineStr">
        <is>
          <t>0.00</t>
        </is>
      </c>
      <c r="Y942" t="inlineStr"/>
      <c r="Z942" t="inlineStr">
        <is>
          <t>TTI INC.</t>
        </is>
      </c>
      <c r="AA942" t="inlineStr">
        <is>
          <t>TE CONNECTIVITY</t>
        </is>
      </c>
      <c r="AB942" t="inlineStr">
        <is>
          <t>44A0111-12-2</t>
        </is>
      </c>
      <c r="AC942" t="inlineStr"/>
      <c r="AD942" s="164" t="n">
        <v>0</v>
      </c>
      <c r="AE942" s="185" t="n">
        <v>0</v>
      </c>
      <c r="AG942" s="167" t="inlineStr">
        <is>
          <t>7218|JA2581_1001</t>
        </is>
      </c>
      <c r="AH942" s="47">
        <f>IF(M942=0,"-",M942-J942)</f>
        <v/>
      </c>
      <c r="AI942" s="46">
        <f>IF(AND(S942=0,M942&gt;0,L942=0),IF(AH942&gt;=120,"VERY HIGH",IF(AH942&gt;=90,"HIGH",IF(AH942&gt;=60,"MEDIUM",IF(AH942&lt;60,"LOW")))),"-")</f>
        <v/>
      </c>
      <c r="AJ942" s="12" t="n"/>
      <c r="AK942" s="53">
        <f>IF(AND(W942="X",M942&lt;=$AJ$2),"YES","")</f>
        <v/>
      </c>
      <c r="AL942" s="54">
        <f>IF(AND(W942="X",M942&lt;=$AJ$2),S942,"")</f>
        <v/>
      </c>
      <c r="AM942" s="35" t="n"/>
      <c r="AN942" s="35">
        <f>IF(AND(W942="X",M942&gt;$AJ$2),S942,"")</f>
        <v/>
      </c>
      <c r="AO942" s="35">
        <f>IF(AND(W942="",M942&gt;0,$AJ$2&gt;M942,L942=""),1,0)</f>
        <v/>
      </c>
      <c r="AP942" s="35">
        <f>IF(AND(AK942="YES",W942="X"),"X","")</f>
        <v/>
      </c>
      <c r="AQ942" s="55">
        <f>IF(AP942="X",100%,0%)</f>
        <v/>
      </c>
      <c r="AR942" s="25">
        <f>IF(AND(T942&gt;0,L942=""),H942,"")</f>
        <v/>
      </c>
      <c r="AS942" s="25">
        <f>IF(AND(D942&gt;0,H942=0,G942=""),1,"")</f>
        <v/>
      </c>
      <c r="AT942" s="25">
        <f>IF(G942="BLOQ",1,"")</f>
        <v/>
      </c>
      <c r="AU942" s="25">
        <f>IF(L942="BLOQ",1,"")</f>
        <v/>
      </c>
      <c r="AV942" s="25">
        <f>MONTH(F942)</f>
        <v/>
      </c>
      <c r="AW942" s="65">
        <f>IF(AP942="",100%,0%)</f>
        <v/>
      </c>
      <c r="AX942" s="56" t="n"/>
      <c r="AY942" s="24">
        <f>IF(M942=0,"",M942-$AX$2)</f>
        <v/>
      </c>
      <c r="AZ942" s="66">
        <f>IF(AND(W942="",AY942&gt;0,AY942&lt;15),1,0)</f>
        <v/>
      </c>
      <c r="BA942" s="24">
        <f>IF(AND(W942="",AY942&gt;0,AY942&lt;15),T942,"")</f>
        <v/>
      </c>
      <c r="BB942" s="87">
        <f>IF(R942&lt;Q942,"X","")</f>
        <v/>
      </c>
      <c r="BC942" s="190" t="inlineStr">
        <is>
          <t>NO</t>
        </is>
      </c>
      <c r="BD942" s="191" t="inlineStr">
        <is>
          <t>SI</t>
        </is>
      </c>
    </row>
    <row r="943" ht="15" customHeight="1" s="162">
      <c r="A943" s="7" t="n">
        <v>942</v>
      </c>
      <c r="B943" t="inlineStr">
        <is>
          <t>1229991069524</t>
        </is>
      </c>
      <c r="C943" t="inlineStr">
        <is>
          <t>CBL FLEX 1XAWG22 600V PVDF ROJO ROHS</t>
        </is>
      </c>
      <c r="D943" t="inlineStr">
        <is>
          <t>1800108945</t>
        </is>
      </c>
      <c r="E943" t="inlineStr">
        <is>
          <t>110</t>
        </is>
      </c>
      <c r="F943" s="163" t="n">
        <v>45462</v>
      </c>
      <c r="G943" t="inlineStr"/>
      <c r="H943" t="inlineStr">
        <is>
          <t>4200571849</t>
        </is>
      </c>
      <c r="I943" t="inlineStr">
        <is>
          <t>120</t>
        </is>
      </c>
      <c r="J943" s="163" t="n">
        <v>45496</v>
      </c>
      <c r="K943" s="163" t="n">
        <v>45511</v>
      </c>
      <c r="L943" t="inlineStr"/>
      <c r="M943" s="163" t="n">
        <v>45504</v>
      </c>
      <c r="N943" s="164" t="n">
        <v>60</v>
      </c>
      <c r="O943" s="164" t="n">
        <v>8</v>
      </c>
      <c r="P943" t="inlineStr">
        <is>
          <t>Liberado</t>
        </is>
      </c>
      <c r="Q943" s="165" t="n">
        <v>1000</v>
      </c>
      <c r="R943" s="165" t="n">
        <v>1000</v>
      </c>
      <c r="S943" s="165" t="n">
        <v>1000</v>
      </c>
      <c r="T943" s="165" t="n">
        <v>0</v>
      </c>
      <c r="U943" s="166" t="n">
        <v>0</v>
      </c>
      <c r="V943" s="166" t="n">
        <v>0</v>
      </c>
      <c r="W943" t="inlineStr">
        <is>
          <t>X</t>
        </is>
      </c>
      <c r="X943" t="inlineStr">
        <is>
          <t>0.00</t>
        </is>
      </c>
      <c r="Y943" t="inlineStr"/>
      <c r="Z943" t="inlineStr">
        <is>
          <t>TTI INC.</t>
        </is>
      </c>
      <c r="AA943" t="inlineStr">
        <is>
          <t>TE CONNECTIVITY</t>
        </is>
      </c>
      <c r="AB943" t="inlineStr">
        <is>
          <t>44A0111-22-2</t>
        </is>
      </c>
      <c r="AC943" t="inlineStr"/>
      <c r="AD943" s="164" t="n">
        <v>0</v>
      </c>
      <c r="AE943" s="185" t="n">
        <v>0</v>
      </c>
      <c r="AG943" s="167" t="inlineStr">
        <is>
          <t>7218|JA2581_1001</t>
        </is>
      </c>
      <c r="AH943" s="47">
        <f>IF(M943=0,"-",M943-J943)</f>
        <v/>
      </c>
      <c r="AI943" s="46">
        <f>IF(AND(S943=0,M943&gt;0,L943=0),IF(AH943&gt;=120,"VERY HIGH",IF(AH943&gt;=90,"HIGH",IF(AH943&gt;=60,"MEDIUM",IF(AH943&lt;60,"LOW")))),"-")</f>
        <v/>
      </c>
      <c r="AJ943" s="12" t="n"/>
      <c r="AK943" s="53">
        <f>IF(AND(W943="X",M943&lt;=$AJ$2),"YES","")</f>
        <v/>
      </c>
      <c r="AL943" s="54">
        <f>IF(AND(W943="X",M943&lt;=$AJ$2),S943,"")</f>
        <v/>
      </c>
      <c r="AM943" s="35" t="n"/>
      <c r="AN943" s="35">
        <f>IF(AND(W943="X",M943&gt;$AJ$2),S943,"")</f>
        <v/>
      </c>
      <c r="AO943" s="35">
        <f>IF(AND(W943="",M943&gt;0,$AJ$2&gt;M943,L943=""),1,0)</f>
        <v/>
      </c>
      <c r="AP943" s="35">
        <f>IF(AND(AK943="YES",W943="X"),"X","")</f>
        <v/>
      </c>
      <c r="AQ943" s="55">
        <f>IF(AP943="X",100%,0%)</f>
        <v/>
      </c>
      <c r="AR943" s="25">
        <f>IF(AND(T943&gt;0,L943=""),H943,"")</f>
        <v/>
      </c>
      <c r="AS943" s="25">
        <f>IF(AND(D943&gt;0,H943=0,G943=""),1,"")</f>
        <v/>
      </c>
      <c r="AT943" s="25">
        <f>IF(G943="BLOQ",1,"")</f>
        <v/>
      </c>
      <c r="AU943" s="25">
        <f>IF(L943="BLOQ",1,"")</f>
        <v/>
      </c>
      <c r="AV943" s="25">
        <f>MONTH(F943)</f>
        <v/>
      </c>
      <c r="AW943" s="65">
        <f>IF(AP943="",100%,0%)</f>
        <v/>
      </c>
      <c r="AX943" s="56" t="n"/>
      <c r="AY943" s="24">
        <f>IF(M943=0,"",M943-$AX$2)</f>
        <v/>
      </c>
      <c r="AZ943" s="66">
        <f>IF(AND(W943="",AY943&gt;0,AY943&lt;15),1,0)</f>
        <v/>
      </c>
      <c r="BA943" s="24">
        <f>IF(AND(W943="",AY943&gt;0,AY943&lt;15),T943,"")</f>
        <v/>
      </c>
      <c r="BB943" s="87">
        <f>IF(R943&lt;Q943,"X","")</f>
        <v/>
      </c>
      <c r="BC943" s="190" t="inlineStr">
        <is>
          <t>NO</t>
        </is>
      </c>
      <c r="BD943" s="191" t="inlineStr">
        <is>
          <t>SI</t>
        </is>
      </c>
    </row>
    <row r="944" ht="15" customHeight="1" s="162">
      <c r="A944" s="7" t="n">
        <v>943</v>
      </c>
      <c r="B944" t="inlineStr">
        <is>
          <t>1233524500900</t>
        </is>
      </c>
      <c r="C944" t="inlineStr">
        <is>
          <t>BASE ADH BRIDA A=5MM 29X29X2,5MM NYLON B</t>
        </is>
      </c>
      <c r="D944" t="inlineStr">
        <is>
          <t>1800108945</t>
        </is>
      </c>
      <c r="E944" t="inlineStr">
        <is>
          <t>120</t>
        </is>
      </c>
      <c r="F944" s="163" t="n">
        <v>45462</v>
      </c>
      <c r="G944" t="inlineStr"/>
      <c r="H944" t="inlineStr">
        <is>
          <t>4200571557</t>
        </is>
      </c>
      <c r="I944" t="inlineStr">
        <is>
          <t>120</t>
        </is>
      </c>
      <c r="J944" s="163" t="n">
        <v>45492</v>
      </c>
      <c r="K944" s="163" t="n">
        <v>45497</v>
      </c>
      <c r="L944" t="inlineStr"/>
      <c r="M944" s="163" t="n">
        <v>45504</v>
      </c>
      <c r="N944" s="164" t="n">
        <v>85</v>
      </c>
      <c r="O944" s="164" t="n">
        <v>8</v>
      </c>
      <c r="P944" t="inlineStr">
        <is>
          <t>Liberado</t>
        </is>
      </c>
      <c r="Q944" s="165" t="n">
        <v>500</v>
      </c>
      <c r="R944" s="165" t="n">
        <v>500</v>
      </c>
      <c r="S944" s="165" t="n">
        <v>500</v>
      </c>
      <c r="T944" s="165" t="n">
        <v>0</v>
      </c>
      <c r="U944" s="166" t="n">
        <v>500</v>
      </c>
      <c r="V944" s="166" t="n">
        <v>0</v>
      </c>
      <c r="W944" t="inlineStr">
        <is>
          <t>X</t>
        </is>
      </c>
      <c r="X944" t="inlineStr">
        <is>
          <t>0.00</t>
        </is>
      </c>
      <c r="Y944" t="inlineStr"/>
      <c r="Z944" t="inlineStr">
        <is>
          <t>TELKRON, S.A.</t>
        </is>
      </c>
      <c r="AA944" t="inlineStr">
        <is>
          <t>RS AMIDATA</t>
        </is>
      </c>
      <c r="AB944" t="inlineStr">
        <is>
          <t>229-560</t>
        </is>
      </c>
      <c r="AC944" t="inlineStr"/>
      <c r="AD944" s="164" t="n">
        <v>0</v>
      </c>
      <c r="AE944" s="185" t="n">
        <v>0</v>
      </c>
      <c r="AG944" s="167" t="inlineStr">
        <is>
          <t>7218|JA2581_1001</t>
        </is>
      </c>
      <c r="AH944" s="47">
        <f>IF(M944=0,"-",M944-J944)</f>
        <v/>
      </c>
      <c r="AI944" s="46">
        <f>IF(AND(S944=0,M944&gt;0,L944=0),IF(AH944&gt;=120,"VERY HIGH",IF(AH944&gt;=90,"HIGH",IF(AH944&gt;=60,"MEDIUM",IF(AH944&lt;60,"LOW")))),"-")</f>
        <v/>
      </c>
      <c r="AJ944" s="12" t="n"/>
      <c r="AK944" s="53">
        <f>IF(AND(W944="X",M944&lt;=$AJ$2),"YES","")</f>
        <v/>
      </c>
      <c r="AL944" s="54">
        <f>IF(AND(W944="X",M944&lt;=$AJ$2),S944,"")</f>
        <v/>
      </c>
      <c r="AM944" s="35" t="n"/>
      <c r="AN944" s="35">
        <f>IF(AND(W944="X",M944&gt;$AJ$2),S944,"")</f>
        <v/>
      </c>
      <c r="AO944" s="35">
        <f>IF(AND(W944="",M944&gt;0,$AJ$2&gt;M944,L944=""),1,0)</f>
        <v/>
      </c>
      <c r="AP944" s="35">
        <f>IF(AND(AK944="YES",W944="X"),"X","")</f>
        <v/>
      </c>
      <c r="AQ944" s="55">
        <f>IF(AP944="X",100%,0%)</f>
        <v/>
      </c>
      <c r="AR944" s="25">
        <f>IF(AND(T944&gt;0,L944=""),H944,"")</f>
        <v/>
      </c>
      <c r="AS944" s="25">
        <f>IF(AND(D944&gt;0,H944=0,G944=""),1,"")</f>
        <v/>
      </c>
      <c r="AT944" s="25">
        <f>IF(G944="BLOQ",1,"")</f>
        <v/>
      </c>
      <c r="AU944" s="25">
        <f>IF(L944="BLOQ",1,"")</f>
        <v/>
      </c>
      <c r="AV944" s="25">
        <f>MONTH(F944)</f>
        <v/>
      </c>
      <c r="AW944" s="65">
        <f>IF(AP944="",100%,0%)</f>
        <v/>
      </c>
      <c r="AX944" s="56" t="n"/>
      <c r="AY944" s="24">
        <f>IF(M944=0,"",M944-$AX$2)</f>
        <v/>
      </c>
      <c r="AZ944" s="66">
        <f>IF(AND(W944="",AY944&gt;0,AY944&lt;15),1,0)</f>
        <v/>
      </c>
      <c r="BA944" s="24">
        <f>IF(AND(W944="",AY944&gt;0,AY944&lt;15),T944,"")</f>
        <v/>
      </c>
      <c r="BB944" s="87">
        <f>IF(R944&lt;Q944,"X","")</f>
        <v/>
      </c>
      <c r="BC944" s="190" t="inlineStr">
        <is>
          <t>NO</t>
        </is>
      </c>
      <c r="BD944" s="191" t="inlineStr">
        <is>
          <t>SI</t>
        </is>
      </c>
    </row>
    <row r="945" ht="15" customHeight="1" s="162">
      <c r="A945" s="7" t="n">
        <v>944</v>
      </c>
      <c r="B945" t="inlineStr">
        <is>
          <t>1587090630000</t>
        </is>
      </c>
      <c r="C945" t="inlineStr">
        <is>
          <t>ETQ ADH PELIGRO 12.5X12.5MM VINILO</t>
        </is>
      </c>
      <c r="D945" t="inlineStr">
        <is>
          <t>1800108945</t>
        </is>
      </c>
      <c r="E945" t="inlineStr">
        <is>
          <t>130</t>
        </is>
      </c>
      <c r="F945" s="163" t="n">
        <v>45462</v>
      </c>
      <c r="G945" t="inlineStr"/>
      <c r="H945" t="inlineStr">
        <is>
          <t>4200581246</t>
        </is>
      </c>
      <c r="I945" t="inlineStr">
        <is>
          <t>30</t>
        </is>
      </c>
      <c r="J945" s="163" t="n">
        <v>45580</v>
      </c>
      <c r="K945" s="163" t="n">
        <v>45586</v>
      </c>
      <c r="L945" t="inlineStr"/>
      <c r="M945" s="163" t="n">
        <v>45488</v>
      </c>
      <c r="N945" s="164" t="n">
        <v>40</v>
      </c>
      <c r="O945" s="164" t="n">
        <v>8</v>
      </c>
      <c r="P945" t="inlineStr">
        <is>
          <t>Liberado</t>
        </is>
      </c>
      <c r="Q945" s="165" t="n">
        <v>6</v>
      </c>
      <c r="R945" s="165" t="n">
        <v>6</v>
      </c>
      <c r="S945" s="165" t="n">
        <v>6</v>
      </c>
      <c r="T945" s="165" t="n">
        <v>0</v>
      </c>
      <c r="U945" s="166" t="n">
        <v>6</v>
      </c>
      <c r="V945" s="166" t="n">
        <v>0</v>
      </c>
      <c r="W945" t="inlineStr">
        <is>
          <t>X</t>
        </is>
      </c>
      <c r="X945" t="inlineStr">
        <is>
          <t>0.00</t>
        </is>
      </c>
      <c r="Y945" t="inlineStr"/>
      <c r="Z945" t="inlineStr">
        <is>
          <t>AMIDATA, S.A.</t>
        </is>
      </c>
      <c r="AA945" t="inlineStr">
        <is>
          <t>RS PRO</t>
        </is>
      </c>
      <c r="AB945" t="inlineStr">
        <is>
          <t>776-0939</t>
        </is>
      </c>
      <c r="AC945" t="inlineStr"/>
      <c r="AD945" s="164" t="n">
        <v>0</v>
      </c>
      <c r="AE945" s="185" t="n">
        <v>0</v>
      </c>
      <c r="AG945" s="167" t="inlineStr">
        <is>
          <t>7218|JA2581_1001</t>
        </is>
      </c>
      <c r="AH945" s="47">
        <f>IF(M945=0,"-",M945-J945)</f>
        <v/>
      </c>
      <c r="AI945" s="46">
        <f>IF(AND(S945=0,M945&gt;0,L945=0),IF(AH945&gt;=120,"VERY HIGH",IF(AH945&gt;=90,"HIGH",IF(AH945&gt;=60,"MEDIUM",IF(AH945&lt;60,"LOW")))),"-")</f>
        <v/>
      </c>
      <c r="AJ945" s="12" t="n"/>
      <c r="AK945" s="53">
        <f>IF(AND(W945="X",M945&lt;=$AJ$2),"YES","")</f>
        <v/>
      </c>
      <c r="AL945" s="54">
        <f>IF(AND(W945="X",M945&lt;=$AJ$2),S945,"")</f>
        <v/>
      </c>
      <c r="AM945" s="35" t="n"/>
      <c r="AN945" s="35">
        <f>IF(AND(W945="X",M945&gt;$AJ$2),S945,"")</f>
        <v/>
      </c>
      <c r="AO945" s="35">
        <f>IF(AND(W945="",M945&gt;0,$AJ$2&gt;M945,L945=""),1,0)</f>
        <v/>
      </c>
      <c r="AP945" s="35">
        <f>IF(AND(AK945="YES",W945="X"),"X","")</f>
        <v/>
      </c>
      <c r="AQ945" s="55">
        <f>IF(AP945="X",100%,0%)</f>
        <v/>
      </c>
      <c r="AR945" s="25">
        <f>IF(AND(T945&gt;0,L945=""),H945,"")</f>
        <v/>
      </c>
      <c r="AS945" s="25">
        <f>IF(AND(D945&gt;0,H945=0,G945=""),1,"")</f>
        <v/>
      </c>
      <c r="AT945" s="25">
        <f>IF(G945="BLOQ",1,"")</f>
        <v/>
      </c>
      <c r="AU945" s="25">
        <f>IF(L945="BLOQ",1,"")</f>
        <v/>
      </c>
      <c r="AV945" s="25">
        <f>MONTH(F945)</f>
        <v/>
      </c>
      <c r="AW945" s="65">
        <f>IF(AP945="",100%,0%)</f>
        <v/>
      </c>
      <c r="AX945" s="56" t="n"/>
      <c r="AY945" s="24">
        <f>IF(M945=0,"",M945-$AX$2)</f>
        <v/>
      </c>
      <c r="AZ945" s="66">
        <f>IF(AND(W945="",AY945&gt;0,AY945&lt;15),1,0)</f>
        <v/>
      </c>
      <c r="BA945" s="24">
        <f>IF(AND(W945="",AY945&gt;0,AY945&lt;15),T945,"")</f>
        <v/>
      </c>
      <c r="BB945" s="87">
        <f>IF(R945&lt;Q945,"X","")</f>
        <v/>
      </c>
      <c r="BC945" s="190" t="inlineStr">
        <is>
          <t>NO</t>
        </is>
      </c>
      <c r="BD945" s="191" t="inlineStr">
        <is>
          <t>SI</t>
        </is>
      </c>
    </row>
    <row r="946" ht="15" customHeight="1" s="162">
      <c r="A946" s="7" t="n">
        <v>945</v>
      </c>
      <c r="B946" t="inlineStr">
        <is>
          <t>1204200730720</t>
        </is>
      </c>
      <c r="C946" t="inlineStr">
        <is>
          <t>CNC CIR 11-99 7H PLUG RECT AL/ZNI-NI R-N</t>
        </is>
      </c>
      <c r="D946" t="inlineStr">
        <is>
          <t>1800108946</t>
        </is>
      </c>
      <c r="E946" t="inlineStr">
        <is>
          <t>10</t>
        </is>
      </c>
      <c r="F946" s="163" t="n">
        <v>45462</v>
      </c>
      <c r="G946" t="inlineStr"/>
      <c r="H946" t="inlineStr">
        <is>
          <t>4200571563</t>
        </is>
      </c>
      <c r="I946" t="inlineStr">
        <is>
          <t>20</t>
        </is>
      </c>
      <c r="J946" s="163" t="n">
        <v>45492</v>
      </c>
      <c r="K946" s="163" t="n">
        <v>45497</v>
      </c>
      <c r="L946" t="inlineStr"/>
      <c r="M946" s="163" t="n">
        <v>45510</v>
      </c>
      <c r="N946" s="164" t="n">
        <v>40</v>
      </c>
      <c r="O946" s="164" t="n">
        <v>8</v>
      </c>
      <c r="P946" t="inlineStr">
        <is>
          <t>Liberado</t>
        </is>
      </c>
      <c r="Q946" s="165" t="n">
        <v>1</v>
      </c>
      <c r="R946" s="165" t="n">
        <v>1</v>
      </c>
      <c r="S946" s="165" t="n">
        <v>1</v>
      </c>
      <c r="T946" s="165" t="n">
        <v>0</v>
      </c>
      <c r="U946" s="166" t="n">
        <v>1</v>
      </c>
      <c r="V946" s="166" t="n">
        <v>0</v>
      </c>
      <c r="W946" t="inlineStr">
        <is>
          <t>X</t>
        </is>
      </c>
      <c r="X946" t="inlineStr">
        <is>
          <t>0.00</t>
        </is>
      </c>
      <c r="Y946" t="inlineStr"/>
      <c r="Z946" t="inlineStr">
        <is>
          <t>SUMINISTROS CONECTORES PROF.,SA.</t>
        </is>
      </c>
      <c r="AA946" t="inlineStr">
        <is>
          <t>MILITARY SPECS.</t>
        </is>
      </c>
      <c r="AB946" t="inlineStr">
        <is>
          <t>D38999/26ZB99SN</t>
        </is>
      </c>
      <c r="AC946" t="inlineStr"/>
      <c r="AD946" s="164" t="n">
        <v>0</v>
      </c>
      <c r="AE946" s="185" t="n">
        <v>0</v>
      </c>
      <c r="AG946" s="167" t="inlineStr">
        <is>
          <t>7218|JA2581_1001</t>
        </is>
      </c>
      <c r="AH946" s="47">
        <f>IF(M946=0,"-",M946-J946)</f>
        <v/>
      </c>
      <c r="AI946" s="46">
        <f>IF(AND(S946=0,M946&gt;0,L946=0),IF(AH946&gt;=120,"VERY HIGH",IF(AH946&gt;=90,"HIGH",IF(AH946&gt;=60,"MEDIUM",IF(AH946&lt;60,"LOW")))),"-")</f>
        <v/>
      </c>
      <c r="AJ946" s="12" t="n"/>
      <c r="AK946" s="53">
        <f>IF(AND(W946="X",M946&lt;=$AJ$2),"YES","")</f>
        <v/>
      </c>
      <c r="AL946" s="54">
        <f>IF(AND(W946="X",M946&lt;=$AJ$2),S946,"")</f>
        <v/>
      </c>
      <c r="AM946" s="35" t="n"/>
      <c r="AN946" s="35">
        <f>IF(AND(W946="X",M946&gt;$AJ$2),S946,"")</f>
        <v/>
      </c>
      <c r="AO946" s="35">
        <f>IF(AND(W946="",M946&gt;0,$AJ$2&gt;M946,L946=""),1,0)</f>
        <v/>
      </c>
      <c r="AP946" s="35">
        <f>IF(AND(AK946="YES",W946="X"),"X","")</f>
        <v/>
      </c>
      <c r="AQ946" s="55">
        <f>IF(AP946="X",100%,0%)</f>
        <v/>
      </c>
      <c r="AR946" s="25">
        <f>IF(AND(T946&gt;0,L946=""),H946,"")</f>
        <v/>
      </c>
      <c r="AS946" s="25">
        <f>IF(AND(D946&gt;0,H946=0,G946=""),1,"")</f>
        <v/>
      </c>
      <c r="AT946" s="25">
        <f>IF(G946="BLOQ",1,"")</f>
        <v/>
      </c>
      <c r="AU946" s="25">
        <f>IF(L946="BLOQ",1,"")</f>
        <v/>
      </c>
      <c r="AV946" s="25">
        <f>MONTH(F946)</f>
        <v/>
      </c>
      <c r="AW946" s="65">
        <f>IF(AP946="",100%,0%)</f>
        <v/>
      </c>
      <c r="AX946" s="56" t="n"/>
      <c r="AY946" s="24">
        <f>IF(M946=0,"",M946-$AX$2)</f>
        <v/>
      </c>
      <c r="AZ946" s="66">
        <f>IF(AND(W946="",AY946&gt;0,AY946&lt;15),1,0)</f>
        <v/>
      </c>
      <c r="BA946" s="24">
        <f>IF(AND(W946="",AY946&gt;0,AY946&lt;15),T946,"")</f>
        <v/>
      </c>
      <c r="BB946" s="87">
        <f>IF(R946&lt;Q946,"X","")</f>
        <v/>
      </c>
      <c r="BC946" s="190" t="inlineStr">
        <is>
          <t>NO</t>
        </is>
      </c>
      <c r="BD946" s="191" t="inlineStr">
        <is>
          <t>SI</t>
        </is>
      </c>
    </row>
    <row r="947" ht="15" customHeight="1" s="162">
      <c r="A947" s="7" t="n">
        <v>946</v>
      </c>
      <c r="B947" t="inlineStr">
        <is>
          <t>1204205300020</t>
        </is>
      </c>
      <c r="C947" t="inlineStr">
        <is>
          <t>CNC CIR 23-54 53P(M) RECT PLUG</t>
        </is>
      </c>
      <c r="D947" t="inlineStr">
        <is>
          <t>1800108946</t>
        </is>
      </c>
      <c r="E947" t="inlineStr">
        <is>
          <t>20</t>
        </is>
      </c>
      <c r="F947" s="163" t="n">
        <v>45462</v>
      </c>
      <c r="G947" t="inlineStr"/>
      <c r="H947" t="inlineStr">
        <is>
          <t>4200572876</t>
        </is>
      </c>
      <c r="I947" t="inlineStr">
        <is>
          <t>200</t>
        </is>
      </c>
      <c r="J947" s="163" t="n">
        <v>45503</v>
      </c>
      <c r="K947" s="163" t="n">
        <v>45572</v>
      </c>
      <c r="L947" t="inlineStr"/>
      <c r="M947" s="163" t="n">
        <v>45513</v>
      </c>
      <c r="N947" s="164" t="n">
        <v>105</v>
      </c>
      <c r="O947" s="164" t="n">
        <v>8</v>
      </c>
      <c r="P947" t="inlineStr">
        <is>
          <t>Liberado</t>
        </is>
      </c>
      <c r="Q947" s="165" t="n">
        <v>1</v>
      </c>
      <c r="R947" s="165" t="n">
        <v>1</v>
      </c>
      <c r="S947" s="165" t="n">
        <v>1</v>
      </c>
      <c r="T947" s="165" t="n">
        <v>0</v>
      </c>
      <c r="U947" s="166" t="n">
        <v>1</v>
      </c>
      <c r="V947" s="166" t="n">
        <v>0</v>
      </c>
      <c r="W947" t="inlineStr">
        <is>
          <t>X</t>
        </is>
      </c>
      <c r="X947" t="inlineStr">
        <is>
          <t>0.00</t>
        </is>
      </c>
      <c r="Y947" t="inlineStr"/>
      <c r="Z947" t="inlineStr">
        <is>
          <t>SUMINISTROS CONECTORES PROF.,SA.</t>
        </is>
      </c>
      <c r="AA947" t="inlineStr">
        <is>
          <t>AMPHENOL CORP</t>
        </is>
      </c>
      <c r="AB947" t="inlineStr">
        <is>
          <t>TV06DZ-23-54P</t>
        </is>
      </c>
      <c r="AC947" t="inlineStr"/>
      <c r="AD947" s="164" t="n">
        <v>1</v>
      </c>
      <c r="AE947" s="185" t="n">
        <v>1</v>
      </c>
      <c r="AG947" s="167" t="inlineStr">
        <is>
          <t>7218|JA2581_1001</t>
        </is>
      </c>
      <c r="AH947" s="47">
        <f>IF(M947=0,"-",M947-J947)</f>
        <v/>
      </c>
      <c r="AI947" s="46">
        <f>IF(AND(S947=0,M947&gt;0,L947=0),IF(AH947&gt;=120,"VERY HIGH",IF(AH947&gt;=90,"HIGH",IF(AH947&gt;=60,"MEDIUM",IF(AH947&lt;60,"LOW")))),"-")</f>
        <v/>
      </c>
      <c r="AJ947" s="12" t="n"/>
      <c r="AK947" s="53">
        <f>IF(AND(W947="X",M947&lt;=$AJ$2),"YES","")</f>
        <v/>
      </c>
      <c r="AL947" s="54">
        <f>IF(AND(W947="X",M947&lt;=$AJ$2),S947,"")</f>
        <v/>
      </c>
      <c r="AM947" s="35" t="n"/>
      <c r="AN947" s="35">
        <f>IF(AND(W947="X",M947&gt;$AJ$2),S947,"")</f>
        <v/>
      </c>
      <c r="AO947" s="35">
        <f>IF(AND(W947="",M947&gt;0,$AJ$2&gt;M947,L947=""),1,0)</f>
        <v/>
      </c>
      <c r="AP947" s="35">
        <f>IF(AND(AK947="YES",W947="X"),"X","")</f>
        <v/>
      </c>
      <c r="AQ947" s="55">
        <f>IF(AP947="X",100%,0%)</f>
        <v/>
      </c>
      <c r="AR947" s="25">
        <f>IF(AND(T947&gt;0,L947=""),H947,"")</f>
        <v/>
      </c>
      <c r="AS947" s="25">
        <f>IF(AND(D947&gt;0,H947=0,G947=""),1,"")</f>
        <v/>
      </c>
      <c r="AT947" s="25">
        <f>IF(G947="BLOQ",1,"")</f>
        <v/>
      </c>
      <c r="AU947" s="25">
        <f>IF(L947="BLOQ",1,"")</f>
        <v/>
      </c>
      <c r="AV947" s="25">
        <f>MONTH(F947)</f>
        <v/>
      </c>
      <c r="AW947" s="65">
        <f>IF(AP947="",100%,0%)</f>
        <v/>
      </c>
      <c r="AX947" s="56" t="n"/>
      <c r="AY947" s="24">
        <f>IF(M947=0,"",M947-$AX$2)</f>
        <v/>
      </c>
      <c r="AZ947" s="66">
        <f>IF(AND(W947="",AY947&gt;0,AY947&lt;15),1,0)</f>
        <v/>
      </c>
      <c r="BA947" s="24">
        <f>IF(AND(W947="",AY947&gt;0,AY947&lt;15),T947,"")</f>
        <v/>
      </c>
      <c r="BB947" s="87">
        <f>IF(R947&lt;Q947,"X","")</f>
        <v/>
      </c>
      <c r="BC947" s="190" t="inlineStr">
        <is>
          <t>NO</t>
        </is>
      </c>
      <c r="BD947" s="191" t="inlineStr">
        <is>
          <t>SI</t>
        </is>
      </c>
    </row>
    <row r="948" ht="15" customHeight="1" s="162">
      <c r="A948" s="7" t="n">
        <v>947</v>
      </c>
      <c r="B948" t="inlineStr">
        <is>
          <t>1204301230620</t>
        </is>
      </c>
      <c r="C948" t="inlineStr">
        <is>
          <t>CNC CIR 15-97 12M RCPT RECT CRMP ROT-N</t>
        </is>
      </c>
      <c r="D948" t="inlineStr">
        <is>
          <t>1800108946</t>
        </is>
      </c>
      <c r="E948" t="inlineStr">
        <is>
          <t>30</t>
        </is>
      </c>
      <c r="F948" s="163" t="n">
        <v>45462</v>
      </c>
      <c r="G948" t="inlineStr"/>
      <c r="H948" t="inlineStr">
        <is>
          <t>4200571563</t>
        </is>
      </c>
      <c r="I948" t="inlineStr">
        <is>
          <t>30</t>
        </is>
      </c>
      <c r="J948" s="163" t="n">
        <v>45492</v>
      </c>
      <c r="K948" s="163" t="n">
        <v>45497</v>
      </c>
      <c r="L948" t="inlineStr"/>
      <c r="M948" s="163" t="n">
        <v>45510</v>
      </c>
      <c r="N948" s="164" t="n">
        <v>40</v>
      </c>
      <c r="O948" s="164" t="n">
        <v>8</v>
      </c>
      <c r="P948" t="inlineStr">
        <is>
          <t>Liberado</t>
        </is>
      </c>
      <c r="Q948" s="165" t="n">
        <v>3</v>
      </c>
      <c r="R948" s="165" t="n">
        <v>3</v>
      </c>
      <c r="S948" s="165" t="n">
        <v>3</v>
      </c>
      <c r="T948" s="165" t="n">
        <v>0</v>
      </c>
      <c r="U948" s="166" t="n">
        <v>3</v>
      </c>
      <c r="V948" s="166" t="n">
        <v>0</v>
      </c>
      <c r="W948" t="inlineStr">
        <is>
          <t>X</t>
        </is>
      </c>
      <c r="X948" t="inlineStr">
        <is>
          <t>0.00</t>
        </is>
      </c>
      <c r="Y948" t="inlineStr"/>
      <c r="Z948" t="inlineStr">
        <is>
          <t>SUMINISTROS CONECTORES PROF.,SA.</t>
        </is>
      </c>
      <c r="AA948" t="inlineStr">
        <is>
          <t>MILITARY SPECS.</t>
        </is>
      </c>
      <c r="AB948" t="inlineStr">
        <is>
          <t>D38999/20ZD97PN</t>
        </is>
      </c>
      <c r="AC948" t="inlineStr"/>
      <c r="AD948" s="164" t="n">
        <v>0</v>
      </c>
      <c r="AE948" s="185" t="n">
        <v>0</v>
      </c>
      <c r="AG948" s="167" t="inlineStr">
        <is>
          <t>7218|JA2581_1001</t>
        </is>
      </c>
      <c r="AH948" s="47">
        <f>IF(M948=0,"-",M948-J948)</f>
        <v/>
      </c>
      <c r="AI948" s="46">
        <f>IF(AND(S948=0,M948&gt;0,L948=0),IF(AH948&gt;=120,"VERY HIGH",IF(AH948&gt;=90,"HIGH",IF(AH948&gt;=60,"MEDIUM",IF(AH948&lt;60,"LOW")))),"-")</f>
        <v/>
      </c>
      <c r="AJ948" s="12" t="n"/>
      <c r="AK948" s="53">
        <f>IF(AND(W948="X",M948&lt;=$AJ$2),"YES","")</f>
        <v/>
      </c>
      <c r="AL948" s="54">
        <f>IF(AND(W948="X",M948&lt;=$AJ$2),S948,"")</f>
        <v/>
      </c>
      <c r="AM948" s="35" t="n"/>
      <c r="AN948" s="35">
        <f>IF(AND(W948="X",M948&gt;$AJ$2),S948,"")</f>
        <v/>
      </c>
      <c r="AO948" s="35">
        <f>IF(AND(W948="",M948&gt;0,$AJ$2&gt;M948,L948=""),1,0)</f>
        <v/>
      </c>
      <c r="AP948" s="35">
        <f>IF(AND(AK948="YES",W948="X"),"X","")</f>
        <v/>
      </c>
      <c r="AQ948" s="55">
        <f>IF(AP948="X",100%,0%)</f>
        <v/>
      </c>
      <c r="AR948" s="25">
        <f>IF(AND(T948&gt;0,L948=""),H948,"")</f>
        <v/>
      </c>
      <c r="AS948" s="25">
        <f>IF(AND(D948&gt;0,H948=0,G948=""),1,"")</f>
        <v/>
      </c>
      <c r="AT948" s="25">
        <f>IF(G948="BLOQ",1,"")</f>
        <v/>
      </c>
      <c r="AU948" s="25">
        <f>IF(L948="BLOQ",1,"")</f>
        <v/>
      </c>
      <c r="AV948" s="25">
        <f>MONTH(F948)</f>
        <v/>
      </c>
      <c r="AW948" s="65">
        <f>IF(AP948="",100%,0%)</f>
        <v/>
      </c>
      <c r="AX948" s="56" t="n"/>
      <c r="AY948" s="24">
        <f>IF(M948=0,"",M948-$AX$2)</f>
        <v/>
      </c>
      <c r="AZ948" s="66">
        <f>IF(AND(W948="",AY948&gt;0,AY948&lt;15),1,0)</f>
        <v/>
      </c>
      <c r="BA948" s="24">
        <f>IF(AND(W948="",AY948&gt;0,AY948&lt;15),T948,"")</f>
        <v/>
      </c>
      <c r="BB948" s="87">
        <f>IF(R948&lt;Q948,"X","")</f>
        <v/>
      </c>
      <c r="BC948" s="190" t="inlineStr">
        <is>
          <t>NO</t>
        </is>
      </c>
      <c r="BD948" s="191" t="inlineStr">
        <is>
          <t>SI</t>
        </is>
      </c>
    </row>
    <row r="949" ht="15" customHeight="1" s="162">
      <c r="A949" s="7" t="n">
        <v>948</v>
      </c>
      <c r="B949" t="inlineStr">
        <is>
          <t>1214200430722</t>
        </is>
      </c>
      <c r="C949" t="inlineStr">
        <is>
          <t>CNC CIR 13-4   4H PLUG D38999/26ZC4SA</t>
        </is>
      </c>
      <c r="D949" t="inlineStr">
        <is>
          <t>1800108946</t>
        </is>
      </c>
      <c r="E949" t="inlineStr">
        <is>
          <t>40</t>
        </is>
      </c>
      <c r="F949" s="163" t="n">
        <v>45462</v>
      </c>
      <c r="G949" t="inlineStr"/>
      <c r="H949" t="inlineStr">
        <is>
          <t>4200571563</t>
        </is>
      </c>
      <c r="I949" t="inlineStr">
        <is>
          <t>40</t>
        </is>
      </c>
      <c r="J949" s="163" t="n">
        <v>45492</v>
      </c>
      <c r="K949" s="163" t="n">
        <v>45497</v>
      </c>
      <c r="L949" t="inlineStr"/>
      <c r="M949" s="163" t="n">
        <v>45510</v>
      </c>
      <c r="N949" s="164" t="n">
        <v>40</v>
      </c>
      <c r="O949" s="164" t="n">
        <v>8</v>
      </c>
      <c r="P949" t="inlineStr">
        <is>
          <t>Liberado</t>
        </is>
      </c>
      <c r="Q949" s="165" t="n">
        <v>3</v>
      </c>
      <c r="R949" s="165" t="n">
        <v>3</v>
      </c>
      <c r="S949" s="165" t="n">
        <v>3</v>
      </c>
      <c r="T949" s="165" t="n">
        <v>0</v>
      </c>
      <c r="U949" s="166" t="n">
        <v>3</v>
      </c>
      <c r="V949" s="166" t="n">
        <v>0</v>
      </c>
      <c r="W949" t="inlineStr">
        <is>
          <t>X</t>
        </is>
      </c>
      <c r="X949" t="inlineStr">
        <is>
          <t>0.00</t>
        </is>
      </c>
      <c r="Y949" t="inlineStr"/>
      <c r="Z949" t="inlineStr">
        <is>
          <t>SUMINISTROS CONECTORES PROF.,SA.</t>
        </is>
      </c>
      <c r="AA949" t="inlineStr">
        <is>
          <t>MILITARY SPECS.</t>
        </is>
      </c>
      <c r="AB949" t="inlineStr">
        <is>
          <t>D38999/26ZC4SA</t>
        </is>
      </c>
      <c r="AC949" t="inlineStr"/>
      <c r="AD949" s="164" t="n">
        <v>0</v>
      </c>
      <c r="AE949" s="185" t="n">
        <v>0</v>
      </c>
      <c r="AG949" s="167" t="inlineStr">
        <is>
          <t>7218|JA2581_1001</t>
        </is>
      </c>
      <c r="AH949" s="47">
        <f>IF(M949=0,"-",M949-J949)</f>
        <v/>
      </c>
      <c r="AI949" s="46">
        <f>IF(AND(S949=0,M949&gt;0,L949=0),IF(AH949&gt;=120,"VERY HIGH",IF(AH949&gt;=90,"HIGH",IF(AH949&gt;=60,"MEDIUM",IF(AH949&lt;60,"LOW")))),"-")</f>
        <v/>
      </c>
      <c r="AJ949" s="12" t="n"/>
      <c r="AK949" s="53">
        <f>IF(AND(W949="X",M949&lt;=$AJ$2),"YES","")</f>
        <v/>
      </c>
      <c r="AL949" s="54">
        <f>IF(AND(W949="X",M949&lt;=$AJ$2),S949,"")</f>
        <v/>
      </c>
      <c r="AM949" s="35" t="n"/>
      <c r="AN949" s="35">
        <f>IF(AND(W949="X",M949&gt;$AJ$2),S949,"")</f>
        <v/>
      </c>
      <c r="AO949" s="35">
        <f>IF(AND(W949="",M949&gt;0,$AJ$2&gt;M949,L949=""),1,0)</f>
        <v/>
      </c>
      <c r="AP949" s="35">
        <f>IF(AND(AK949="YES",W949="X"),"X","")</f>
        <v/>
      </c>
      <c r="AQ949" s="55">
        <f>IF(AP949="X",100%,0%)</f>
        <v/>
      </c>
      <c r="AR949" s="25">
        <f>IF(AND(T949&gt;0,L949=""),H949,"")</f>
        <v/>
      </c>
      <c r="AS949" s="25">
        <f>IF(AND(D949&gt;0,H949=0,G949=""),1,"")</f>
        <v/>
      </c>
      <c r="AT949" s="25">
        <f>IF(G949="BLOQ",1,"")</f>
        <v/>
      </c>
      <c r="AU949" s="25">
        <f>IF(L949="BLOQ",1,"")</f>
        <v/>
      </c>
      <c r="AV949" s="25">
        <f>MONTH(F949)</f>
        <v/>
      </c>
      <c r="AW949" s="65">
        <f>IF(AP949="",100%,0%)</f>
        <v/>
      </c>
      <c r="AX949" s="56" t="n"/>
      <c r="AY949" s="24">
        <f>IF(M949=0,"",M949-$AX$2)</f>
        <v/>
      </c>
      <c r="AZ949" s="66">
        <f>IF(AND(W949="",AY949&gt;0,AY949&lt;15),1,0)</f>
        <v/>
      </c>
      <c r="BA949" s="24">
        <f>IF(AND(W949="",AY949&gt;0,AY949&lt;15),T949,"")</f>
        <v/>
      </c>
      <c r="BB949" s="87">
        <f>IF(R949&lt;Q949,"X","")</f>
        <v/>
      </c>
      <c r="BC949" s="190" t="inlineStr">
        <is>
          <t>NO</t>
        </is>
      </c>
      <c r="BD949" s="191" t="inlineStr">
        <is>
          <t>SI</t>
        </is>
      </c>
    </row>
    <row r="950" ht="15" customHeight="1" s="162">
      <c r="A950" s="7" t="n">
        <v>949</v>
      </c>
      <c r="B950" t="inlineStr">
        <is>
          <t>1214201230020</t>
        </is>
      </c>
      <c r="C950" t="inlineStr">
        <is>
          <t>CNC CIR 15-97 12H CRMP MIL-DTL-38999 III</t>
        </is>
      </c>
      <c r="D950" t="inlineStr">
        <is>
          <t>1800108946</t>
        </is>
      </c>
      <c r="E950" t="inlineStr">
        <is>
          <t>50</t>
        </is>
      </c>
      <c r="F950" s="163" t="n">
        <v>45462</v>
      </c>
      <c r="G950" t="inlineStr"/>
      <c r="H950" t="inlineStr">
        <is>
          <t>4200571563</t>
        </is>
      </c>
      <c r="I950" t="inlineStr">
        <is>
          <t>50</t>
        </is>
      </c>
      <c r="J950" s="163" t="n">
        <v>45492</v>
      </c>
      <c r="K950" s="163" t="n">
        <v>45497</v>
      </c>
      <c r="L950" t="inlineStr"/>
      <c r="M950" s="163" t="n">
        <v>45510</v>
      </c>
      <c r="N950" s="164" t="n">
        <v>40</v>
      </c>
      <c r="O950" s="164" t="n">
        <v>8</v>
      </c>
      <c r="P950" t="inlineStr">
        <is>
          <t>Liberado</t>
        </is>
      </c>
      <c r="Q950" s="165" t="n">
        <v>3</v>
      </c>
      <c r="R950" s="165" t="n">
        <v>3</v>
      </c>
      <c r="S950" s="165" t="n">
        <v>3</v>
      </c>
      <c r="T950" s="165" t="n">
        <v>0</v>
      </c>
      <c r="U950" s="166" t="n">
        <v>3</v>
      </c>
      <c r="V950" s="166" t="n">
        <v>0</v>
      </c>
      <c r="W950" t="inlineStr">
        <is>
          <t>X</t>
        </is>
      </c>
      <c r="X950" t="inlineStr">
        <is>
          <t>0.00</t>
        </is>
      </c>
      <c r="Y950" t="inlineStr"/>
      <c r="Z950" t="inlineStr">
        <is>
          <t>SUMINISTROS CONECTORES PROF.,SA.</t>
        </is>
      </c>
      <c r="AA950" t="inlineStr">
        <is>
          <t>MILITARY SPECS.</t>
        </is>
      </c>
      <c r="AB950" t="inlineStr">
        <is>
          <t>D38999/26ZD97SN</t>
        </is>
      </c>
      <c r="AC950" t="inlineStr"/>
      <c r="AD950" s="164" t="n">
        <v>0</v>
      </c>
      <c r="AE950" s="185" t="n">
        <v>0</v>
      </c>
      <c r="AG950" s="167" t="inlineStr">
        <is>
          <t>7218|JA2581_1001</t>
        </is>
      </c>
      <c r="AH950" s="47">
        <f>IF(M950=0,"-",M950-J950)</f>
        <v/>
      </c>
      <c r="AI950" s="46">
        <f>IF(AND(S950=0,M950&gt;0,L950=0),IF(AH950&gt;=120,"VERY HIGH",IF(AH950&gt;=90,"HIGH",IF(AH950&gt;=60,"MEDIUM",IF(AH950&lt;60,"LOW")))),"-")</f>
        <v/>
      </c>
      <c r="AJ950" s="12" t="n"/>
      <c r="AK950" s="53">
        <f>IF(AND(W950="X",M950&lt;=$AJ$2),"YES","")</f>
        <v/>
      </c>
      <c r="AL950" s="54">
        <f>IF(AND(W950="X",M950&lt;=$AJ$2),S950,"")</f>
        <v/>
      </c>
      <c r="AM950" s="35" t="n"/>
      <c r="AN950" s="35">
        <f>IF(AND(W950="X",M950&gt;$AJ$2),S950,"")</f>
        <v/>
      </c>
      <c r="AO950" s="35">
        <f>IF(AND(W950="",M950&gt;0,$AJ$2&gt;M950,L950=""),1,0)</f>
        <v/>
      </c>
      <c r="AP950" s="35">
        <f>IF(AND(AK950="YES",W950="X"),"X","")</f>
        <v/>
      </c>
      <c r="AQ950" s="55">
        <f>IF(AP950="X",100%,0%)</f>
        <v/>
      </c>
      <c r="AR950" s="25">
        <f>IF(AND(T950&gt;0,L950=""),H950,"")</f>
        <v/>
      </c>
      <c r="AS950" s="25">
        <f>IF(AND(D950&gt;0,H950=0,G950=""),1,"")</f>
        <v/>
      </c>
      <c r="AT950" s="25">
        <f>IF(G950="BLOQ",1,"")</f>
        <v/>
      </c>
      <c r="AU950" s="25">
        <f>IF(L950="BLOQ",1,"")</f>
        <v/>
      </c>
      <c r="AV950" s="25">
        <f>MONTH(F950)</f>
        <v/>
      </c>
      <c r="AW950" s="65">
        <f>IF(AP950="",100%,0%)</f>
        <v/>
      </c>
      <c r="AX950" s="56" t="n"/>
      <c r="AY950" s="24">
        <f>IF(M950=0,"",M950-$AX$2)</f>
        <v/>
      </c>
      <c r="AZ950" s="66">
        <f>IF(AND(W950="",AY950&gt;0,AY950&lt;15),1,0)</f>
        <v/>
      </c>
      <c r="BA950" s="24">
        <f>IF(AND(W950="",AY950&gt;0,AY950&lt;15),T950,"")</f>
        <v/>
      </c>
      <c r="BB950" s="87">
        <f>IF(R950&lt;Q950,"X","")</f>
        <v/>
      </c>
      <c r="BC950" s="190" t="inlineStr">
        <is>
          <t>NO</t>
        </is>
      </c>
      <c r="BD950" s="191" t="inlineStr">
        <is>
          <t>SI</t>
        </is>
      </c>
    </row>
    <row r="951" ht="15" customHeight="1" s="162">
      <c r="A951" s="7" t="n">
        <v>950</v>
      </c>
      <c r="B951" t="inlineStr">
        <is>
          <t>1214304130920</t>
        </is>
      </c>
      <c r="C951" t="inlineStr">
        <is>
          <t>CNC CIR 21-41 41H RECEPT CRIMP ZN/NI R-N</t>
        </is>
      </c>
      <c r="D951" t="inlineStr">
        <is>
          <t>1800108946</t>
        </is>
      </c>
      <c r="E951" t="inlineStr">
        <is>
          <t>60</t>
        </is>
      </c>
      <c r="F951" s="163" t="n">
        <v>45462</v>
      </c>
      <c r="G951" t="inlineStr"/>
      <c r="H951" t="inlineStr">
        <is>
          <t>4200571564</t>
        </is>
      </c>
      <c r="I951" t="inlineStr">
        <is>
          <t>10</t>
        </is>
      </c>
      <c r="J951" s="163" t="n">
        <v>45494</v>
      </c>
      <c r="K951" s="163" t="n">
        <v>45497</v>
      </c>
      <c r="L951" t="inlineStr"/>
      <c r="M951" s="163" t="n">
        <v>45516</v>
      </c>
      <c r="N951" s="164" t="n">
        <v>40</v>
      </c>
      <c r="O951" s="164" t="n">
        <v>8</v>
      </c>
      <c r="P951" t="inlineStr">
        <is>
          <t>Liberado</t>
        </is>
      </c>
      <c r="Q951" s="165" t="n">
        <v>14</v>
      </c>
      <c r="R951" s="165" t="n">
        <v>14</v>
      </c>
      <c r="S951" s="165" t="n">
        <v>14</v>
      </c>
      <c r="T951" s="165" t="n">
        <v>0</v>
      </c>
      <c r="U951" s="166" t="n">
        <v>14</v>
      </c>
      <c r="V951" s="166" t="n">
        <v>0</v>
      </c>
      <c r="W951" t="inlineStr">
        <is>
          <t>X</t>
        </is>
      </c>
      <c r="X951" t="inlineStr">
        <is>
          <t>0.00</t>
        </is>
      </c>
      <c r="Y951" t="inlineStr"/>
      <c r="Z951" t="inlineStr">
        <is>
          <t>CONECTORES Y CABLES VAHER, S.A.</t>
        </is>
      </c>
      <c r="AA951" t="inlineStr">
        <is>
          <t>MILITARY SPECS.</t>
        </is>
      </c>
      <c r="AB951" t="inlineStr">
        <is>
          <t>D38999/20ZG41SN</t>
        </is>
      </c>
      <c r="AC951" t="inlineStr"/>
      <c r="AD951" s="164" t="n">
        <v>0</v>
      </c>
      <c r="AE951" s="185" t="n">
        <v>0</v>
      </c>
      <c r="AG951" s="167" t="inlineStr">
        <is>
          <t>7218|JA2581_1001</t>
        </is>
      </c>
      <c r="AH951" s="47">
        <f>IF(M951=0,"-",M951-J951)</f>
        <v/>
      </c>
      <c r="AI951" s="46">
        <f>IF(AND(S951=0,M951&gt;0,L951=0),IF(AH951&gt;=120,"VERY HIGH",IF(AH951&gt;=90,"HIGH",IF(AH951&gt;=60,"MEDIUM",IF(AH951&lt;60,"LOW")))),"-")</f>
        <v/>
      </c>
      <c r="AJ951" s="12" t="n"/>
      <c r="AK951" s="53">
        <f>IF(AND(W951="X",M951&lt;=$AJ$2),"YES","")</f>
        <v/>
      </c>
      <c r="AL951" s="54">
        <f>IF(AND(W951="X",M951&lt;=$AJ$2),S951,"")</f>
        <v/>
      </c>
      <c r="AM951" s="35" t="n"/>
      <c r="AN951" s="35">
        <f>IF(AND(W951="X",M951&gt;$AJ$2),S951,"")</f>
        <v/>
      </c>
      <c r="AO951" s="35">
        <f>IF(AND(W951="",M951&gt;0,$AJ$2&gt;M951,L951=""),1,0)</f>
        <v/>
      </c>
      <c r="AP951" s="35">
        <f>IF(AND(AK951="YES",W951="X"),"X","")</f>
        <v/>
      </c>
      <c r="AQ951" s="55">
        <f>IF(AP951="X",100%,0%)</f>
        <v/>
      </c>
      <c r="AR951" s="25">
        <f>IF(AND(T951&gt;0,L951=""),H951,"")</f>
        <v/>
      </c>
      <c r="AS951" s="25">
        <f>IF(AND(D951&gt;0,H951=0,G951=""),1,"")</f>
        <v/>
      </c>
      <c r="AT951" s="25">
        <f>IF(G951="BLOQ",1,"")</f>
        <v/>
      </c>
      <c r="AU951" s="25">
        <f>IF(L951="BLOQ",1,"")</f>
        <v/>
      </c>
      <c r="AV951" s="25">
        <f>MONTH(F951)</f>
        <v/>
      </c>
      <c r="AW951" s="65">
        <f>IF(AP951="",100%,0%)</f>
        <v/>
      </c>
      <c r="AX951" s="56" t="n"/>
      <c r="AY951" s="24">
        <f>IF(M951=0,"",M951-$AX$2)</f>
        <v/>
      </c>
      <c r="AZ951" s="66">
        <f>IF(AND(W951="",AY951&gt;0,AY951&lt;15),1,0)</f>
        <v/>
      </c>
      <c r="BA951" s="24">
        <f>IF(AND(W951="",AY951&gt;0,AY951&lt;15),T951,"")</f>
        <v/>
      </c>
      <c r="BB951" s="87">
        <f>IF(R951&lt;Q951,"X","")</f>
        <v/>
      </c>
      <c r="BC951" s="190" t="inlineStr">
        <is>
          <t>NO</t>
        </is>
      </c>
      <c r="BD951" s="191" t="inlineStr">
        <is>
          <t>SI</t>
        </is>
      </c>
    </row>
    <row r="952" ht="15" customHeight="1" s="162">
      <c r="A952" s="7" t="n">
        <v>951</v>
      </c>
      <c r="B952" t="inlineStr">
        <is>
          <t>7853201250000</t>
        </is>
      </c>
      <c r="C952" t="inlineStr">
        <is>
          <t>INSERTADOR/EXTRACTOR CONT #22 BLANC/VER</t>
        </is>
      </c>
      <c r="D952" t="inlineStr">
        <is>
          <t>1800108946</t>
        </is>
      </c>
      <c r="E952" t="inlineStr">
        <is>
          <t>70</t>
        </is>
      </c>
      <c r="F952" s="163" t="n">
        <v>45462</v>
      </c>
      <c r="G952" t="inlineStr"/>
      <c r="H952" t="inlineStr">
        <is>
          <t>4200575219</t>
        </is>
      </c>
      <c r="I952" t="inlineStr">
        <is>
          <t>50</t>
        </is>
      </c>
      <c r="J952" s="163" t="n">
        <v>45530</v>
      </c>
      <c r="K952" s="163" t="n">
        <v>45530</v>
      </c>
      <c r="L952" t="inlineStr"/>
      <c r="M952" s="163" t="n">
        <v>45544</v>
      </c>
      <c r="N952" s="164" t="n">
        <v>40</v>
      </c>
      <c r="O952" s="164" t="n">
        <v>8</v>
      </c>
      <c r="P952" t="inlineStr">
        <is>
          <t>Liberado</t>
        </is>
      </c>
      <c r="Q952" s="165" t="n">
        <v>30</v>
      </c>
      <c r="R952" s="165" t="n">
        <v>50</v>
      </c>
      <c r="S952" s="165" t="n">
        <v>50</v>
      </c>
      <c r="T952" s="165" t="n">
        <v>0</v>
      </c>
      <c r="U952" s="166" t="n">
        <v>50</v>
      </c>
      <c r="V952" s="166" t="n">
        <v>0</v>
      </c>
      <c r="W952" t="inlineStr">
        <is>
          <t>X</t>
        </is>
      </c>
      <c r="X952" t="inlineStr">
        <is>
          <t>0.00</t>
        </is>
      </c>
      <c r="Y952" t="inlineStr"/>
      <c r="Z952" t="inlineStr">
        <is>
          <t>Electro Enterprises New York</t>
        </is>
      </c>
      <c r="AA952" t="inlineStr">
        <is>
          <t>MILITARY SPECS.</t>
        </is>
      </c>
      <c r="AB952" t="inlineStr">
        <is>
          <t>M81969/1-01</t>
        </is>
      </c>
      <c r="AC952" t="inlineStr"/>
      <c r="AD952" s="164" t="n">
        <v>0</v>
      </c>
      <c r="AE952" s="185" t="n">
        <v>0</v>
      </c>
      <c r="AG952" s="167" t="inlineStr">
        <is>
          <t>7218|JA2581_1001</t>
        </is>
      </c>
      <c r="AH952" s="47">
        <f>IF(M952=0,"-",M952-J952)</f>
        <v/>
      </c>
      <c r="AI952" s="46">
        <f>IF(AND(S952=0,M952&gt;0,L952=0),IF(AH952&gt;=120,"VERY HIGH",IF(AH952&gt;=90,"HIGH",IF(AH952&gt;=60,"MEDIUM",IF(AH952&lt;60,"LOW")))),"-")</f>
        <v/>
      </c>
      <c r="AJ952" s="12" t="n"/>
      <c r="AK952" s="53">
        <f>IF(AND(W952="X",M952&lt;=$AJ$2),"YES","")</f>
        <v/>
      </c>
      <c r="AL952" s="54">
        <f>IF(AND(W952="X",M952&lt;=$AJ$2),S952,"")</f>
        <v/>
      </c>
      <c r="AM952" s="35" t="n"/>
      <c r="AN952" s="35">
        <f>IF(AND(W952="X",M952&gt;$AJ$2),S952,"")</f>
        <v/>
      </c>
      <c r="AO952" s="35">
        <f>IF(AND(W952="",M952&gt;0,$AJ$2&gt;M952,L952=""),1,0)</f>
        <v/>
      </c>
      <c r="AP952" s="35">
        <f>IF(AND(AK952="YES",W952="X"),"X","")</f>
        <v/>
      </c>
      <c r="AQ952" s="55">
        <f>IF(AP952="X",100%,0%)</f>
        <v/>
      </c>
      <c r="AR952" s="25">
        <f>IF(AND(T952&gt;0,L952=""),H952,"")</f>
        <v/>
      </c>
      <c r="AS952" s="25">
        <f>IF(AND(D952&gt;0,H952=0,G952=""),1,"")</f>
        <v/>
      </c>
      <c r="AT952" s="25">
        <f>IF(G952="BLOQ",1,"")</f>
        <v/>
      </c>
      <c r="AU952" s="25">
        <f>IF(L952="BLOQ",1,"")</f>
        <v/>
      </c>
      <c r="AV952" s="25">
        <f>MONTH(F952)</f>
        <v/>
      </c>
      <c r="AW952" s="65">
        <f>IF(AP952="",100%,0%)</f>
        <v/>
      </c>
      <c r="AX952" s="56" t="n"/>
      <c r="AY952" s="24">
        <f>IF(M952=0,"",M952-$AX$2)</f>
        <v/>
      </c>
      <c r="AZ952" s="66">
        <f>IF(AND(W952="",AY952&gt;0,AY952&lt;15),1,0)</f>
        <v/>
      </c>
      <c r="BA952" s="24">
        <f>IF(AND(W952="",AY952&gt;0,AY952&lt;15),T952,"")</f>
        <v/>
      </c>
      <c r="BB952" s="87">
        <f>IF(R952&lt;Q952,"X","")</f>
        <v/>
      </c>
      <c r="BC952" s="190" t="inlineStr">
        <is>
          <t>NO</t>
        </is>
      </c>
      <c r="BD952" s="190" t="inlineStr">
        <is>
          <t>NO</t>
        </is>
      </c>
    </row>
    <row r="953" ht="15" customHeight="1" s="162">
      <c r="A953" s="7" t="n">
        <v>952</v>
      </c>
      <c r="B953" t="inlineStr">
        <is>
          <t>1002541009009</t>
        </is>
      </c>
      <c r="C953" t="inlineStr">
        <is>
          <t>RST PELCAR AXI 1K00 5% 350PPM 1/4W ROHS</t>
        </is>
      </c>
      <c r="D953" t="inlineStr">
        <is>
          <t>1800108947</t>
        </is>
      </c>
      <c r="E953" t="inlineStr">
        <is>
          <t>10</t>
        </is>
      </c>
      <c r="F953" s="163" t="n">
        <v>45462</v>
      </c>
      <c r="G953" t="inlineStr"/>
      <c r="H953" t="inlineStr">
        <is>
          <t>4200568030</t>
        </is>
      </c>
      <c r="I953" t="inlineStr">
        <is>
          <t>120</t>
        </is>
      </c>
      <c r="J953" s="163" t="n">
        <v>45464</v>
      </c>
      <c r="K953" s="163" t="n">
        <v>45464</v>
      </c>
      <c r="L953" t="inlineStr"/>
      <c r="M953" s="163" t="n">
        <v>45481</v>
      </c>
      <c r="N953" s="164" t="n">
        <v>100</v>
      </c>
      <c r="O953" s="164" t="n">
        <v>8</v>
      </c>
      <c r="P953" t="inlineStr">
        <is>
          <t>Liberado</t>
        </is>
      </c>
      <c r="Q953" s="165" t="n">
        <v>3</v>
      </c>
      <c r="R953" s="165" t="n">
        <v>3</v>
      </c>
      <c r="S953" s="165" t="n">
        <v>3</v>
      </c>
      <c r="T953" s="165" t="n">
        <v>0</v>
      </c>
      <c r="U953" s="166" t="n">
        <v>3</v>
      </c>
      <c r="V953" s="166" t="n">
        <v>0</v>
      </c>
      <c r="W953" t="inlineStr">
        <is>
          <t>X</t>
        </is>
      </c>
      <c r="X953" t="inlineStr">
        <is>
          <t>0.00</t>
        </is>
      </c>
      <c r="Y953" t="inlineStr"/>
      <c r="Z953" t="inlineStr">
        <is>
          <t>TCX MICRO, S.L.U</t>
        </is>
      </c>
      <c r="AA953" t="inlineStr">
        <is>
          <t>RS PRO</t>
        </is>
      </c>
      <c r="AB953" t="inlineStr">
        <is>
          <t>707-7666</t>
        </is>
      </c>
      <c r="AC953" t="inlineStr"/>
      <c r="AD953" s="164" t="n">
        <v>1</v>
      </c>
      <c r="AE953" s="185" t="n">
        <v>1</v>
      </c>
      <c r="AG953" s="167" t="inlineStr">
        <is>
          <t>7218|JA2586_1001</t>
        </is>
      </c>
      <c r="AH953" s="47">
        <f>IF(M953=0,"-",M953-J953)</f>
        <v/>
      </c>
      <c r="AI953" s="46">
        <f>IF(AND(S953=0,M953&gt;0,L953=0),IF(AH953&gt;=120,"VERY HIGH",IF(AH953&gt;=90,"HIGH",IF(AH953&gt;=60,"MEDIUM",IF(AH953&lt;60,"LOW")))),"-")</f>
        <v/>
      </c>
      <c r="AJ953" s="12" t="n"/>
      <c r="AK953" s="53">
        <f>IF(AND(W953="X",M953&lt;=$AJ$2),"YES","")</f>
        <v/>
      </c>
      <c r="AL953" s="54">
        <f>IF(AND(W953="X",M953&lt;=$AJ$2),S953,"")</f>
        <v/>
      </c>
      <c r="AM953" s="35" t="n"/>
      <c r="AN953" s="35">
        <f>IF(AND(W953="X",M953&gt;$AJ$2),S953,"")</f>
        <v/>
      </c>
      <c r="AO953" s="35">
        <f>IF(AND(W953="",M953&gt;0,$AJ$2&gt;M953,L953=""),1,0)</f>
        <v/>
      </c>
      <c r="AP953" s="35">
        <f>IF(AND(AK953="YES",W953="X"),"X","")</f>
        <v/>
      </c>
      <c r="AQ953" s="55">
        <f>IF(AP953="X",100%,0%)</f>
        <v/>
      </c>
      <c r="AR953" s="25">
        <f>IF(AND(T953&gt;0,L953=""),H953,"")</f>
        <v/>
      </c>
      <c r="AS953" s="25">
        <f>IF(AND(D953&gt;0,H953=0,G953=""),1,"")</f>
        <v/>
      </c>
      <c r="AT953" s="25">
        <f>IF(G953="BLOQ",1,"")</f>
        <v/>
      </c>
      <c r="AU953" s="25">
        <f>IF(L953="BLOQ",1,"")</f>
        <v/>
      </c>
      <c r="AV953" s="25">
        <f>MONTH(F953)</f>
        <v/>
      </c>
      <c r="AW953" s="65">
        <f>IF(AP953="",100%,0%)</f>
        <v/>
      </c>
      <c r="AX953" s="56" t="n"/>
      <c r="AY953" s="24">
        <f>IF(M953=0,"",M953-$AX$2)</f>
        <v/>
      </c>
      <c r="AZ953" s="66">
        <f>IF(AND(W953="",AY953&gt;0,AY953&lt;15),1,0)</f>
        <v/>
      </c>
      <c r="BA953" s="24">
        <f>IF(AND(W953="",AY953&gt;0,AY953&lt;15),T953,"")</f>
        <v/>
      </c>
      <c r="BB953" s="87">
        <f>IF(R953&lt;Q953,"X","")</f>
        <v/>
      </c>
      <c r="BC953" s="190" t="inlineStr">
        <is>
          <t>NO</t>
        </is>
      </c>
      <c r="BD953" s="191" t="inlineStr">
        <is>
          <t>SI</t>
        </is>
      </c>
    </row>
    <row r="954" ht="15" customHeight="1" s="162">
      <c r="A954" s="7" t="n">
        <v>953</v>
      </c>
      <c r="B954" t="inlineStr">
        <is>
          <t>1002551003509</t>
        </is>
      </c>
      <c r="C954" t="inlineStr">
        <is>
          <t>RST PELCAR AXI 10K0 5% 350PPM 1/4W ROHS</t>
        </is>
      </c>
      <c r="D954" t="inlineStr">
        <is>
          <t>1800108947</t>
        </is>
      </c>
      <c r="E954" t="inlineStr">
        <is>
          <t>20</t>
        </is>
      </c>
      <c r="F954" s="163" t="n">
        <v>45462</v>
      </c>
      <c r="G954" t="inlineStr"/>
      <c r="H954" t="inlineStr">
        <is>
          <t>4200568030</t>
        </is>
      </c>
      <c r="I954" t="inlineStr">
        <is>
          <t>130</t>
        </is>
      </c>
      <c r="J954" s="163" t="n">
        <v>45464</v>
      </c>
      <c r="K954" s="163" t="n">
        <v>45464</v>
      </c>
      <c r="L954" t="inlineStr"/>
      <c r="M954" s="163" t="n">
        <v>45481</v>
      </c>
      <c r="N954" s="164" t="n">
        <v>100</v>
      </c>
      <c r="O954" s="164" t="n">
        <v>8</v>
      </c>
      <c r="P954" t="inlineStr">
        <is>
          <t>Liberado</t>
        </is>
      </c>
      <c r="Q954" s="165" t="n">
        <v>2</v>
      </c>
      <c r="R954" s="165" t="n">
        <v>2</v>
      </c>
      <c r="S954" s="165" t="n">
        <v>2</v>
      </c>
      <c r="T954" s="165" t="n">
        <v>0</v>
      </c>
      <c r="U954" s="166" t="n">
        <v>2</v>
      </c>
      <c r="V954" s="166" t="n">
        <v>0</v>
      </c>
      <c r="W954" t="inlineStr">
        <is>
          <t>X</t>
        </is>
      </c>
      <c r="X954" t="inlineStr">
        <is>
          <t>0.00</t>
        </is>
      </c>
      <c r="Y954" t="inlineStr"/>
      <c r="Z954" t="inlineStr">
        <is>
          <t>TCX MICRO, S.L.U</t>
        </is>
      </c>
      <c r="AA954" t="inlineStr">
        <is>
          <t>RS PRO</t>
        </is>
      </c>
      <c r="AB954" t="inlineStr">
        <is>
          <t>707-7745</t>
        </is>
      </c>
      <c r="AC954" t="inlineStr"/>
      <c r="AD954" s="164" t="n">
        <v>1</v>
      </c>
      <c r="AE954" s="185" t="n">
        <v>1</v>
      </c>
      <c r="AG954" s="167" t="inlineStr">
        <is>
          <t>7218|JA2586_1001</t>
        </is>
      </c>
      <c r="AH954" s="47">
        <f>IF(M954=0,"-",M954-J954)</f>
        <v/>
      </c>
      <c r="AI954" s="46">
        <f>IF(AND(S954=0,M954&gt;0,L954=0),IF(AH954&gt;=120,"VERY HIGH",IF(AH954&gt;=90,"HIGH",IF(AH954&gt;=60,"MEDIUM",IF(AH954&lt;60,"LOW")))),"-")</f>
        <v/>
      </c>
      <c r="AJ954" s="12" t="n"/>
      <c r="AK954" s="53">
        <f>IF(AND(W954="X",M954&lt;=$AJ$2),"YES","")</f>
        <v/>
      </c>
      <c r="AL954" s="54">
        <f>IF(AND(W954="X",M954&lt;=$AJ$2),S954,"")</f>
        <v/>
      </c>
      <c r="AM954" s="35" t="n"/>
      <c r="AN954" s="35">
        <f>IF(AND(W954="X",M954&gt;$AJ$2),S954,"")</f>
        <v/>
      </c>
      <c r="AO954" s="35">
        <f>IF(AND(W954="",M954&gt;0,$AJ$2&gt;M954,L954=""),1,0)</f>
        <v/>
      </c>
      <c r="AP954" s="35">
        <f>IF(AND(AK954="YES",W954="X"),"X","")</f>
        <v/>
      </c>
      <c r="AQ954" s="55">
        <f>IF(AP954="X",100%,0%)</f>
        <v/>
      </c>
      <c r="AR954" s="25">
        <f>IF(AND(T954&gt;0,L954=""),H954,"")</f>
        <v/>
      </c>
      <c r="AS954" s="25">
        <f>IF(AND(D954&gt;0,H954=0,G954=""),1,"")</f>
        <v/>
      </c>
      <c r="AT954" s="25">
        <f>IF(G954="BLOQ",1,"")</f>
        <v/>
      </c>
      <c r="AU954" s="25">
        <f>IF(L954="BLOQ",1,"")</f>
        <v/>
      </c>
      <c r="AV954" s="25">
        <f>MONTH(F954)</f>
        <v/>
      </c>
      <c r="AW954" s="65">
        <f>IF(AP954="",100%,0%)</f>
        <v/>
      </c>
      <c r="AX954" s="56" t="n"/>
      <c r="AY954" s="24">
        <f>IF(M954=0,"",M954-$AX$2)</f>
        <v/>
      </c>
      <c r="AZ954" s="66">
        <f>IF(AND(W954="",AY954&gt;0,AY954&lt;15),1,0)</f>
        <v/>
      </c>
      <c r="BA954" s="24">
        <f>IF(AND(W954="",AY954&gt;0,AY954&lt;15),T954,"")</f>
        <v/>
      </c>
      <c r="BB954" s="87">
        <f>IF(R954&lt;Q954,"X","")</f>
        <v/>
      </c>
      <c r="BC954" s="190" t="inlineStr">
        <is>
          <t>NO</t>
        </is>
      </c>
      <c r="BD954" s="191" t="inlineStr">
        <is>
          <t>SI</t>
        </is>
      </c>
    </row>
    <row r="955" ht="15" customHeight="1" s="162">
      <c r="A955" s="7" t="n">
        <v>954</v>
      </c>
      <c r="B955" t="inlineStr">
        <is>
          <t>1050106909000</t>
        </is>
      </c>
      <c r="C955" t="inlineStr">
        <is>
          <t>TRT NPN 45V 2A 1W TO-92 ROHS</t>
        </is>
      </c>
      <c r="D955" t="inlineStr">
        <is>
          <t>1800108947</t>
        </is>
      </c>
      <c r="E955" t="inlineStr">
        <is>
          <t>30</t>
        </is>
      </c>
      <c r="F955" s="163" t="n">
        <v>45462</v>
      </c>
      <c r="G955" t="inlineStr"/>
      <c r="H955" t="inlineStr">
        <is>
          <t>4200568108</t>
        </is>
      </c>
      <c r="I955" t="inlineStr">
        <is>
          <t>30</t>
        </is>
      </c>
      <c r="J955" s="163" t="n">
        <v>45464</v>
      </c>
      <c r="K955" s="163" t="n">
        <v>45464</v>
      </c>
      <c r="L955" t="inlineStr"/>
      <c r="M955" s="163" t="n">
        <v>45488</v>
      </c>
      <c r="N955" s="164" t="n">
        <v>105</v>
      </c>
      <c r="O955" s="164" t="n">
        <v>8</v>
      </c>
      <c r="P955" t="inlineStr">
        <is>
          <t>Liberado</t>
        </is>
      </c>
      <c r="Q955" s="165" t="n">
        <v>2</v>
      </c>
      <c r="R955" s="165" t="n">
        <v>2</v>
      </c>
      <c r="S955" s="165" t="n">
        <v>2</v>
      </c>
      <c r="T955" s="165" t="n">
        <v>0</v>
      </c>
      <c r="U955" s="166" t="n">
        <v>2</v>
      </c>
      <c r="V955" s="166" t="n">
        <v>0</v>
      </c>
      <c r="W955" t="inlineStr">
        <is>
          <t>X</t>
        </is>
      </c>
      <c r="X955" t="inlineStr">
        <is>
          <t>0.00</t>
        </is>
      </c>
      <c r="Y955" t="inlineStr"/>
      <c r="Z955" t="inlineStr">
        <is>
          <t>ICOMPPLUS ELECTRONICS S.L</t>
        </is>
      </c>
      <c r="AA955" t="inlineStr">
        <is>
          <t>DIODES INC.</t>
        </is>
      </c>
      <c r="AB955" t="inlineStr">
        <is>
          <t>ZTX690B</t>
        </is>
      </c>
      <c r="AC955" t="inlineStr"/>
      <c r="AD955" s="164" t="n">
        <v>0</v>
      </c>
      <c r="AE955" s="185" t="n">
        <v>0</v>
      </c>
      <c r="AG955" s="167" t="inlineStr">
        <is>
          <t>7218|JA2586_1001</t>
        </is>
      </c>
      <c r="AH955" s="47">
        <f>IF(M955=0,"-",M955-J955)</f>
        <v/>
      </c>
      <c r="AI955" s="46">
        <f>IF(AND(S955=0,M955&gt;0,L955=0),IF(AH955&gt;=120,"VERY HIGH",IF(AH955&gt;=90,"HIGH",IF(AH955&gt;=60,"MEDIUM",IF(AH955&lt;60,"LOW")))),"-")</f>
        <v/>
      </c>
      <c r="AJ955" s="12" t="n"/>
      <c r="AK955" s="53">
        <f>IF(AND(W955="X",M955&lt;=$AJ$2),"YES","")</f>
        <v/>
      </c>
      <c r="AL955" s="54">
        <f>IF(AND(W955="X",M955&lt;=$AJ$2),S955,"")</f>
        <v/>
      </c>
      <c r="AM955" s="35" t="n"/>
      <c r="AN955" s="35">
        <f>IF(AND(W955="X",M955&gt;$AJ$2),S955,"")</f>
        <v/>
      </c>
      <c r="AO955" s="35">
        <f>IF(AND(W955="",M955&gt;0,$AJ$2&gt;M955,L955=""),1,0)</f>
        <v/>
      </c>
      <c r="AP955" s="35">
        <f>IF(AND(AK955="YES",W955="X"),"X","")</f>
        <v/>
      </c>
      <c r="AQ955" s="55">
        <f>IF(AP955="X",100%,0%)</f>
        <v/>
      </c>
      <c r="AR955" s="25">
        <f>IF(AND(T955&gt;0,L955=""),H955,"")</f>
        <v/>
      </c>
      <c r="AS955" s="25">
        <f>IF(AND(D955&gt;0,H955=0,G955=""),1,"")</f>
        <v/>
      </c>
      <c r="AT955" s="25">
        <f>IF(G955="BLOQ",1,"")</f>
        <v/>
      </c>
      <c r="AU955" s="25">
        <f>IF(L955="BLOQ",1,"")</f>
        <v/>
      </c>
      <c r="AV955" s="25">
        <f>MONTH(F955)</f>
        <v/>
      </c>
      <c r="AW955" s="65">
        <f>IF(AP955="",100%,0%)</f>
        <v/>
      </c>
      <c r="AX955" s="56" t="n"/>
      <c r="AY955" s="24">
        <f>IF(M955=0,"",M955-$AX$2)</f>
        <v/>
      </c>
      <c r="AZ955" s="66">
        <f>IF(AND(W955="",AY955&gt;0,AY955&lt;15),1,0)</f>
        <v/>
      </c>
      <c r="BA955" s="24">
        <f>IF(AND(W955="",AY955&gt;0,AY955&lt;15),T955,"")</f>
        <v/>
      </c>
      <c r="BB955" s="87">
        <f>IF(R955&lt;Q955,"X","")</f>
        <v/>
      </c>
      <c r="BC955" s="190" t="inlineStr">
        <is>
          <t>NO</t>
        </is>
      </c>
      <c r="BD955" s="191" t="inlineStr">
        <is>
          <t>SI</t>
        </is>
      </c>
    </row>
    <row r="956" ht="15" customHeight="1" s="162">
      <c r="A956" s="7" t="n">
        <v>955</v>
      </c>
      <c r="B956" t="inlineStr">
        <is>
          <t>1066090000000</t>
        </is>
      </c>
      <c r="C956" t="inlineStr">
        <is>
          <t>FOTOTRANSISTOR NPN 3MM T-1 IR ROHS</t>
        </is>
      </c>
      <c r="D956" t="inlineStr">
        <is>
          <t>1800108947</t>
        </is>
      </c>
      <c r="E956" t="inlineStr">
        <is>
          <t>40</t>
        </is>
      </c>
      <c r="F956" s="163" t="n">
        <v>45462</v>
      </c>
      <c r="G956" t="inlineStr"/>
      <c r="H956" t="inlineStr">
        <is>
          <t>4200568010</t>
        </is>
      </c>
      <c r="I956" t="inlineStr">
        <is>
          <t>270</t>
        </is>
      </c>
      <c r="J956" s="163" t="n">
        <v>45464</v>
      </c>
      <c r="K956" s="163" t="n">
        <v>45464</v>
      </c>
      <c r="L956" t="inlineStr"/>
      <c r="M956" s="163" t="n">
        <v>45478</v>
      </c>
      <c r="N956" s="164" t="n">
        <v>85</v>
      </c>
      <c r="O956" s="164" t="n">
        <v>8</v>
      </c>
      <c r="P956" t="inlineStr">
        <is>
          <t>Liberado</t>
        </is>
      </c>
      <c r="Q956" s="165" t="n">
        <v>1</v>
      </c>
      <c r="R956" s="165" t="n">
        <v>1</v>
      </c>
      <c r="S956" s="165" t="n">
        <v>1</v>
      </c>
      <c r="T956" s="165" t="n">
        <v>0</v>
      </c>
      <c r="U956" s="166" t="n">
        <v>1</v>
      </c>
      <c r="V956" s="166" t="n">
        <v>0</v>
      </c>
      <c r="W956" t="inlineStr">
        <is>
          <t>X</t>
        </is>
      </c>
      <c r="X956" t="inlineStr">
        <is>
          <t>0.00</t>
        </is>
      </c>
      <c r="Y956" t="inlineStr"/>
      <c r="Z956" t="inlineStr">
        <is>
          <t>ICOMPPLUS ELECTRONICS S.L</t>
        </is>
      </c>
      <c r="AA956" t="inlineStr">
        <is>
          <t>OSRAM</t>
        </is>
      </c>
      <c r="AB956" t="inlineStr">
        <is>
          <t>SFH 3310</t>
        </is>
      </c>
      <c r="AC956" t="inlineStr"/>
      <c r="AD956" s="164" t="n">
        <v>1</v>
      </c>
      <c r="AE956" s="185" t="n">
        <v>1</v>
      </c>
      <c r="AG956" s="167" t="inlineStr">
        <is>
          <t>7218|JA2586_1001</t>
        </is>
      </c>
      <c r="AH956" s="47">
        <f>IF(M956=0,"-",M956-J956)</f>
        <v/>
      </c>
      <c r="AI956" s="46">
        <f>IF(AND(S956=0,M956&gt;0,L956=0),IF(AH956&gt;=120,"VERY HIGH",IF(AH956&gt;=90,"HIGH",IF(AH956&gt;=60,"MEDIUM",IF(AH956&lt;60,"LOW")))),"-")</f>
        <v/>
      </c>
      <c r="AJ956" s="12" t="n"/>
      <c r="AK956" s="53">
        <f>IF(AND(W956="X",M956&lt;=$AJ$2),"YES","")</f>
        <v/>
      </c>
      <c r="AL956" s="54">
        <f>IF(AND(W956="X",M956&lt;=$AJ$2),S956,"")</f>
        <v/>
      </c>
      <c r="AM956" s="35" t="n"/>
      <c r="AN956" s="35">
        <f>IF(AND(W956="X",M956&gt;$AJ$2),S956,"")</f>
        <v/>
      </c>
      <c r="AO956" s="35">
        <f>IF(AND(W956="",M956&gt;0,$AJ$2&gt;M956,L956=""),1,0)</f>
        <v/>
      </c>
      <c r="AP956" s="35">
        <f>IF(AND(AK956="YES",W956="X"),"X","")</f>
        <v/>
      </c>
      <c r="AQ956" s="55">
        <f>IF(AP956="X",100%,0%)</f>
        <v/>
      </c>
      <c r="AR956" s="25">
        <f>IF(AND(T956&gt;0,L956=""),H956,"")</f>
        <v/>
      </c>
      <c r="AS956" s="25">
        <f>IF(AND(D956&gt;0,H956=0,G956=""),1,"")</f>
        <v/>
      </c>
      <c r="AT956" s="25">
        <f>IF(G956="BLOQ",1,"")</f>
        <v/>
      </c>
      <c r="AU956" s="25">
        <f>IF(L956="BLOQ",1,"")</f>
        <v/>
      </c>
      <c r="AV956" s="25">
        <f>MONTH(F956)</f>
        <v/>
      </c>
      <c r="AW956" s="65">
        <f>IF(AP956="",100%,0%)</f>
        <v/>
      </c>
      <c r="AX956" s="56" t="n"/>
      <c r="AY956" s="24">
        <f>IF(M956=0,"",M956-$AX$2)</f>
        <v/>
      </c>
      <c r="AZ956" s="66">
        <f>IF(AND(W956="",AY956&gt;0,AY956&lt;15),1,0)</f>
        <v/>
      </c>
      <c r="BA956" s="24">
        <f>IF(AND(W956="",AY956&gt;0,AY956&lt;15),T956,"")</f>
        <v/>
      </c>
      <c r="BB956" s="87">
        <f>IF(R956&lt;Q956,"X","")</f>
        <v/>
      </c>
      <c r="BC956" s="190" t="inlineStr">
        <is>
          <t>NO</t>
        </is>
      </c>
      <c r="BD956" s="191" t="inlineStr">
        <is>
          <t>SI</t>
        </is>
      </c>
    </row>
    <row r="957" ht="15" customHeight="1" s="162">
      <c r="A957" s="7" t="n">
        <v>956</v>
      </c>
      <c r="B957" t="inlineStr">
        <is>
          <t>1217000831000</t>
        </is>
      </c>
      <c r="C957" t="inlineStr">
        <is>
          <t>CNC RJ-45 PANEL (8X8) NEGRO APANTALLADO</t>
        </is>
      </c>
      <c r="D957" t="inlineStr">
        <is>
          <t>1800108947</t>
        </is>
      </c>
      <c r="E957" t="inlineStr">
        <is>
          <t>50</t>
        </is>
      </c>
      <c r="F957" s="163" t="n">
        <v>45462</v>
      </c>
      <c r="G957" t="inlineStr"/>
      <c r="H957" t="inlineStr">
        <is>
          <t>4200571557</t>
        </is>
      </c>
      <c r="I957" t="inlineStr">
        <is>
          <t>130</t>
        </is>
      </c>
      <c r="J957" s="163" t="n">
        <v>45492</v>
      </c>
      <c r="K957" s="163" t="n">
        <v>45497</v>
      </c>
      <c r="L957" t="inlineStr"/>
      <c r="M957" s="163" t="n">
        <v>45504</v>
      </c>
      <c r="N957" s="164" t="n">
        <v>42</v>
      </c>
      <c r="O957" s="164" t="n">
        <v>8</v>
      </c>
      <c r="P957" t="inlineStr">
        <is>
          <t>Liberado</t>
        </is>
      </c>
      <c r="Q957" s="165" t="n">
        <v>6</v>
      </c>
      <c r="R957" s="165" t="n">
        <v>6</v>
      </c>
      <c r="S957" s="165" t="n">
        <v>6</v>
      </c>
      <c r="T957" s="165" t="n">
        <v>0</v>
      </c>
      <c r="U957" s="166" t="n">
        <v>6</v>
      </c>
      <c r="V957" s="166" t="n">
        <v>0</v>
      </c>
      <c r="W957" t="inlineStr">
        <is>
          <t>X</t>
        </is>
      </c>
      <c r="X957" t="inlineStr">
        <is>
          <t>0.00</t>
        </is>
      </c>
      <c r="Y957" t="inlineStr"/>
      <c r="Z957" t="inlineStr">
        <is>
          <t>TELKRON, S.A.</t>
        </is>
      </c>
      <c r="AA957" t="inlineStr">
        <is>
          <t>RS PRO</t>
        </is>
      </c>
      <c r="AB957" t="inlineStr">
        <is>
          <t>186-3111</t>
        </is>
      </c>
      <c r="AC957" t="inlineStr"/>
      <c r="AD957" s="164" t="n">
        <v>0</v>
      </c>
      <c r="AE957" s="185" t="n">
        <v>0</v>
      </c>
      <c r="AG957" s="167" t="inlineStr">
        <is>
          <t>7218|JA2586_1001</t>
        </is>
      </c>
      <c r="AH957" s="47">
        <f>IF(M957=0,"-",M957-J957)</f>
        <v/>
      </c>
      <c r="AI957" s="46">
        <f>IF(AND(S957=0,M957&gt;0,L957=0),IF(AH957&gt;=120,"VERY HIGH",IF(AH957&gt;=90,"HIGH",IF(AH957&gt;=60,"MEDIUM",IF(AH957&lt;60,"LOW")))),"-")</f>
        <v/>
      </c>
      <c r="AJ957" s="12" t="n"/>
      <c r="AK957" s="53">
        <f>IF(AND(W957="X",M957&lt;=$AJ$2),"YES","")</f>
        <v/>
      </c>
      <c r="AL957" s="54">
        <f>IF(AND(W957="X",M957&lt;=$AJ$2),S957,"")</f>
        <v/>
      </c>
      <c r="AM957" s="35" t="n"/>
      <c r="AN957" s="35">
        <f>IF(AND(W957="X",M957&gt;$AJ$2),S957,"")</f>
        <v/>
      </c>
      <c r="AO957" s="35">
        <f>IF(AND(W957="",M957&gt;0,$AJ$2&gt;M957,L957=""),1,0)</f>
        <v/>
      </c>
      <c r="AP957" s="35">
        <f>IF(AND(AK957="YES",W957="X"),"X","")</f>
        <v/>
      </c>
      <c r="AQ957" s="55">
        <f>IF(AP957="X",100%,0%)</f>
        <v/>
      </c>
      <c r="AR957" s="25">
        <f>IF(AND(T957&gt;0,L957=""),H957,"")</f>
        <v/>
      </c>
      <c r="AS957" s="25">
        <f>IF(AND(D957&gt;0,H957=0,G957=""),1,"")</f>
        <v/>
      </c>
      <c r="AT957" s="25">
        <f>IF(G957="BLOQ",1,"")</f>
        <v/>
      </c>
      <c r="AU957" s="25">
        <f>IF(L957="BLOQ",1,"")</f>
        <v/>
      </c>
      <c r="AV957" s="25">
        <f>MONTH(F957)</f>
        <v/>
      </c>
      <c r="AW957" s="65">
        <f>IF(AP957="",100%,0%)</f>
        <v/>
      </c>
      <c r="AX957" s="56" t="n"/>
      <c r="AY957" s="24">
        <f>IF(M957=0,"",M957-$AX$2)</f>
        <v/>
      </c>
      <c r="AZ957" s="66">
        <f>IF(AND(W957="",AY957&gt;0,AY957&lt;15),1,0)</f>
        <v/>
      </c>
      <c r="BA957" s="24">
        <f>IF(AND(W957="",AY957&gt;0,AY957&lt;15),T957,"")</f>
        <v/>
      </c>
      <c r="BB957" s="87">
        <f>IF(R957&lt;Q957,"X","")</f>
        <v/>
      </c>
      <c r="BC957" s="190" t="inlineStr">
        <is>
          <t>NO</t>
        </is>
      </c>
      <c r="BD957" s="191" t="inlineStr">
        <is>
          <t>SI</t>
        </is>
      </c>
    </row>
    <row r="958" ht="15" customHeight="1" s="162">
      <c r="A958" s="7" t="n">
        <v>957</v>
      </c>
      <c r="B958" t="inlineStr">
        <is>
          <t>1219001090100</t>
        </is>
      </c>
      <c r="C958" t="inlineStr">
        <is>
          <t>CAJA PORTACONTACTOS 10/H CRIMP SERIE SL</t>
        </is>
      </c>
      <c r="D958" t="inlineStr">
        <is>
          <t>1800108947</t>
        </is>
      </c>
      <c r="E958" t="inlineStr">
        <is>
          <t>60</t>
        </is>
      </c>
      <c r="F958" s="163" t="n">
        <v>45462</v>
      </c>
      <c r="G958" t="inlineStr"/>
      <c r="H958" t="inlineStr">
        <is>
          <t>4200571148</t>
        </is>
      </c>
      <c r="I958" t="inlineStr">
        <is>
          <t>40</t>
        </is>
      </c>
      <c r="J958" s="163" t="n">
        <v>45490</v>
      </c>
      <c r="K958" s="163" t="n">
        <v>45491</v>
      </c>
      <c r="L958" t="inlineStr"/>
      <c r="M958" s="163" t="n">
        <v>45504</v>
      </c>
      <c r="N958" s="164" t="n">
        <v>80</v>
      </c>
      <c r="O958" s="164" t="n">
        <v>8</v>
      </c>
      <c r="P958" t="inlineStr">
        <is>
          <t>Liberado</t>
        </is>
      </c>
      <c r="Q958" s="165" t="n">
        <v>1</v>
      </c>
      <c r="R958" s="165" t="n">
        <v>1</v>
      </c>
      <c r="S958" s="165" t="n">
        <v>1</v>
      </c>
      <c r="T958" s="165" t="n">
        <v>0</v>
      </c>
      <c r="U958" s="166" t="n">
        <v>1</v>
      </c>
      <c r="V958" s="166" t="n">
        <v>0</v>
      </c>
      <c r="W958" t="inlineStr">
        <is>
          <t>X</t>
        </is>
      </c>
      <c r="X958" t="inlineStr">
        <is>
          <t>0.00</t>
        </is>
      </c>
      <c r="Y958" t="inlineStr"/>
      <c r="Z958" t="inlineStr">
        <is>
          <t>SUMINISTROS CONECTORES PROF.,SA.</t>
        </is>
      </c>
      <c r="AA958" t="inlineStr">
        <is>
          <t>MOLEX</t>
        </is>
      </c>
      <c r="AB958" t="inlineStr">
        <is>
          <t>50-57-9410</t>
        </is>
      </c>
      <c r="AC958" t="inlineStr"/>
      <c r="AD958" s="164" t="n">
        <v>1</v>
      </c>
      <c r="AE958" s="185" t="n">
        <v>1</v>
      </c>
      <c r="AG958" s="167" t="inlineStr">
        <is>
          <t>7218|JA2586_1001</t>
        </is>
      </c>
      <c r="AH958" s="47">
        <f>IF(M958=0,"-",M958-J958)</f>
        <v/>
      </c>
      <c r="AI958" s="46">
        <f>IF(AND(S958=0,M958&gt;0,L958=0),IF(AH958&gt;=120,"VERY HIGH",IF(AH958&gt;=90,"HIGH",IF(AH958&gt;=60,"MEDIUM",IF(AH958&lt;60,"LOW")))),"-")</f>
        <v/>
      </c>
      <c r="AJ958" s="12" t="n"/>
      <c r="AK958" s="53">
        <f>IF(AND(W958="X",M958&lt;=$AJ$2),"YES","")</f>
        <v/>
      </c>
      <c r="AL958" s="54">
        <f>IF(AND(W958="X",M958&lt;=$AJ$2),S958,"")</f>
        <v/>
      </c>
      <c r="AM958" s="35" t="n"/>
      <c r="AN958" s="35">
        <f>IF(AND(W958="X",M958&gt;$AJ$2),S958,"")</f>
        <v/>
      </c>
      <c r="AO958" s="35">
        <f>IF(AND(W958="",M958&gt;0,$AJ$2&gt;M958,L958=""),1,0)</f>
        <v/>
      </c>
      <c r="AP958" s="35">
        <f>IF(AND(AK958="YES",W958="X"),"X","")</f>
        <v/>
      </c>
      <c r="AQ958" s="55">
        <f>IF(AP958="X",100%,0%)</f>
        <v/>
      </c>
      <c r="AR958" s="25">
        <f>IF(AND(T958&gt;0,L958=""),H958,"")</f>
        <v/>
      </c>
      <c r="AS958" s="25">
        <f>IF(AND(D958&gt;0,H958=0,G958=""),1,"")</f>
        <v/>
      </c>
      <c r="AT958" s="25">
        <f>IF(G958="BLOQ",1,"")</f>
        <v/>
      </c>
      <c r="AU958" s="25">
        <f>IF(L958="BLOQ",1,"")</f>
        <v/>
      </c>
      <c r="AV958" s="25">
        <f>MONTH(F958)</f>
        <v/>
      </c>
      <c r="AW958" s="65">
        <f>IF(AP958="",100%,0%)</f>
        <v/>
      </c>
      <c r="AX958" s="56" t="n"/>
      <c r="AY958" s="24">
        <f>IF(M958=0,"",M958-$AX$2)</f>
        <v/>
      </c>
      <c r="AZ958" s="66">
        <f>IF(AND(W958="",AY958&gt;0,AY958&lt;15),1,0)</f>
        <v/>
      </c>
      <c r="BA958" s="24">
        <f>IF(AND(W958="",AY958&gt;0,AY958&lt;15),T958,"")</f>
        <v/>
      </c>
      <c r="BB958" s="87">
        <f>IF(R958&lt;Q958,"X","")</f>
        <v/>
      </c>
      <c r="BC958" s="190" t="inlineStr">
        <is>
          <t>NO</t>
        </is>
      </c>
      <c r="BD958" s="191" t="inlineStr">
        <is>
          <t>SI</t>
        </is>
      </c>
    </row>
    <row r="959" ht="15" customHeight="1" s="162">
      <c r="A959" s="7" t="n">
        <v>958</v>
      </c>
      <c r="B959" t="inlineStr">
        <is>
          <t>1219090030000</t>
        </is>
      </c>
      <c r="C959" t="inlineStr">
        <is>
          <t>CONTACTO HEMBRA CRIMPAR AWG22-24</t>
        </is>
      </c>
      <c r="D959" t="inlineStr">
        <is>
          <t>1800108947</t>
        </is>
      </c>
      <c r="E959" t="inlineStr">
        <is>
          <t>70</t>
        </is>
      </c>
      <c r="F959" s="163" t="n">
        <v>45462</v>
      </c>
      <c r="G959" t="inlineStr"/>
      <c r="H959" t="inlineStr">
        <is>
          <t>4200571557</t>
        </is>
      </c>
      <c r="I959" t="inlineStr">
        <is>
          <t>140</t>
        </is>
      </c>
      <c r="J959" s="163" t="n">
        <v>45492</v>
      </c>
      <c r="K959" s="163" t="n">
        <v>45497</v>
      </c>
      <c r="L959" t="inlineStr"/>
      <c r="M959" s="163" t="n">
        <v>45504</v>
      </c>
      <c r="N959" s="164" t="n">
        <v>65</v>
      </c>
      <c r="O959" s="164" t="n">
        <v>8</v>
      </c>
      <c r="P959" t="inlineStr">
        <is>
          <t>Liberado</t>
        </is>
      </c>
      <c r="Q959" s="165" t="n">
        <v>10</v>
      </c>
      <c r="R959" s="165" t="n">
        <v>10</v>
      </c>
      <c r="S959" s="165" t="n">
        <v>10</v>
      </c>
      <c r="T959" s="165" t="n">
        <v>0</v>
      </c>
      <c r="U959" s="166" t="n">
        <v>10</v>
      </c>
      <c r="V959" s="166" t="n">
        <v>0</v>
      </c>
      <c r="W959" t="inlineStr">
        <is>
          <t>X</t>
        </is>
      </c>
      <c r="X959" t="inlineStr">
        <is>
          <t>0.00</t>
        </is>
      </c>
      <c r="Y959" t="inlineStr"/>
      <c r="Z959" t="inlineStr">
        <is>
          <t>TELKRON, S.A.</t>
        </is>
      </c>
      <c r="AA959" t="inlineStr">
        <is>
          <t>RS</t>
        </is>
      </c>
      <c r="AB959" t="inlineStr">
        <is>
          <t>360-6869</t>
        </is>
      </c>
      <c r="AC959" t="inlineStr"/>
      <c r="AD959" s="164" t="n">
        <v>0</v>
      </c>
      <c r="AE959" s="185" t="n">
        <v>0</v>
      </c>
      <c r="AG959" s="167" t="inlineStr">
        <is>
          <t>7218|JA2586_1001</t>
        </is>
      </c>
      <c r="AH959" s="47">
        <f>IF(M959=0,"-",M959-J959)</f>
        <v/>
      </c>
      <c r="AI959" s="46">
        <f>IF(AND(S959=0,M959&gt;0,L959=0),IF(AH959&gt;=120,"VERY HIGH",IF(AH959&gt;=90,"HIGH",IF(AH959&gt;=60,"MEDIUM",IF(AH959&lt;60,"LOW")))),"-")</f>
        <v/>
      </c>
      <c r="AJ959" s="12" t="n"/>
      <c r="AK959" s="53">
        <f>IF(AND(W959="X",M959&lt;=$AJ$2),"YES","")</f>
        <v/>
      </c>
      <c r="AL959" s="54">
        <f>IF(AND(W959="X",M959&lt;=$AJ$2),S959,"")</f>
        <v/>
      </c>
      <c r="AM959" s="35" t="n"/>
      <c r="AN959" s="35">
        <f>IF(AND(W959="X",M959&gt;$AJ$2),S959,"")</f>
        <v/>
      </c>
      <c r="AO959" s="35">
        <f>IF(AND(W959="",M959&gt;0,$AJ$2&gt;M959,L959=""),1,0)</f>
        <v/>
      </c>
      <c r="AP959" s="35">
        <f>IF(AND(AK959="YES",W959="X"),"X","")</f>
        <v/>
      </c>
      <c r="AQ959" s="55">
        <f>IF(AP959="X",100%,0%)</f>
        <v/>
      </c>
      <c r="AR959" s="25">
        <f>IF(AND(T959&gt;0,L959=""),H959,"")</f>
        <v/>
      </c>
      <c r="AS959" s="25">
        <f>IF(AND(D959&gt;0,H959=0,G959=""),1,"")</f>
        <v/>
      </c>
      <c r="AT959" s="25">
        <f>IF(G959="BLOQ",1,"")</f>
        <v/>
      </c>
      <c r="AU959" s="25">
        <f>IF(L959="BLOQ",1,"")</f>
        <v/>
      </c>
      <c r="AV959" s="25">
        <f>MONTH(F959)</f>
        <v/>
      </c>
      <c r="AW959" s="65">
        <f>IF(AP959="",100%,0%)</f>
        <v/>
      </c>
      <c r="AX959" s="56" t="n"/>
      <c r="AY959" s="24">
        <f>IF(M959=0,"",M959-$AX$2)</f>
        <v/>
      </c>
      <c r="AZ959" s="66">
        <f>IF(AND(W959="",AY959&gt;0,AY959&lt;15),1,0)</f>
        <v/>
      </c>
      <c r="BA959" s="24">
        <f>IF(AND(W959="",AY959&gt;0,AY959&lt;15),T959,"")</f>
        <v/>
      </c>
      <c r="BB959" s="87">
        <f>IF(R959&lt;Q959,"X","")</f>
        <v/>
      </c>
      <c r="BC959" s="190" t="inlineStr">
        <is>
          <t>NO</t>
        </is>
      </c>
      <c r="BD959" s="191" t="inlineStr">
        <is>
          <t>SI</t>
        </is>
      </c>
    </row>
    <row r="960" ht="15" customHeight="1" s="162">
      <c r="A960" s="7" t="n">
        <v>959</v>
      </c>
      <c r="B960" t="inlineStr">
        <is>
          <t>1229590140400</t>
        </is>
      </c>
      <c r="C960" t="inlineStr">
        <is>
          <t>CBL EQ CAT6A LSZH RJ45-M/RJ45-M L=0.5M</t>
        </is>
      </c>
      <c r="D960" t="inlineStr">
        <is>
          <t>1800108947</t>
        </is>
      </c>
      <c r="E960" t="inlineStr">
        <is>
          <t>80</t>
        </is>
      </c>
      <c r="F960" s="163" t="n">
        <v>45462</v>
      </c>
      <c r="G960" t="inlineStr"/>
      <c r="H960" t="inlineStr">
        <is>
          <t>4200571219</t>
        </is>
      </c>
      <c r="I960" t="inlineStr">
        <is>
          <t>10</t>
        </is>
      </c>
      <c r="J960" s="163" t="n">
        <v>45491</v>
      </c>
      <c r="K960" s="163" t="n">
        <v>45497</v>
      </c>
      <c r="L960" t="inlineStr">
        <is>
          <t>BORR</t>
        </is>
      </c>
      <c r="M960" s="163" t="n">
        <v>45499</v>
      </c>
      <c r="N960" s="164" t="n">
        <v>105</v>
      </c>
      <c r="O960" s="164" t="n">
        <v>8</v>
      </c>
      <c r="P960" t="inlineStr"/>
      <c r="Q960" s="165" t="n">
        <v>6</v>
      </c>
      <c r="R960" s="165" t="n">
        <v>6</v>
      </c>
      <c r="S960" s="165" t="n">
        <v>0</v>
      </c>
      <c r="T960" s="165" t="n">
        <v>6</v>
      </c>
      <c r="U960" s="166" t="n">
        <v>0</v>
      </c>
      <c r="V960" s="166" t="n">
        <v>0</v>
      </c>
      <c r="W960" t="inlineStr"/>
      <c r="X960" t="inlineStr">
        <is>
          <t>31.20</t>
        </is>
      </c>
      <c r="Y960" t="inlineStr"/>
      <c r="Z960" t="inlineStr">
        <is>
          <t>OMRON ELECTRONICS IBERIA S.A.U.</t>
        </is>
      </c>
      <c r="AA960" t="inlineStr">
        <is>
          <t>OMRON CORPORATION</t>
        </is>
      </c>
      <c r="AB960" t="inlineStr">
        <is>
          <t>XS6W-6LSZH8SS50CM-Y</t>
        </is>
      </c>
      <c r="AC960" t="inlineStr"/>
      <c r="AD960" s="164" t="n">
        <v>0</v>
      </c>
      <c r="AE960" s="185" t="n">
        <v>0</v>
      </c>
      <c r="AG960" s="167" t="inlineStr">
        <is>
          <t>7218|JA2586_1001</t>
        </is>
      </c>
      <c r="AH960" s="47">
        <f>IF(M960=0,"-",M960-J960)</f>
        <v/>
      </c>
      <c r="AI960" s="46">
        <f>IF(AND(S960=0,M960&gt;0,L960=0),IF(AH960&gt;=120,"VERY HIGH",IF(AH960&gt;=90,"HIGH",IF(AH960&gt;=60,"MEDIUM",IF(AH960&lt;60,"LOW")))),"-")</f>
        <v/>
      </c>
      <c r="AJ960" s="12" t="n"/>
      <c r="AK960" s="53">
        <f>IF(AND(W960="X",M960&lt;=$AJ$2),"YES","")</f>
        <v/>
      </c>
      <c r="AL960" s="54">
        <f>IF(AND(W960="X",M960&lt;=$AJ$2),S960,"")</f>
        <v/>
      </c>
      <c r="AM960" s="35" t="n"/>
      <c r="AN960" s="35">
        <f>IF(AND(W960="X",M960&gt;$AJ$2),S960,"")</f>
        <v/>
      </c>
      <c r="AO960" s="35">
        <f>IF(AND(W960="",M960&gt;0,$AJ$2&gt;M960,L960=""),1,0)</f>
        <v/>
      </c>
      <c r="AP960" s="35">
        <f>IF(AND(AK960="YES",W960="X"),"X","")</f>
        <v/>
      </c>
      <c r="AQ960" s="55">
        <f>IF(AP960="X",100%,0%)</f>
        <v/>
      </c>
      <c r="AR960" s="25">
        <f>IF(AND(T960&gt;0,L960=""),H960,"")</f>
        <v/>
      </c>
      <c r="AS960" s="25">
        <f>IF(AND(D960&gt;0,H960=0,G960=""),1,"")</f>
        <v/>
      </c>
      <c r="AT960" s="25">
        <f>IF(G960="BLOQ",1,"")</f>
        <v/>
      </c>
      <c r="AU960" s="25">
        <f>IF(L960="BLOQ",1,"")</f>
        <v/>
      </c>
      <c r="AV960" s="25">
        <f>MONTH(F960)</f>
        <v/>
      </c>
      <c r="AW960" s="65">
        <f>IF(AP960="",100%,0%)</f>
        <v/>
      </c>
      <c r="AX960" s="56" t="n"/>
      <c r="AY960" s="24">
        <f>IF(M960=0,"",M960-$AX$2)</f>
        <v/>
      </c>
      <c r="AZ960" s="66">
        <f>IF(AND(W960="",AY960&gt;0,AY960&lt;15),1,0)</f>
        <v/>
      </c>
      <c r="BA960" s="24">
        <f>IF(AND(W960="",AY960&gt;0,AY960&lt;15),T960,"")</f>
        <v/>
      </c>
      <c r="BB960" s="87">
        <f>IF(R960&lt;Q960,"X","")</f>
        <v/>
      </c>
      <c r="BC960" s="190" t="inlineStr">
        <is>
          <t>NO</t>
        </is>
      </c>
      <c r="BD960" s="191" t="inlineStr">
        <is>
          <t>SI</t>
        </is>
      </c>
    </row>
    <row r="961" ht="15" customHeight="1" s="162">
      <c r="A961" s="7" t="n">
        <v>960</v>
      </c>
      <c r="B961" t="inlineStr">
        <is>
          <t>1229590140400</t>
        </is>
      </c>
      <c r="C961" t="inlineStr">
        <is>
          <t>CBL EQ CAT6A LSZH RJ45-M/RJ45-M L=0.5M</t>
        </is>
      </c>
      <c r="D961" t="inlineStr">
        <is>
          <t>1800108947</t>
        </is>
      </c>
      <c r="E961" t="inlineStr">
        <is>
          <t>80</t>
        </is>
      </c>
      <c r="F961" s="163" t="n">
        <v>45462</v>
      </c>
      <c r="G961" t="inlineStr"/>
      <c r="H961" t="inlineStr">
        <is>
          <t>4200580892</t>
        </is>
      </c>
      <c r="I961" t="inlineStr">
        <is>
          <t>10</t>
        </is>
      </c>
      <c r="J961" s="163" t="n">
        <v>45576</v>
      </c>
      <c r="K961" s="163" t="n">
        <v>45580</v>
      </c>
      <c r="L961" t="inlineStr"/>
      <c r="M961" s="163" t="n">
        <v>45583</v>
      </c>
      <c r="N961" s="164" t="n">
        <v>105</v>
      </c>
      <c r="O961" s="164" t="n">
        <v>8</v>
      </c>
      <c r="P961" t="inlineStr">
        <is>
          <t>Liberado</t>
        </is>
      </c>
      <c r="Q961" s="165" t="n">
        <v>6</v>
      </c>
      <c r="R961" s="165" t="n">
        <v>6</v>
      </c>
      <c r="S961" s="165" t="n">
        <v>0</v>
      </c>
      <c r="T961" s="165" t="n">
        <v>6</v>
      </c>
      <c r="U961" s="166" t="n">
        <v>0</v>
      </c>
      <c r="V961" s="166" t="n">
        <v>0</v>
      </c>
      <c r="W961" t="inlineStr"/>
      <c r="X961" t="inlineStr">
        <is>
          <t>31.20</t>
        </is>
      </c>
      <c r="Y961" t="inlineStr"/>
      <c r="Z961" t="inlineStr">
        <is>
          <t>GITEC CONTROL, S.L.</t>
        </is>
      </c>
      <c r="AA961" t="inlineStr">
        <is>
          <t>OMRON CORPORATION</t>
        </is>
      </c>
      <c r="AB961" t="inlineStr">
        <is>
          <t>XS6W-6LSZH8SS50CM-Y</t>
        </is>
      </c>
      <c r="AC961" t="inlineStr"/>
      <c r="AD961" s="164" t="n">
        <v>0</v>
      </c>
      <c r="AE961" s="185" t="n">
        <v>0</v>
      </c>
      <c r="AG961" s="167" t="inlineStr">
        <is>
          <t>7218|JA2586_1001</t>
        </is>
      </c>
      <c r="AH961" s="47">
        <f>IF(M961=0,"-",M961-J961)</f>
        <v/>
      </c>
      <c r="AI961" s="46">
        <f>IF(AND(S961=0,M961&gt;0,L961=0),IF(AH961&gt;=120,"VERY HIGH",IF(AH961&gt;=90,"HIGH",IF(AH961&gt;=60,"MEDIUM",IF(AH961&lt;60,"LOW")))),"-")</f>
        <v/>
      </c>
      <c r="AJ961" s="12" t="n"/>
      <c r="AK961" s="53">
        <f>IF(AND(W961="X",M961&lt;=$AJ$2),"YES","")</f>
        <v/>
      </c>
      <c r="AL961" s="54">
        <f>IF(AND(W961="X",M961&lt;=$AJ$2),S961,"")</f>
        <v/>
      </c>
      <c r="AM961" s="35" t="n"/>
      <c r="AN961" s="35">
        <f>IF(AND(W961="X",M961&gt;$AJ$2),S961,"")</f>
        <v/>
      </c>
      <c r="AO961" s="35">
        <f>IF(AND(W961="",M961&gt;0,$AJ$2&gt;M961,L961=""),1,0)</f>
        <v/>
      </c>
      <c r="AP961" s="35">
        <f>IF(AND(AK961="YES",W961="X"),"X","")</f>
        <v/>
      </c>
      <c r="AQ961" s="55">
        <f>IF(AP961="X",100%,0%)</f>
        <v/>
      </c>
      <c r="AR961" s="25">
        <f>IF(AND(T961&gt;0,L961=""),H961,"")</f>
        <v/>
      </c>
      <c r="AS961" s="25">
        <f>IF(AND(D961&gt;0,H961=0,G961=""),1,"")</f>
        <v/>
      </c>
      <c r="AT961" s="25">
        <f>IF(G961="BLOQ",1,"")</f>
        <v/>
      </c>
      <c r="AU961" s="25">
        <f>IF(L961="BLOQ",1,"")</f>
        <v/>
      </c>
      <c r="AV961" s="25">
        <f>MONTH(F961)</f>
        <v/>
      </c>
      <c r="AW961" s="65">
        <f>IF(AP961="",100%,0%)</f>
        <v/>
      </c>
      <c r="AX961" s="56" t="n"/>
      <c r="AY961" s="24">
        <f>IF(M961=0,"",M961-$AX$2)</f>
        <v/>
      </c>
      <c r="AZ961" s="66">
        <f>IF(AND(W961="",AY961&gt;0,AY961&lt;15),1,0)</f>
        <v/>
      </c>
      <c r="BA961" s="24">
        <f>IF(AND(W961="",AY961&gt;0,AY961&lt;15),T961,"")</f>
        <v/>
      </c>
      <c r="BB961" s="87">
        <f>IF(R961&lt;Q961,"X","")</f>
        <v/>
      </c>
      <c r="BC961" s="190" t="inlineStr">
        <is>
          <t>NO</t>
        </is>
      </c>
      <c r="BD961" s="191" t="inlineStr">
        <is>
          <t>SI</t>
        </is>
      </c>
    </row>
    <row r="962" ht="15" customHeight="1" s="162">
      <c r="A962" s="7" t="n">
        <v>961</v>
      </c>
      <c r="B962" t="inlineStr">
        <is>
          <t>1263511000106</t>
        </is>
      </c>
      <c r="C962" t="inlineStr">
        <is>
          <t>F.A CONM 190-264V 12V 30W CARRIL DIN</t>
        </is>
      </c>
      <c r="D962" t="inlineStr">
        <is>
          <t>1800108947</t>
        </is>
      </c>
      <c r="E962" t="inlineStr">
        <is>
          <t>90</t>
        </is>
      </c>
      <c r="F962" s="163" t="n">
        <v>45462</v>
      </c>
      <c r="G962" t="inlineStr"/>
      <c r="H962" t="inlineStr">
        <is>
          <t>4200568262</t>
        </is>
      </c>
      <c r="I962" t="inlineStr">
        <is>
          <t>10</t>
        </is>
      </c>
      <c r="J962" s="163" t="n">
        <v>45467</v>
      </c>
      <c r="K962" s="163" t="n">
        <v>45469</v>
      </c>
      <c r="L962" t="inlineStr"/>
      <c r="M962" s="163" t="n">
        <v>45488</v>
      </c>
      <c r="N962" s="164" t="n">
        <v>40</v>
      </c>
      <c r="O962" s="164" t="n">
        <v>8</v>
      </c>
      <c r="P962" t="inlineStr">
        <is>
          <t>Liberado</t>
        </is>
      </c>
      <c r="Q962" s="165" t="n">
        <v>1</v>
      </c>
      <c r="R962" s="165" t="n">
        <v>1</v>
      </c>
      <c r="S962" s="165" t="n">
        <v>1</v>
      </c>
      <c r="T962" s="165" t="n">
        <v>0</v>
      </c>
      <c r="U962" s="166" t="n">
        <v>1</v>
      </c>
      <c r="V962" s="166" t="n">
        <v>0</v>
      </c>
      <c r="W962" t="inlineStr">
        <is>
          <t>X</t>
        </is>
      </c>
      <c r="X962" t="inlineStr">
        <is>
          <t>0.00</t>
        </is>
      </c>
      <c r="Y962" t="inlineStr"/>
      <c r="Z962" t="inlineStr">
        <is>
          <t>ICOMPPLUS ELECTRONICS S.L</t>
        </is>
      </c>
      <c r="AA962" t="inlineStr">
        <is>
          <t>ELC</t>
        </is>
      </c>
      <c r="AB962" t="inlineStr">
        <is>
          <t>ALE1202</t>
        </is>
      </c>
      <c r="AC962" t="inlineStr"/>
      <c r="AD962" s="164" t="n">
        <v>0</v>
      </c>
      <c r="AE962" s="185" t="n">
        <v>0</v>
      </c>
      <c r="AG962" s="167" t="inlineStr">
        <is>
          <t>7218|JA2586_1001</t>
        </is>
      </c>
      <c r="AH962" s="47">
        <f>IF(M962=0,"-",M962-J962)</f>
        <v/>
      </c>
      <c r="AI962" s="46">
        <f>IF(AND(S962=0,M962&gt;0,L962=0),IF(AH962&gt;=120,"VERY HIGH",IF(AH962&gt;=90,"HIGH",IF(AH962&gt;=60,"MEDIUM",IF(AH962&lt;60,"LOW")))),"-")</f>
        <v/>
      </c>
      <c r="AJ962" s="12" t="n"/>
      <c r="AK962" s="53">
        <f>IF(AND(W962="X",M962&lt;=$AJ$2),"YES","")</f>
        <v/>
      </c>
      <c r="AL962" s="54">
        <f>IF(AND(W962="X",M962&lt;=$AJ$2),S962,"")</f>
        <v/>
      </c>
      <c r="AM962" s="35" t="n"/>
      <c r="AN962" s="35">
        <f>IF(AND(W962="X",M962&gt;$AJ$2),S962,"")</f>
        <v/>
      </c>
      <c r="AO962" s="35">
        <f>IF(AND(W962="",M962&gt;0,$AJ$2&gt;M962,L962=""),1,0)</f>
        <v/>
      </c>
      <c r="AP962" s="35">
        <f>IF(AND(AK962="YES",W962="X"),"X","")</f>
        <v/>
      </c>
      <c r="AQ962" s="55">
        <f>IF(AP962="X",100%,0%)</f>
        <v/>
      </c>
      <c r="AR962" s="25">
        <f>IF(AND(T962&gt;0,L962=""),H962,"")</f>
        <v/>
      </c>
      <c r="AS962" s="25">
        <f>IF(AND(D962&gt;0,H962=0,G962=""),1,"")</f>
        <v/>
      </c>
      <c r="AT962" s="25">
        <f>IF(G962="BLOQ",1,"")</f>
        <v/>
      </c>
      <c r="AU962" s="25">
        <f>IF(L962="BLOQ",1,"")</f>
        <v/>
      </c>
      <c r="AV962" s="25">
        <f>MONTH(F962)</f>
        <v/>
      </c>
      <c r="AW962" s="65">
        <f>IF(AP962="",100%,0%)</f>
        <v/>
      </c>
      <c r="AX962" s="56" t="n"/>
      <c r="AY962" s="24">
        <f>IF(M962=0,"",M962-$AX$2)</f>
        <v/>
      </c>
      <c r="AZ962" s="66">
        <f>IF(AND(W962="",AY962&gt;0,AY962&lt;15),1,0)</f>
        <v/>
      </c>
      <c r="BA962" s="24">
        <f>IF(AND(W962="",AY962&gt;0,AY962&lt;15),T962,"")</f>
        <v/>
      </c>
      <c r="BB962" s="87">
        <f>IF(R962&lt;Q962,"X","")</f>
        <v/>
      </c>
      <c r="BC962" s="191" t="inlineStr">
        <is>
          <t>SI</t>
        </is>
      </c>
      <c r="BD962" s="191" t="inlineStr">
        <is>
          <t>SI</t>
        </is>
      </c>
    </row>
    <row r="963" ht="15" customHeight="1" s="162">
      <c r="A963" s="7" t="n">
        <v>962</v>
      </c>
      <c r="B963" t="inlineStr">
        <is>
          <t>1002531003609</t>
        </is>
      </c>
      <c r="C963" t="inlineStr">
        <is>
          <t>RST PELCAR AXI 100R 5% 350PPM 1/4W ROHS</t>
        </is>
      </c>
      <c r="D963" t="inlineStr">
        <is>
          <t>1800108948</t>
        </is>
      </c>
      <c r="E963" t="inlineStr">
        <is>
          <t>10</t>
        </is>
      </c>
      <c r="F963" s="163" t="n">
        <v>45462</v>
      </c>
      <c r="G963" t="inlineStr"/>
      <c r="H963" t="inlineStr">
        <is>
          <t>4200568010</t>
        </is>
      </c>
      <c r="I963" t="inlineStr">
        <is>
          <t>290</t>
        </is>
      </c>
      <c r="J963" s="163" t="n">
        <v>45464</v>
      </c>
      <c r="K963" s="163" t="n">
        <v>45464</v>
      </c>
      <c r="L963" t="inlineStr"/>
      <c r="M963" s="163" t="n">
        <v>45478</v>
      </c>
      <c r="N963" s="164" t="n">
        <v>40</v>
      </c>
      <c r="O963" s="164" t="n">
        <v>8</v>
      </c>
      <c r="P963" t="inlineStr">
        <is>
          <t>Liberado</t>
        </is>
      </c>
      <c r="Q963" s="165" t="n">
        <v>40</v>
      </c>
      <c r="R963" s="165" t="n">
        <v>40</v>
      </c>
      <c r="S963" s="165" t="n">
        <v>40</v>
      </c>
      <c r="T963" s="165" t="n">
        <v>0</v>
      </c>
      <c r="U963" s="166" t="n">
        <v>40</v>
      </c>
      <c r="V963" s="166" t="n">
        <v>0</v>
      </c>
      <c r="W963" t="inlineStr">
        <is>
          <t>X</t>
        </is>
      </c>
      <c r="X963" t="inlineStr">
        <is>
          <t>0.00</t>
        </is>
      </c>
      <c r="Y963" t="inlineStr"/>
      <c r="Z963" t="inlineStr">
        <is>
          <t>ICOMPPLUS ELECTRONICS S.L</t>
        </is>
      </c>
      <c r="AA963" t="inlineStr">
        <is>
          <t>RS PRO</t>
        </is>
      </c>
      <c r="AB963" t="inlineStr">
        <is>
          <t>707-7587</t>
        </is>
      </c>
      <c r="AC963" t="inlineStr"/>
      <c r="AD963" s="164" t="n">
        <v>1</v>
      </c>
      <c r="AE963" s="185" t="n">
        <v>1</v>
      </c>
      <c r="AG963" s="167" t="inlineStr">
        <is>
          <t>7218|JA2612_1001</t>
        </is>
      </c>
      <c r="AH963" s="47">
        <f>IF(M963=0,"-",M963-J963)</f>
        <v/>
      </c>
      <c r="AI963" s="46">
        <f>IF(AND(S963=0,M963&gt;0,L963=0),IF(AH963&gt;=120,"VERY HIGH",IF(AH963&gt;=90,"HIGH",IF(AH963&gt;=60,"MEDIUM",IF(AH963&lt;60,"LOW")))),"-")</f>
        <v/>
      </c>
      <c r="AJ963" s="12" t="n"/>
      <c r="AK963" s="53">
        <f>IF(AND(W963="X",M963&lt;=$AJ$2),"YES","")</f>
        <v/>
      </c>
      <c r="AL963" s="54">
        <f>IF(AND(W963="X",M963&lt;=$AJ$2),S963,"")</f>
        <v/>
      </c>
      <c r="AM963" s="35" t="n"/>
      <c r="AN963" s="35">
        <f>IF(AND(W963="X",M963&gt;$AJ$2),S963,"")</f>
        <v/>
      </c>
      <c r="AO963" s="35">
        <f>IF(AND(W963="",M963&gt;0,$AJ$2&gt;M963,L963=""),1,0)</f>
        <v/>
      </c>
      <c r="AP963" s="35">
        <f>IF(AND(AK963="YES",W963="X"),"X","")</f>
        <v/>
      </c>
      <c r="AQ963" s="55">
        <f>IF(AP963="X",100%,0%)</f>
        <v/>
      </c>
      <c r="AR963" s="25">
        <f>IF(AND(T963&gt;0,L963=""),H963,"")</f>
        <v/>
      </c>
      <c r="AS963" s="25">
        <f>IF(AND(D963&gt;0,H963=0,G963=""),1,"")</f>
        <v/>
      </c>
      <c r="AT963" s="25">
        <f>IF(G963="BLOQ",1,"")</f>
        <v/>
      </c>
      <c r="AU963" s="25">
        <f>IF(L963="BLOQ",1,"")</f>
        <v/>
      </c>
      <c r="AV963" s="25">
        <f>MONTH(F963)</f>
        <v/>
      </c>
      <c r="AW963" s="65">
        <f>IF(AP963="",100%,0%)</f>
        <v/>
      </c>
      <c r="AX963" s="56" t="n"/>
      <c r="AY963" s="24">
        <f>IF(M963=0,"",M963-$AX$2)</f>
        <v/>
      </c>
      <c r="AZ963" s="66">
        <f>IF(AND(W963="",AY963&gt;0,AY963&lt;15),1,0)</f>
        <v/>
      </c>
      <c r="BA963" s="24">
        <f>IF(AND(W963="",AY963&gt;0,AY963&lt;15),T963,"")</f>
        <v/>
      </c>
      <c r="BB963" s="87">
        <f>IF(R963&lt;Q963,"X","")</f>
        <v/>
      </c>
      <c r="BC963" s="190" t="inlineStr">
        <is>
          <t>NO</t>
        </is>
      </c>
      <c r="BD963" s="191" t="inlineStr">
        <is>
          <t>SI</t>
        </is>
      </c>
    </row>
    <row r="964" ht="15" customHeight="1" s="162">
      <c r="A964" s="7" t="n">
        <v>963</v>
      </c>
      <c r="B964" t="inlineStr">
        <is>
          <t>1002551003309</t>
        </is>
      </c>
      <c r="C964" t="inlineStr">
        <is>
          <t>RST PELCAR 10K 5% 500PPM 1/4W AXIAL ROHS</t>
        </is>
      </c>
      <c r="D964" t="inlineStr">
        <is>
          <t>1800108948</t>
        </is>
      </c>
      <c r="E964" t="inlineStr">
        <is>
          <t>20</t>
        </is>
      </c>
      <c r="F964" s="163" t="n">
        <v>45462</v>
      </c>
      <c r="G964" t="inlineStr"/>
      <c r="H964" t="inlineStr">
        <is>
          <t>4200568108</t>
        </is>
      </c>
      <c r="I964" t="inlineStr">
        <is>
          <t>190</t>
        </is>
      </c>
      <c r="J964" s="163" t="n">
        <v>45464</v>
      </c>
      <c r="K964" s="163" t="n">
        <v>45464</v>
      </c>
      <c r="L964" t="inlineStr"/>
      <c r="M964" s="163" t="n">
        <v>45488</v>
      </c>
      <c r="N964" s="164" t="n">
        <v>0</v>
      </c>
      <c r="O964" s="164" t="n">
        <v>8</v>
      </c>
      <c r="P964" t="inlineStr">
        <is>
          <t>Liberado</t>
        </is>
      </c>
      <c r="Q964" s="165" t="n">
        <v>40</v>
      </c>
      <c r="R964" s="165" t="n">
        <v>40</v>
      </c>
      <c r="S964" s="165" t="n">
        <v>40</v>
      </c>
      <c r="T964" s="165" t="n">
        <v>0</v>
      </c>
      <c r="U964" s="166" t="n">
        <v>40</v>
      </c>
      <c r="V964" s="166" t="n">
        <v>0</v>
      </c>
      <c r="W964" t="inlineStr">
        <is>
          <t>X</t>
        </is>
      </c>
      <c r="X964" t="inlineStr">
        <is>
          <t>0.00</t>
        </is>
      </c>
      <c r="Y964" t="inlineStr"/>
      <c r="Z964" t="inlineStr">
        <is>
          <t>ICOMPPLUS ELECTRONICS S.L</t>
        </is>
      </c>
      <c r="AA964" t="inlineStr">
        <is>
          <t>YAGEO</t>
        </is>
      </c>
      <c r="AB964" t="inlineStr">
        <is>
          <t>CFR-25JT-52-10K</t>
        </is>
      </c>
      <c r="AC964" t="inlineStr"/>
      <c r="AD964" s="164" t="n">
        <v>0</v>
      </c>
      <c r="AE964" s="185" t="n">
        <v>0</v>
      </c>
      <c r="AG964" s="167" t="inlineStr">
        <is>
          <t>7218|JA2612_1001</t>
        </is>
      </c>
      <c r="AH964" s="47">
        <f>IF(M964=0,"-",M964-J964)</f>
        <v/>
      </c>
      <c r="AI964" s="46">
        <f>IF(AND(S964=0,M964&gt;0,L964=0),IF(AH964&gt;=120,"VERY HIGH",IF(AH964&gt;=90,"HIGH",IF(AH964&gt;=60,"MEDIUM",IF(AH964&lt;60,"LOW")))),"-")</f>
        <v/>
      </c>
      <c r="AJ964" s="12" t="n"/>
      <c r="AK964" s="53">
        <f>IF(AND(W964="X",M964&lt;=$AJ$2),"YES","")</f>
        <v/>
      </c>
      <c r="AL964" s="54">
        <f>IF(AND(W964="X",M964&lt;=$AJ$2),S964,"")</f>
        <v/>
      </c>
      <c r="AM964" s="35" t="n"/>
      <c r="AN964" s="35">
        <f>IF(AND(W964="X",M964&gt;$AJ$2),S964,"")</f>
        <v/>
      </c>
      <c r="AO964" s="35">
        <f>IF(AND(W964="",M964&gt;0,$AJ$2&gt;M964,L964=""),1,0)</f>
        <v/>
      </c>
      <c r="AP964" s="35">
        <f>IF(AND(AK964="YES",W964="X"),"X","")</f>
        <v/>
      </c>
      <c r="AQ964" s="55">
        <f>IF(AP964="X",100%,0%)</f>
        <v/>
      </c>
      <c r="AR964" s="25">
        <f>IF(AND(T964&gt;0,L964=""),H964,"")</f>
        <v/>
      </c>
      <c r="AS964" s="25">
        <f>IF(AND(D964&gt;0,H964=0,G964=""),1,"")</f>
        <v/>
      </c>
      <c r="AT964" s="25">
        <f>IF(G964="BLOQ",1,"")</f>
        <v/>
      </c>
      <c r="AU964" s="25">
        <f>IF(L964="BLOQ",1,"")</f>
        <v/>
      </c>
      <c r="AV964" s="25">
        <f>MONTH(F964)</f>
        <v/>
      </c>
      <c r="AW964" s="65">
        <f>IF(AP964="",100%,0%)</f>
        <v/>
      </c>
      <c r="AX964" s="56" t="n"/>
      <c r="AY964" s="24">
        <f>IF(M964=0,"",M964-$AX$2)</f>
        <v/>
      </c>
      <c r="AZ964" s="66">
        <f>IF(AND(W964="",AY964&gt;0,AY964&lt;15),1,0)</f>
        <v/>
      </c>
      <c r="BA964" s="24">
        <f>IF(AND(W964="",AY964&gt;0,AY964&lt;15),T964,"")</f>
        <v/>
      </c>
      <c r="BB964" s="87">
        <f>IF(R964&lt;Q964,"X","")</f>
        <v/>
      </c>
      <c r="BC964" s="190" t="inlineStr">
        <is>
          <t>NO</t>
        </is>
      </c>
      <c r="BD964" s="191" t="inlineStr">
        <is>
          <t>SI</t>
        </is>
      </c>
    </row>
    <row r="965" ht="15" customHeight="1" s="162">
      <c r="A965" s="7" t="n">
        <v>964</v>
      </c>
      <c r="B965" t="inlineStr">
        <is>
          <t>1124110210004</t>
        </is>
      </c>
      <c r="C965" t="inlineStr">
        <is>
          <t>MICRORRUPTOR SPDT 16A 250V 6,3X0,8 PALAN</t>
        </is>
      </c>
      <c r="D965" t="inlineStr">
        <is>
          <t>1800108948</t>
        </is>
      </c>
      <c r="E965" t="inlineStr">
        <is>
          <t>30</t>
        </is>
      </c>
      <c r="F965" s="163" t="n">
        <v>45462</v>
      </c>
      <c r="G965" t="inlineStr"/>
      <c r="H965" t="inlineStr">
        <is>
          <t>4200571039</t>
        </is>
      </c>
      <c r="I965" t="inlineStr">
        <is>
          <t>10</t>
        </is>
      </c>
      <c r="J965" s="163" t="n">
        <v>45490</v>
      </c>
      <c r="K965" s="163" t="n">
        <v>45490</v>
      </c>
      <c r="L965" t="inlineStr"/>
      <c r="M965" s="163" t="n">
        <v>45496</v>
      </c>
      <c r="N965" s="164" t="n">
        <v>49</v>
      </c>
      <c r="O965" s="164" t="n">
        <v>8</v>
      </c>
      <c r="P965" t="inlineStr">
        <is>
          <t>Liberado</t>
        </is>
      </c>
      <c r="Q965" s="165" t="n">
        <v>3</v>
      </c>
      <c r="R965" s="165" t="n">
        <v>3</v>
      </c>
      <c r="S965" s="165" t="n">
        <v>3</v>
      </c>
      <c r="T965" s="165" t="n">
        <v>0</v>
      </c>
      <c r="U965" s="166" t="n">
        <v>3</v>
      </c>
      <c r="V965" s="166" t="n">
        <v>0</v>
      </c>
      <c r="W965" t="inlineStr">
        <is>
          <t>X</t>
        </is>
      </c>
      <c r="X965" t="inlineStr">
        <is>
          <t>0.00</t>
        </is>
      </c>
      <c r="Y965" t="inlineStr"/>
      <c r="Z965" t="inlineStr">
        <is>
          <t>BARCITRONIC S.A.</t>
        </is>
      </c>
      <c r="AA965" t="inlineStr">
        <is>
          <t>CHERRY</t>
        </is>
      </c>
      <c r="AB965" t="inlineStr">
        <is>
          <t>D459-V3LL</t>
        </is>
      </c>
      <c r="AC965" t="inlineStr"/>
      <c r="AD965" s="164" t="n">
        <v>0</v>
      </c>
      <c r="AE965" s="185" t="n">
        <v>0</v>
      </c>
      <c r="AG965" s="167" t="inlineStr">
        <is>
          <t>7218|JA2612_1001</t>
        </is>
      </c>
      <c r="AH965" s="47">
        <f>IF(M965=0,"-",M965-J965)</f>
        <v/>
      </c>
      <c r="AI965" s="46">
        <f>IF(AND(S965=0,M965&gt;0,L965=0),IF(AH965&gt;=120,"VERY HIGH",IF(AH965&gt;=90,"HIGH",IF(AH965&gt;=60,"MEDIUM",IF(AH965&lt;60,"LOW")))),"-")</f>
        <v/>
      </c>
      <c r="AJ965" s="12" t="n"/>
      <c r="AK965" s="53">
        <f>IF(AND(W965="X",M965&lt;=$AJ$2),"YES","")</f>
        <v/>
      </c>
      <c r="AL965" s="54">
        <f>IF(AND(W965="X",M965&lt;=$AJ$2),S965,"")</f>
        <v/>
      </c>
      <c r="AM965" s="35" t="n"/>
      <c r="AN965" s="35">
        <f>IF(AND(W965="X",M965&gt;$AJ$2),S965,"")</f>
        <v/>
      </c>
      <c r="AO965" s="35">
        <f>IF(AND(W965="",M965&gt;0,$AJ$2&gt;M965,L965=""),1,0)</f>
        <v/>
      </c>
      <c r="AP965" s="35">
        <f>IF(AND(AK965="YES",W965="X"),"X","")</f>
        <v/>
      </c>
      <c r="AQ965" s="55">
        <f>IF(AP965="X",100%,0%)</f>
        <v/>
      </c>
      <c r="AR965" s="25">
        <f>IF(AND(T965&gt;0,L965=""),H965,"")</f>
        <v/>
      </c>
      <c r="AS965" s="25">
        <f>IF(AND(D965&gt;0,H965=0,G965=""),1,"")</f>
        <v/>
      </c>
      <c r="AT965" s="25">
        <f>IF(G965="BLOQ",1,"")</f>
        <v/>
      </c>
      <c r="AU965" s="25">
        <f>IF(L965="BLOQ",1,"")</f>
        <v/>
      </c>
      <c r="AV965" s="25">
        <f>MONTH(F965)</f>
        <v/>
      </c>
      <c r="AW965" s="65">
        <f>IF(AP965="",100%,0%)</f>
        <v/>
      </c>
      <c r="AX965" s="56" t="n"/>
      <c r="AY965" s="24">
        <f>IF(M965=0,"",M965-$AX$2)</f>
        <v/>
      </c>
      <c r="AZ965" s="66">
        <f>IF(AND(W965="",AY965&gt;0,AY965&lt;15),1,0)</f>
        <v/>
      </c>
      <c r="BA965" s="24">
        <f>IF(AND(W965="",AY965&gt;0,AY965&lt;15),T965,"")</f>
        <v/>
      </c>
      <c r="BB965" s="87">
        <f>IF(R965&lt;Q965,"X","")</f>
        <v/>
      </c>
      <c r="BC965" s="191" t="inlineStr">
        <is>
          <t>SI</t>
        </is>
      </c>
      <c r="BD965" s="191" t="inlineStr">
        <is>
          <t>SI</t>
        </is>
      </c>
    </row>
    <row r="966" ht="15" customHeight="1" s="162">
      <c r="A966" s="7" t="n">
        <v>965</v>
      </c>
      <c r="B966" t="inlineStr">
        <is>
          <t>1124320115000</t>
        </is>
      </c>
      <c r="C966" t="inlineStr">
        <is>
          <t>INT FINAL CARRERA C/RODILLO VERT DPST (1</t>
        </is>
      </c>
      <c r="D966" t="inlineStr">
        <is>
          <t>1800108948</t>
        </is>
      </c>
      <c r="E966" t="inlineStr">
        <is>
          <t>40</t>
        </is>
      </c>
      <c r="F966" s="163" t="n">
        <v>45462</v>
      </c>
      <c r="G966" t="inlineStr"/>
      <c r="H966" t="inlineStr">
        <is>
          <t>4200571557</t>
        </is>
      </c>
      <c r="I966" t="inlineStr">
        <is>
          <t>150</t>
        </is>
      </c>
      <c r="J966" s="163" t="n">
        <v>45492</v>
      </c>
      <c r="K966" s="163" t="n">
        <v>45497</v>
      </c>
      <c r="L966" t="inlineStr"/>
      <c r="M966" s="163" t="n">
        <v>45504</v>
      </c>
      <c r="N966" s="164" t="n">
        <v>49</v>
      </c>
      <c r="O966" s="164" t="n">
        <v>8</v>
      </c>
      <c r="P966" t="inlineStr">
        <is>
          <t>Liberado</t>
        </is>
      </c>
      <c r="Q966" s="165" t="n">
        <v>5</v>
      </c>
      <c r="R966" s="165" t="n">
        <v>5</v>
      </c>
      <c r="S966" s="165" t="n">
        <v>5</v>
      </c>
      <c r="T966" s="165" t="n">
        <v>0</v>
      </c>
      <c r="U966" s="166" t="n">
        <v>5</v>
      </c>
      <c r="V966" s="166" t="n">
        <v>0</v>
      </c>
      <c r="W966" t="inlineStr">
        <is>
          <t>X</t>
        </is>
      </c>
      <c r="X966" t="inlineStr">
        <is>
          <t>0.00</t>
        </is>
      </c>
      <c r="Y966" t="inlineStr"/>
      <c r="Z966" t="inlineStr">
        <is>
          <t>TELKRON, S.A.</t>
        </is>
      </c>
      <c r="AA966" t="inlineStr">
        <is>
          <t>RS</t>
        </is>
      </c>
      <c r="AB966" t="inlineStr">
        <is>
          <t>308-1664</t>
        </is>
      </c>
      <c r="AC966" t="inlineStr"/>
      <c r="AD966" s="164" t="n">
        <v>0</v>
      </c>
      <c r="AE966" s="185" t="n">
        <v>0</v>
      </c>
      <c r="AG966" s="167" t="inlineStr">
        <is>
          <t>7218|JA2581_1001</t>
        </is>
      </c>
      <c r="AH966" s="47">
        <f>IF(M966=0,"-",M966-J966)</f>
        <v/>
      </c>
      <c r="AI966" s="46">
        <f>IF(AND(S966=0,M966&gt;0,L966=0),IF(AH966&gt;=120,"VERY HIGH",IF(AH966&gt;=90,"HIGH",IF(AH966&gt;=60,"MEDIUM",IF(AH966&lt;60,"LOW")))),"-")</f>
        <v/>
      </c>
      <c r="AJ966" s="12" t="n"/>
      <c r="AK966" s="53">
        <f>IF(AND(W966="X",M966&lt;=$AJ$2),"YES","")</f>
        <v/>
      </c>
      <c r="AL966" s="54">
        <f>IF(AND(W966="X",M966&lt;=$AJ$2),S966,"")</f>
        <v/>
      </c>
      <c r="AM966" s="35" t="n"/>
      <c r="AN966" s="35">
        <f>IF(AND(W966="X",M966&gt;$AJ$2),S966,"")</f>
        <v/>
      </c>
      <c r="AO966" s="35">
        <f>IF(AND(W966="",M966&gt;0,$AJ$2&gt;M966,L966=""),1,0)</f>
        <v/>
      </c>
      <c r="AP966" s="35">
        <f>IF(AND(AK966="YES",W966="X"),"X","")</f>
        <v/>
      </c>
      <c r="AQ966" s="55">
        <f>IF(AP966="X",100%,0%)</f>
        <v/>
      </c>
      <c r="AR966" s="25">
        <f>IF(AND(T966&gt;0,L966=""),H966,"")</f>
        <v/>
      </c>
      <c r="AS966" s="25">
        <f>IF(AND(D966&gt;0,H966=0,G966=""),1,"")</f>
        <v/>
      </c>
      <c r="AT966" s="25">
        <f>IF(G966="BLOQ",1,"")</f>
        <v/>
      </c>
      <c r="AU966" s="25">
        <f>IF(L966="BLOQ",1,"")</f>
        <v/>
      </c>
      <c r="AV966" s="25">
        <f>MONTH(F966)</f>
        <v/>
      </c>
      <c r="AW966" s="65">
        <f>IF(AP966="",100%,0%)</f>
        <v/>
      </c>
      <c r="AX966" s="56" t="n"/>
      <c r="AY966" s="24">
        <f>IF(M966=0,"",M966-$AX$2)</f>
        <v/>
      </c>
      <c r="AZ966" s="66">
        <f>IF(AND(W966="",AY966&gt;0,AY966&lt;15),1,0)</f>
        <v/>
      </c>
      <c r="BA966" s="24">
        <f>IF(AND(W966="",AY966&gt;0,AY966&lt;15),T966,"")</f>
        <v/>
      </c>
      <c r="BB966" s="87">
        <f>IF(R966&lt;Q966,"X","")</f>
        <v/>
      </c>
      <c r="BC966" s="191" t="inlineStr">
        <is>
          <t>SI</t>
        </is>
      </c>
      <c r="BD966" s="191" t="inlineStr">
        <is>
          <t>SI</t>
        </is>
      </c>
    </row>
    <row r="967" ht="15" customHeight="1" s="162">
      <c r="A967" s="7" t="n">
        <v>966</v>
      </c>
      <c r="B967" t="inlineStr">
        <is>
          <t>1125110113403</t>
        </is>
      </c>
      <c r="C967" t="inlineStr">
        <is>
          <t>PULSADOR SETA 1P NC D=40MM C/CAJA ETIQUE</t>
        </is>
      </c>
      <c r="D967" t="inlineStr">
        <is>
          <t>1800108948</t>
        </is>
      </c>
      <c r="E967" t="inlineStr">
        <is>
          <t>50</t>
        </is>
      </c>
      <c r="F967" s="163" t="n">
        <v>45462</v>
      </c>
      <c r="G967" t="inlineStr"/>
      <c r="H967" t="inlineStr">
        <is>
          <t>4200571638</t>
        </is>
      </c>
      <c r="I967" t="inlineStr">
        <is>
          <t>10</t>
        </is>
      </c>
      <c r="J967" s="163" t="n">
        <v>45495</v>
      </c>
      <c r="K967" s="163" t="n">
        <v>45497</v>
      </c>
      <c r="L967" t="inlineStr"/>
      <c r="M967" s="163" t="n">
        <v>45502</v>
      </c>
      <c r="N967" s="164" t="n">
        <v>85</v>
      </c>
      <c r="O967" s="164" t="n">
        <v>8</v>
      </c>
      <c r="P967" t="inlineStr">
        <is>
          <t>Liberado</t>
        </is>
      </c>
      <c r="Q967" s="165" t="n">
        <v>2</v>
      </c>
      <c r="R967" s="165" t="n">
        <v>2</v>
      </c>
      <c r="S967" s="165" t="n">
        <v>2</v>
      </c>
      <c r="T967" s="165" t="n">
        <v>0</v>
      </c>
      <c r="U967" s="166" t="n">
        <v>2</v>
      </c>
      <c r="V967" s="166" t="n">
        <v>0</v>
      </c>
      <c r="W967" t="inlineStr">
        <is>
          <t>X</t>
        </is>
      </c>
      <c r="X967" t="inlineStr">
        <is>
          <t>0.00</t>
        </is>
      </c>
      <c r="Y967" t="inlineStr"/>
      <c r="Z967" t="inlineStr">
        <is>
          <t>LUJISA, S.A.</t>
        </is>
      </c>
      <c r="AA967" t="inlineStr">
        <is>
          <t>TELEMECANIQUE</t>
        </is>
      </c>
      <c r="AB967" t="inlineStr">
        <is>
          <t>XAL-K17814</t>
        </is>
      </c>
      <c r="AC967" t="inlineStr"/>
      <c r="AD967" s="164" t="n">
        <v>0</v>
      </c>
      <c r="AE967" s="185" t="n">
        <v>0</v>
      </c>
      <c r="AG967" s="167" t="inlineStr">
        <is>
          <t>7218|JA2612_1001</t>
        </is>
      </c>
      <c r="AH967" s="47">
        <f>IF(M967=0,"-",M967-J967)</f>
        <v/>
      </c>
      <c r="AI967" s="46">
        <f>IF(AND(S967=0,M967&gt;0,L967=0),IF(AH967&gt;=120,"VERY HIGH",IF(AH967&gt;=90,"HIGH",IF(AH967&gt;=60,"MEDIUM",IF(AH967&lt;60,"LOW")))),"-")</f>
        <v/>
      </c>
      <c r="AJ967" s="12" t="n"/>
      <c r="AK967" s="53">
        <f>IF(AND(W967="X",M967&lt;=$AJ$2),"YES","")</f>
        <v/>
      </c>
      <c r="AL967" s="54">
        <f>IF(AND(W967="X",M967&lt;=$AJ$2),S967,"")</f>
        <v/>
      </c>
      <c r="AM967" s="35" t="n"/>
      <c r="AN967" s="35">
        <f>IF(AND(W967="X",M967&gt;$AJ$2),S967,"")</f>
        <v/>
      </c>
      <c r="AO967" s="35">
        <f>IF(AND(W967="",M967&gt;0,$AJ$2&gt;M967,L967=""),1,0)</f>
        <v/>
      </c>
      <c r="AP967" s="35">
        <f>IF(AND(AK967="YES",W967="X"),"X","")</f>
        <v/>
      </c>
      <c r="AQ967" s="55">
        <f>IF(AP967="X",100%,0%)</f>
        <v/>
      </c>
      <c r="AR967" s="25">
        <f>IF(AND(T967&gt;0,L967=""),H967,"")</f>
        <v/>
      </c>
      <c r="AS967" s="25">
        <f>IF(AND(D967&gt;0,H967=0,G967=""),1,"")</f>
        <v/>
      </c>
      <c r="AT967" s="25">
        <f>IF(G967="BLOQ",1,"")</f>
        <v/>
      </c>
      <c r="AU967" s="25">
        <f>IF(L967="BLOQ",1,"")</f>
        <v/>
      </c>
      <c r="AV967" s="25">
        <f>MONTH(F967)</f>
        <v/>
      </c>
      <c r="AW967" s="65">
        <f>IF(AP967="",100%,0%)</f>
        <v/>
      </c>
      <c r="AX967" s="56" t="n"/>
      <c r="AY967" s="24">
        <f>IF(M967=0,"",M967-$AX$2)</f>
        <v/>
      </c>
      <c r="AZ967" s="66">
        <f>IF(AND(W967="",AY967&gt;0,AY967&lt;15),1,0)</f>
        <v/>
      </c>
      <c r="BA967" s="24">
        <f>IF(AND(W967="",AY967&gt;0,AY967&lt;15),T967,"")</f>
        <v/>
      </c>
      <c r="BB967" s="87">
        <f>IF(R967&lt;Q967,"X","")</f>
        <v/>
      </c>
      <c r="BC967" s="190" t="inlineStr">
        <is>
          <t>NO</t>
        </is>
      </c>
      <c r="BD967" s="191" t="inlineStr">
        <is>
          <t>SI</t>
        </is>
      </c>
    </row>
    <row r="968" ht="15" customHeight="1" s="162">
      <c r="A968" s="7" t="n">
        <v>967</v>
      </c>
      <c r="B968" t="inlineStr">
        <is>
          <t>1126622240000</t>
        </is>
      </c>
      <c r="C968" t="inlineStr">
        <is>
          <t>ESTACION CTRL 2PUL 1NO+1NC FLUSH NEG/BLN</t>
        </is>
      </c>
      <c r="D968" t="inlineStr">
        <is>
          <t>1800108948</t>
        </is>
      </c>
      <c r="E968" t="inlineStr">
        <is>
          <t>60</t>
        </is>
      </c>
      <c r="F968" s="163" t="n">
        <v>45462</v>
      </c>
      <c r="G968" t="inlineStr"/>
      <c r="H968" t="inlineStr">
        <is>
          <t>4200571460</t>
        </is>
      </c>
      <c r="I968" t="inlineStr">
        <is>
          <t>50</t>
        </is>
      </c>
      <c r="J968" s="163" t="n">
        <v>45492</v>
      </c>
      <c r="K968" s="163" t="n">
        <v>45501</v>
      </c>
      <c r="L968" t="inlineStr"/>
      <c r="M968" s="163" t="n">
        <v>45499</v>
      </c>
      <c r="N968" s="164" t="n">
        <v>85</v>
      </c>
      <c r="O968" s="164" t="n">
        <v>8</v>
      </c>
      <c r="P968" t="inlineStr">
        <is>
          <t>Liberado</t>
        </is>
      </c>
      <c r="Q968" s="165" t="n">
        <v>1</v>
      </c>
      <c r="R968" s="165" t="n">
        <v>1</v>
      </c>
      <c r="S968" s="165" t="n">
        <v>1</v>
      </c>
      <c r="T968" s="165" t="n">
        <v>0</v>
      </c>
      <c r="U968" s="166" t="n">
        <v>1</v>
      </c>
      <c r="V968" s="166" t="n">
        <v>0</v>
      </c>
      <c r="W968" t="inlineStr">
        <is>
          <t>X</t>
        </is>
      </c>
      <c r="X968" t="inlineStr">
        <is>
          <t>0.00</t>
        </is>
      </c>
      <c r="Y968" t="inlineStr"/>
      <c r="Z968" t="inlineStr">
        <is>
          <t>LUJISA, S.A.</t>
        </is>
      </c>
      <c r="AA968" t="inlineStr">
        <is>
          <t>SCHNEIDER ELECTRIC</t>
        </is>
      </c>
      <c r="AB968" t="inlineStr">
        <is>
          <t>XALD222</t>
        </is>
      </c>
      <c r="AC968" t="inlineStr"/>
      <c r="AD968" s="164" t="n">
        <v>0</v>
      </c>
      <c r="AE968" s="185" t="n">
        <v>0</v>
      </c>
      <c r="AG968" s="167" t="inlineStr">
        <is>
          <t>7218|JA2612_1001</t>
        </is>
      </c>
      <c r="AH968" s="47">
        <f>IF(M968=0,"-",M968-J968)</f>
        <v/>
      </c>
      <c r="AI968" s="46">
        <f>IF(AND(S968=0,M968&gt;0,L968=0),IF(AH968&gt;=120,"VERY HIGH",IF(AH968&gt;=90,"HIGH",IF(AH968&gt;=60,"MEDIUM",IF(AH968&lt;60,"LOW")))),"-")</f>
        <v/>
      </c>
      <c r="AJ968" s="12" t="n"/>
      <c r="AK968" s="53">
        <f>IF(AND(W968="X",M968&lt;=$AJ$2),"YES","")</f>
        <v/>
      </c>
      <c r="AL968" s="54">
        <f>IF(AND(W968="X",M968&lt;=$AJ$2),S968,"")</f>
        <v/>
      </c>
      <c r="AM968" s="35" t="n"/>
      <c r="AN968" s="35">
        <f>IF(AND(W968="X",M968&gt;$AJ$2),S968,"")</f>
        <v/>
      </c>
      <c r="AO968" s="35">
        <f>IF(AND(W968="",M968&gt;0,$AJ$2&gt;M968,L968=""),1,0)</f>
        <v/>
      </c>
      <c r="AP968" s="35">
        <f>IF(AND(AK968="YES",W968="X"),"X","")</f>
        <v/>
      </c>
      <c r="AQ968" s="55">
        <f>IF(AP968="X",100%,0%)</f>
        <v/>
      </c>
      <c r="AR968" s="25">
        <f>IF(AND(T968&gt;0,L968=""),H968,"")</f>
        <v/>
      </c>
      <c r="AS968" s="25">
        <f>IF(AND(D968&gt;0,H968=0,G968=""),1,"")</f>
        <v/>
      </c>
      <c r="AT968" s="25">
        <f>IF(G968="BLOQ",1,"")</f>
        <v/>
      </c>
      <c r="AU968" s="25">
        <f>IF(L968="BLOQ",1,"")</f>
        <v/>
      </c>
      <c r="AV968" s="25">
        <f>MONTH(F968)</f>
        <v/>
      </c>
      <c r="AW968" s="65">
        <f>IF(AP968="",100%,0%)</f>
        <v/>
      </c>
      <c r="AX968" s="56" t="n"/>
      <c r="AY968" s="24">
        <f>IF(M968=0,"",M968-$AX$2)</f>
        <v/>
      </c>
      <c r="AZ968" s="66">
        <f>IF(AND(W968="",AY968&gt;0,AY968&lt;15),1,0)</f>
        <v/>
      </c>
      <c r="BA968" s="24">
        <f>IF(AND(W968="",AY968&gt;0,AY968&lt;15),T968,"")</f>
        <v/>
      </c>
      <c r="BB968" s="87">
        <f>IF(R968&lt;Q968,"X","")</f>
        <v/>
      </c>
      <c r="BC968" s="191" t="inlineStr">
        <is>
          <t>SI</t>
        </is>
      </c>
      <c r="BD968" s="191" t="inlineStr">
        <is>
          <t>SI</t>
        </is>
      </c>
    </row>
    <row r="969" ht="15" customHeight="1" s="162">
      <c r="A969" s="7" t="n">
        <v>968</v>
      </c>
      <c r="B969" t="inlineStr">
        <is>
          <t>1126690520000</t>
        </is>
      </c>
      <c r="C969" t="inlineStr">
        <is>
          <t>CABEZA SETA EMERGENCIA GIRO AMARILLO</t>
        </is>
      </c>
      <c r="D969" t="inlineStr">
        <is>
          <t>1800108948</t>
        </is>
      </c>
      <c r="E969" t="inlineStr">
        <is>
          <t>70</t>
        </is>
      </c>
      <c r="F969" s="163" t="n">
        <v>45462</v>
      </c>
      <c r="G969" t="inlineStr"/>
      <c r="H969" t="inlineStr">
        <is>
          <t>4200571460</t>
        </is>
      </c>
      <c r="I969" t="inlineStr">
        <is>
          <t>60</t>
        </is>
      </c>
      <c r="J969" s="163" t="n">
        <v>45492</v>
      </c>
      <c r="K969" s="163" t="n">
        <v>45501</v>
      </c>
      <c r="L969" t="inlineStr"/>
      <c r="M969" s="163" t="n">
        <v>45499</v>
      </c>
      <c r="N969" s="164" t="n">
        <v>30</v>
      </c>
      <c r="O969" s="164" t="n">
        <v>8</v>
      </c>
      <c r="P969" t="inlineStr">
        <is>
          <t>Liberado</t>
        </is>
      </c>
      <c r="Q969" s="165" t="n">
        <v>10</v>
      </c>
      <c r="R969" s="165" t="n">
        <v>10</v>
      </c>
      <c r="S969" s="165" t="n">
        <v>10</v>
      </c>
      <c r="T969" s="165" t="n">
        <v>0</v>
      </c>
      <c r="U969" s="166" t="n">
        <v>10</v>
      </c>
      <c r="V969" s="166" t="n">
        <v>0</v>
      </c>
      <c r="W969" t="inlineStr">
        <is>
          <t>X</t>
        </is>
      </c>
      <c r="X969" t="inlineStr">
        <is>
          <t>0.00</t>
        </is>
      </c>
      <c r="Y969" t="inlineStr"/>
      <c r="Z969" t="inlineStr">
        <is>
          <t>LUJISA, S.A.</t>
        </is>
      </c>
      <c r="AA969" t="inlineStr">
        <is>
          <t>SCHNEIDER ELECTRIC</t>
        </is>
      </c>
      <c r="AB969" t="inlineStr">
        <is>
          <t>ZB5AS55</t>
        </is>
      </c>
      <c r="AC969" t="inlineStr"/>
      <c r="AD969" s="164" t="n">
        <v>0</v>
      </c>
      <c r="AE969" s="185" t="n">
        <v>0</v>
      </c>
      <c r="AG969" s="167" t="inlineStr">
        <is>
          <t>7218|JA2612_1001</t>
        </is>
      </c>
      <c r="AH969" s="47">
        <f>IF(M969=0,"-",M969-J969)</f>
        <v/>
      </c>
      <c r="AI969" s="46">
        <f>IF(AND(S969=0,M969&gt;0,L969=0),IF(AH969&gt;=120,"VERY HIGH",IF(AH969&gt;=90,"HIGH",IF(AH969&gt;=60,"MEDIUM",IF(AH969&lt;60,"LOW")))),"-")</f>
        <v/>
      </c>
      <c r="AJ969" s="12" t="n"/>
      <c r="AK969" s="53">
        <f>IF(AND(W969="X",M969&lt;=$AJ$2),"YES","")</f>
        <v/>
      </c>
      <c r="AL969" s="54">
        <f>IF(AND(W969="X",M969&lt;=$AJ$2),S969,"")</f>
        <v/>
      </c>
      <c r="AM969" s="35" t="n"/>
      <c r="AN969" s="35">
        <f>IF(AND(W969="X",M969&gt;$AJ$2),S969,"")</f>
        <v/>
      </c>
      <c r="AO969" s="35">
        <f>IF(AND(W969="",M969&gt;0,$AJ$2&gt;M969,L969=""),1,0)</f>
        <v/>
      </c>
      <c r="AP969" s="35">
        <f>IF(AND(AK969="YES",W969="X"),"X","")</f>
        <v/>
      </c>
      <c r="AQ969" s="55">
        <f>IF(AP969="X",100%,0%)</f>
        <v/>
      </c>
      <c r="AR969" s="25">
        <f>IF(AND(T969&gt;0,L969=""),H969,"")</f>
        <v/>
      </c>
      <c r="AS969" s="25">
        <f>IF(AND(D969&gt;0,H969=0,G969=""),1,"")</f>
        <v/>
      </c>
      <c r="AT969" s="25">
        <f>IF(G969="BLOQ",1,"")</f>
        <v/>
      </c>
      <c r="AU969" s="25">
        <f>IF(L969="BLOQ",1,"")</f>
        <v/>
      </c>
      <c r="AV969" s="25">
        <f>MONTH(F969)</f>
        <v/>
      </c>
      <c r="AW969" s="65">
        <f>IF(AP969="",100%,0%)</f>
        <v/>
      </c>
      <c r="AX969" s="56" t="n"/>
      <c r="AY969" s="24">
        <f>IF(M969=0,"",M969-$AX$2)</f>
        <v/>
      </c>
      <c r="AZ969" s="66">
        <f>IF(AND(W969="",AY969&gt;0,AY969&lt;15),1,0)</f>
        <v/>
      </c>
      <c r="BA969" s="24">
        <f>IF(AND(W969="",AY969&gt;0,AY969&lt;15),T969,"")</f>
        <v/>
      </c>
      <c r="BB969" s="87">
        <f>IF(R969&lt;Q969,"X","")</f>
        <v/>
      </c>
      <c r="BC969" s="191" t="inlineStr">
        <is>
          <t>SI</t>
        </is>
      </c>
      <c r="BD969" s="191" t="inlineStr">
        <is>
          <t>SI</t>
        </is>
      </c>
    </row>
    <row r="970" ht="15" customHeight="1" s="162">
      <c r="A970" s="7" t="n">
        <v>969</v>
      </c>
      <c r="B970" t="inlineStr">
        <is>
          <t>1128900670000</t>
        </is>
      </c>
      <c r="C970" t="inlineStr">
        <is>
          <t>CUERPO DE FIJACION ZB4-BZ009</t>
        </is>
      </c>
      <c r="D970" t="inlineStr">
        <is>
          <t>1800108948</t>
        </is>
      </c>
      <c r="E970" t="inlineStr">
        <is>
          <t>80</t>
        </is>
      </c>
      <c r="F970" s="163" t="n">
        <v>45462</v>
      </c>
      <c r="G970" t="inlineStr"/>
      <c r="H970" t="inlineStr">
        <is>
          <t>4200571460</t>
        </is>
      </c>
      <c r="I970" t="inlineStr">
        <is>
          <t>70</t>
        </is>
      </c>
      <c r="J970" s="163" t="n">
        <v>45492</v>
      </c>
      <c r="K970" s="163" t="n">
        <v>45501</v>
      </c>
      <c r="L970" t="inlineStr"/>
      <c r="M970" s="163" t="n">
        <v>45499</v>
      </c>
      <c r="N970" s="164" t="n">
        <v>45</v>
      </c>
      <c r="O970" s="164" t="n">
        <v>8</v>
      </c>
      <c r="P970" t="inlineStr">
        <is>
          <t>Liberado</t>
        </is>
      </c>
      <c r="Q970" s="165" t="n">
        <v>30</v>
      </c>
      <c r="R970" s="165" t="n">
        <v>30</v>
      </c>
      <c r="S970" s="165" t="n">
        <v>30</v>
      </c>
      <c r="T970" s="165" t="n">
        <v>0</v>
      </c>
      <c r="U970" s="166" t="n">
        <v>30</v>
      </c>
      <c r="V970" s="166" t="n">
        <v>0</v>
      </c>
      <c r="W970" t="inlineStr">
        <is>
          <t>X</t>
        </is>
      </c>
      <c r="X970" t="inlineStr">
        <is>
          <t>0.00</t>
        </is>
      </c>
      <c r="Y970" t="inlineStr"/>
      <c r="Z970" t="inlineStr">
        <is>
          <t>LUJISA, S.A.</t>
        </is>
      </c>
      <c r="AA970" t="inlineStr">
        <is>
          <t>SCHNEIDER ELECTRIC</t>
        </is>
      </c>
      <c r="AB970" t="inlineStr">
        <is>
          <t>ZB4-BZ009</t>
        </is>
      </c>
      <c r="AC970" t="inlineStr"/>
      <c r="AD970" s="164" t="n">
        <v>0</v>
      </c>
      <c r="AE970" s="185" t="n">
        <v>0</v>
      </c>
      <c r="AG970" s="167" t="inlineStr">
        <is>
          <t>7218|JA2612_1001</t>
        </is>
      </c>
      <c r="AH970" s="47">
        <f>IF(M970=0,"-",M970-J970)</f>
        <v/>
      </c>
      <c r="AI970" s="46">
        <f>IF(AND(S970=0,M970&gt;0,L970=0),IF(AH970&gt;=120,"VERY HIGH",IF(AH970&gt;=90,"HIGH",IF(AH970&gt;=60,"MEDIUM",IF(AH970&lt;60,"LOW")))),"-")</f>
        <v/>
      </c>
      <c r="AJ970" s="12" t="n"/>
      <c r="AK970" s="53">
        <f>IF(AND(W970="X",M970&lt;=$AJ$2),"YES","")</f>
        <v/>
      </c>
      <c r="AL970" s="54">
        <f>IF(AND(W970="X",M970&lt;=$AJ$2),S970,"")</f>
        <v/>
      </c>
      <c r="AM970" s="35" t="n"/>
      <c r="AN970" s="35">
        <f>IF(AND(W970="X",M970&gt;$AJ$2),S970,"")</f>
        <v/>
      </c>
      <c r="AO970" s="35">
        <f>IF(AND(W970="",M970&gt;0,$AJ$2&gt;M970,L970=""),1,0)</f>
        <v/>
      </c>
      <c r="AP970" s="35">
        <f>IF(AND(AK970="YES",W970="X"),"X","")</f>
        <v/>
      </c>
      <c r="AQ970" s="55">
        <f>IF(AP970="X",100%,0%)</f>
        <v/>
      </c>
      <c r="AR970" s="25">
        <f>IF(AND(T970&gt;0,L970=""),H970,"")</f>
        <v/>
      </c>
      <c r="AS970" s="25">
        <f>IF(AND(D970&gt;0,H970=0,G970=""),1,"")</f>
        <v/>
      </c>
      <c r="AT970" s="25">
        <f>IF(G970="BLOQ",1,"")</f>
        <v/>
      </c>
      <c r="AU970" s="25">
        <f>IF(L970="BLOQ",1,"")</f>
        <v/>
      </c>
      <c r="AV970" s="25">
        <f>MONTH(F970)</f>
        <v/>
      </c>
      <c r="AW970" s="65">
        <f>IF(AP970="",100%,0%)</f>
        <v/>
      </c>
      <c r="AX970" s="56" t="n"/>
      <c r="AY970" s="24">
        <f>IF(M970=0,"",M970-$AX$2)</f>
        <v/>
      </c>
      <c r="AZ970" s="66">
        <f>IF(AND(W970="",AY970&gt;0,AY970&lt;15),1,0)</f>
        <v/>
      </c>
      <c r="BA970" s="24">
        <f>IF(AND(W970="",AY970&gt;0,AY970&lt;15),T970,"")</f>
        <v/>
      </c>
      <c r="BB970" s="87">
        <f>IF(R970&lt;Q970,"X","")</f>
        <v/>
      </c>
      <c r="BC970" s="190" t="inlineStr">
        <is>
          <t>NO</t>
        </is>
      </c>
      <c r="BD970" s="191" t="inlineStr">
        <is>
          <t>SI</t>
        </is>
      </c>
    </row>
    <row r="971" ht="15" customHeight="1" s="162">
      <c r="A971" s="7" t="n">
        <v>970</v>
      </c>
      <c r="B971" t="inlineStr">
        <is>
          <t>1128901240800</t>
        </is>
      </c>
      <c r="C971" t="inlineStr">
        <is>
          <t>CONTROL BOX 22MM GRAY POLYCARBONATE XAL</t>
        </is>
      </c>
      <c r="D971" t="inlineStr">
        <is>
          <t>1800108948</t>
        </is>
      </c>
      <c r="E971" t="inlineStr">
        <is>
          <t>90</t>
        </is>
      </c>
      <c r="F971" s="163" t="n">
        <v>45462</v>
      </c>
      <c r="G971" t="inlineStr"/>
      <c r="H971" t="inlineStr">
        <is>
          <t>4200571460</t>
        </is>
      </c>
      <c r="I971" t="inlineStr">
        <is>
          <t>80</t>
        </is>
      </c>
      <c r="J971" s="163" t="n">
        <v>45492</v>
      </c>
      <c r="K971" s="163" t="n">
        <v>45501</v>
      </c>
      <c r="L971" t="inlineStr"/>
      <c r="M971" s="163" t="n">
        <v>45499</v>
      </c>
      <c r="N971" s="164" t="n">
        <v>85</v>
      </c>
      <c r="O971" s="164" t="n">
        <v>8</v>
      </c>
      <c r="P971" t="inlineStr">
        <is>
          <t>Liberado</t>
        </is>
      </c>
      <c r="Q971" s="165" t="n">
        <v>2</v>
      </c>
      <c r="R971" s="165" t="n">
        <v>2</v>
      </c>
      <c r="S971" s="165" t="n">
        <v>2</v>
      </c>
      <c r="T971" s="165" t="n">
        <v>0</v>
      </c>
      <c r="U971" s="166" t="n">
        <v>2</v>
      </c>
      <c r="V971" s="166" t="n">
        <v>0</v>
      </c>
      <c r="W971" t="inlineStr">
        <is>
          <t>X</t>
        </is>
      </c>
      <c r="X971" t="inlineStr">
        <is>
          <t>0.00</t>
        </is>
      </c>
      <c r="Y971" t="inlineStr"/>
      <c r="Z971" t="inlineStr">
        <is>
          <t>LUJISA, S.A.</t>
        </is>
      </c>
      <c r="AA971" t="inlineStr">
        <is>
          <t>SCHNEIDER ELECTRIC</t>
        </is>
      </c>
      <c r="AB971" t="inlineStr">
        <is>
          <t>XALD01H7</t>
        </is>
      </c>
      <c r="AC971" t="inlineStr"/>
      <c r="AD971" s="164" t="n">
        <v>0</v>
      </c>
      <c r="AE971" s="185" t="n">
        <v>0</v>
      </c>
      <c r="AG971" s="167" t="inlineStr">
        <is>
          <t>7218|JA2612_1001</t>
        </is>
      </c>
      <c r="AH971" s="47">
        <f>IF(M971=0,"-",M971-J971)</f>
        <v/>
      </c>
      <c r="AI971" s="46">
        <f>IF(AND(S971=0,M971&gt;0,L971=0),IF(AH971&gt;=120,"VERY HIGH",IF(AH971&gt;=90,"HIGH",IF(AH971&gt;=60,"MEDIUM",IF(AH971&lt;60,"LOW")))),"-")</f>
        <v/>
      </c>
      <c r="AJ971" s="12" t="n"/>
      <c r="AK971" s="53">
        <f>IF(AND(W971="X",M971&lt;=$AJ$2),"YES","")</f>
        <v/>
      </c>
      <c r="AL971" s="54">
        <f>IF(AND(W971="X",M971&lt;=$AJ$2),S971,"")</f>
        <v/>
      </c>
      <c r="AM971" s="35" t="n"/>
      <c r="AN971" s="35">
        <f>IF(AND(W971="X",M971&gt;$AJ$2),S971,"")</f>
        <v/>
      </c>
      <c r="AO971" s="35">
        <f>IF(AND(W971="",M971&gt;0,$AJ$2&gt;M971,L971=""),1,0)</f>
        <v/>
      </c>
      <c r="AP971" s="35">
        <f>IF(AND(AK971="YES",W971="X"),"X","")</f>
        <v/>
      </c>
      <c r="AQ971" s="55">
        <f>IF(AP971="X",100%,0%)</f>
        <v/>
      </c>
      <c r="AR971" s="25">
        <f>IF(AND(T971&gt;0,L971=""),H971,"")</f>
        <v/>
      </c>
      <c r="AS971" s="25">
        <f>IF(AND(D971&gt;0,H971=0,G971=""),1,"")</f>
        <v/>
      </c>
      <c r="AT971" s="25">
        <f>IF(G971="BLOQ",1,"")</f>
        <v/>
      </c>
      <c r="AU971" s="25">
        <f>IF(L971="BLOQ",1,"")</f>
        <v/>
      </c>
      <c r="AV971" s="25">
        <f>MONTH(F971)</f>
        <v/>
      </c>
      <c r="AW971" s="65">
        <f>IF(AP971="",100%,0%)</f>
        <v/>
      </c>
      <c r="AX971" s="56" t="n"/>
      <c r="AY971" s="24">
        <f>IF(M971=0,"",M971-$AX$2)</f>
        <v/>
      </c>
      <c r="AZ971" s="66">
        <f>IF(AND(W971="",AY971&gt;0,AY971&lt;15),1,0)</f>
        <v/>
      </c>
      <c r="BA971" s="24">
        <f>IF(AND(W971="",AY971&gt;0,AY971&lt;15),T971,"")</f>
        <v/>
      </c>
      <c r="BB971" s="87">
        <f>IF(R971&lt;Q971,"X","")</f>
        <v/>
      </c>
      <c r="BC971" s="190" t="inlineStr">
        <is>
          <t>NO</t>
        </is>
      </c>
      <c r="BD971" s="191" t="inlineStr">
        <is>
          <t>SI</t>
        </is>
      </c>
    </row>
    <row r="972" ht="15" customHeight="1" s="162">
      <c r="A972" s="7" t="n">
        <v>971</v>
      </c>
      <c r="B972" t="inlineStr">
        <is>
          <t>1128910112001</t>
        </is>
      </c>
      <c r="C972" t="inlineStr">
        <is>
          <t>BLOQUE CONTACTO AUX 1NO 22MM CLAMP ZBE</t>
        </is>
      </c>
      <c r="D972" t="inlineStr">
        <is>
          <t>1800108948</t>
        </is>
      </c>
      <c r="E972" t="inlineStr">
        <is>
          <t>100</t>
        </is>
      </c>
      <c r="F972" s="163" t="n">
        <v>45462</v>
      </c>
      <c r="G972" t="inlineStr"/>
      <c r="H972" t="inlineStr">
        <is>
          <t>4200571460</t>
        </is>
      </c>
      <c r="I972" t="inlineStr">
        <is>
          <t>90</t>
        </is>
      </c>
      <c r="J972" s="163" t="n">
        <v>45492</v>
      </c>
      <c r="K972" s="163" t="n">
        <v>45501</v>
      </c>
      <c r="L972" t="inlineStr"/>
      <c r="M972" s="163" t="n">
        <v>45499</v>
      </c>
      <c r="N972" s="164" t="n">
        <v>85</v>
      </c>
      <c r="O972" s="164" t="n">
        <v>8</v>
      </c>
      <c r="P972" t="inlineStr">
        <is>
          <t>Liberado</t>
        </is>
      </c>
      <c r="Q972" s="165" t="n">
        <v>50</v>
      </c>
      <c r="R972" s="165" t="n">
        <v>50</v>
      </c>
      <c r="S972" s="165" t="n">
        <v>50</v>
      </c>
      <c r="T972" s="165" t="n">
        <v>0</v>
      </c>
      <c r="U972" s="166" t="n">
        <v>50</v>
      </c>
      <c r="V972" s="166" t="n">
        <v>0</v>
      </c>
      <c r="W972" t="inlineStr">
        <is>
          <t>X</t>
        </is>
      </c>
      <c r="X972" t="inlineStr">
        <is>
          <t>0.00</t>
        </is>
      </c>
      <c r="Y972" t="inlineStr"/>
      <c r="Z972" t="inlineStr">
        <is>
          <t>LUJISA, S.A.</t>
        </is>
      </c>
      <c r="AA972" t="inlineStr">
        <is>
          <t>SCHNEIDER ELECTRIC</t>
        </is>
      </c>
      <c r="AB972" t="inlineStr">
        <is>
          <t>ZBE1015</t>
        </is>
      </c>
      <c r="AC972" t="inlineStr"/>
      <c r="AD972" s="164" t="n">
        <v>0</v>
      </c>
      <c r="AE972" s="185" t="n">
        <v>0</v>
      </c>
      <c r="AG972" s="167" t="inlineStr">
        <is>
          <t>7218|JA2612_1001</t>
        </is>
      </c>
      <c r="AH972" s="47">
        <f>IF(M972=0,"-",M972-J972)</f>
        <v/>
      </c>
      <c r="AI972" s="46">
        <f>IF(AND(S972=0,M972&gt;0,L972=0),IF(AH972&gt;=120,"VERY HIGH",IF(AH972&gt;=90,"HIGH",IF(AH972&gt;=60,"MEDIUM",IF(AH972&lt;60,"LOW")))),"-")</f>
        <v/>
      </c>
      <c r="AJ972" s="12" t="n"/>
      <c r="AK972" s="53">
        <f>IF(AND(W972="X",M972&lt;=$AJ$2),"YES","")</f>
        <v/>
      </c>
      <c r="AL972" s="54">
        <f>IF(AND(W972="X",M972&lt;=$AJ$2),S972,"")</f>
        <v/>
      </c>
      <c r="AM972" s="35" t="n"/>
      <c r="AN972" s="35">
        <f>IF(AND(W972="X",M972&gt;$AJ$2),S972,"")</f>
        <v/>
      </c>
      <c r="AO972" s="35">
        <f>IF(AND(W972="",M972&gt;0,$AJ$2&gt;M972,L972=""),1,0)</f>
        <v/>
      </c>
      <c r="AP972" s="35">
        <f>IF(AND(AK972="YES",W972="X"),"X","")</f>
        <v/>
      </c>
      <c r="AQ972" s="55">
        <f>IF(AP972="X",100%,0%)</f>
        <v/>
      </c>
      <c r="AR972" s="25">
        <f>IF(AND(T972&gt;0,L972=""),H972,"")</f>
        <v/>
      </c>
      <c r="AS972" s="25">
        <f>IF(AND(D972&gt;0,H972=0,G972=""),1,"")</f>
        <v/>
      </c>
      <c r="AT972" s="25">
        <f>IF(G972="BLOQ",1,"")</f>
        <v/>
      </c>
      <c r="AU972" s="25">
        <f>IF(L972="BLOQ",1,"")</f>
        <v/>
      </c>
      <c r="AV972" s="25">
        <f>MONTH(F972)</f>
        <v/>
      </c>
      <c r="AW972" s="65">
        <f>IF(AP972="",100%,0%)</f>
        <v/>
      </c>
      <c r="AX972" s="56" t="n"/>
      <c r="AY972" s="24">
        <f>IF(M972=0,"",M972-$AX$2)</f>
        <v/>
      </c>
      <c r="AZ972" s="66">
        <f>IF(AND(W972="",AY972&gt;0,AY972&lt;15),1,0)</f>
        <v/>
      </c>
      <c r="BA972" s="24">
        <f>IF(AND(W972="",AY972&gt;0,AY972&lt;15),T972,"")</f>
        <v/>
      </c>
      <c r="BB972" s="87">
        <f>IF(R972&lt;Q972,"X","")</f>
        <v/>
      </c>
      <c r="BC972" s="190" t="inlineStr">
        <is>
          <t>NO</t>
        </is>
      </c>
      <c r="BD972" s="191" t="inlineStr">
        <is>
          <t>SI</t>
        </is>
      </c>
    </row>
    <row r="973" ht="15" customHeight="1" s="162">
      <c r="A973" s="7" t="n">
        <v>972</v>
      </c>
      <c r="B973" t="inlineStr">
        <is>
          <t>1128910113001</t>
        </is>
      </c>
      <c r="C973" t="inlineStr">
        <is>
          <t>BLOQUE CONTAC 1NC 22MM BORNA RESORT ZBE</t>
        </is>
      </c>
      <c r="D973" t="inlineStr">
        <is>
          <t>1800108948</t>
        </is>
      </c>
      <c r="E973" t="inlineStr">
        <is>
          <t>110</t>
        </is>
      </c>
      <c r="F973" s="163" t="n">
        <v>45462</v>
      </c>
      <c r="G973" t="inlineStr"/>
      <c r="H973" t="inlineStr">
        <is>
          <t>4200571460</t>
        </is>
      </c>
      <c r="I973" t="inlineStr">
        <is>
          <t>100</t>
        </is>
      </c>
      <c r="J973" s="163" t="n">
        <v>45492</v>
      </c>
      <c r="K973" s="163" t="n">
        <v>45501</v>
      </c>
      <c r="L973" t="inlineStr"/>
      <c r="M973" s="163" t="n">
        <v>45499</v>
      </c>
      <c r="N973" s="164" t="n">
        <v>85</v>
      </c>
      <c r="O973" s="164" t="n">
        <v>8</v>
      </c>
      <c r="P973" t="inlineStr">
        <is>
          <t>Liberado</t>
        </is>
      </c>
      <c r="Q973" s="165" t="n">
        <v>50</v>
      </c>
      <c r="R973" s="165" t="n">
        <v>50</v>
      </c>
      <c r="S973" s="165" t="n">
        <v>50</v>
      </c>
      <c r="T973" s="165" t="n">
        <v>0</v>
      </c>
      <c r="U973" s="166" t="n">
        <v>50</v>
      </c>
      <c r="V973" s="166" t="n">
        <v>0</v>
      </c>
      <c r="W973" t="inlineStr">
        <is>
          <t>X</t>
        </is>
      </c>
      <c r="X973" t="inlineStr">
        <is>
          <t>0.00</t>
        </is>
      </c>
      <c r="Y973" t="inlineStr"/>
      <c r="Z973" t="inlineStr">
        <is>
          <t>LUJISA, S.A.</t>
        </is>
      </c>
      <c r="AA973" t="inlineStr">
        <is>
          <t>SCHNEIDER ELECTRIC</t>
        </is>
      </c>
      <c r="AB973" t="inlineStr">
        <is>
          <t>ZBE1025</t>
        </is>
      </c>
      <c r="AC973" t="inlineStr"/>
      <c r="AD973" s="164" t="n">
        <v>0</v>
      </c>
      <c r="AE973" s="185" t="n">
        <v>0</v>
      </c>
      <c r="AG973" s="167" t="inlineStr">
        <is>
          <t>7218|JA2612_1001</t>
        </is>
      </c>
      <c r="AH973" s="47">
        <f>IF(M973=0,"-",M973-J973)</f>
        <v/>
      </c>
      <c r="AI973" s="46">
        <f>IF(AND(S973=0,M973&gt;0,L973=0),IF(AH973&gt;=120,"VERY HIGH",IF(AH973&gt;=90,"HIGH",IF(AH973&gt;=60,"MEDIUM",IF(AH973&lt;60,"LOW")))),"-")</f>
        <v/>
      </c>
      <c r="AJ973" s="12" t="n"/>
      <c r="AK973" s="53">
        <f>IF(AND(W973="X",M973&lt;=$AJ$2),"YES","")</f>
        <v/>
      </c>
      <c r="AL973" s="54">
        <f>IF(AND(W973="X",M973&lt;=$AJ$2),S973,"")</f>
        <v/>
      </c>
      <c r="AM973" s="35" t="n"/>
      <c r="AN973" s="35">
        <f>IF(AND(W973="X",M973&gt;$AJ$2),S973,"")</f>
        <v/>
      </c>
      <c r="AO973" s="35">
        <f>IF(AND(W973="",M973&gt;0,$AJ$2&gt;M973,L973=""),1,0)</f>
        <v/>
      </c>
      <c r="AP973" s="35">
        <f>IF(AND(AK973="YES",W973="X"),"X","")</f>
        <v/>
      </c>
      <c r="AQ973" s="55">
        <f>IF(AP973="X",100%,0%)</f>
        <v/>
      </c>
      <c r="AR973" s="25">
        <f>IF(AND(T973&gt;0,L973=""),H973,"")</f>
        <v/>
      </c>
      <c r="AS973" s="25">
        <f>IF(AND(D973&gt;0,H973=0,G973=""),1,"")</f>
        <v/>
      </c>
      <c r="AT973" s="25">
        <f>IF(G973="BLOQ",1,"")</f>
        <v/>
      </c>
      <c r="AU973" s="25">
        <f>IF(L973="BLOQ",1,"")</f>
        <v/>
      </c>
      <c r="AV973" s="25">
        <f>MONTH(F973)</f>
        <v/>
      </c>
      <c r="AW973" s="65">
        <f>IF(AP973="",100%,0%)</f>
        <v/>
      </c>
      <c r="AX973" s="56" t="n"/>
      <c r="AY973" s="24">
        <f>IF(M973=0,"",M973-$AX$2)</f>
        <v/>
      </c>
      <c r="AZ973" s="66">
        <f>IF(AND(W973="",AY973&gt;0,AY973&lt;15),1,0)</f>
        <v/>
      </c>
      <c r="BA973" s="24">
        <f>IF(AND(W973="",AY973&gt;0,AY973&lt;15),T973,"")</f>
        <v/>
      </c>
      <c r="BB973" s="87">
        <f>IF(R973&lt;Q973,"X","")</f>
        <v/>
      </c>
      <c r="BC973" s="191" t="inlineStr">
        <is>
          <t>SI</t>
        </is>
      </c>
      <c r="BD973" s="191" t="inlineStr">
        <is>
          <t>SI</t>
        </is>
      </c>
    </row>
    <row r="974" ht="15" customHeight="1" s="162">
      <c r="A974" s="7" t="n">
        <v>973</v>
      </c>
      <c r="B974" t="inlineStr">
        <is>
          <t>1128912180000</t>
        </is>
      </c>
      <c r="C974" t="inlineStr">
        <is>
          <t>CABEZA SELECTOR 2POS 90° D22MM NEGRA XB5</t>
        </is>
      </c>
      <c r="D974" t="inlineStr">
        <is>
          <t>1800108948</t>
        </is>
      </c>
      <c r="E974" t="inlineStr">
        <is>
          <t>120</t>
        </is>
      </c>
      <c r="F974" s="163" t="n">
        <v>45462</v>
      </c>
      <c r="G974" t="inlineStr"/>
      <c r="H974" t="inlineStr">
        <is>
          <t>4200571460</t>
        </is>
      </c>
      <c r="I974" t="inlineStr">
        <is>
          <t>110</t>
        </is>
      </c>
      <c r="J974" s="163" t="n">
        <v>45492</v>
      </c>
      <c r="K974" s="163" t="n">
        <v>45501</v>
      </c>
      <c r="L974" t="inlineStr"/>
      <c r="M974" s="163" t="n">
        <v>45499</v>
      </c>
      <c r="N974" s="164" t="n">
        <v>30</v>
      </c>
      <c r="O974" s="164" t="n">
        <v>8</v>
      </c>
      <c r="P974" t="inlineStr">
        <is>
          <t>Liberado</t>
        </is>
      </c>
      <c r="Q974" s="165" t="n">
        <v>1</v>
      </c>
      <c r="R974" s="165" t="n">
        <v>1</v>
      </c>
      <c r="S974" s="165" t="n">
        <v>1</v>
      </c>
      <c r="T974" s="165" t="n">
        <v>0</v>
      </c>
      <c r="U974" s="166" t="n">
        <v>1</v>
      </c>
      <c r="V974" s="166" t="n">
        <v>0</v>
      </c>
      <c r="W974" t="inlineStr">
        <is>
          <t>X</t>
        </is>
      </c>
      <c r="X974" t="inlineStr">
        <is>
          <t>0.00</t>
        </is>
      </c>
      <c r="Y974" t="inlineStr"/>
      <c r="Z974" t="inlineStr">
        <is>
          <t>LUJISA, S.A.</t>
        </is>
      </c>
      <c r="AA974" t="inlineStr">
        <is>
          <t>SCHNEIDER ELECTRIC</t>
        </is>
      </c>
      <c r="AB974" t="inlineStr">
        <is>
          <t>ZB5AD2</t>
        </is>
      </c>
      <c r="AC974" t="inlineStr"/>
      <c r="AD974" s="164" t="n">
        <v>0</v>
      </c>
      <c r="AE974" s="185" t="n">
        <v>0</v>
      </c>
      <c r="AG974" s="167" t="inlineStr">
        <is>
          <t>7218|JA2612_1001</t>
        </is>
      </c>
      <c r="AH974" s="47">
        <f>IF(M974=0,"-",M974-J974)</f>
        <v/>
      </c>
      <c r="AI974" s="46">
        <f>IF(AND(S974=0,M974&gt;0,L974=0),IF(AH974&gt;=120,"VERY HIGH",IF(AH974&gt;=90,"HIGH",IF(AH974&gt;=60,"MEDIUM",IF(AH974&lt;60,"LOW")))),"-")</f>
        <v/>
      </c>
      <c r="AJ974" s="12" t="n"/>
      <c r="AK974" s="53">
        <f>IF(AND(W974="X",M974&lt;=$AJ$2),"YES","")</f>
        <v/>
      </c>
      <c r="AL974" s="54">
        <f>IF(AND(W974="X",M974&lt;=$AJ$2),S974,"")</f>
        <v/>
      </c>
      <c r="AM974" s="35" t="n"/>
      <c r="AN974" s="35">
        <f>IF(AND(W974="X",M974&gt;$AJ$2),S974,"")</f>
        <v/>
      </c>
      <c r="AO974" s="35">
        <f>IF(AND(W974="",M974&gt;0,$AJ$2&gt;M974,L974=""),1,0)</f>
        <v/>
      </c>
      <c r="AP974" s="35">
        <f>IF(AND(AK974="YES",W974="X"),"X","")</f>
        <v/>
      </c>
      <c r="AQ974" s="55">
        <f>IF(AP974="X",100%,0%)</f>
        <v/>
      </c>
      <c r="AR974" s="25">
        <f>IF(AND(T974&gt;0,L974=""),H974,"")</f>
        <v/>
      </c>
      <c r="AS974" s="25">
        <f>IF(AND(D974&gt;0,H974=0,G974=""),1,"")</f>
        <v/>
      </c>
      <c r="AT974" s="25">
        <f>IF(G974="BLOQ",1,"")</f>
        <v/>
      </c>
      <c r="AU974" s="25">
        <f>IF(L974="BLOQ",1,"")</f>
        <v/>
      </c>
      <c r="AV974" s="25">
        <f>MONTH(F974)</f>
        <v/>
      </c>
      <c r="AW974" s="65">
        <f>IF(AP974="",100%,0%)</f>
        <v/>
      </c>
      <c r="AX974" s="56" t="n"/>
      <c r="AY974" s="24">
        <f>IF(M974=0,"",M974-$AX$2)</f>
        <v/>
      </c>
      <c r="AZ974" s="66">
        <f>IF(AND(W974="",AY974&gt;0,AY974&lt;15),1,0)</f>
        <v/>
      </c>
      <c r="BA974" s="24">
        <f>IF(AND(W974="",AY974&gt;0,AY974&lt;15),T974,"")</f>
        <v/>
      </c>
      <c r="BB974" s="87">
        <f>IF(R974&lt;Q974,"X","")</f>
        <v/>
      </c>
      <c r="BC974" s="190" t="inlineStr">
        <is>
          <t>NO</t>
        </is>
      </c>
      <c r="BD974" s="191" t="inlineStr">
        <is>
          <t>SI</t>
        </is>
      </c>
    </row>
    <row r="975" ht="15" customHeight="1" s="162">
      <c r="A975" s="7" t="n">
        <v>974</v>
      </c>
      <c r="B975" t="inlineStr">
        <is>
          <t>1128990028000</t>
        </is>
      </c>
      <c r="C975" t="inlineStr">
        <is>
          <t>CABEZA SETA EMERG RO P/PULS D=22MM IP66</t>
        </is>
      </c>
      <c r="D975" t="inlineStr">
        <is>
          <t>1800108948</t>
        </is>
      </c>
      <c r="E975" t="inlineStr">
        <is>
          <t>130</t>
        </is>
      </c>
      <c r="F975" s="163" t="n">
        <v>45462</v>
      </c>
      <c r="G975" t="inlineStr"/>
      <c r="H975" t="inlineStr">
        <is>
          <t>4200571460</t>
        </is>
      </c>
      <c r="I975" t="inlineStr">
        <is>
          <t>120</t>
        </is>
      </c>
      <c r="J975" s="163" t="n">
        <v>45492</v>
      </c>
      <c r="K975" s="163" t="n">
        <v>45501</v>
      </c>
      <c r="L975" t="inlineStr"/>
      <c r="M975" s="163" t="n">
        <v>45499</v>
      </c>
      <c r="N975" s="164" t="n">
        <v>30</v>
      </c>
      <c r="O975" s="164" t="n">
        <v>8</v>
      </c>
      <c r="P975" t="inlineStr">
        <is>
          <t>Liberado</t>
        </is>
      </c>
      <c r="Q975" s="165" t="n">
        <v>1</v>
      </c>
      <c r="R975" s="165" t="n">
        <v>1</v>
      </c>
      <c r="S975" s="165" t="n">
        <v>1</v>
      </c>
      <c r="T975" s="165" t="n">
        <v>0</v>
      </c>
      <c r="U975" s="166" t="n">
        <v>1</v>
      </c>
      <c r="V975" s="166" t="n">
        <v>0</v>
      </c>
      <c r="W975" t="inlineStr">
        <is>
          <t>X</t>
        </is>
      </c>
      <c r="X975" t="inlineStr">
        <is>
          <t>0.00</t>
        </is>
      </c>
      <c r="Y975" t="inlineStr"/>
      <c r="Z975" t="inlineStr">
        <is>
          <t>LUJISA, S.A.</t>
        </is>
      </c>
      <c r="AA975" t="inlineStr">
        <is>
          <t>SCHNEIDER ELECTRIC</t>
        </is>
      </c>
      <c r="AB975" t="inlineStr">
        <is>
          <t>ZB5AS844</t>
        </is>
      </c>
      <c r="AC975" t="inlineStr"/>
      <c r="AD975" s="164" t="n">
        <v>0</v>
      </c>
      <c r="AE975" s="185" t="n">
        <v>0</v>
      </c>
      <c r="AG975" s="167" t="inlineStr">
        <is>
          <t>7218|JA2612_1001</t>
        </is>
      </c>
      <c r="AH975" s="47">
        <f>IF(M975=0,"-",M975-J975)</f>
        <v/>
      </c>
      <c r="AI975" s="46">
        <f>IF(AND(S975=0,M975&gt;0,L975=0),IF(AH975&gt;=120,"VERY HIGH",IF(AH975&gt;=90,"HIGH",IF(AH975&gt;=60,"MEDIUM",IF(AH975&lt;60,"LOW")))),"-")</f>
        <v/>
      </c>
      <c r="AJ975" s="12" t="n"/>
      <c r="AK975" s="53">
        <f>IF(AND(W975="X",M975&lt;=$AJ$2),"YES","")</f>
        <v/>
      </c>
      <c r="AL975" s="54">
        <f>IF(AND(W975="X",M975&lt;=$AJ$2),S975,"")</f>
        <v/>
      </c>
      <c r="AM975" s="35" t="n"/>
      <c r="AN975" s="35">
        <f>IF(AND(W975="X",M975&gt;$AJ$2),S975,"")</f>
        <v/>
      </c>
      <c r="AO975" s="35">
        <f>IF(AND(W975="",M975&gt;0,$AJ$2&gt;M975,L975=""),1,0)</f>
        <v/>
      </c>
      <c r="AP975" s="35">
        <f>IF(AND(AK975="YES",W975="X"),"X","")</f>
        <v/>
      </c>
      <c r="AQ975" s="55">
        <f>IF(AP975="X",100%,0%)</f>
        <v/>
      </c>
      <c r="AR975" s="25">
        <f>IF(AND(T975&gt;0,L975=""),H975,"")</f>
        <v/>
      </c>
      <c r="AS975" s="25">
        <f>IF(AND(D975&gt;0,H975=0,G975=""),1,"")</f>
        <v/>
      </c>
      <c r="AT975" s="25">
        <f>IF(G975="BLOQ",1,"")</f>
        <v/>
      </c>
      <c r="AU975" s="25">
        <f>IF(L975="BLOQ",1,"")</f>
        <v/>
      </c>
      <c r="AV975" s="25">
        <f>MONTH(F975)</f>
        <v/>
      </c>
      <c r="AW975" s="65">
        <f>IF(AP975="",100%,0%)</f>
        <v/>
      </c>
      <c r="AX975" s="56" t="n"/>
      <c r="AY975" s="24">
        <f>IF(M975=0,"",M975-$AX$2)</f>
        <v/>
      </c>
      <c r="AZ975" s="66">
        <f>IF(AND(W975="",AY975&gt;0,AY975&lt;15),1,0)</f>
        <v/>
      </c>
      <c r="BA975" s="24">
        <f>IF(AND(W975="",AY975&gt;0,AY975&lt;15),T975,"")</f>
        <v/>
      </c>
      <c r="BB975" s="87">
        <f>IF(R975&lt;Q975,"X","")</f>
        <v/>
      </c>
      <c r="BC975" s="190" t="inlineStr">
        <is>
          <t>NO</t>
        </is>
      </c>
      <c r="BD975" s="191" t="inlineStr">
        <is>
          <t>SI</t>
        </is>
      </c>
    </row>
    <row r="976" ht="15" customHeight="1" s="162">
      <c r="A976" s="7" t="n">
        <v>975</v>
      </c>
      <c r="B976" t="inlineStr">
        <is>
          <t>1128990760000</t>
        </is>
      </c>
      <c r="C976" t="inlineStr">
        <is>
          <t>CUERPO COLLARIN P/BLOQUE CONTACTO/LUZ</t>
        </is>
      </c>
      <c r="D976" t="inlineStr">
        <is>
          <t>1800108948</t>
        </is>
      </c>
      <c r="E976" t="inlineStr">
        <is>
          <t>140</t>
        </is>
      </c>
      <c r="F976" s="163" t="n">
        <v>45462</v>
      </c>
      <c r="G976" t="inlineStr"/>
      <c r="H976" t="inlineStr">
        <is>
          <t>4200571557</t>
        </is>
      </c>
      <c r="I976" t="inlineStr">
        <is>
          <t>160</t>
        </is>
      </c>
      <c r="J976" s="163" t="n">
        <v>45492</v>
      </c>
      <c r="K976" s="163" t="n">
        <v>45497</v>
      </c>
      <c r="L976" t="inlineStr"/>
      <c r="M976" s="163" t="n">
        <v>45504</v>
      </c>
      <c r="N976" s="164" t="n">
        <v>85</v>
      </c>
      <c r="O976" s="164" t="n">
        <v>8</v>
      </c>
      <c r="P976" t="inlineStr">
        <is>
          <t>Liberado</t>
        </is>
      </c>
      <c r="Q976" s="165" t="n">
        <v>30</v>
      </c>
      <c r="R976" s="165" t="n">
        <v>30</v>
      </c>
      <c r="S976" s="165" t="n">
        <v>30</v>
      </c>
      <c r="T976" s="165" t="n">
        <v>0</v>
      </c>
      <c r="U976" s="166" t="n">
        <v>30</v>
      </c>
      <c r="V976" s="166" t="n">
        <v>0</v>
      </c>
      <c r="W976" t="inlineStr">
        <is>
          <t>X</t>
        </is>
      </c>
      <c r="X976" t="inlineStr">
        <is>
          <t>0.00</t>
        </is>
      </c>
      <c r="Y976" t="inlineStr"/>
      <c r="Z976" t="inlineStr">
        <is>
          <t>TELKRON, S.A.</t>
        </is>
      </c>
      <c r="AA976" t="inlineStr">
        <is>
          <t>RS AMIDATA</t>
        </is>
      </c>
      <c r="AB976" t="inlineStr">
        <is>
          <t>609-3143</t>
        </is>
      </c>
      <c r="AC976" t="inlineStr"/>
      <c r="AD976" s="164" t="n">
        <v>0</v>
      </c>
      <c r="AE976" s="185" t="n">
        <v>0</v>
      </c>
      <c r="AG976" s="167" t="inlineStr">
        <is>
          <t>7218|JA2581_1001</t>
        </is>
      </c>
      <c r="AH976" s="47">
        <f>IF(M976=0,"-",M976-J976)</f>
        <v/>
      </c>
      <c r="AI976" s="46">
        <f>IF(AND(S976=0,M976&gt;0,L976=0),IF(AH976&gt;=120,"VERY HIGH",IF(AH976&gt;=90,"HIGH",IF(AH976&gt;=60,"MEDIUM",IF(AH976&lt;60,"LOW")))),"-")</f>
        <v/>
      </c>
      <c r="AJ976" s="12" t="n"/>
      <c r="AK976" s="53">
        <f>IF(AND(W976="X",M976&lt;=$AJ$2),"YES","")</f>
        <v/>
      </c>
      <c r="AL976" s="54">
        <f>IF(AND(W976="X",M976&lt;=$AJ$2),S976,"")</f>
        <v/>
      </c>
      <c r="AM976" s="35" t="n"/>
      <c r="AN976" s="35">
        <f>IF(AND(W976="X",M976&gt;$AJ$2),S976,"")</f>
        <v/>
      </c>
      <c r="AO976" s="35">
        <f>IF(AND(W976="",M976&gt;0,$AJ$2&gt;M976,L976=""),1,0)</f>
        <v/>
      </c>
      <c r="AP976" s="35">
        <f>IF(AND(AK976="YES",W976="X"),"X","")</f>
        <v/>
      </c>
      <c r="AQ976" s="55">
        <f>IF(AP976="X",100%,0%)</f>
        <v/>
      </c>
      <c r="AR976" s="25">
        <f>IF(AND(T976&gt;0,L976=""),H976,"")</f>
        <v/>
      </c>
      <c r="AS976" s="25">
        <f>IF(AND(D976&gt;0,H976=0,G976=""),1,"")</f>
        <v/>
      </c>
      <c r="AT976" s="25">
        <f>IF(G976="BLOQ",1,"")</f>
        <v/>
      </c>
      <c r="AU976" s="25">
        <f>IF(L976="BLOQ",1,"")</f>
        <v/>
      </c>
      <c r="AV976" s="25">
        <f>MONTH(F976)</f>
        <v/>
      </c>
      <c r="AW976" s="65">
        <f>IF(AP976="",100%,0%)</f>
        <v/>
      </c>
      <c r="AX976" s="56" t="n"/>
      <c r="AY976" s="24">
        <f>IF(M976=0,"",M976-$AX$2)</f>
        <v/>
      </c>
      <c r="AZ976" s="66">
        <f>IF(AND(W976="",AY976&gt;0,AY976&lt;15),1,0)</f>
        <v/>
      </c>
      <c r="BA976" s="24">
        <f>IF(AND(W976="",AY976&gt;0,AY976&lt;15),T976,"")</f>
        <v/>
      </c>
      <c r="BB976" s="87">
        <f>IF(R976&lt;Q976,"X","")</f>
        <v/>
      </c>
      <c r="BC976" s="191" t="inlineStr">
        <is>
          <t>SI</t>
        </is>
      </c>
      <c r="BD976" s="191" t="inlineStr">
        <is>
          <t>SI</t>
        </is>
      </c>
    </row>
    <row r="977" ht="15" customHeight="1" s="162">
      <c r="A977" s="7" t="n">
        <v>976</v>
      </c>
      <c r="B977" t="inlineStr">
        <is>
          <t>1128991450000</t>
        </is>
      </c>
      <c r="C977" t="inlineStr">
        <is>
          <t>CABEZAL BOTON PULSADOR RETORNO/ RESORTE</t>
        </is>
      </c>
      <c r="D977" t="inlineStr">
        <is>
          <t>1800108948</t>
        </is>
      </c>
      <c r="E977" t="inlineStr">
        <is>
          <t>150</t>
        </is>
      </c>
      <c r="F977" s="163" t="n">
        <v>45462</v>
      </c>
      <c r="G977" t="inlineStr"/>
      <c r="H977" t="inlineStr">
        <is>
          <t>4200571460</t>
        </is>
      </c>
      <c r="I977" t="inlineStr">
        <is>
          <t>130</t>
        </is>
      </c>
      <c r="J977" s="163" t="n">
        <v>45492</v>
      </c>
      <c r="K977" s="163" t="n">
        <v>45501</v>
      </c>
      <c r="L977" t="inlineStr"/>
      <c r="M977" s="163" t="n">
        <v>45499</v>
      </c>
      <c r="N977" s="164" t="n">
        <v>85</v>
      </c>
      <c r="O977" s="164" t="n">
        <v>8</v>
      </c>
      <c r="P977" t="inlineStr">
        <is>
          <t>Liberado</t>
        </is>
      </c>
      <c r="Q977" s="165" t="n">
        <v>6</v>
      </c>
      <c r="R977" s="165" t="n">
        <v>6</v>
      </c>
      <c r="S977" s="165" t="n">
        <v>6</v>
      </c>
      <c r="T977" s="165" t="n">
        <v>0</v>
      </c>
      <c r="U977" s="166" t="n">
        <v>6</v>
      </c>
      <c r="V977" s="166" t="n">
        <v>0</v>
      </c>
      <c r="W977" t="inlineStr">
        <is>
          <t>X</t>
        </is>
      </c>
      <c r="X977" t="inlineStr">
        <is>
          <t>0.00</t>
        </is>
      </c>
      <c r="Y977" t="inlineStr"/>
      <c r="Z977" t="inlineStr">
        <is>
          <t>LUJISA, S.A.</t>
        </is>
      </c>
      <c r="AA977" t="inlineStr">
        <is>
          <t>SCHNEIDER ELECTRIC</t>
        </is>
      </c>
      <c r="AB977" t="inlineStr">
        <is>
          <t>ZB5AA0</t>
        </is>
      </c>
      <c r="AC977" t="inlineStr"/>
      <c r="AD977" s="164" t="n">
        <v>0</v>
      </c>
      <c r="AE977" s="185" t="n">
        <v>0</v>
      </c>
      <c r="AG977" s="167" t="inlineStr">
        <is>
          <t>7218|JA2612_1001</t>
        </is>
      </c>
      <c r="AH977" s="47">
        <f>IF(M977=0,"-",M977-J977)</f>
        <v/>
      </c>
      <c r="AI977" s="46">
        <f>IF(AND(S977=0,M977&gt;0,L977=0),IF(AH977&gt;=120,"VERY HIGH",IF(AH977&gt;=90,"HIGH",IF(AH977&gt;=60,"MEDIUM",IF(AH977&lt;60,"LOW")))),"-")</f>
        <v/>
      </c>
      <c r="AJ977" s="12" t="n"/>
      <c r="AK977" s="53">
        <f>IF(AND(W977="X",M977&lt;=$AJ$2),"YES","")</f>
        <v/>
      </c>
      <c r="AL977" s="54">
        <f>IF(AND(W977="X",M977&lt;=$AJ$2),S977,"")</f>
        <v/>
      </c>
      <c r="AM977" s="35" t="n"/>
      <c r="AN977" s="35">
        <f>IF(AND(W977="X",M977&gt;$AJ$2),S977,"")</f>
        <v/>
      </c>
      <c r="AO977" s="35">
        <f>IF(AND(W977="",M977&gt;0,$AJ$2&gt;M977,L977=""),1,0)</f>
        <v/>
      </c>
      <c r="AP977" s="35">
        <f>IF(AND(AK977="YES",W977="X"),"X","")</f>
        <v/>
      </c>
      <c r="AQ977" s="55">
        <f>IF(AP977="X",100%,0%)</f>
        <v/>
      </c>
      <c r="AR977" s="25">
        <f>IF(AND(T977&gt;0,L977=""),H977,"")</f>
        <v/>
      </c>
      <c r="AS977" s="25">
        <f>IF(AND(D977&gt;0,H977=0,G977=""),1,"")</f>
        <v/>
      </c>
      <c r="AT977" s="25">
        <f>IF(G977="BLOQ",1,"")</f>
        <v/>
      </c>
      <c r="AU977" s="25">
        <f>IF(L977="BLOQ",1,"")</f>
        <v/>
      </c>
      <c r="AV977" s="25">
        <f>MONTH(F977)</f>
        <v/>
      </c>
      <c r="AW977" s="65">
        <f>IF(AP977="",100%,0%)</f>
        <v/>
      </c>
      <c r="AX977" s="56" t="n"/>
      <c r="AY977" s="24">
        <f>IF(M977=0,"",M977-$AX$2)</f>
        <v/>
      </c>
      <c r="AZ977" s="66">
        <f>IF(AND(W977="",AY977&gt;0,AY977&lt;15),1,0)</f>
        <v/>
      </c>
      <c r="BA977" s="24">
        <f>IF(AND(W977="",AY977&gt;0,AY977&lt;15),T977,"")</f>
        <v/>
      </c>
      <c r="BB977" s="87">
        <f>IF(R977&lt;Q977,"X","")</f>
        <v/>
      </c>
      <c r="BC977" s="190" t="inlineStr">
        <is>
          <t>NO</t>
        </is>
      </c>
      <c r="BD977" s="191" t="inlineStr">
        <is>
          <t>SI</t>
        </is>
      </c>
    </row>
    <row r="978" ht="15" customHeight="1" s="162">
      <c r="A978" s="7" t="n">
        <v>977</v>
      </c>
      <c r="B978" t="inlineStr">
        <is>
          <t>1128991608200</t>
        </is>
      </c>
      <c r="C978" t="inlineStr">
        <is>
          <t>CABEZA PULSADOR D22MM EMPOTRADO ROJO</t>
        </is>
      </c>
      <c r="D978" t="inlineStr">
        <is>
          <t>1800108948</t>
        </is>
      </c>
      <c r="E978" t="inlineStr">
        <is>
          <t>160</t>
        </is>
      </c>
      <c r="F978" s="163" t="n">
        <v>45462</v>
      </c>
      <c r="G978" t="inlineStr"/>
      <c r="H978" t="inlineStr">
        <is>
          <t>4200571460</t>
        </is>
      </c>
      <c r="I978" t="inlineStr">
        <is>
          <t>140</t>
        </is>
      </c>
      <c r="J978" s="163" t="n">
        <v>45492</v>
      </c>
      <c r="K978" s="163" t="n">
        <v>45501</v>
      </c>
      <c r="L978" t="inlineStr"/>
      <c r="M978" s="163" t="n">
        <v>45499</v>
      </c>
      <c r="N978" s="164" t="n">
        <v>85</v>
      </c>
      <c r="O978" s="164" t="n">
        <v>8</v>
      </c>
      <c r="P978" t="inlineStr">
        <is>
          <t>Liberado</t>
        </is>
      </c>
      <c r="Q978" s="165" t="n">
        <v>1</v>
      </c>
      <c r="R978" s="165" t="n">
        <v>1</v>
      </c>
      <c r="S978" s="165" t="n">
        <v>1</v>
      </c>
      <c r="T978" s="165" t="n">
        <v>0</v>
      </c>
      <c r="U978" s="166" t="n">
        <v>1</v>
      </c>
      <c r="V978" s="166" t="n">
        <v>0</v>
      </c>
      <c r="W978" t="inlineStr">
        <is>
          <t>X</t>
        </is>
      </c>
      <c r="X978" t="inlineStr">
        <is>
          <t>0.00</t>
        </is>
      </c>
      <c r="Y978" t="inlineStr"/>
      <c r="Z978" t="inlineStr">
        <is>
          <t>LUJISA, S.A.</t>
        </is>
      </c>
      <c r="AA978" t="inlineStr">
        <is>
          <t>SCHNEIDER ELECTRIC</t>
        </is>
      </c>
      <c r="AB978" t="inlineStr">
        <is>
          <t>ZB4BA46</t>
        </is>
      </c>
      <c r="AC978" t="inlineStr"/>
      <c r="AD978" s="164" t="n">
        <v>0</v>
      </c>
      <c r="AE978" s="185" t="n">
        <v>0</v>
      </c>
      <c r="AG978" s="167" t="inlineStr">
        <is>
          <t>7218|JA2612_1001</t>
        </is>
      </c>
      <c r="AH978" s="47">
        <f>IF(M978=0,"-",M978-J978)</f>
        <v/>
      </c>
      <c r="AI978" s="46">
        <f>IF(AND(S978=0,M978&gt;0,L978=0),IF(AH978&gt;=120,"VERY HIGH",IF(AH978&gt;=90,"HIGH",IF(AH978&gt;=60,"MEDIUM",IF(AH978&lt;60,"LOW")))),"-")</f>
        <v/>
      </c>
      <c r="AJ978" s="12" t="n"/>
      <c r="AK978" s="53">
        <f>IF(AND(W978="X",M978&lt;=$AJ$2),"YES","")</f>
        <v/>
      </c>
      <c r="AL978" s="54">
        <f>IF(AND(W978="X",M978&lt;=$AJ$2),S978,"")</f>
        <v/>
      </c>
      <c r="AM978" s="35" t="n"/>
      <c r="AN978" s="35">
        <f>IF(AND(W978="X",M978&gt;$AJ$2),S978,"")</f>
        <v/>
      </c>
      <c r="AO978" s="35">
        <f>IF(AND(W978="",M978&gt;0,$AJ$2&gt;M978,L978=""),1,0)</f>
        <v/>
      </c>
      <c r="AP978" s="35">
        <f>IF(AND(AK978="YES",W978="X"),"X","")</f>
        <v/>
      </c>
      <c r="AQ978" s="55">
        <f>IF(AP978="X",100%,0%)</f>
        <v/>
      </c>
      <c r="AR978" s="25">
        <f>IF(AND(T978&gt;0,L978=""),H978,"")</f>
        <v/>
      </c>
      <c r="AS978" s="25">
        <f>IF(AND(D978&gt;0,H978=0,G978=""),1,"")</f>
        <v/>
      </c>
      <c r="AT978" s="25">
        <f>IF(G978="BLOQ",1,"")</f>
        <v/>
      </c>
      <c r="AU978" s="25">
        <f>IF(L978="BLOQ",1,"")</f>
        <v/>
      </c>
      <c r="AV978" s="25">
        <f>MONTH(F978)</f>
        <v/>
      </c>
      <c r="AW978" s="65">
        <f>IF(AP978="",100%,0%)</f>
        <v/>
      </c>
      <c r="AX978" s="56" t="n"/>
      <c r="AY978" s="24">
        <f>IF(M978=0,"",M978-$AX$2)</f>
        <v/>
      </c>
      <c r="AZ978" s="66">
        <f>IF(AND(W978="",AY978&gt;0,AY978&lt;15),1,0)</f>
        <v/>
      </c>
      <c r="BA978" s="24">
        <f>IF(AND(W978="",AY978&gt;0,AY978&lt;15),T978,"")</f>
        <v/>
      </c>
      <c r="BB978" s="87">
        <f>IF(R978&lt;Q978,"X","")</f>
        <v/>
      </c>
      <c r="BC978" s="190" t="inlineStr">
        <is>
          <t>NO</t>
        </is>
      </c>
      <c r="BD978" s="191" t="inlineStr">
        <is>
          <t>SI</t>
        </is>
      </c>
    </row>
    <row r="979" ht="15" customHeight="1" s="162">
      <c r="A979" s="7" t="n">
        <v>978</v>
      </c>
      <c r="B979" t="inlineStr">
        <is>
          <t>1130622470402</t>
        </is>
      </c>
      <c r="C979" t="inlineStr">
        <is>
          <t>RELE PLUG-IN 24VD 12A 4PDT 1W NO-LATCH</t>
        </is>
      </c>
      <c r="D979" t="inlineStr">
        <is>
          <t>1800108948</t>
        </is>
      </c>
      <c r="E979" t="inlineStr">
        <is>
          <t>170</t>
        </is>
      </c>
      <c r="F979" s="163" t="n">
        <v>45462</v>
      </c>
      <c r="G979" t="inlineStr"/>
      <c r="H979" t="inlineStr">
        <is>
          <t>4200571230</t>
        </is>
      </c>
      <c r="I979" t="inlineStr">
        <is>
          <t>20</t>
        </is>
      </c>
      <c r="J979" s="163" t="n">
        <v>45491</v>
      </c>
      <c r="K979" s="163" t="n">
        <v>45491</v>
      </c>
      <c r="L979" t="inlineStr"/>
      <c r="M979" s="163" t="n">
        <v>45499</v>
      </c>
      <c r="N979" s="164" t="n">
        <v>40</v>
      </c>
      <c r="O979" s="164" t="n">
        <v>8</v>
      </c>
      <c r="P979" t="inlineStr">
        <is>
          <t>Liberado</t>
        </is>
      </c>
      <c r="Q979" s="166" t="n">
        <v>2</v>
      </c>
      <c r="R979" s="166" t="n">
        <v>2</v>
      </c>
      <c r="S979" s="166" t="n">
        <v>2</v>
      </c>
      <c r="T979" s="166" t="n">
        <v>0</v>
      </c>
      <c r="U979" s="166" t="n">
        <v>2</v>
      </c>
      <c r="V979" s="166" t="n">
        <v>0</v>
      </c>
      <c r="W979" t="inlineStr">
        <is>
          <t>X</t>
        </is>
      </c>
      <c r="X979" t="inlineStr">
        <is>
          <t>0.00</t>
        </is>
      </c>
      <c r="Y979" t="inlineStr"/>
      <c r="Z979" t="inlineStr">
        <is>
          <t>GITEC CONTROL, S.L.</t>
        </is>
      </c>
      <c r="AA979" t="inlineStr">
        <is>
          <t>FINDER</t>
        </is>
      </c>
      <c r="AB979" t="inlineStr">
        <is>
          <t>56.34.9.024.0040</t>
        </is>
      </c>
      <c r="AC979" t="inlineStr"/>
      <c r="AD979" s="164" t="n">
        <v>0</v>
      </c>
      <c r="AE979" s="185" t="n">
        <v>0</v>
      </c>
      <c r="AG979" s="167" t="inlineStr">
        <is>
          <t>7218|JA2581_1001</t>
        </is>
      </c>
      <c r="AH979" s="47">
        <f>IF(M979=0,"-",M979-J979)</f>
        <v/>
      </c>
      <c r="AI979" s="46">
        <f>IF(AND(S979=0,M979&gt;0,L979=0),IF(AH979&gt;=120,"VERY HIGH",IF(AH979&gt;=90,"HIGH",IF(AH979&gt;=60,"MEDIUM",IF(AH979&lt;60,"LOW")))),"-")</f>
        <v/>
      </c>
      <c r="AJ979" s="12" t="n"/>
      <c r="AK979" s="53">
        <f>IF(AND(W979="X",M979&lt;=$AJ$2),"YES","")</f>
        <v/>
      </c>
      <c r="AL979" s="54">
        <f>IF(AND(W979="X",M979&lt;=$AJ$2),S979,"")</f>
        <v/>
      </c>
      <c r="AM979" s="35" t="n"/>
      <c r="AN979" s="35">
        <f>IF(AND(W979="X",M979&gt;$AJ$2),S979,"")</f>
        <v/>
      </c>
      <c r="AO979" s="35">
        <f>IF(AND(W979="",M979&gt;0,$AJ$2&gt;M979,L979=""),1,0)</f>
        <v/>
      </c>
      <c r="AP979" s="35">
        <f>IF(AND(AK979="YES",W979="X"),"X","")</f>
        <v/>
      </c>
      <c r="AQ979" s="55">
        <f>IF(AP979="X",100%,0%)</f>
        <v/>
      </c>
      <c r="AR979" s="25">
        <f>IF(AND(T979&gt;0,L979=""),H979,"")</f>
        <v/>
      </c>
      <c r="AS979" s="25">
        <f>IF(AND(D979&gt;0,H979=0,G979=""),1,"")</f>
        <v/>
      </c>
      <c r="AT979" s="25">
        <f>IF(G979="BLOQ",1,"")</f>
        <v/>
      </c>
      <c r="AU979" s="25">
        <f>IF(L979="BLOQ",1,"")</f>
        <v/>
      </c>
      <c r="AV979" s="25">
        <f>MONTH(F979)</f>
        <v/>
      </c>
      <c r="AW979" s="65">
        <f>IF(AP979="",100%,0%)</f>
        <v/>
      </c>
      <c r="AX979" s="56" t="n"/>
      <c r="AY979" s="24">
        <f>IF(M979=0,"",M979-$AX$2)</f>
        <v/>
      </c>
      <c r="AZ979" s="66">
        <f>IF(AND(W979="",AY979&gt;0,AY979&lt;15),1,0)</f>
        <v/>
      </c>
      <c r="BA979" s="24">
        <f>IF(AND(W979="",AY979&gt;0,AY979&lt;15),T979,"")</f>
        <v/>
      </c>
      <c r="BB979" s="87">
        <f>IF(R979&lt;Q979,"X","")</f>
        <v/>
      </c>
      <c r="BC979" s="190" t="inlineStr">
        <is>
          <t>NO</t>
        </is>
      </c>
      <c r="BD979" s="191" t="inlineStr">
        <is>
          <t>SI</t>
        </is>
      </c>
    </row>
    <row r="980" ht="15" customHeight="1" s="162">
      <c r="A980" s="7" t="n">
        <v>979</v>
      </c>
      <c r="B980" t="inlineStr">
        <is>
          <t>1130622471000</t>
        </is>
      </c>
      <c r="C980" t="inlineStr">
        <is>
          <t>RELE DPDT 12A MINI PLUG-IN 24VDC</t>
        </is>
      </c>
      <c r="D980" t="inlineStr">
        <is>
          <t>1800108948</t>
        </is>
      </c>
      <c r="E980" t="inlineStr">
        <is>
          <t>180</t>
        </is>
      </c>
      <c r="F980" s="163" t="n">
        <v>45462</v>
      </c>
      <c r="G980" t="inlineStr"/>
      <c r="H980" t="inlineStr">
        <is>
          <t>4200571230</t>
        </is>
      </c>
      <c r="I980" t="inlineStr">
        <is>
          <t>30</t>
        </is>
      </c>
      <c r="J980" s="163" t="n">
        <v>45491</v>
      </c>
      <c r="K980" s="163" t="n">
        <v>45491</v>
      </c>
      <c r="L980" t="inlineStr"/>
      <c r="M980" s="163" t="n">
        <v>45499</v>
      </c>
      <c r="N980" s="164" t="n">
        <v>80</v>
      </c>
      <c r="O980" s="164" t="n">
        <v>8</v>
      </c>
      <c r="P980" t="inlineStr">
        <is>
          <t>Liberado</t>
        </is>
      </c>
      <c r="Q980" s="166" t="n">
        <v>10</v>
      </c>
      <c r="R980" s="166" t="n">
        <v>10</v>
      </c>
      <c r="S980" s="166" t="n">
        <v>10</v>
      </c>
      <c r="T980" s="166" t="n">
        <v>0</v>
      </c>
      <c r="U980" s="166" t="n">
        <v>10</v>
      </c>
      <c r="V980" s="166" t="n">
        <v>0</v>
      </c>
      <c r="W980" t="inlineStr">
        <is>
          <t>X</t>
        </is>
      </c>
      <c r="X980" t="inlineStr">
        <is>
          <t>0.00</t>
        </is>
      </c>
      <c r="Y980" t="inlineStr"/>
      <c r="Z980" t="inlineStr">
        <is>
          <t>GITEC CONTROL, S.L.</t>
        </is>
      </c>
      <c r="AA980" t="inlineStr">
        <is>
          <t>FINDER</t>
        </is>
      </c>
      <c r="AB980" t="inlineStr">
        <is>
          <t>56.32.9.024.0040</t>
        </is>
      </c>
      <c r="AC980" t="inlineStr"/>
      <c r="AD980" s="164" t="n">
        <v>0</v>
      </c>
      <c r="AE980" s="185" t="n">
        <v>0</v>
      </c>
      <c r="AG980" s="167" t="inlineStr">
        <is>
          <t>7218|JA2581_1001</t>
        </is>
      </c>
      <c r="AH980" s="47">
        <f>IF(M980=0,"-",M980-J980)</f>
        <v/>
      </c>
      <c r="AI980" s="46">
        <f>IF(AND(S980=0,M980&gt;0,L980=0),IF(AH980&gt;=120,"VERY HIGH",IF(AH980&gt;=90,"HIGH",IF(AH980&gt;=60,"MEDIUM",IF(AH980&lt;60,"LOW")))),"-")</f>
        <v/>
      </c>
      <c r="AJ980" s="12" t="n"/>
      <c r="AK980" s="53">
        <f>IF(AND(W980="X",M980&lt;=$AJ$2),"YES","")</f>
        <v/>
      </c>
      <c r="AL980" s="54">
        <f>IF(AND(W980="X",M980&lt;=$AJ$2),S980,"")</f>
        <v/>
      </c>
      <c r="AM980" s="35" t="n"/>
      <c r="AN980" s="35">
        <f>IF(AND(W980="X",M980&gt;$AJ$2),S980,"")</f>
        <v/>
      </c>
      <c r="AO980" s="35">
        <f>IF(AND(W980="",M980&gt;0,$AJ$2&gt;M980,L980=""),1,0)</f>
        <v/>
      </c>
      <c r="AP980" s="35">
        <f>IF(AND(AK980="YES",W980="X"),"X","")</f>
        <v/>
      </c>
      <c r="AQ980" s="55">
        <f>IF(AP980="X",100%,0%)</f>
        <v/>
      </c>
      <c r="AR980" s="25">
        <f>IF(AND(T980&gt;0,L980=""),H980,"")</f>
        <v/>
      </c>
      <c r="AS980" s="25">
        <f>IF(AND(D980&gt;0,H980=0,G980=""),1,"")</f>
        <v/>
      </c>
      <c r="AT980" s="25">
        <f>IF(G980="BLOQ",1,"")</f>
        <v/>
      </c>
      <c r="AU980" s="25">
        <f>IF(L980="BLOQ",1,"")</f>
        <v/>
      </c>
      <c r="AV980" s="25">
        <f>MONTH(F980)</f>
        <v/>
      </c>
      <c r="AW980" s="65">
        <f>IF(AP980="",100%,0%)</f>
        <v/>
      </c>
      <c r="AX980" s="56" t="n"/>
      <c r="AY980" s="24">
        <f>IF(M980=0,"",M980-$AX$2)</f>
        <v/>
      </c>
      <c r="AZ980" s="66">
        <f>IF(AND(W980="",AY980&gt;0,AY980&lt;15),1,0)</f>
        <v/>
      </c>
      <c r="BA980" s="24">
        <f>IF(AND(W980="",AY980&gt;0,AY980&lt;15),T980,"")</f>
        <v/>
      </c>
      <c r="BB980" s="87">
        <f>IF(R980&lt;Q980,"X","")</f>
        <v/>
      </c>
      <c r="BC980" s="190" t="inlineStr">
        <is>
          <t>NO</t>
        </is>
      </c>
      <c r="BD980" s="191" t="inlineStr">
        <is>
          <t>SI</t>
        </is>
      </c>
    </row>
    <row r="981" ht="15" customHeight="1" s="162">
      <c r="A981" s="7" t="n">
        <v>980</v>
      </c>
      <c r="B981" t="inlineStr">
        <is>
          <t>1135036060000</t>
        </is>
      </c>
      <c r="C981" t="inlineStr">
        <is>
          <t>CONTACTOR 0.5-10HP 9A TESYS  K-LINE 600V</t>
        </is>
      </c>
      <c r="D981" t="inlineStr">
        <is>
          <t>1800108948</t>
        </is>
      </c>
      <c r="E981" t="inlineStr">
        <is>
          <t>190</t>
        </is>
      </c>
      <c r="F981" s="163" t="n">
        <v>45462</v>
      </c>
      <c r="G981" t="inlineStr"/>
      <c r="H981" t="inlineStr">
        <is>
          <t>4200571638</t>
        </is>
      </c>
      <c r="I981" t="inlineStr">
        <is>
          <t>20</t>
        </is>
      </c>
      <c r="J981" s="163" t="n">
        <v>45495</v>
      </c>
      <c r="K981" s="163" t="n">
        <v>45497</v>
      </c>
      <c r="L981" t="inlineStr"/>
      <c r="M981" s="163" t="n">
        <v>45502</v>
      </c>
      <c r="N981" s="164" t="n">
        <v>30</v>
      </c>
      <c r="O981" s="164" t="n">
        <v>8</v>
      </c>
      <c r="P981" t="inlineStr">
        <is>
          <t>Liberado</t>
        </is>
      </c>
      <c r="Q981" s="166" t="n">
        <v>1</v>
      </c>
      <c r="R981" s="166" t="n">
        <v>1</v>
      </c>
      <c r="S981" s="166" t="n">
        <v>1</v>
      </c>
      <c r="T981" s="166" t="n">
        <v>0</v>
      </c>
      <c r="U981" s="166" t="n">
        <v>1</v>
      </c>
      <c r="V981" s="166" t="n">
        <v>0</v>
      </c>
      <c r="W981" t="inlineStr">
        <is>
          <t>X</t>
        </is>
      </c>
      <c r="X981" t="inlineStr">
        <is>
          <t>0.00</t>
        </is>
      </c>
      <c r="Y981" t="inlineStr"/>
      <c r="Z981" t="inlineStr">
        <is>
          <t>LUJISA, S.A.</t>
        </is>
      </c>
      <c r="AA981" t="inlineStr">
        <is>
          <t>TELEMECANIQUE</t>
        </is>
      </c>
      <c r="AB981" t="inlineStr">
        <is>
          <t>LP2K0910BD</t>
        </is>
      </c>
      <c r="AC981" t="inlineStr"/>
      <c r="AD981" s="164" t="n">
        <v>0</v>
      </c>
      <c r="AE981" s="185" t="n">
        <v>0</v>
      </c>
      <c r="AG981" s="167" t="inlineStr">
        <is>
          <t>7218|JA2612_1001</t>
        </is>
      </c>
      <c r="AH981" s="47">
        <f>IF(M981=0,"-",M981-J981)</f>
        <v/>
      </c>
      <c r="AI981" s="46">
        <f>IF(AND(S981=0,M981&gt;0,L981=0),IF(AH981&gt;=120,"VERY HIGH",IF(AH981&gt;=90,"HIGH",IF(AH981&gt;=60,"MEDIUM",IF(AH981&lt;60,"LOW")))),"-")</f>
        <v/>
      </c>
      <c r="AJ981" s="12" t="n"/>
      <c r="AK981" s="53">
        <f>IF(AND(W981="X",M981&lt;=$AJ$2),"YES","")</f>
        <v/>
      </c>
      <c r="AL981" s="54">
        <f>IF(AND(W981="X",M981&lt;=$AJ$2),S981,"")</f>
        <v/>
      </c>
      <c r="AM981" s="35" t="n"/>
      <c r="AN981" s="35">
        <f>IF(AND(W981="X",M981&gt;$AJ$2),S981,"")</f>
        <v/>
      </c>
      <c r="AO981" s="35">
        <f>IF(AND(W981="",M981&gt;0,$AJ$2&gt;M981,L981=""),1,0)</f>
        <v/>
      </c>
      <c r="AP981" s="35">
        <f>IF(AND(AK981="YES",W981="X"),"X","")</f>
        <v/>
      </c>
      <c r="AQ981" s="55">
        <f>IF(AP981="X",100%,0%)</f>
        <v/>
      </c>
      <c r="AR981" s="25">
        <f>IF(AND(T981&gt;0,L981=""),H981,"")</f>
        <v/>
      </c>
      <c r="AS981" s="25">
        <f>IF(AND(D981&gt;0,H981=0,G981=""),1,"")</f>
        <v/>
      </c>
      <c r="AT981" s="25">
        <f>IF(G981="BLOQ",1,"")</f>
        <v/>
      </c>
      <c r="AU981" s="25">
        <f>IF(L981="BLOQ",1,"")</f>
        <v/>
      </c>
      <c r="AV981" s="25">
        <f>MONTH(F981)</f>
        <v/>
      </c>
      <c r="AW981" s="65">
        <f>IF(AP981="",100%,0%)</f>
        <v/>
      </c>
      <c r="AX981" s="56" t="n"/>
      <c r="AY981" s="24">
        <f>IF(M981=0,"",M981-$AX$2)</f>
        <v/>
      </c>
      <c r="AZ981" s="66">
        <f>IF(AND(W981="",AY981&gt;0,AY981&lt;15),1,0)</f>
        <v/>
      </c>
      <c r="BA981" s="24">
        <f>IF(AND(W981="",AY981&gt;0,AY981&lt;15),T981,"")</f>
        <v/>
      </c>
      <c r="BB981" s="87">
        <f>IF(R981&lt;Q981,"X","")</f>
        <v/>
      </c>
      <c r="BC981" s="190" t="inlineStr">
        <is>
          <t>NO</t>
        </is>
      </c>
      <c r="BD981" s="191" t="inlineStr">
        <is>
          <t>SI</t>
        </is>
      </c>
    </row>
    <row r="982" ht="15" customHeight="1" s="162">
      <c r="A982" s="7" t="n">
        <v>981</v>
      </c>
      <c r="B982" t="inlineStr">
        <is>
          <t>1139022450400</t>
        </is>
      </c>
      <c r="C982" t="inlineStr">
        <is>
          <t>RELE INTERFACE 4PDT 24V/5A CO CARRIL SER</t>
        </is>
      </c>
      <c r="D982" t="inlineStr">
        <is>
          <t>1800108948</t>
        </is>
      </c>
      <c r="E982" t="inlineStr">
        <is>
          <t>200</t>
        </is>
      </c>
      <c r="F982" s="163" t="n">
        <v>45462</v>
      </c>
      <c r="G982" t="inlineStr"/>
      <c r="H982" t="inlineStr">
        <is>
          <t>4200571557</t>
        </is>
      </c>
      <c r="I982" t="inlineStr">
        <is>
          <t>170</t>
        </is>
      </c>
      <c r="J982" s="163" t="n">
        <v>45492</v>
      </c>
      <c r="K982" s="163" t="n">
        <v>45497</v>
      </c>
      <c r="L982" t="inlineStr"/>
      <c r="M982" s="163" t="n">
        <v>45504</v>
      </c>
      <c r="N982" s="164" t="n">
        <v>98</v>
      </c>
      <c r="O982" s="164" t="n">
        <v>8</v>
      </c>
      <c r="P982" t="inlineStr">
        <is>
          <t>Liberado</t>
        </is>
      </c>
      <c r="Q982" s="166" t="n">
        <v>5</v>
      </c>
      <c r="R982" s="166" t="n">
        <v>5</v>
      </c>
      <c r="S982" s="166" t="n">
        <v>5</v>
      </c>
      <c r="T982" s="166" t="n">
        <v>0</v>
      </c>
      <c r="U982" s="166" t="n">
        <v>5</v>
      </c>
      <c r="V982" s="166" t="n">
        <v>0</v>
      </c>
      <c r="W982" t="inlineStr">
        <is>
          <t>X</t>
        </is>
      </c>
      <c r="X982" t="inlineStr">
        <is>
          <t>0.00</t>
        </is>
      </c>
      <c r="Y982" t="inlineStr"/>
      <c r="Z982" t="inlineStr">
        <is>
          <t>TELKRON, S.A.</t>
        </is>
      </c>
      <c r="AA982" t="inlineStr">
        <is>
          <t>RS AMIDATA</t>
        </is>
      </c>
      <c r="AB982" t="inlineStr">
        <is>
          <t>329-7358</t>
        </is>
      </c>
      <c r="AC982" t="inlineStr"/>
      <c r="AD982" s="164" t="n">
        <v>0</v>
      </c>
      <c r="AE982" s="185" t="n">
        <v>0</v>
      </c>
      <c r="AG982" s="167" t="inlineStr">
        <is>
          <t>7218|JA2581_1001</t>
        </is>
      </c>
      <c r="AH982" s="47">
        <f>IF(M982=0,"-",M982-J982)</f>
        <v/>
      </c>
      <c r="AI982" s="46">
        <f>IF(AND(S982=0,M982&gt;0,L982=0),IF(AH982&gt;=120,"VERY HIGH",IF(AH982&gt;=90,"HIGH",IF(AH982&gt;=60,"MEDIUM",IF(AH982&lt;60,"LOW")))),"-")</f>
        <v/>
      </c>
      <c r="AJ982" s="12" t="n"/>
      <c r="AK982" s="53">
        <f>IF(AND(W982="X",M982&lt;=$AJ$2),"YES","")</f>
        <v/>
      </c>
      <c r="AL982" s="54">
        <f>IF(AND(W982="X",M982&lt;=$AJ$2),S982,"")</f>
        <v/>
      </c>
      <c r="AM982" s="35" t="n"/>
      <c r="AN982" s="35">
        <f>IF(AND(W982="X",M982&gt;$AJ$2),S982,"")</f>
        <v/>
      </c>
      <c r="AO982" s="35">
        <f>IF(AND(W982="",M982&gt;0,$AJ$2&gt;M982,L982=""),1,0)</f>
        <v/>
      </c>
      <c r="AP982" s="35">
        <f>IF(AND(AK982="YES",W982="X"),"X","")</f>
        <v/>
      </c>
      <c r="AQ982" s="55">
        <f>IF(AP982="X",100%,0%)</f>
        <v/>
      </c>
      <c r="AR982" s="25">
        <f>IF(AND(T982&gt;0,L982=""),H982,"")</f>
        <v/>
      </c>
      <c r="AS982" s="25">
        <f>IF(AND(D982&gt;0,H982=0,G982=""),1,"")</f>
        <v/>
      </c>
      <c r="AT982" s="25">
        <f>IF(G982="BLOQ",1,"")</f>
        <v/>
      </c>
      <c r="AU982" s="25">
        <f>IF(L982="BLOQ",1,"")</f>
        <v/>
      </c>
      <c r="AV982" s="25">
        <f>MONTH(F982)</f>
        <v/>
      </c>
      <c r="AW982" s="65">
        <f>IF(AP982="",100%,0%)</f>
        <v/>
      </c>
      <c r="AX982" s="56" t="n"/>
      <c r="AY982" s="24">
        <f>IF(M982=0,"",M982-$AX$2)</f>
        <v/>
      </c>
      <c r="AZ982" s="66">
        <f>IF(AND(W982="",AY982&gt;0,AY982&lt;15),1,0)</f>
        <v/>
      </c>
      <c r="BA982" s="24">
        <f>IF(AND(W982="",AY982&gt;0,AY982&lt;15),T982,"")</f>
        <v/>
      </c>
      <c r="BB982" s="87">
        <f>IF(R982&lt;Q982,"X","")</f>
        <v/>
      </c>
      <c r="BC982" s="190" t="inlineStr">
        <is>
          <t>NO</t>
        </is>
      </c>
      <c r="BD982" s="191" t="inlineStr">
        <is>
          <t>SI</t>
        </is>
      </c>
    </row>
    <row r="983" ht="15" customHeight="1" s="162">
      <c r="A983" s="7" t="n">
        <v>982</v>
      </c>
      <c r="B983" t="inlineStr">
        <is>
          <t>1139990091101</t>
        </is>
      </c>
      <c r="C983" t="inlineStr">
        <is>
          <t>ZOCALO C/BORNES DIN 35MM AZ P/RELE 56.32</t>
        </is>
      </c>
      <c r="D983" t="inlineStr">
        <is>
          <t>1800108948</t>
        </is>
      </c>
      <c r="E983" t="inlineStr">
        <is>
          <t>210</t>
        </is>
      </c>
      <c r="F983" s="163" t="n">
        <v>45462</v>
      </c>
      <c r="G983" t="inlineStr"/>
      <c r="H983" t="inlineStr">
        <is>
          <t>4200572651</t>
        </is>
      </c>
      <c r="I983" t="inlineStr">
        <is>
          <t>10</t>
        </is>
      </c>
      <c r="J983" s="163" t="n">
        <v>45502</v>
      </c>
      <c r="K983" s="163" t="n">
        <v>45502</v>
      </c>
      <c r="L983" t="inlineStr"/>
      <c r="M983" s="163" t="n">
        <v>45504</v>
      </c>
      <c r="N983" s="164" t="n">
        <v>80</v>
      </c>
      <c r="O983" s="164" t="n">
        <v>8</v>
      </c>
      <c r="P983" t="inlineStr">
        <is>
          <t>Liberado</t>
        </is>
      </c>
      <c r="Q983" s="166" t="n">
        <v>10</v>
      </c>
      <c r="R983" s="166" t="n">
        <v>10</v>
      </c>
      <c r="S983" s="166" t="n">
        <v>10</v>
      </c>
      <c r="T983" s="166" t="n">
        <v>0</v>
      </c>
      <c r="U983" s="166" t="n">
        <v>10</v>
      </c>
      <c r="V983" s="166" t="n">
        <v>0</v>
      </c>
      <c r="W983" t="inlineStr">
        <is>
          <t>X</t>
        </is>
      </c>
      <c r="X983" t="inlineStr">
        <is>
          <t>0.00</t>
        </is>
      </c>
      <c r="Y983" t="inlineStr"/>
      <c r="Z983" t="inlineStr">
        <is>
          <t>ARRAY ELECTRONICA PROFESIONAL, S.A.</t>
        </is>
      </c>
      <c r="AA983" t="inlineStr">
        <is>
          <t>FINDER</t>
        </is>
      </c>
      <c r="AB983" t="inlineStr">
        <is>
          <t>96.72SMA</t>
        </is>
      </c>
      <c r="AC983" t="inlineStr"/>
      <c r="AD983" s="164" t="n">
        <v>0</v>
      </c>
      <c r="AE983" s="185" t="n">
        <v>0</v>
      </c>
      <c r="AG983" s="167" t="inlineStr">
        <is>
          <t>7218|JA2612_1001</t>
        </is>
      </c>
      <c r="AH983" s="47">
        <f>IF(M983=0,"-",M983-J983)</f>
        <v/>
      </c>
      <c r="AI983" s="46">
        <f>IF(AND(S983=0,M983&gt;0,L983=0),IF(AH983&gt;=120,"VERY HIGH",IF(AH983&gt;=90,"HIGH",IF(AH983&gt;=60,"MEDIUM",IF(AH983&lt;60,"LOW")))),"-")</f>
        <v/>
      </c>
      <c r="AJ983" s="12" t="n"/>
      <c r="AK983" s="53">
        <f>IF(AND(W983="X",M983&lt;=$AJ$2),"YES","")</f>
        <v/>
      </c>
      <c r="AL983" s="54">
        <f>IF(AND(W983="X",M983&lt;=$AJ$2),S983,"")</f>
        <v/>
      </c>
      <c r="AM983" s="35" t="n"/>
      <c r="AN983" s="35">
        <f>IF(AND(W983="X",M983&gt;$AJ$2),S983,"")</f>
        <v/>
      </c>
      <c r="AO983" s="35">
        <f>IF(AND(W983="",M983&gt;0,$AJ$2&gt;M983,L983=""),1,0)</f>
        <v/>
      </c>
      <c r="AP983" s="35">
        <f>IF(AND(AK983="YES",W983="X"),"X","")</f>
        <v/>
      </c>
      <c r="AQ983" s="55">
        <f>IF(AP983="X",100%,0%)</f>
        <v/>
      </c>
      <c r="AR983" s="25">
        <f>IF(AND(T983&gt;0,L983=""),H983,"")</f>
        <v/>
      </c>
      <c r="AS983" s="25">
        <f>IF(AND(D983&gt;0,H983=0,G983=""),1,"")</f>
        <v/>
      </c>
      <c r="AT983" s="25">
        <f>IF(G983="BLOQ",1,"")</f>
        <v/>
      </c>
      <c r="AU983" s="25">
        <f>IF(L983="BLOQ",1,"")</f>
        <v/>
      </c>
      <c r="AV983" s="25">
        <f>MONTH(F983)</f>
        <v/>
      </c>
      <c r="AW983" s="65">
        <f>IF(AP983="",100%,0%)</f>
        <v/>
      </c>
      <c r="AX983" s="56" t="n"/>
      <c r="AY983" s="24">
        <f>IF(M983=0,"",M983-$AX$2)</f>
        <v/>
      </c>
      <c r="AZ983" s="66">
        <f>IF(AND(W983="",AY983&gt;0,AY983&lt;15),1,0)</f>
        <v/>
      </c>
      <c r="BA983" s="24">
        <f>IF(AND(W983="",AY983&gt;0,AY983&lt;15),T983,"")</f>
        <v/>
      </c>
      <c r="BB983" s="87">
        <f>IF(R983&lt;Q983,"X","")</f>
        <v/>
      </c>
      <c r="BC983" s="190" t="inlineStr">
        <is>
          <t>NO</t>
        </is>
      </c>
      <c r="BD983" s="191" t="inlineStr">
        <is>
          <t>SI</t>
        </is>
      </c>
    </row>
    <row r="984" ht="15" customHeight="1" s="162">
      <c r="A984" s="7" t="n">
        <v>983</v>
      </c>
      <c r="B984" t="inlineStr">
        <is>
          <t>1146093241000</t>
        </is>
      </c>
      <c r="C984" t="inlineStr">
        <is>
          <t>AVISADOR ACUSTICO 24VDC CAJA BLANCA</t>
        </is>
      </c>
      <c r="D984" t="inlineStr">
        <is>
          <t>1800108948</t>
        </is>
      </c>
      <c r="E984" t="inlineStr">
        <is>
          <t>220</t>
        </is>
      </c>
      <c r="F984" s="163" t="n">
        <v>45462</v>
      </c>
      <c r="G984" t="inlineStr"/>
      <c r="H984" t="inlineStr">
        <is>
          <t>4200571051</t>
        </is>
      </c>
      <c r="I984" t="inlineStr">
        <is>
          <t>20</t>
        </is>
      </c>
      <c r="J984" s="163" t="n">
        <v>45490</v>
      </c>
      <c r="K984" s="163" t="n">
        <v>45490</v>
      </c>
      <c r="L984" t="inlineStr"/>
      <c r="M984" s="163" t="n">
        <v>45499</v>
      </c>
      <c r="N984" s="164" t="n">
        <v>54</v>
      </c>
      <c r="O984" s="164" t="n">
        <v>8</v>
      </c>
      <c r="P984" t="inlineStr">
        <is>
          <t>Liberado</t>
        </is>
      </c>
      <c r="Q984" s="166" t="n">
        <v>1</v>
      </c>
      <c r="R984" s="166" t="n">
        <v>1</v>
      </c>
      <c r="S984" s="166" t="n">
        <v>1</v>
      </c>
      <c r="T984" s="166" t="n">
        <v>0</v>
      </c>
      <c r="U984" s="166" t="n">
        <v>1</v>
      </c>
      <c r="V984" s="166" t="n">
        <v>0</v>
      </c>
      <c r="W984" t="inlineStr">
        <is>
          <t>X</t>
        </is>
      </c>
      <c r="X984" t="inlineStr">
        <is>
          <t>0.00</t>
        </is>
      </c>
      <c r="Y984" t="inlineStr"/>
      <c r="Z984" t="inlineStr">
        <is>
          <t>ICOMPPLUS ELECTRONICS S.L</t>
        </is>
      </c>
      <c r="AA984" t="inlineStr">
        <is>
          <t>E2S</t>
        </is>
      </c>
      <c r="AB984" t="inlineStr">
        <is>
          <t>SONF1DC24W</t>
        </is>
      </c>
      <c r="AC984" t="inlineStr"/>
      <c r="AD984" s="164" t="n">
        <v>0</v>
      </c>
      <c r="AE984" s="185" t="n">
        <v>0</v>
      </c>
      <c r="AG984" s="167" t="inlineStr">
        <is>
          <t>7218|JA2581_1001</t>
        </is>
      </c>
      <c r="AH984" s="47">
        <f>IF(M984=0,"-",M984-J984)</f>
        <v/>
      </c>
      <c r="AI984" s="46">
        <f>IF(AND(S984=0,M984&gt;0,L984=0),IF(AH984&gt;=120,"VERY HIGH",IF(AH984&gt;=90,"HIGH",IF(AH984&gt;=60,"MEDIUM",IF(AH984&lt;60,"LOW")))),"-")</f>
        <v/>
      </c>
      <c r="AJ984" s="12" t="n"/>
      <c r="AK984" s="53">
        <f>IF(AND(W984="X",M984&lt;=$AJ$2),"YES","")</f>
        <v/>
      </c>
      <c r="AL984" s="54">
        <f>IF(AND(W984="X",M984&lt;=$AJ$2),S984,"")</f>
        <v/>
      </c>
      <c r="AM984" s="35" t="n"/>
      <c r="AN984" s="35">
        <f>IF(AND(W984="X",M984&gt;$AJ$2),S984,"")</f>
        <v/>
      </c>
      <c r="AO984" s="35">
        <f>IF(AND(W984="",M984&gt;0,$AJ$2&gt;M984,L984=""),1,0)</f>
        <v/>
      </c>
      <c r="AP984" s="35">
        <f>IF(AND(AK984="YES",W984="X"),"X","")</f>
        <v/>
      </c>
      <c r="AQ984" s="55">
        <f>IF(AP984="X",100%,0%)</f>
        <v/>
      </c>
      <c r="AR984" s="25">
        <f>IF(AND(T984&gt;0,L984=""),H984,"")</f>
        <v/>
      </c>
      <c r="AS984" s="25">
        <f>IF(AND(D984&gt;0,H984=0,G984=""),1,"")</f>
        <v/>
      </c>
      <c r="AT984" s="25">
        <f>IF(G984="BLOQ",1,"")</f>
        <v/>
      </c>
      <c r="AU984" s="25">
        <f>IF(L984="BLOQ",1,"")</f>
        <v/>
      </c>
      <c r="AV984" s="25">
        <f>MONTH(F984)</f>
        <v/>
      </c>
      <c r="AW984" s="65">
        <f>IF(AP984="",100%,0%)</f>
        <v/>
      </c>
      <c r="AX984" s="56" t="n"/>
      <c r="AY984" s="24">
        <f>IF(M984=0,"",M984-$AX$2)</f>
        <v/>
      </c>
      <c r="AZ984" s="66">
        <f>IF(AND(W984="",AY984&gt;0,AY984&lt;15),1,0)</f>
        <v/>
      </c>
      <c r="BA984" s="24">
        <f>IF(AND(W984="",AY984&gt;0,AY984&lt;15),T984,"")</f>
        <v/>
      </c>
      <c r="BB984" s="87">
        <f>IF(R984&lt;Q984,"X","")</f>
        <v/>
      </c>
      <c r="BC984" s="191" t="inlineStr">
        <is>
          <t>SI</t>
        </is>
      </c>
      <c r="BD984" s="191" t="inlineStr">
        <is>
          <t>SI</t>
        </is>
      </c>
    </row>
    <row r="985" ht="15" customHeight="1" s="162">
      <c r="A985" s="7" t="n">
        <v>984</v>
      </c>
      <c r="B985" t="inlineStr">
        <is>
          <t>1237000289000</t>
        </is>
      </c>
      <c r="C985" t="inlineStr">
        <is>
          <t>PUENTE P/TERMINAL REGLETA 24A GRIS</t>
        </is>
      </c>
      <c r="D985" t="inlineStr">
        <is>
          <t>1800108948</t>
        </is>
      </c>
      <c r="E985" t="inlineStr">
        <is>
          <t>230</t>
        </is>
      </c>
      <c r="F985" s="163" t="n">
        <v>45462</v>
      </c>
      <c r="G985" t="inlineStr"/>
      <c r="H985" t="inlineStr">
        <is>
          <t>4200572680</t>
        </is>
      </c>
      <c r="I985" t="inlineStr">
        <is>
          <t>10</t>
        </is>
      </c>
      <c r="J985" s="163" t="n">
        <v>45502</v>
      </c>
      <c r="K985" s="163" t="n">
        <v>45502</v>
      </c>
      <c r="L985" t="inlineStr"/>
      <c r="M985" s="163" t="n">
        <v>45505</v>
      </c>
      <c r="N985" s="164" t="n">
        <v>30</v>
      </c>
      <c r="O985" s="164" t="n">
        <v>8</v>
      </c>
      <c r="P985" t="inlineStr">
        <is>
          <t>Liberado</t>
        </is>
      </c>
      <c r="Q985" s="166" t="n">
        <v>200</v>
      </c>
      <c r="R985" s="166" t="n">
        <v>200</v>
      </c>
      <c r="S985" s="166" t="n">
        <v>200</v>
      </c>
      <c r="T985" s="166" t="n">
        <v>0</v>
      </c>
      <c r="U985" s="166" t="n">
        <v>200</v>
      </c>
      <c r="V985" s="166" t="n">
        <v>0</v>
      </c>
      <c r="W985" t="inlineStr">
        <is>
          <t>X</t>
        </is>
      </c>
      <c r="X985" t="inlineStr">
        <is>
          <t>0.00</t>
        </is>
      </c>
      <c r="Y985" t="inlineStr"/>
      <c r="Z985" t="inlineStr">
        <is>
          <t>DICOMAT, S.L.</t>
        </is>
      </c>
      <c r="AA985" t="inlineStr">
        <is>
          <t>WAGO</t>
        </is>
      </c>
      <c r="AB985" t="inlineStr">
        <is>
          <t>280-402</t>
        </is>
      </c>
      <c r="AC985" t="inlineStr"/>
      <c r="AD985" s="164" t="n">
        <v>0</v>
      </c>
      <c r="AE985" s="185" t="n">
        <v>0</v>
      </c>
      <c r="AG985" s="167" t="inlineStr">
        <is>
          <t>7218|JA2581_1001</t>
        </is>
      </c>
      <c r="AH985" s="47">
        <f>IF(M985=0,"-",M985-J985)</f>
        <v/>
      </c>
      <c r="AI985" s="46">
        <f>IF(AND(S985=0,M985&gt;0,L985=0),IF(AH985&gt;=120,"VERY HIGH",IF(AH985&gt;=90,"HIGH",IF(AH985&gt;=60,"MEDIUM",IF(AH985&lt;60,"LOW")))),"-")</f>
        <v/>
      </c>
      <c r="AJ985" s="12" t="n"/>
      <c r="AK985" s="53">
        <f>IF(AND(W985="X",M985&lt;=$AJ$2),"YES","")</f>
        <v/>
      </c>
      <c r="AL985" s="54">
        <f>IF(AND(W985="X",M985&lt;=$AJ$2),S985,"")</f>
        <v/>
      </c>
      <c r="AM985" s="35" t="n"/>
      <c r="AN985" s="35">
        <f>IF(AND(W985="X",M985&gt;$AJ$2),S985,"")</f>
        <v/>
      </c>
      <c r="AO985" s="35">
        <f>IF(AND(W985="",M985&gt;0,$AJ$2&gt;M985,L985=""),1,0)</f>
        <v/>
      </c>
      <c r="AP985" s="35">
        <f>IF(AND(AK985="YES",W985="X"),"X","")</f>
        <v/>
      </c>
      <c r="AQ985" s="55">
        <f>IF(AP985="X",100%,0%)</f>
        <v/>
      </c>
      <c r="AR985" s="25">
        <f>IF(AND(T985&gt;0,L985=""),H985,"")</f>
        <v/>
      </c>
      <c r="AS985" s="25">
        <f>IF(AND(D985&gt;0,H985=0,G985=""),1,"")</f>
        <v/>
      </c>
      <c r="AT985" s="25">
        <f>IF(G985="BLOQ",1,"")</f>
        <v/>
      </c>
      <c r="AU985" s="25">
        <f>IF(L985="BLOQ",1,"")</f>
        <v/>
      </c>
      <c r="AV985" s="25">
        <f>MONTH(F985)</f>
        <v/>
      </c>
      <c r="AW985" s="65">
        <f>IF(AP985="",100%,0%)</f>
        <v/>
      </c>
      <c r="AX985" s="56" t="n"/>
      <c r="AY985" s="24">
        <f>IF(M985=0,"",M985-$AX$2)</f>
        <v/>
      </c>
      <c r="AZ985" s="66">
        <f>IF(AND(W985="",AY985&gt;0,AY985&lt;15),1,0)</f>
        <v/>
      </c>
      <c r="BA985" s="24">
        <f>IF(AND(W985="",AY985&gt;0,AY985&lt;15),T985,"")</f>
        <v/>
      </c>
      <c r="BB985" s="87">
        <f>IF(R985&lt;Q985,"X","")</f>
        <v/>
      </c>
      <c r="BC985" s="190" t="inlineStr">
        <is>
          <t>NO</t>
        </is>
      </c>
      <c r="BD985" s="191" t="inlineStr">
        <is>
          <t>SI</t>
        </is>
      </c>
    </row>
    <row r="986" ht="15" customHeight="1" s="162">
      <c r="A986" s="7" t="n">
        <v>985</v>
      </c>
      <c r="B986" t="inlineStr">
        <is>
          <t>1237090351000</t>
        </is>
      </c>
      <c r="C986" t="inlineStr">
        <is>
          <t>PLACA FINAL/INTERM 0.8X33X70MM GRIS</t>
        </is>
      </c>
      <c r="D986" t="inlineStr">
        <is>
          <t>1800108948</t>
        </is>
      </c>
      <c r="E986" t="inlineStr">
        <is>
          <t>240</t>
        </is>
      </c>
      <c r="F986" s="163" t="n">
        <v>45462</v>
      </c>
      <c r="G986" t="inlineStr"/>
      <c r="H986" t="inlineStr">
        <is>
          <t>4200572680</t>
        </is>
      </c>
      <c r="I986" t="inlineStr">
        <is>
          <t>20</t>
        </is>
      </c>
      <c r="J986" s="163" t="n">
        <v>45502</v>
      </c>
      <c r="K986" s="163" t="n">
        <v>45502</v>
      </c>
      <c r="L986" t="inlineStr"/>
      <c r="M986" s="163" t="n">
        <v>45505</v>
      </c>
      <c r="N986" s="164" t="n">
        <v>30</v>
      </c>
      <c r="O986" s="164" t="n">
        <v>8</v>
      </c>
      <c r="P986" t="inlineStr">
        <is>
          <t>Liberado</t>
        </is>
      </c>
      <c r="Q986" s="166" t="n">
        <v>110</v>
      </c>
      <c r="R986" s="166" t="n">
        <v>110</v>
      </c>
      <c r="S986" s="166" t="n">
        <v>110</v>
      </c>
      <c r="T986" s="166" t="n">
        <v>0</v>
      </c>
      <c r="U986" s="166" t="n">
        <v>110</v>
      </c>
      <c r="V986" s="166" t="n">
        <v>0</v>
      </c>
      <c r="W986" t="inlineStr">
        <is>
          <t>X</t>
        </is>
      </c>
      <c r="X986" t="inlineStr">
        <is>
          <t>0.00</t>
        </is>
      </c>
      <c r="Y986" t="inlineStr"/>
      <c r="Z986" t="inlineStr">
        <is>
          <t>DICOMAT, S.L.</t>
        </is>
      </c>
      <c r="AA986" t="inlineStr">
        <is>
          <t>WAGO</t>
        </is>
      </c>
      <c r="AB986" t="inlineStr">
        <is>
          <t>2002-1491</t>
        </is>
      </c>
      <c r="AC986" t="inlineStr"/>
      <c r="AD986" s="164" t="n">
        <v>0</v>
      </c>
      <c r="AE986" s="185" t="n">
        <v>0</v>
      </c>
      <c r="AG986" s="167" t="inlineStr">
        <is>
          <t>7218|JA2581_1001</t>
        </is>
      </c>
      <c r="AH986" s="47">
        <f>IF(M986=0,"-",M986-J986)</f>
        <v/>
      </c>
      <c r="AI986" s="46">
        <f>IF(AND(S986=0,M986&gt;0,L986=0),IF(AH986&gt;=120,"VERY HIGH",IF(AH986&gt;=90,"HIGH",IF(AH986&gt;=60,"MEDIUM",IF(AH986&lt;60,"LOW")))),"-")</f>
        <v/>
      </c>
      <c r="AJ986" s="12" t="n"/>
      <c r="AK986" s="53">
        <f>IF(AND(W986="X",M986&lt;=$AJ$2),"YES","")</f>
        <v/>
      </c>
      <c r="AL986" s="54">
        <f>IF(AND(W986="X",M986&lt;=$AJ$2),S986,"")</f>
        <v/>
      </c>
      <c r="AM986" s="35" t="n"/>
      <c r="AN986" s="35">
        <f>IF(AND(W986="X",M986&gt;$AJ$2),S986,"")</f>
        <v/>
      </c>
      <c r="AO986" s="35">
        <f>IF(AND(W986="",M986&gt;0,$AJ$2&gt;M986,L986=""),1,0)</f>
        <v/>
      </c>
      <c r="AP986" s="35">
        <f>IF(AND(AK986="YES",W986="X"),"X","")</f>
        <v/>
      </c>
      <c r="AQ986" s="55">
        <f>IF(AP986="X",100%,0%)</f>
        <v/>
      </c>
      <c r="AR986" s="25">
        <f>IF(AND(T986&gt;0,L986=""),H986,"")</f>
        <v/>
      </c>
      <c r="AS986" s="25">
        <f>IF(AND(D986&gt;0,H986=0,G986=""),1,"")</f>
        <v/>
      </c>
      <c r="AT986" s="25">
        <f>IF(G986="BLOQ",1,"")</f>
        <v/>
      </c>
      <c r="AU986" s="25">
        <f>IF(L986="BLOQ",1,"")</f>
        <v/>
      </c>
      <c r="AV986" s="25">
        <f>MONTH(F986)</f>
        <v/>
      </c>
      <c r="AW986" s="65">
        <f>IF(AP986="",100%,0%)</f>
        <v/>
      </c>
      <c r="AX986" s="56" t="n"/>
      <c r="AY986" s="24">
        <f>IF(M986=0,"",M986-$AX$2)</f>
        <v/>
      </c>
      <c r="AZ986" s="66">
        <f>IF(AND(W986="",AY986&gt;0,AY986&lt;15),1,0)</f>
        <v/>
      </c>
      <c r="BA986" s="24">
        <f>IF(AND(W986="",AY986&gt;0,AY986&lt;15),T986,"")</f>
        <v/>
      </c>
      <c r="BB986" s="87">
        <f>IF(R986&lt;Q986,"X","")</f>
        <v/>
      </c>
      <c r="BC986" s="190" t="inlineStr">
        <is>
          <t>NO</t>
        </is>
      </c>
      <c r="BD986" s="191" t="inlineStr">
        <is>
          <t>SI</t>
        </is>
      </c>
    </row>
    <row r="987" ht="15" customHeight="1" s="162">
      <c r="A987" s="7" t="n">
        <v>986</v>
      </c>
      <c r="B987" t="inlineStr">
        <is>
          <t>1237090959001</t>
        </is>
      </c>
      <c r="C987" t="inlineStr">
        <is>
          <t>BLOQUE TERMINAL DE CONEXION GRIS CARRIL</t>
        </is>
      </c>
      <c r="D987" t="inlineStr">
        <is>
          <t>1800108948</t>
        </is>
      </c>
      <c r="E987" t="inlineStr">
        <is>
          <t>250</t>
        </is>
      </c>
      <c r="F987" s="163" t="n">
        <v>45462</v>
      </c>
      <c r="G987" t="inlineStr"/>
      <c r="H987" t="inlineStr">
        <is>
          <t>4200572680</t>
        </is>
      </c>
      <c r="I987" t="inlineStr">
        <is>
          <t>30</t>
        </is>
      </c>
      <c r="J987" s="163" t="n">
        <v>45502</v>
      </c>
      <c r="K987" s="163" t="n">
        <v>45502</v>
      </c>
      <c r="L987" t="inlineStr"/>
      <c r="M987" s="163" t="n">
        <v>45523</v>
      </c>
      <c r="N987" s="164" t="n">
        <v>85</v>
      </c>
      <c r="O987" s="164" t="n">
        <v>8</v>
      </c>
      <c r="P987" t="inlineStr">
        <is>
          <t>Liberado</t>
        </is>
      </c>
      <c r="Q987" s="166" t="n">
        <v>150</v>
      </c>
      <c r="R987" s="166" t="n">
        <v>150</v>
      </c>
      <c r="S987" s="166" t="n">
        <v>150</v>
      </c>
      <c r="T987" s="166" t="n">
        <v>0</v>
      </c>
      <c r="U987" s="166" t="n">
        <v>150</v>
      </c>
      <c r="V987" s="166" t="n">
        <v>0</v>
      </c>
      <c r="W987" t="inlineStr">
        <is>
          <t>X</t>
        </is>
      </c>
      <c r="X987" t="inlineStr">
        <is>
          <t>0.00</t>
        </is>
      </c>
      <c r="Y987" t="inlineStr"/>
      <c r="Z987" t="inlineStr">
        <is>
          <t>DICOMAT, S.L.</t>
        </is>
      </c>
      <c r="AA987" t="inlineStr">
        <is>
          <t>WAGO</t>
        </is>
      </c>
      <c r="AB987" t="inlineStr">
        <is>
          <t>2002-1401</t>
        </is>
      </c>
      <c r="AC987" t="inlineStr"/>
      <c r="AD987" s="164" t="n">
        <v>0</v>
      </c>
      <c r="AE987" s="185" t="n">
        <v>0</v>
      </c>
      <c r="AG987" s="167" t="inlineStr">
        <is>
          <t>7218|JA2581_1001</t>
        </is>
      </c>
      <c r="AH987" s="47">
        <f>IF(M987=0,"-",M987-J987)</f>
        <v/>
      </c>
      <c r="AI987" s="46">
        <f>IF(AND(S987=0,M987&gt;0,L987=0),IF(AH987&gt;=120,"VERY HIGH",IF(AH987&gt;=90,"HIGH",IF(AH987&gt;=60,"MEDIUM",IF(AH987&lt;60,"LOW")))),"-")</f>
        <v/>
      </c>
      <c r="AJ987" s="12" t="n"/>
      <c r="AK987" s="53">
        <f>IF(AND(W987="X",M987&lt;=$AJ$2),"YES","")</f>
        <v/>
      </c>
      <c r="AL987" s="54">
        <f>IF(AND(W987="X",M987&lt;=$AJ$2),S987,"")</f>
        <v/>
      </c>
      <c r="AM987" s="35" t="n"/>
      <c r="AN987" s="35">
        <f>IF(AND(W987="X",M987&gt;$AJ$2),S987,"")</f>
        <v/>
      </c>
      <c r="AO987" s="35">
        <f>IF(AND(W987="",M987&gt;0,$AJ$2&gt;M987,L987=""),1,0)</f>
        <v/>
      </c>
      <c r="AP987" s="35">
        <f>IF(AND(AK987="YES",W987="X"),"X","")</f>
        <v/>
      </c>
      <c r="AQ987" s="55">
        <f>IF(AP987="X",100%,0%)</f>
        <v/>
      </c>
      <c r="AR987" s="25">
        <f>IF(AND(T987&gt;0,L987=""),H987,"")</f>
        <v/>
      </c>
      <c r="AS987" s="25">
        <f>IF(AND(D987&gt;0,H987=0,G987=""),1,"")</f>
        <v/>
      </c>
      <c r="AT987" s="25">
        <f>IF(G987="BLOQ",1,"")</f>
        <v/>
      </c>
      <c r="AU987" s="25">
        <f>IF(L987="BLOQ",1,"")</f>
        <v/>
      </c>
      <c r="AV987" s="25">
        <f>MONTH(F987)</f>
        <v/>
      </c>
      <c r="AW987" s="65">
        <f>IF(AP987="",100%,0%)</f>
        <v/>
      </c>
      <c r="AX987" s="56" t="n"/>
      <c r="AY987" s="24">
        <f>IF(M987=0,"",M987-$AX$2)</f>
        <v/>
      </c>
      <c r="AZ987" s="66">
        <f>IF(AND(W987="",AY987&gt;0,AY987&lt;15),1,0)</f>
        <v/>
      </c>
      <c r="BA987" s="24">
        <f>IF(AND(W987="",AY987&gt;0,AY987&lt;15),T987,"")</f>
        <v/>
      </c>
      <c r="BB987" s="87">
        <f>IF(R987&lt;Q987,"X","")</f>
        <v/>
      </c>
      <c r="BC987" s="190" t="inlineStr">
        <is>
          <t>NO</t>
        </is>
      </c>
      <c r="BD987" s="191" t="inlineStr">
        <is>
          <t>SI</t>
        </is>
      </c>
    </row>
    <row r="988" ht="15" customHeight="1" s="162">
      <c r="A988" s="7" t="n">
        <v>987</v>
      </c>
      <c r="B988" t="inlineStr">
        <is>
          <t>1238514160202</t>
        </is>
      </c>
      <c r="C988" t="inlineStr">
        <is>
          <t>TERMINAL PREAISL RED M4  AWG22-16 ROJO</t>
        </is>
      </c>
      <c r="D988" t="inlineStr">
        <is>
          <t>1800108948</t>
        </is>
      </c>
      <c r="E988" t="inlineStr">
        <is>
          <t>260</t>
        </is>
      </c>
      <c r="F988" s="163" t="n">
        <v>45462</v>
      </c>
      <c r="G988" t="inlineStr"/>
      <c r="H988" t="inlineStr">
        <is>
          <t>4200570653</t>
        </is>
      </c>
      <c r="I988" t="inlineStr">
        <is>
          <t>150</t>
        </is>
      </c>
      <c r="J988" s="163" t="n">
        <v>45488</v>
      </c>
      <c r="K988" s="163" t="n">
        <v>45744</v>
      </c>
      <c r="L988" t="inlineStr"/>
      <c r="M988" s="163" t="n">
        <v>45500</v>
      </c>
      <c r="N988" s="164" t="n">
        <v>45</v>
      </c>
      <c r="O988" s="164" t="n">
        <v>8</v>
      </c>
      <c r="P988" t="inlineStr">
        <is>
          <t>Liberado</t>
        </is>
      </c>
      <c r="Q988" s="166" t="n">
        <v>100</v>
      </c>
      <c r="R988" s="166" t="n">
        <v>100</v>
      </c>
      <c r="S988" s="166" t="n">
        <v>100</v>
      </c>
      <c r="T988" s="166" t="n">
        <v>0</v>
      </c>
      <c r="U988" s="166" t="n">
        <v>100</v>
      </c>
      <c r="V988" s="166" t="n">
        <v>0</v>
      </c>
      <c r="W988" t="inlineStr">
        <is>
          <t>X</t>
        </is>
      </c>
      <c r="X988" t="inlineStr">
        <is>
          <t>0.00</t>
        </is>
      </c>
      <c r="Y988" t="inlineStr"/>
      <c r="Z988" t="inlineStr">
        <is>
          <t>TELKRON, S.A.</t>
        </is>
      </c>
      <c r="AA988" t="inlineStr">
        <is>
          <t>RS AMIDATA</t>
        </is>
      </c>
      <c r="AB988" t="inlineStr">
        <is>
          <t>841-968</t>
        </is>
      </c>
      <c r="AC988" t="inlineStr"/>
      <c r="AD988" s="164" t="n">
        <v>0</v>
      </c>
      <c r="AE988" s="185" t="n">
        <v>0</v>
      </c>
      <c r="AG988" s="167" t="inlineStr">
        <is>
          <t>7218|JA2581_1001</t>
        </is>
      </c>
      <c r="AH988" s="47">
        <f>IF(M988=0,"-",M988-J988)</f>
        <v/>
      </c>
      <c r="AI988" s="46">
        <f>IF(AND(S988=0,M988&gt;0,L988=0),IF(AH988&gt;=120,"VERY HIGH",IF(AH988&gt;=90,"HIGH",IF(AH988&gt;=60,"MEDIUM",IF(AH988&lt;60,"LOW")))),"-")</f>
        <v/>
      </c>
      <c r="AJ988" s="12" t="n"/>
      <c r="AK988" s="53">
        <f>IF(AND(W988="X",M988&lt;=$AJ$2),"YES","")</f>
        <v/>
      </c>
      <c r="AL988" s="54">
        <f>IF(AND(W988="X",M988&lt;=$AJ$2),S988,"")</f>
        <v/>
      </c>
      <c r="AM988" s="35" t="n"/>
      <c r="AN988" s="35">
        <f>IF(AND(W988="X",M988&gt;$AJ$2),S988,"")</f>
        <v/>
      </c>
      <c r="AO988" s="35">
        <f>IF(AND(W988="",M988&gt;0,$AJ$2&gt;M988,L988=""),1,0)</f>
        <v/>
      </c>
      <c r="AP988" s="35">
        <f>IF(AND(AK988="YES",W988="X"),"X","")</f>
        <v/>
      </c>
      <c r="AQ988" s="55">
        <f>IF(AP988="X",100%,0%)</f>
        <v/>
      </c>
      <c r="AR988" s="25">
        <f>IF(AND(T988&gt;0,L988=""),H988,"")</f>
        <v/>
      </c>
      <c r="AS988" s="25">
        <f>IF(AND(D988&gt;0,H988=0,G988=""),1,"")</f>
        <v/>
      </c>
      <c r="AT988" s="25">
        <f>IF(G988="BLOQ",1,"")</f>
        <v/>
      </c>
      <c r="AU988" s="25">
        <f>IF(L988="BLOQ",1,"")</f>
        <v/>
      </c>
      <c r="AV988" s="25">
        <f>MONTH(F988)</f>
        <v/>
      </c>
      <c r="AW988" s="65">
        <f>IF(AP988="",100%,0%)</f>
        <v/>
      </c>
      <c r="AX988" s="56" t="n"/>
      <c r="AY988" s="24">
        <f>IF(M988=0,"",M988-$AX$2)</f>
        <v/>
      </c>
      <c r="AZ988" s="66">
        <f>IF(AND(W988="",AY988&gt;0,AY988&lt;15),1,0)</f>
        <v/>
      </c>
      <c r="BA988" s="24">
        <f>IF(AND(W988="",AY988&gt;0,AY988&lt;15),T988,"")</f>
        <v/>
      </c>
      <c r="BB988" s="87">
        <f>IF(R988&lt;Q988,"X","")</f>
        <v/>
      </c>
      <c r="BC988" s="190" t="inlineStr">
        <is>
          <t>NO</t>
        </is>
      </c>
      <c r="BD988" s="191" t="inlineStr">
        <is>
          <t>SI</t>
        </is>
      </c>
    </row>
    <row r="989" ht="15" customHeight="1" s="162">
      <c r="A989" s="7" t="n">
        <v>988</v>
      </c>
      <c r="B989" t="inlineStr">
        <is>
          <t>1263511601900</t>
        </is>
      </c>
      <c r="C989" t="inlineStr">
        <is>
          <t>F.A. CNM 90-264VAC/12VDC 5A 60W DIN-RAIL</t>
        </is>
      </c>
      <c r="D989" t="inlineStr">
        <is>
          <t>1800108948</t>
        </is>
      </c>
      <c r="E989" t="inlineStr">
        <is>
          <t>270</t>
        </is>
      </c>
      <c r="F989" s="163" t="n">
        <v>45462</v>
      </c>
      <c r="G989" t="inlineStr"/>
      <c r="H989" t="inlineStr">
        <is>
          <t>4200568000</t>
        </is>
      </c>
      <c r="I989" t="inlineStr">
        <is>
          <t>10</t>
        </is>
      </c>
      <c r="J989" s="163" t="n">
        <v>45463</v>
      </c>
      <c r="K989" s="163" t="n">
        <v>45464</v>
      </c>
      <c r="L989" t="inlineStr"/>
      <c r="M989" s="163" t="n">
        <v>45488</v>
      </c>
      <c r="N989" s="164" t="n">
        <v>40</v>
      </c>
      <c r="O989" s="164" t="n">
        <v>8</v>
      </c>
      <c r="P989" t="inlineStr">
        <is>
          <t>Liberado</t>
        </is>
      </c>
      <c r="Q989" s="166" t="n">
        <v>1</v>
      </c>
      <c r="R989" s="166" t="n">
        <v>1</v>
      </c>
      <c r="S989" s="166" t="n">
        <v>1</v>
      </c>
      <c r="T989" s="166" t="n">
        <v>0</v>
      </c>
      <c r="U989" s="166" t="n">
        <v>1</v>
      </c>
      <c r="V989" s="166" t="n">
        <v>0</v>
      </c>
      <c r="W989" t="inlineStr">
        <is>
          <t>X</t>
        </is>
      </c>
      <c r="X989" t="inlineStr">
        <is>
          <t>0.00</t>
        </is>
      </c>
      <c r="Y989" t="inlineStr"/>
      <c r="Z989" t="inlineStr">
        <is>
          <t>ELECTRONICA OLFER, S.L.</t>
        </is>
      </c>
      <c r="AA989" t="inlineStr">
        <is>
          <t>MEAN WELL</t>
        </is>
      </c>
      <c r="AB989" t="inlineStr">
        <is>
          <t>DRA-60-12</t>
        </is>
      </c>
      <c r="AC989" t="inlineStr"/>
      <c r="AD989" s="164" t="n">
        <v>0</v>
      </c>
      <c r="AE989" s="185" t="n">
        <v>0</v>
      </c>
      <c r="AG989" s="167" t="inlineStr">
        <is>
          <t>7218|JA2612_1001</t>
        </is>
      </c>
      <c r="AH989" s="47">
        <f>IF(M989=0,"-",M989-J989)</f>
        <v/>
      </c>
      <c r="AI989" s="46">
        <f>IF(AND(S989=0,M989&gt;0,L989=0),IF(AH989&gt;=120,"VERY HIGH",IF(AH989&gt;=90,"HIGH",IF(AH989&gt;=60,"MEDIUM",IF(AH989&lt;60,"LOW")))),"-")</f>
        <v/>
      </c>
      <c r="AJ989" s="12" t="n"/>
      <c r="AK989" s="53">
        <f>IF(AND(W989="X",M989&lt;=$AJ$2),"YES","")</f>
        <v/>
      </c>
      <c r="AL989" s="54">
        <f>IF(AND(W989="X",M989&lt;=$AJ$2),S989,"")</f>
        <v/>
      </c>
      <c r="AM989" s="35" t="n"/>
      <c r="AN989" s="35">
        <f>IF(AND(W989="X",M989&gt;$AJ$2),S989,"")</f>
        <v/>
      </c>
      <c r="AO989" s="35">
        <f>IF(AND(W989="",M989&gt;0,$AJ$2&gt;M989,L989=""),1,0)</f>
        <v/>
      </c>
      <c r="AP989" s="35">
        <f>IF(AND(AK989="YES",W989="X"),"X","")</f>
        <v/>
      </c>
      <c r="AQ989" s="55">
        <f>IF(AP989="X",100%,0%)</f>
        <v/>
      </c>
      <c r="AR989" s="25">
        <f>IF(AND(T989&gt;0,L989=""),H989,"")</f>
        <v/>
      </c>
      <c r="AS989" s="25">
        <f>IF(AND(D989&gt;0,H989=0,G989=""),1,"")</f>
        <v/>
      </c>
      <c r="AT989" s="25">
        <f>IF(G989="BLOQ",1,"")</f>
        <v/>
      </c>
      <c r="AU989" s="25">
        <f>IF(L989="BLOQ",1,"")</f>
        <v/>
      </c>
      <c r="AV989" s="25">
        <f>MONTH(F989)</f>
        <v/>
      </c>
      <c r="AW989" s="65">
        <f>IF(AP989="",100%,0%)</f>
        <v/>
      </c>
      <c r="AX989" s="56" t="n"/>
      <c r="AY989" s="24">
        <f>IF(M989=0,"",M989-$AX$2)</f>
        <v/>
      </c>
      <c r="AZ989" s="66">
        <f>IF(AND(W989="",AY989&gt;0,AY989&lt;15),1,0)</f>
        <v/>
      </c>
      <c r="BA989" s="24">
        <f>IF(AND(W989="",AY989&gt;0,AY989&lt;15),T989,"")</f>
        <v/>
      </c>
      <c r="BB989" s="87">
        <f>IF(R989&lt;Q989,"X","")</f>
        <v/>
      </c>
      <c r="BC989" s="190" t="inlineStr">
        <is>
          <t>NO</t>
        </is>
      </c>
      <c r="BD989" s="191" t="inlineStr">
        <is>
          <t>SI</t>
        </is>
      </c>
    </row>
    <row r="990" ht="15" customHeight="1" s="162">
      <c r="A990" s="7" t="n">
        <v>989</v>
      </c>
      <c r="B990" t="inlineStr">
        <is>
          <t>1283500040000</t>
        </is>
      </c>
      <c r="C990" t="inlineStr">
        <is>
          <t>INTERRUPTOR DE PROXIMIDAD MAGNETICO 230V</t>
        </is>
      </c>
      <c r="D990" t="inlineStr">
        <is>
          <t>1800108948</t>
        </is>
      </c>
      <c r="E990" t="inlineStr">
        <is>
          <t>280</t>
        </is>
      </c>
      <c r="F990" s="163" t="n">
        <v>45462</v>
      </c>
      <c r="G990" t="inlineStr"/>
      <c r="H990" t="inlineStr">
        <is>
          <t>4200579711</t>
        </is>
      </c>
      <c r="I990" t="inlineStr">
        <is>
          <t>10</t>
        </is>
      </c>
      <c r="J990" s="163" t="n">
        <v>45568</v>
      </c>
      <c r="K990" s="163" t="n">
        <v>45568</v>
      </c>
      <c r="L990" t="inlineStr"/>
      <c r="M990" s="163" t="n">
        <v>45488</v>
      </c>
      <c r="N990" s="164" t="n">
        <v>40</v>
      </c>
      <c r="O990" s="164" t="n">
        <v>8</v>
      </c>
      <c r="P990" t="inlineStr">
        <is>
          <t>Liberado</t>
        </is>
      </c>
      <c r="Q990" s="166" t="n">
        <v>3</v>
      </c>
      <c r="R990" s="166" t="n">
        <v>3</v>
      </c>
      <c r="S990" s="166" t="n">
        <v>3</v>
      </c>
      <c r="T990" s="166" t="n">
        <v>0</v>
      </c>
      <c r="U990" s="166" t="n">
        <v>3</v>
      </c>
      <c r="V990" s="166" t="n">
        <v>0</v>
      </c>
      <c r="W990" t="inlineStr">
        <is>
          <t>X</t>
        </is>
      </c>
      <c r="X990" t="inlineStr">
        <is>
          <t>0.00</t>
        </is>
      </c>
      <c r="Y990" t="inlineStr"/>
      <c r="Z990" t="inlineStr">
        <is>
          <t>AMIDATA, S.A.</t>
        </is>
      </c>
      <c r="AA990" t="inlineStr">
        <is>
          <t>RS AMIDATA</t>
        </is>
      </c>
      <c r="AB990" t="inlineStr">
        <is>
          <t>361-4911</t>
        </is>
      </c>
      <c r="AC990" t="inlineStr"/>
      <c r="AD990" s="164" t="n">
        <v>0</v>
      </c>
      <c r="AE990" s="185" t="n">
        <v>0</v>
      </c>
      <c r="AG990" s="167" t="inlineStr">
        <is>
          <t>7218|JA2581_1001</t>
        </is>
      </c>
      <c r="AH990" s="47">
        <f>IF(M990=0,"-",M990-J990)</f>
        <v/>
      </c>
      <c r="AI990" s="46">
        <f>IF(AND(S990=0,M990&gt;0,L990=0),IF(AH990&gt;=120,"VERY HIGH",IF(AH990&gt;=90,"HIGH",IF(AH990&gt;=60,"MEDIUM",IF(AH990&lt;60,"LOW")))),"-")</f>
        <v/>
      </c>
      <c r="AJ990" s="12" t="n"/>
      <c r="AK990" s="53">
        <f>IF(AND(W990="X",M990&lt;=$AJ$2),"YES","")</f>
        <v/>
      </c>
      <c r="AL990" s="54">
        <f>IF(AND(W990="X",M990&lt;=$AJ$2),S990,"")</f>
        <v/>
      </c>
      <c r="AM990" s="35" t="n"/>
      <c r="AN990" s="35">
        <f>IF(AND(W990="X",M990&gt;$AJ$2),S990,"")</f>
        <v/>
      </c>
      <c r="AO990" s="35">
        <f>IF(AND(W990="",M990&gt;0,$AJ$2&gt;M990,L990=""),1,0)</f>
        <v/>
      </c>
      <c r="AP990" s="35">
        <f>IF(AND(AK990="YES",W990="X"),"X","")</f>
        <v/>
      </c>
      <c r="AQ990" s="55">
        <f>IF(AP990="X",100%,0%)</f>
        <v/>
      </c>
      <c r="AR990" s="25">
        <f>IF(AND(T990&gt;0,L990=""),H990,"")</f>
        <v/>
      </c>
      <c r="AS990" s="25">
        <f>IF(AND(D990&gt;0,H990=0,G990=""),1,"")</f>
        <v/>
      </c>
      <c r="AT990" s="25">
        <f>IF(G990="BLOQ",1,"")</f>
        <v/>
      </c>
      <c r="AU990" s="25">
        <f>IF(L990="BLOQ",1,"")</f>
        <v/>
      </c>
      <c r="AV990" s="25">
        <f>MONTH(F990)</f>
        <v/>
      </c>
      <c r="AW990" s="65">
        <f>IF(AP990="",100%,0%)</f>
        <v/>
      </c>
      <c r="AX990" s="56" t="n"/>
      <c r="AY990" s="24">
        <f>IF(M990=0,"",M990-$AX$2)</f>
        <v/>
      </c>
      <c r="AZ990" s="66">
        <f>IF(AND(W990="",AY990&gt;0,AY990&lt;15),1,0)</f>
        <v/>
      </c>
      <c r="BA990" s="24">
        <f>IF(AND(W990="",AY990&gt;0,AY990&lt;15),T990,"")</f>
        <v/>
      </c>
      <c r="BB990" s="87">
        <f>IF(R990&lt;Q990,"X","")</f>
        <v/>
      </c>
      <c r="BC990" s="190" t="inlineStr">
        <is>
          <t>NO</t>
        </is>
      </c>
      <c r="BD990" s="191" t="inlineStr">
        <is>
          <t>SI</t>
        </is>
      </c>
    </row>
    <row r="991" ht="15" customHeight="1" s="162">
      <c r="A991" s="7" t="n">
        <v>990</v>
      </c>
      <c r="B991" t="inlineStr">
        <is>
          <t>1283500040100</t>
        </is>
      </c>
      <c r="C991" t="inlineStr">
        <is>
          <t>IMAN P/INTERRUPTOR DE PROXIMIDAD</t>
        </is>
      </c>
      <c r="D991" t="inlineStr">
        <is>
          <t>1800108948</t>
        </is>
      </c>
      <c r="E991" t="inlineStr">
        <is>
          <t>290</t>
        </is>
      </c>
      <c r="F991" s="163" t="n">
        <v>45462</v>
      </c>
      <c r="G991" t="inlineStr"/>
      <c r="H991" t="inlineStr">
        <is>
          <t>4200579711</t>
        </is>
      </c>
      <c r="I991" t="inlineStr">
        <is>
          <t>20</t>
        </is>
      </c>
      <c r="J991" s="163" t="n">
        <v>45568</v>
      </c>
      <c r="K991" s="163" t="n">
        <v>45568</v>
      </c>
      <c r="L991" t="inlineStr"/>
      <c r="M991" s="163" t="n">
        <v>45488</v>
      </c>
      <c r="N991" s="164" t="n">
        <v>30</v>
      </c>
      <c r="O991" s="164" t="n">
        <v>8</v>
      </c>
      <c r="P991" t="inlineStr">
        <is>
          <t>Liberado</t>
        </is>
      </c>
      <c r="Q991" s="165" t="n">
        <v>3</v>
      </c>
      <c r="R991" s="165" t="n">
        <v>3</v>
      </c>
      <c r="S991" s="165" t="n">
        <v>3</v>
      </c>
      <c r="T991" s="165" t="n">
        <v>0</v>
      </c>
      <c r="U991" s="166" t="n">
        <v>3</v>
      </c>
      <c r="V991" s="166" t="n">
        <v>0</v>
      </c>
      <c r="W991" t="inlineStr">
        <is>
          <t>X</t>
        </is>
      </c>
      <c r="X991" t="inlineStr">
        <is>
          <t>0.00</t>
        </is>
      </c>
      <c r="Y991" t="inlineStr"/>
      <c r="Z991" t="inlineStr">
        <is>
          <t>AMIDATA, S.A.</t>
        </is>
      </c>
      <c r="AA991" t="inlineStr">
        <is>
          <t>RS AMIDATA</t>
        </is>
      </c>
      <c r="AB991" t="inlineStr">
        <is>
          <t>361-4927</t>
        </is>
      </c>
      <c r="AC991" t="inlineStr"/>
      <c r="AD991" s="164" t="n">
        <v>0</v>
      </c>
      <c r="AE991" s="185" t="n">
        <v>0</v>
      </c>
      <c r="AG991" s="167" t="inlineStr">
        <is>
          <t>7218|JA2581_1001</t>
        </is>
      </c>
      <c r="AH991" s="47">
        <f>IF(M991=0,"-",M991-J991)</f>
        <v/>
      </c>
      <c r="AI991" s="46">
        <f>IF(AND(S991=0,M991&gt;0,L991=0),IF(AH991&gt;=120,"VERY HIGH",IF(AH991&gt;=90,"HIGH",IF(AH991&gt;=60,"MEDIUM",IF(AH991&lt;60,"LOW")))),"-")</f>
        <v/>
      </c>
      <c r="AJ991" s="12" t="n"/>
      <c r="AK991" s="53">
        <f>IF(AND(W991="X",M991&lt;=$AJ$2),"YES","")</f>
        <v/>
      </c>
      <c r="AL991" s="54">
        <f>IF(AND(W991="X",M991&lt;=$AJ$2),S991,"")</f>
        <v/>
      </c>
      <c r="AM991" s="35" t="n"/>
      <c r="AN991" s="35">
        <f>IF(AND(W991="X",M991&gt;$AJ$2),S991,"")</f>
        <v/>
      </c>
      <c r="AO991" s="35">
        <f>IF(AND(W991="",M991&gt;0,$AJ$2&gt;M991,L991=""),1,0)</f>
        <v/>
      </c>
      <c r="AP991" s="35">
        <f>IF(AND(AK991="YES",W991="X"),"X","")</f>
        <v/>
      </c>
      <c r="AQ991" s="55">
        <f>IF(AP991="X",100%,0%)</f>
        <v/>
      </c>
      <c r="AR991" s="25">
        <f>IF(AND(T991&gt;0,L991=""),H991,"")</f>
        <v/>
      </c>
      <c r="AS991" s="25">
        <f>IF(AND(D991&gt;0,H991=0,G991=""),1,"")</f>
        <v/>
      </c>
      <c r="AT991" s="25">
        <f>IF(G991="BLOQ",1,"")</f>
        <v/>
      </c>
      <c r="AU991" s="25">
        <f>IF(L991="BLOQ",1,"")</f>
        <v/>
      </c>
      <c r="AV991" s="25">
        <f>MONTH(F991)</f>
        <v/>
      </c>
      <c r="AW991" s="65">
        <f>IF(AP991="",100%,0%)</f>
        <v/>
      </c>
      <c r="AX991" s="56" t="n"/>
      <c r="AY991" s="24">
        <f>IF(M991=0,"",M991-$AX$2)</f>
        <v/>
      </c>
      <c r="AZ991" s="66">
        <f>IF(AND(W991="",AY991&gt;0,AY991&lt;15),1,0)</f>
        <v/>
      </c>
      <c r="BA991" s="24">
        <f>IF(AND(W991="",AY991&gt;0,AY991&lt;15),T991,"")</f>
        <v/>
      </c>
      <c r="BB991" s="87">
        <f>IF(R991&lt;Q991,"X","")</f>
        <v/>
      </c>
      <c r="BC991" s="190" t="inlineStr">
        <is>
          <t>NO</t>
        </is>
      </c>
      <c r="BD991" s="191" t="inlineStr">
        <is>
          <t>SI</t>
        </is>
      </c>
    </row>
    <row r="992" ht="15" customHeight="1" s="162">
      <c r="A992" s="7" t="n">
        <v>991</v>
      </c>
      <c r="B992" t="inlineStr">
        <is>
          <t>1289902150200</t>
        </is>
      </c>
      <c r="C992" t="inlineStr">
        <is>
          <t>SENSOR CAUDAL 100-1000CM3/S 24VDC D=23MM</t>
        </is>
      </c>
      <c r="D992" t="inlineStr">
        <is>
          <t>1800108948</t>
        </is>
      </c>
      <c r="E992" t="inlineStr">
        <is>
          <t>300</t>
        </is>
      </c>
      <c r="F992" s="163" t="n">
        <v>45462</v>
      </c>
      <c r="G992" t="inlineStr"/>
      <c r="H992" t="inlineStr">
        <is>
          <t>4200579746</t>
        </is>
      </c>
      <c r="I992" t="inlineStr">
        <is>
          <t>10</t>
        </is>
      </c>
      <c r="J992" s="163" t="n">
        <v>45568</v>
      </c>
      <c r="K992" s="163" t="n">
        <v>45568</v>
      </c>
      <c r="L992" t="inlineStr">
        <is>
          <t>BORR</t>
        </is>
      </c>
      <c r="M992" s="163" t="n">
        <v>45488</v>
      </c>
      <c r="N992" s="164" t="n">
        <v>40</v>
      </c>
      <c r="O992" s="164" t="n">
        <v>8</v>
      </c>
      <c r="P992" t="inlineStr"/>
      <c r="Q992" s="165" t="n">
        <v>2</v>
      </c>
      <c r="R992" s="165" t="n">
        <v>2</v>
      </c>
      <c r="S992" s="165" t="n">
        <v>0</v>
      </c>
      <c r="T992" s="165" t="n">
        <v>2</v>
      </c>
      <c r="U992" s="166" t="n">
        <v>0</v>
      </c>
      <c r="V992" s="166" t="n">
        <v>0</v>
      </c>
      <c r="W992" t="inlineStr"/>
      <c r="X992" t="inlineStr">
        <is>
          <t>177.24</t>
        </is>
      </c>
      <c r="Y992" t="inlineStr"/>
      <c r="Z992" t="inlineStr">
        <is>
          <t>INGENIEURGEMEINSCHAT FUER MESSTECHN</t>
        </is>
      </c>
      <c r="AA992" t="inlineStr">
        <is>
          <t>IFM ELECTRONIC</t>
        </is>
      </c>
      <c r="AB992" t="inlineStr">
        <is>
          <t>SL5101</t>
        </is>
      </c>
      <c r="AC992" t="inlineStr"/>
      <c r="AD992" s="164" t="n">
        <v>0</v>
      </c>
      <c r="AE992" s="185" t="n">
        <v>0</v>
      </c>
      <c r="AG992" s="167" t="inlineStr">
        <is>
          <t>7218|JA2581_1001</t>
        </is>
      </c>
      <c r="AH992" s="47">
        <f>IF(M992=0,"-",M992-J992)</f>
        <v/>
      </c>
      <c r="AI992" s="46">
        <f>IF(AND(S992=0,M992&gt;0,L992=0),IF(AH992&gt;=120,"VERY HIGH",IF(AH992&gt;=90,"HIGH",IF(AH992&gt;=60,"MEDIUM",IF(AH992&lt;60,"LOW")))),"-")</f>
        <v/>
      </c>
      <c r="AJ992" s="12" t="n"/>
      <c r="AK992" s="53">
        <f>IF(AND(W992="X",M992&lt;=$AJ$2),"YES","")</f>
        <v/>
      </c>
      <c r="AL992" s="54">
        <f>IF(AND(W992="X",M992&lt;=$AJ$2),S992,"")</f>
        <v/>
      </c>
      <c r="AM992" s="35" t="n"/>
      <c r="AN992" s="35">
        <f>IF(AND(W992="X",M992&gt;$AJ$2),S992,"")</f>
        <v/>
      </c>
      <c r="AO992" s="35">
        <f>IF(AND(W992="",M992&gt;0,$AJ$2&gt;M992,L992=""),1,0)</f>
        <v/>
      </c>
      <c r="AP992" s="35">
        <f>IF(AND(AK992="YES",W992="X"),"X","")</f>
        <v/>
      </c>
      <c r="AQ992" s="55">
        <f>IF(AP992="X",100%,0%)</f>
        <v/>
      </c>
      <c r="AR992" s="25">
        <f>IF(AND(T992&gt;0,L992=""),H992,"")</f>
        <v/>
      </c>
      <c r="AS992" s="25">
        <f>IF(AND(D992&gt;0,H992=0,G992=""),1,"")</f>
        <v/>
      </c>
      <c r="AT992" s="25">
        <f>IF(G992="BLOQ",1,"")</f>
        <v/>
      </c>
      <c r="AU992" s="25">
        <f>IF(L992="BLOQ",1,"")</f>
        <v/>
      </c>
      <c r="AV992" s="25">
        <f>MONTH(F992)</f>
        <v/>
      </c>
      <c r="AW992" s="65">
        <f>IF(AP992="",100%,0%)</f>
        <v/>
      </c>
      <c r="AX992" s="56" t="n"/>
      <c r="AY992" s="24">
        <f>IF(M992=0,"",M992-$AX$2)</f>
        <v/>
      </c>
      <c r="AZ992" s="66">
        <f>IF(AND(W992="",AY992&gt;0,AY992&lt;15),1,0)</f>
        <v/>
      </c>
      <c r="BA992" s="24">
        <f>IF(AND(W992="",AY992&gt;0,AY992&lt;15),T992,"")</f>
        <v/>
      </c>
      <c r="BB992" s="87">
        <f>IF(R992&lt;Q992,"X","")</f>
        <v/>
      </c>
      <c r="BC992" s="191" t="inlineStr">
        <is>
          <t>SI</t>
        </is>
      </c>
      <c r="BD992" s="191" t="inlineStr">
        <is>
          <t>SI</t>
        </is>
      </c>
    </row>
    <row r="993" ht="15" customHeight="1" s="162">
      <c r="A993" s="7" t="n">
        <v>992</v>
      </c>
      <c r="B993" t="inlineStr">
        <is>
          <t>1289902150200</t>
        </is>
      </c>
      <c r="C993" t="inlineStr">
        <is>
          <t>SENSOR CAUDAL 100-1000CM3/S 24VDC D=23MM</t>
        </is>
      </c>
      <c r="D993" t="inlineStr">
        <is>
          <t>1800108948</t>
        </is>
      </c>
      <c r="E993" t="inlineStr">
        <is>
          <t>300</t>
        </is>
      </c>
      <c r="F993" s="163" t="n">
        <v>45462</v>
      </c>
      <c r="G993" t="inlineStr"/>
      <c r="H993" t="inlineStr">
        <is>
          <t>4200589596</t>
        </is>
      </c>
      <c r="I993" t="inlineStr">
        <is>
          <t>10</t>
        </is>
      </c>
      <c r="J993" s="163" t="n">
        <v>45637</v>
      </c>
      <c r="K993" s="163" t="n">
        <v>45637</v>
      </c>
      <c r="L993" t="inlineStr"/>
      <c r="M993" s="163" t="n">
        <v>45488</v>
      </c>
      <c r="N993" s="164" t="n">
        <v>40</v>
      </c>
      <c r="O993" s="164" t="n">
        <v>8</v>
      </c>
      <c r="P993" t="inlineStr">
        <is>
          <t>Liberado</t>
        </is>
      </c>
      <c r="Q993" s="165" t="n">
        <v>2</v>
      </c>
      <c r="R993" s="165" t="n">
        <v>2</v>
      </c>
      <c r="S993" s="165" t="n">
        <v>2</v>
      </c>
      <c r="T993" s="165" t="n">
        <v>0</v>
      </c>
      <c r="U993" s="166" t="n">
        <v>2</v>
      </c>
      <c r="V993" s="166" t="n">
        <v>0</v>
      </c>
      <c r="W993" t="inlineStr">
        <is>
          <t>X</t>
        </is>
      </c>
      <c r="X993" t="inlineStr">
        <is>
          <t>0.00</t>
        </is>
      </c>
      <c r="Y993" t="inlineStr"/>
      <c r="Z993" t="inlineStr">
        <is>
          <t>INFORMATICA CALCULO Y TECNICA, S.A.</t>
        </is>
      </c>
      <c r="AA993" t="inlineStr">
        <is>
          <t>IFM ELECTRONIC</t>
        </is>
      </c>
      <c r="AB993" t="inlineStr">
        <is>
          <t>SL5101</t>
        </is>
      </c>
      <c r="AC993" t="inlineStr"/>
      <c r="AD993" s="164" t="n">
        <v>0</v>
      </c>
      <c r="AE993" s="185" t="n">
        <v>0</v>
      </c>
      <c r="AG993" s="167" t="inlineStr">
        <is>
          <t>7218|JA2581_1001</t>
        </is>
      </c>
      <c r="AH993" s="47">
        <f>IF(M993=0,"-",M993-J993)</f>
        <v/>
      </c>
      <c r="AI993" s="46">
        <f>IF(AND(S993=0,M993&gt;0,L993=0),IF(AH993&gt;=120,"VERY HIGH",IF(AH993&gt;=90,"HIGH",IF(AH993&gt;=60,"MEDIUM",IF(AH993&lt;60,"LOW")))),"-")</f>
        <v/>
      </c>
      <c r="AJ993" s="12" t="n"/>
      <c r="AK993" s="53">
        <f>IF(AND(W993="X",M993&lt;=$AJ$2),"YES","")</f>
        <v/>
      </c>
      <c r="AL993" s="54">
        <f>IF(AND(W993="X",M993&lt;=$AJ$2),S993,"")</f>
        <v/>
      </c>
      <c r="AM993" s="35" t="n"/>
      <c r="AN993" s="35">
        <f>IF(AND(W993="X",M993&gt;$AJ$2),S993,"")</f>
        <v/>
      </c>
      <c r="AO993" s="35">
        <f>IF(AND(W993="",M993&gt;0,$AJ$2&gt;M993,L993=""),1,0)</f>
        <v/>
      </c>
      <c r="AP993" s="35">
        <f>IF(AND(AK993="YES",W993="X"),"X","")</f>
        <v/>
      </c>
      <c r="AQ993" s="55">
        <f>IF(AP993="X",100%,0%)</f>
        <v/>
      </c>
      <c r="AR993" s="25">
        <f>IF(AND(T993&gt;0,L993=""),H993,"")</f>
        <v/>
      </c>
      <c r="AS993" s="25">
        <f>IF(AND(D993&gt;0,H993=0,G993=""),1,"")</f>
        <v/>
      </c>
      <c r="AT993" s="25">
        <f>IF(G993="BLOQ",1,"")</f>
        <v/>
      </c>
      <c r="AU993" s="25">
        <f>IF(L993="BLOQ",1,"")</f>
        <v/>
      </c>
      <c r="AV993" s="25">
        <f>MONTH(F993)</f>
        <v/>
      </c>
      <c r="AW993" s="65">
        <f>IF(AP993="",100%,0%)</f>
        <v/>
      </c>
      <c r="AX993" s="56" t="n"/>
      <c r="AY993" s="24">
        <f>IF(M993=0,"",M993-$AX$2)</f>
        <v/>
      </c>
      <c r="AZ993" s="66">
        <f>IF(AND(W993="",AY993&gt;0,AY993&lt;15),1,0)</f>
        <v/>
      </c>
      <c r="BA993" s="24">
        <f>IF(AND(W993="",AY993&gt;0,AY993&lt;15),T993,"")</f>
        <v/>
      </c>
      <c r="BB993" s="87">
        <f>IF(R993&lt;Q993,"X","")</f>
        <v/>
      </c>
      <c r="BC993" s="191" t="inlineStr">
        <is>
          <t>SI</t>
        </is>
      </c>
      <c r="BD993" s="191" t="inlineStr">
        <is>
          <t>SI</t>
        </is>
      </c>
    </row>
    <row r="994" ht="15" customHeight="1" s="162">
      <c r="A994" s="7" t="n">
        <v>993</v>
      </c>
      <c r="B994" t="inlineStr">
        <is>
          <t>1580130060000</t>
        </is>
      </c>
      <c r="C994" t="inlineStr">
        <is>
          <t>SEPARADOR EXA H/H M3X20MM E/C=5MM LATON/</t>
        </is>
      </c>
      <c r="D994" t="inlineStr">
        <is>
          <t>1800108948</t>
        </is>
      </c>
      <c r="E994" t="inlineStr">
        <is>
          <t>310</t>
        </is>
      </c>
      <c r="F994" s="163" t="n">
        <v>45462</v>
      </c>
      <c r="G994" t="inlineStr"/>
      <c r="H994" t="inlineStr">
        <is>
          <t>4200574947</t>
        </is>
      </c>
      <c r="I994" t="inlineStr">
        <is>
          <t>30</t>
        </is>
      </c>
      <c r="J994" s="163" t="n">
        <v>45525</v>
      </c>
      <c r="K994" s="163" t="n">
        <v>45526</v>
      </c>
      <c r="L994" t="inlineStr"/>
      <c r="M994" s="163" t="n">
        <v>45537</v>
      </c>
      <c r="N994" s="164" t="n">
        <v>42</v>
      </c>
      <c r="O994" s="164" t="n">
        <v>8</v>
      </c>
      <c r="P994" t="inlineStr">
        <is>
          <t>Liberado</t>
        </is>
      </c>
      <c r="Q994" s="165" t="n">
        <v>10</v>
      </c>
      <c r="R994" s="165" t="n">
        <v>50</v>
      </c>
      <c r="S994" s="165" t="n">
        <v>50</v>
      </c>
      <c r="T994" s="165" t="n">
        <v>0</v>
      </c>
      <c r="U994" s="166" t="n">
        <v>50</v>
      </c>
      <c r="V994" s="166" t="n">
        <v>0</v>
      </c>
      <c r="W994" t="inlineStr">
        <is>
          <t>X</t>
        </is>
      </c>
      <c r="X994" t="inlineStr">
        <is>
          <t>0.00</t>
        </is>
      </c>
      <c r="Y994" t="inlineStr"/>
      <c r="Z994" t="inlineStr">
        <is>
          <t>Technipol Suministros, S.L.</t>
        </is>
      </c>
      <c r="AA994" t="inlineStr">
        <is>
          <t>RS</t>
        </is>
      </c>
      <c r="AB994" t="inlineStr">
        <is>
          <t>222-424</t>
        </is>
      </c>
      <c r="AC994" t="inlineStr"/>
      <c r="AD994" s="164" t="n">
        <v>0</v>
      </c>
      <c r="AE994" s="185" t="n">
        <v>0</v>
      </c>
      <c r="AG994" s="167" t="inlineStr">
        <is>
          <t>7218|JA2581_1001</t>
        </is>
      </c>
      <c r="AH994" s="47">
        <f>IF(M994=0,"-",M994-J994)</f>
        <v/>
      </c>
      <c r="AI994" s="46">
        <f>IF(AND(S994=0,M994&gt;0,L994=0),IF(AH994&gt;=120,"VERY HIGH",IF(AH994&gt;=90,"HIGH",IF(AH994&gt;=60,"MEDIUM",IF(AH994&lt;60,"LOW")))),"-")</f>
        <v/>
      </c>
      <c r="AJ994" s="12" t="n"/>
      <c r="AK994" s="53">
        <f>IF(AND(W994="X",M994&lt;=$AJ$2),"YES","")</f>
        <v/>
      </c>
      <c r="AL994" s="54">
        <f>IF(AND(W994="X",M994&lt;=$AJ$2),S994,"")</f>
        <v/>
      </c>
      <c r="AM994" s="35" t="n"/>
      <c r="AN994" s="35">
        <f>IF(AND(W994="X",M994&gt;$AJ$2),S994,"")</f>
        <v/>
      </c>
      <c r="AO994" s="35">
        <f>IF(AND(W994="",M994&gt;0,$AJ$2&gt;M994,L994=""),1,0)</f>
        <v/>
      </c>
      <c r="AP994" s="35">
        <f>IF(AND(AK994="YES",W994="X"),"X","")</f>
        <v/>
      </c>
      <c r="AQ994" s="55">
        <f>IF(AP994="X",100%,0%)</f>
        <v/>
      </c>
      <c r="AR994" s="25">
        <f>IF(AND(T994&gt;0,L994=""),H994,"")</f>
        <v/>
      </c>
      <c r="AS994" s="25">
        <f>IF(AND(D994&gt;0,H994=0,G994=""),1,"")</f>
        <v/>
      </c>
      <c r="AT994" s="25">
        <f>IF(G994="BLOQ",1,"")</f>
        <v/>
      </c>
      <c r="AU994" s="25">
        <f>IF(L994="BLOQ",1,"")</f>
        <v/>
      </c>
      <c r="AV994" s="25">
        <f>MONTH(F994)</f>
        <v/>
      </c>
      <c r="AW994" s="65">
        <f>IF(AP994="",100%,0%)</f>
        <v/>
      </c>
      <c r="AX994" s="56" t="n"/>
      <c r="AY994" s="24">
        <f>IF(M994=0,"",M994-$AX$2)</f>
        <v/>
      </c>
      <c r="AZ994" s="66">
        <f>IF(AND(W994="",AY994&gt;0,AY994&lt;15),1,0)</f>
        <v/>
      </c>
      <c r="BA994" s="24">
        <f>IF(AND(W994="",AY994&gt;0,AY994&lt;15),T994,"")</f>
        <v/>
      </c>
      <c r="BB994" s="87">
        <f>IF(R994&lt;Q994,"X","")</f>
        <v/>
      </c>
      <c r="BC994" s="190" t="inlineStr">
        <is>
          <t>NO</t>
        </is>
      </c>
      <c r="BD994" s="191" t="inlineStr">
        <is>
          <t>SI</t>
        </is>
      </c>
    </row>
    <row r="995" ht="15" customHeight="1" s="162">
      <c r="A995" s="7" t="n">
        <v>994</v>
      </c>
      <c r="B995" t="inlineStr">
        <is>
          <t>1702002510000</t>
        </is>
      </c>
      <c r="C995" t="inlineStr">
        <is>
          <t>CAJA COMPACT AE IP66 760X600X210MM GRIS</t>
        </is>
      </c>
      <c r="D995" t="inlineStr">
        <is>
          <t>1800108948</t>
        </is>
      </c>
      <c r="E995" t="inlineStr">
        <is>
          <t>320</t>
        </is>
      </c>
      <c r="F995" s="163" t="n">
        <v>45462</v>
      </c>
      <c r="G995" t="inlineStr"/>
      <c r="H995" t="inlineStr">
        <is>
          <t>4200578616</t>
        </is>
      </c>
      <c r="I995" t="inlineStr">
        <is>
          <t>10</t>
        </is>
      </c>
      <c r="J995" s="163" t="n">
        <v>45560</v>
      </c>
      <c r="K995" s="163" t="n">
        <v>45562</v>
      </c>
      <c r="L995" t="inlineStr"/>
      <c r="M995" s="163" t="n">
        <v>45569</v>
      </c>
      <c r="N995" s="164" t="n">
        <v>30</v>
      </c>
      <c r="O995" s="164" t="n">
        <v>8</v>
      </c>
      <c r="P995" t="inlineStr">
        <is>
          <t>Liberado</t>
        </is>
      </c>
      <c r="Q995" s="165" t="n">
        <v>1</v>
      </c>
      <c r="R995" s="165" t="n">
        <v>1</v>
      </c>
      <c r="S995" s="165" t="n">
        <v>1</v>
      </c>
      <c r="T995" s="165" t="n">
        <v>0</v>
      </c>
      <c r="U995" s="166" t="n">
        <v>1</v>
      </c>
      <c r="V995" s="166" t="n">
        <v>0</v>
      </c>
      <c r="W995" t="inlineStr">
        <is>
          <t>X</t>
        </is>
      </c>
      <c r="X995" t="inlineStr">
        <is>
          <t>0.00</t>
        </is>
      </c>
      <c r="Y995" t="inlineStr"/>
      <c r="Z995" t="inlineStr">
        <is>
          <t>RITTAL, S.A</t>
        </is>
      </c>
      <c r="AA995" t="inlineStr">
        <is>
          <t>RS AMIDATA</t>
        </is>
      </c>
      <c r="AB995" t="inlineStr">
        <is>
          <t>499-6084</t>
        </is>
      </c>
      <c r="AC995" t="inlineStr"/>
      <c r="AD995" s="164" t="n">
        <v>0</v>
      </c>
      <c r="AE995" s="185" t="n">
        <v>0</v>
      </c>
      <c r="AG995" s="167" t="inlineStr">
        <is>
          <t>7218|JA2581_1001</t>
        </is>
      </c>
      <c r="AH995" s="47">
        <f>IF(M995=0,"-",M995-J995)</f>
        <v/>
      </c>
      <c r="AI995" s="46">
        <f>IF(AND(S995=0,M995&gt;0,L995=0),IF(AH995&gt;=120,"VERY HIGH",IF(AH995&gt;=90,"HIGH",IF(AH995&gt;=60,"MEDIUM",IF(AH995&lt;60,"LOW")))),"-")</f>
        <v/>
      </c>
      <c r="AJ995" s="12" t="n"/>
      <c r="AK995" s="53">
        <f>IF(AND(W995="X",M995&lt;=$AJ$2),"YES","")</f>
        <v/>
      </c>
      <c r="AL995" s="54">
        <f>IF(AND(W995="X",M995&lt;=$AJ$2),S995,"")</f>
        <v/>
      </c>
      <c r="AM995" s="35" t="n"/>
      <c r="AN995" s="35">
        <f>IF(AND(W995="X",M995&gt;$AJ$2),S995,"")</f>
        <v/>
      </c>
      <c r="AO995" s="35">
        <f>IF(AND(W995="",M995&gt;0,$AJ$2&gt;M995,L995=""),1,0)</f>
        <v/>
      </c>
      <c r="AP995" s="35">
        <f>IF(AND(AK995="YES",W995="X"),"X","")</f>
        <v/>
      </c>
      <c r="AQ995" s="55">
        <f>IF(AP995="X",100%,0%)</f>
        <v/>
      </c>
      <c r="AR995" s="25">
        <f>IF(AND(T995&gt;0,L995=""),H995,"")</f>
        <v/>
      </c>
      <c r="AS995" s="25">
        <f>IF(AND(D995&gt;0,H995=0,G995=""),1,"")</f>
        <v/>
      </c>
      <c r="AT995" s="25">
        <f>IF(G995="BLOQ",1,"")</f>
        <v/>
      </c>
      <c r="AU995" s="25">
        <f>IF(L995="BLOQ",1,"")</f>
        <v/>
      </c>
      <c r="AV995" s="25">
        <f>MONTH(F995)</f>
        <v/>
      </c>
      <c r="AW995" s="65">
        <f>IF(AP995="",100%,0%)</f>
        <v/>
      </c>
      <c r="AX995" s="56" t="n"/>
      <c r="AY995" s="24">
        <f>IF(M995=0,"",M995-$AX$2)</f>
        <v/>
      </c>
      <c r="AZ995" s="66">
        <f>IF(AND(W995="",AY995&gt;0,AY995&lt;15),1,0)</f>
        <v/>
      </c>
      <c r="BA995" s="24">
        <f>IF(AND(W995="",AY995&gt;0,AY995&lt;15),T995,"")</f>
        <v/>
      </c>
      <c r="BB995" s="87">
        <f>IF(R995&lt;Q995,"X","")</f>
        <v/>
      </c>
      <c r="BC995" s="190" t="inlineStr">
        <is>
          <t>NO</t>
        </is>
      </c>
      <c r="BD995" s="191" t="inlineStr">
        <is>
          <t>SI</t>
        </is>
      </c>
    </row>
    <row r="996" ht="15" customHeight="1" s="162">
      <c r="A996" s="7" t="n">
        <v>995</v>
      </c>
      <c r="B996" t="inlineStr">
        <is>
          <t>7851107360000</t>
        </is>
      </c>
      <c r="C996" t="inlineStr">
        <is>
          <t>LLAVE TUERCA 22MM HARMONY-XB5 P/ZB5AZ901</t>
        </is>
      </c>
      <c r="D996" t="inlineStr">
        <is>
          <t>1800108948</t>
        </is>
      </c>
      <c r="E996" t="inlineStr">
        <is>
          <t>330</t>
        </is>
      </c>
      <c r="F996" s="163" t="n">
        <v>45462</v>
      </c>
      <c r="G996" t="inlineStr"/>
      <c r="H996" t="inlineStr">
        <is>
          <t>4200575233</t>
        </is>
      </c>
      <c r="I996" t="inlineStr">
        <is>
          <t>10</t>
        </is>
      </c>
      <c r="J996" s="163" t="n">
        <v>45530</v>
      </c>
      <c r="K996" s="163" t="n">
        <v>45530</v>
      </c>
      <c r="L996" t="inlineStr"/>
      <c r="M996" s="163" t="n">
        <v>45545</v>
      </c>
      <c r="N996" s="164" t="n">
        <v>40</v>
      </c>
      <c r="O996" s="164" t="n">
        <v>8</v>
      </c>
      <c r="P996" t="inlineStr">
        <is>
          <t>Liberado</t>
        </is>
      </c>
      <c r="Q996" s="165" t="n">
        <v>1</v>
      </c>
      <c r="R996" s="165" t="n">
        <v>1</v>
      </c>
      <c r="S996" s="165" t="n">
        <v>1</v>
      </c>
      <c r="T996" s="165" t="n">
        <v>0</v>
      </c>
      <c r="U996" s="166" t="n">
        <v>0</v>
      </c>
      <c r="V996" s="166" t="n">
        <v>0</v>
      </c>
      <c r="W996" t="inlineStr">
        <is>
          <t>X</t>
        </is>
      </c>
      <c r="X996" t="inlineStr">
        <is>
          <t>0.00</t>
        </is>
      </c>
      <c r="Y996" t="inlineStr"/>
      <c r="Z996" t="inlineStr">
        <is>
          <t>LUJISA, S.A.</t>
        </is>
      </c>
      <c r="AA996" t="inlineStr">
        <is>
          <t>SCHNEIDER ELECTRIC</t>
        </is>
      </c>
      <c r="AB996" t="inlineStr">
        <is>
          <t>ZB5AZ905</t>
        </is>
      </c>
      <c r="AC996" t="inlineStr"/>
      <c r="AD996" s="164" t="n">
        <v>1</v>
      </c>
      <c r="AE996" s="185" t="n">
        <v>1</v>
      </c>
      <c r="AG996" s="167" t="inlineStr">
        <is>
          <t>7218|JA2581_1001</t>
        </is>
      </c>
      <c r="AH996" s="47">
        <f>IF(M996=0,"-",M996-J996)</f>
        <v/>
      </c>
      <c r="AI996" s="46">
        <f>IF(AND(S996=0,M996&gt;0,L996=0),IF(AH996&gt;=120,"VERY HIGH",IF(AH996&gt;=90,"HIGH",IF(AH996&gt;=60,"MEDIUM",IF(AH996&lt;60,"LOW")))),"-")</f>
        <v/>
      </c>
      <c r="AJ996" s="12" t="n"/>
      <c r="AK996" s="53">
        <f>IF(AND(W996="X",M996&lt;=$AJ$2),"YES","")</f>
        <v/>
      </c>
      <c r="AL996" s="54">
        <f>IF(AND(W996="X",M996&lt;=$AJ$2),S996,"")</f>
        <v/>
      </c>
      <c r="AM996" s="35" t="n"/>
      <c r="AN996" s="35">
        <f>IF(AND(W996="X",M996&gt;$AJ$2),S996,"")</f>
        <v/>
      </c>
      <c r="AO996" s="35">
        <f>IF(AND(W996="",M996&gt;0,$AJ$2&gt;M996,L996=""),1,0)</f>
        <v/>
      </c>
      <c r="AP996" s="35">
        <f>IF(AND(AK996="YES",W996="X"),"X","")</f>
        <v/>
      </c>
      <c r="AQ996" s="55">
        <f>IF(AP996="X",100%,0%)</f>
        <v/>
      </c>
      <c r="AR996" s="25">
        <f>IF(AND(T996&gt;0,L996=""),H996,"")</f>
        <v/>
      </c>
      <c r="AS996" s="25">
        <f>IF(AND(D996&gt;0,H996=0,G996=""),1,"")</f>
        <v/>
      </c>
      <c r="AT996" s="25">
        <f>IF(G996="BLOQ",1,"")</f>
        <v/>
      </c>
      <c r="AU996" s="25">
        <f>IF(L996="BLOQ",1,"")</f>
        <v/>
      </c>
      <c r="AV996" s="25">
        <f>MONTH(F996)</f>
        <v/>
      </c>
      <c r="AW996" s="65">
        <f>IF(AP996="",100%,0%)</f>
        <v/>
      </c>
      <c r="AX996" s="56" t="n"/>
      <c r="AY996" s="24">
        <f>IF(M996=0,"",M996-$AX$2)</f>
        <v/>
      </c>
      <c r="AZ996" s="66">
        <f>IF(AND(W996="",AY996&gt;0,AY996&lt;15),1,0)</f>
        <v/>
      </c>
      <c r="BA996" s="24">
        <f>IF(AND(W996="",AY996&gt;0,AY996&lt;15),T996,"")</f>
        <v/>
      </c>
      <c r="BB996" s="87">
        <f>IF(R996&lt;Q996,"X","")</f>
        <v/>
      </c>
      <c r="BC996" s="190" t="inlineStr">
        <is>
          <t>NO</t>
        </is>
      </c>
      <c r="BD996" s="191" t="inlineStr">
        <is>
          <t>SI</t>
        </is>
      </c>
    </row>
    <row r="997" ht="15" customHeight="1" s="162">
      <c r="A997" s="7" t="n">
        <v>996</v>
      </c>
      <c r="B997" t="inlineStr">
        <is>
          <t>1585003060000</t>
        </is>
      </c>
      <c r="C997" t="inlineStr">
        <is>
          <t>CIERRE MAGNET 24V 150MA PS</t>
        </is>
      </c>
      <c r="D997" t="inlineStr">
        <is>
          <t>1800108949</t>
        </is>
      </c>
      <c r="E997" t="inlineStr">
        <is>
          <t>10</t>
        </is>
      </c>
      <c r="F997" s="163" t="n">
        <v>45462</v>
      </c>
      <c r="G997" t="inlineStr"/>
      <c r="H997" t="inlineStr">
        <is>
          <t>4200587237</t>
        </is>
      </c>
      <c r="I997" t="inlineStr">
        <is>
          <t>10</t>
        </is>
      </c>
      <c r="J997" s="163" t="n">
        <v>45621</v>
      </c>
      <c r="K997" s="163" t="n">
        <v>45621</v>
      </c>
      <c r="L997" t="inlineStr"/>
      <c r="M997" s="163" t="n">
        <v>45488</v>
      </c>
      <c r="N997" s="164" t="n">
        <v>40</v>
      </c>
      <c r="O997" s="164" t="n">
        <v>8</v>
      </c>
      <c r="P997" t="inlineStr">
        <is>
          <t>Liberado</t>
        </is>
      </c>
      <c r="Q997" s="165" t="n">
        <v>1</v>
      </c>
      <c r="R997" s="165" t="n">
        <v>1</v>
      </c>
      <c r="S997" s="165" t="n">
        <v>1</v>
      </c>
      <c r="T997" s="165" t="n">
        <v>0</v>
      </c>
      <c r="U997" s="166" t="n">
        <v>1</v>
      </c>
      <c r="V997" s="166" t="n">
        <v>0</v>
      </c>
      <c r="W997" t="inlineStr">
        <is>
          <t>X</t>
        </is>
      </c>
      <c r="X997" t="inlineStr">
        <is>
          <t>0.00</t>
        </is>
      </c>
      <c r="Y997" t="inlineStr"/>
      <c r="Z997" t="inlineStr">
        <is>
          <t>ICOMPPLUS ELECTRONICS S.L</t>
        </is>
      </c>
      <c r="AA997" t="inlineStr">
        <is>
          <t>DIOCHE</t>
        </is>
      </c>
      <c r="AB997" t="inlineStr">
        <is>
          <t>N0FH15QUBM</t>
        </is>
      </c>
      <c r="AC997" t="inlineStr"/>
      <c r="AD997" s="164" t="n">
        <v>0</v>
      </c>
      <c r="AE997" s="185" t="n">
        <v>0</v>
      </c>
      <c r="AG997" s="167" t="inlineStr">
        <is>
          <t>7218|JA2581_1001</t>
        </is>
      </c>
      <c r="AH997" s="47">
        <f>IF(M997=0,"-",M997-J997)</f>
        <v/>
      </c>
      <c r="AI997" s="46">
        <f>IF(AND(S997=0,M997&gt;0,L997=0),IF(AH997&gt;=120,"VERY HIGH",IF(AH997&gt;=90,"HIGH",IF(AH997&gt;=60,"MEDIUM",IF(AH997&lt;60,"LOW")))),"-")</f>
        <v/>
      </c>
      <c r="AJ997" s="12" t="n"/>
      <c r="AK997" s="53">
        <f>IF(AND(W997="X",M997&lt;=$AJ$2),"YES","")</f>
        <v/>
      </c>
      <c r="AL997" s="54">
        <f>IF(AND(W997="X",M997&lt;=$AJ$2),S997,"")</f>
        <v/>
      </c>
      <c r="AM997" s="35" t="n"/>
      <c r="AN997" s="35">
        <f>IF(AND(W997="X",M997&gt;$AJ$2),S997,"")</f>
        <v/>
      </c>
      <c r="AO997" s="35">
        <f>IF(AND(W997="",M997&gt;0,$AJ$2&gt;M997,L997=""),1,0)</f>
        <v/>
      </c>
      <c r="AP997" s="35">
        <f>IF(AND(AK997="YES",W997="X"),"X","")</f>
        <v/>
      </c>
      <c r="AQ997" s="55">
        <f>IF(AP997="X",100%,0%)</f>
        <v/>
      </c>
      <c r="AR997" s="25">
        <f>IF(AND(T997&gt;0,L997=""),H997,"")</f>
        <v/>
      </c>
      <c r="AS997" s="25">
        <f>IF(AND(D997&gt;0,H997=0,G997=""),1,"")</f>
        <v/>
      </c>
      <c r="AT997" s="25">
        <f>IF(G997="BLOQ",1,"")</f>
        <v/>
      </c>
      <c r="AU997" s="25">
        <f>IF(L997="BLOQ",1,"")</f>
        <v/>
      </c>
      <c r="AV997" s="25">
        <f>MONTH(F997)</f>
        <v/>
      </c>
      <c r="AW997" s="65">
        <f>IF(AP997="",100%,0%)</f>
        <v/>
      </c>
      <c r="AX997" s="56" t="n"/>
      <c r="AY997" s="24">
        <f>IF(M997=0,"",M997-$AX$2)</f>
        <v/>
      </c>
      <c r="AZ997" s="66">
        <f>IF(AND(W997="",AY997&gt;0,AY997&lt;15),1,0)</f>
        <v/>
      </c>
      <c r="BA997" s="24">
        <f>IF(AND(W997="",AY997&gt;0,AY997&lt;15),T997,"")</f>
        <v/>
      </c>
      <c r="BB997" s="87">
        <f>IF(R997&lt;Q997,"X","")</f>
        <v/>
      </c>
      <c r="BC997" s="191" t="inlineStr">
        <is>
          <t>SI</t>
        </is>
      </c>
      <c r="BD997" s="191" t="inlineStr">
        <is>
          <t>SI</t>
        </is>
      </c>
    </row>
    <row r="998" ht="15" customHeight="1" s="162">
      <c r="A998" s="7" t="n">
        <v>997</v>
      </c>
      <c r="B998" t="inlineStr">
        <is>
          <t>0972881220000</t>
        </is>
      </c>
      <c r="C998" t="inlineStr">
        <is>
          <t>SMOKE DET,TEMP SENSOR SUPPORT PLATE</t>
        </is>
      </c>
      <c r="D998" t="inlineStr">
        <is>
          <t>1800108953</t>
        </is>
      </c>
      <c r="E998" t="inlineStr">
        <is>
          <t>10</t>
        </is>
      </c>
      <c r="F998" s="163" t="n">
        <v>45463</v>
      </c>
      <c r="G998" t="inlineStr"/>
      <c r="H998" t="inlineStr">
        <is>
          <t>4200570491</t>
        </is>
      </c>
      <c r="I998" t="inlineStr">
        <is>
          <t>10</t>
        </is>
      </c>
      <c r="J998" s="163" t="n">
        <v>45485</v>
      </c>
      <c r="K998" s="163" t="n">
        <v>45485</v>
      </c>
      <c r="L998" t="inlineStr"/>
      <c r="M998" s="163" t="n">
        <v>45688</v>
      </c>
      <c r="N998" s="164" t="n">
        <v>90</v>
      </c>
      <c r="O998" s="164" t="n">
        <v>8</v>
      </c>
      <c r="P998" t="inlineStr">
        <is>
          <t>Liberado</t>
        </is>
      </c>
      <c r="Q998" s="165" t="n">
        <v>7</v>
      </c>
      <c r="R998" s="165" t="n">
        <v>7</v>
      </c>
      <c r="S998" s="165" t="n">
        <v>7</v>
      </c>
      <c r="T998" s="165" t="n">
        <v>0</v>
      </c>
      <c r="U998" s="166" t="n">
        <v>7</v>
      </c>
      <c r="V998" s="166" t="n">
        <v>0</v>
      </c>
      <c r="W998" t="inlineStr">
        <is>
          <t>X</t>
        </is>
      </c>
      <c r="X998" t="inlineStr">
        <is>
          <t>0.00</t>
        </is>
      </c>
      <c r="Y998" t="inlineStr"/>
      <c r="Z998" t="inlineStr">
        <is>
          <t>INDUSTRIAS BALMES, S.A.</t>
        </is>
      </c>
      <c r="AA998" t="inlineStr">
        <is>
          <t>INDRA SISTEMAS S.A.</t>
        </is>
      </c>
      <c r="AB998" t="inlineStr">
        <is>
          <t>0972881220000</t>
        </is>
      </c>
      <c r="AC998" t="inlineStr"/>
      <c r="AD998" s="164" t="n">
        <v>3</v>
      </c>
      <c r="AE998" s="185" t="n">
        <v>3</v>
      </c>
      <c r="AG998" s="167" t="inlineStr">
        <is>
          <t>7218|JA2582_1001</t>
        </is>
      </c>
      <c r="AH998" s="47">
        <f>IF(M998=0,"-",M998-J998)</f>
        <v/>
      </c>
      <c r="AI998" s="46">
        <f>IF(AND(S998=0,M998&gt;0,L998=0),IF(AH998&gt;=120,"VERY HIGH",IF(AH998&gt;=90,"HIGH",IF(AH998&gt;=60,"MEDIUM",IF(AH998&lt;60,"LOW")))),"-")</f>
        <v/>
      </c>
      <c r="AJ998" s="12" t="n"/>
      <c r="AK998" s="53">
        <f>IF(AND(W998="X",M998&lt;=$AJ$2),"YES","")</f>
        <v/>
      </c>
      <c r="AL998" s="54">
        <f>IF(AND(W998="X",M998&lt;=$AJ$2),S998,"")</f>
        <v/>
      </c>
      <c r="AM998" s="35" t="n"/>
      <c r="AN998" s="35">
        <f>IF(AND(W998="X",M998&gt;$AJ$2),S998,"")</f>
        <v/>
      </c>
      <c r="AO998" s="35">
        <f>IF(AND(W998="",M998&gt;0,$AJ$2&gt;M998,L998=""),1,0)</f>
        <v/>
      </c>
      <c r="AP998" s="35">
        <f>IF(AND(AK998="YES",W998="X"),"X","")</f>
        <v/>
      </c>
      <c r="AQ998" s="55">
        <f>IF(AP998="X",100%,0%)</f>
        <v/>
      </c>
      <c r="AR998" s="25">
        <f>IF(AND(T998&gt;0,L998=""),H998,"")</f>
        <v/>
      </c>
      <c r="AS998" s="25">
        <f>IF(AND(D998&gt;0,H998=0,G998=""),1,"")</f>
        <v/>
      </c>
      <c r="AT998" s="25">
        <f>IF(G998="BLOQ",1,"")</f>
        <v/>
      </c>
      <c r="AU998" s="25">
        <f>IF(L998="BLOQ",1,"")</f>
        <v/>
      </c>
      <c r="AV998" s="25">
        <f>MONTH(F998)</f>
        <v/>
      </c>
      <c r="AW998" s="65">
        <f>IF(AP998="",100%,0%)</f>
        <v/>
      </c>
      <c r="AX998" s="56" t="n"/>
      <c r="AY998" s="24">
        <f>IF(M998=0,"",M998-$AX$2)</f>
        <v/>
      </c>
      <c r="AZ998" s="66">
        <f>IF(AND(W998="",AY998&gt;0,AY998&lt;15),1,0)</f>
        <v/>
      </c>
      <c r="BA998" s="24">
        <f>IF(AND(W998="",AY998&gt;0,AY998&lt;15),T998,"")</f>
        <v/>
      </c>
      <c r="BB998" s="87">
        <f>IF(R998&lt;Q998,"X","")</f>
        <v/>
      </c>
      <c r="BC998" s="191" t="inlineStr">
        <is>
          <t>SI</t>
        </is>
      </c>
      <c r="BD998" s="191" t="inlineStr">
        <is>
          <t>SI</t>
        </is>
      </c>
    </row>
    <row r="999" ht="15" customHeight="1" s="162">
      <c r="A999" s="7" t="n">
        <v>998</v>
      </c>
      <c r="B999" t="inlineStr">
        <is>
          <t>1126690440000</t>
        </is>
      </c>
      <c r="C999" t="inlineStr">
        <is>
          <t>PULSADOR ALARMA REARM ANALOG C/AISLADOR</t>
        </is>
      </c>
      <c r="D999" t="inlineStr">
        <is>
          <t>1800108953</t>
        </is>
      </c>
      <c r="E999" t="inlineStr">
        <is>
          <t>20</t>
        </is>
      </c>
      <c r="F999" s="163" t="n">
        <v>45463</v>
      </c>
      <c r="G999" t="inlineStr"/>
      <c r="H999" t="inlineStr">
        <is>
          <t>4200584136</t>
        </is>
      </c>
      <c r="I999" t="inlineStr">
        <is>
          <t>10</t>
        </is>
      </c>
      <c r="J999" s="163" t="n">
        <v>45600</v>
      </c>
      <c r="K999" s="163" t="n">
        <v>45607</v>
      </c>
      <c r="L999" t="inlineStr">
        <is>
          <t>BORR</t>
        </is>
      </c>
      <c r="M999" s="163" t="n">
        <v>45628</v>
      </c>
      <c r="N999" s="164" t="n">
        <v>35</v>
      </c>
      <c r="O999" s="164" t="n">
        <v>8</v>
      </c>
      <c r="P999" t="inlineStr"/>
      <c r="Q999" s="165" t="n">
        <v>3</v>
      </c>
      <c r="R999" s="165" t="n">
        <v>3</v>
      </c>
      <c r="S999" s="165" t="n">
        <v>0</v>
      </c>
      <c r="T999" s="165" t="n">
        <v>3</v>
      </c>
      <c r="U999" s="166" t="n">
        <v>0</v>
      </c>
      <c r="V999" s="166" t="n">
        <v>0</v>
      </c>
      <c r="W999" t="inlineStr"/>
      <c r="X999" t="inlineStr">
        <is>
          <t>177.12</t>
        </is>
      </c>
      <c r="Y999" t="inlineStr"/>
      <c r="Z999" t="inlineStr">
        <is>
          <t>HONEYWELL LIFE SAFETY IBERIA, S.L.</t>
        </is>
      </c>
      <c r="AA999" t="inlineStr">
        <is>
          <t>HONEYWELL</t>
        </is>
      </c>
      <c r="AB999" t="inlineStr">
        <is>
          <t>M5A-RP02FF-N026-41</t>
        </is>
      </c>
      <c r="AC999" t="inlineStr"/>
      <c r="AD999" s="164" t="n">
        <v>1</v>
      </c>
      <c r="AE999" s="185" t="n">
        <v>1</v>
      </c>
      <c r="AG999" s="167" t="inlineStr">
        <is>
          <t>7218|JA2582_1001</t>
        </is>
      </c>
      <c r="AH999" s="47">
        <f>IF(M999=0,"-",M999-J999)</f>
        <v/>
      </c>
      <c r="AI999" s="46">
        <f>IF(AND(S999=0,M999&gt;0,L999=0),IF(AH999&gt;=120,"VERY HIGH",IF(AH999&gt;=90,"HIGH",IF(AH999&gt;=60,"MEDIUM",IF(AH999&lt;60,"LOW")))),"-")</f>
        <v/>
      </c>
      <c r="AJ999" s="12" t="n"/>
      <c r="AK999" s="53">
        <f>IF(AND(W999="X",M999&lt;=$AJ$2),"YES","")</f>
        <v/>
      </c>
      <c r="AL999" s="54">
        <f>IF(AND(W999="X",M999&lt;=$AJ$2),S999,"")</f>
        <v/>
      </c>
      <c r="AM999" s="35" t="n"/>
      <c r="AN999" s="35">
        <f>IF(AND(W999="X",M999&gt;$AJ$2),S999,"")</f>
        <v/>
      </c>
      <c r="AO999" s="35">
        <f>IF(AND(W999="",M999&gt;0,$AJ$2&gt;M999,L999=""),1,0)</f>
        <v/>
      </c>
      <c r="AP999" s="35">
        <f>IF(AND(AK999="YES",W999="X"),"X","")</f>
        <v/>
      </c>
      <c r="AQ999" s="55">
        <f>IF(AP999="X",100%,0%)</f>
        <v/>
      </c>
      <c r="AR999" s="25">
        <f>IF(AND(T999&gt;0,L999=""),H999,"")</f>
        <v/>
      </c>
      <c r="AS999" s="25">
        <f>IF(AND(D999&gt;0,H999=0,G999=""),1,"")</f>
        <v/>
      </c>
      <c r="AT999" s="25">
        <f>IF(G999="BLOQ",1,"")</f>
        <v/>
      </c>
      <c r="AU999" s="25">
        <f>IF(L999="BLOQ",1,"")</f>
        <v/>
      </c>
      <c r="AV999" s="25">
        <f>MONTH(F999)</f>
        <v/>
      </c>
      <c r="AW999" s="65">
        <f>IF(AP999="",100%,0%)</f>
        <v/>
      </c>
      <c r="AX999" s="56" t="n"/>
      <c r="AY999" s="24">
        <f>IF(M999=0,"",M999-$AX$2)</f>
        <v/>
      </c>
      <c r="AZ999" s="66">
        <f>IF(AND(W999="",AY999&gt;0,AY999&lt;15),1,0)</f>
        <v/>
      </c>
      <c r="BA999" s="24">
        <f>IF(AND(W999="",AY999&gt;0,AY999&lt;15),T999,"")</f>
        <v/>
      </c>
      <c r="BB999" s="87">
        <f>IF(R999&lt;Q999,"X","")</f>
        <v/>
      </c>
      <c r="BC999" s="191" t="inlineStr">
        <is>
          <t>SI</t>
        </is>
      </c>
      <c r="BD999" s="191" t="inlineStr">
        <is>
          <t>SI</t>
        </is>
      </c>
    </row>
    <row r="1000" ht="15" customHeight="1" s="162">
      <c r="A1000" s="7" t="n">
        <v>999</v>
      </c>
      <c r="B1000" t="inlineStr">
        <is>
          <t>1126690440000</t>
        </is>
      </c>
      <c r="C1000" t="inlineStr">
        <is>
          <t>PULSADOR ALARMA REARM ANALOG C/AISLADOR</t>
        </is>
      </c>
      <c r="D1000" t="inlineStr">
        <is>
          <t>1800108953</t>
        </is>
      </c>
      <c r="E1000" t="inlineStr">
        <is>
          <t>20</t>
        </is>
      </c>
      <c r="F1000" s="163" t="n">
        <v>45463</v>
      </c>
      <c r="G1000" t="inlineStr"/>
      <c r="H1000" t="inlineStr">
        <is>
          <t>4200585889</t>
        </is>
      </c>
      <c r="I1000" t="inlineStr">
        <is>
          <t>20</t>
        </is>
      </c>
      <c r="J1000" s="163" t="n">
        <v>45611</v>
      </c>
      <c r="K1000" s="163" t="n">
        <v>45616</v>
      </c>
      <c r="L1000" t="inlineStr"/>
      <c r="M1000" s="163" t="n">
        <v>45625</v>
      </c>
      <c r="N1000" s="164" t="n">
        <v>35</v>
      </c>
      <c r="O1000" s="164" t="n">
        <v>8</v>
      </c>
      <c r="P1000" t="inlineStr">
        <is>
          <t>Liberado</t>
        </is>
      </c>
      <c r="Q1000" s="165" t="n">
        <v>3</v>
      </c>
      <c r="R1000" s="165" t="n">
        <v>3</v>
      </c>
      <c r="S1000" s="165" t="n">
        <v>3</v>
      </c>
      <c r="T1000" s="165" t="n">
        <v>0</v>
      </c>
      <c r="U1000" s="166" t="n">
        <v>3</v>
      </c>
      <c r="V1000" s="166" t="n">
        <v>0</v>
      </c>
      <c r="W1000" t="inlineStr">
        <is>
          <t>X</t>
        </is>
      </c>
      <c r="X1000" t="inlineStr">
        <is>
          <t>0.00</t>
        </is>
      </c>
      <c r="Y1000" t="inlineStr"/>
      <c r="Z1000" t="inlineStr">
        <is>
          <t>OMNIAELECTRONICS, S.L.</t>
        </is>
      </c>
      <c r="AA1000" t="inlineStr">
        <is>
          <t>HONEYWELL</t>
        </is>
      </c>
      <c r="AB1000" t="inlineStr">
        <is>
          <t>M5A-RP02FF-N026-41</t>
        </is>
      </c>
      <c r="AC1000" t="inlineStr"/>
      <c r="AD1000" s="164" t="n">
        <v>0</v>
      </c>
      <c r="AE1000" s="185" t="n">
        <v>0</v>
      </c>
      <c r="AG1000" s="167" t="inlineStr">
        <is>
          <t>7218|JA2582_1001</t>
        </is>
      </c>
      <c r="AH1000" s="47">
        <f>IF(M1000=0,"-",M1000-J1000)</f>
        <v/>
      </c>
      <c r="AI1000" s="46">
        <f>IF(AND(S1000=0,M1000&gt;0,L1000=0),IF(AH1000&gt;=120,"VERY HIGH",IF(AH1000&gt;=90,"HIGH",IF(AH1000&gt;=60,"MEDIUM",IF(AH1000&lt;60,"LOW")))),"-")</f>
        <v/>
      </c>
      <c r="AJ1000" s="12" t="n"/>
      <c r="AK1000" s="53">
        <f>IF(AND(W1000="X",M1000&lt;=$AJ$2),"YES","")</f>
        <v/>
      </c>
      <c r="AL1000" s="54">
        <f>IF(AND(W1000="X",M1000&lt;=$AJ$2),S1000,"")</f>
        <v/>
      </c>
      <c r="AM1000" s="35" t="n"/>
      <c r="AN1000" s="35">
        <f>IF(AND(W1000="X",M1000&gt;$AJ$2),S1000,"")</f>
        <v/>
      </c>
      <c r="AO1000" s="35">
        <f>IF(AND(W1000="",M1000&gt;0,$AJ$2&gt;M1000,L1000=""),1,0)</f>
        <v/>
      </c>
      <c r="AP1000" s="35">
        <f>IF(AND(AK1000="YES",W1000="X"),"X","")</f>
        <v/>
      </c>
      <c r="AQ1000" s="55">
        <f>IF(AP1000="X",100%,0%)</f>
        <v/>
      </c>
      <c r="AR1000" s="25">
        <f>IF(AND(T1000&gt;0,L1000=""),H1000,"")</f>
        <v/>
      </c>
      <c r="AS1000" s="25">
        <f>IF(AND(D1000&gt;0,H1000=0,G1000=""),1,"")</f>
        <v/>
      </c>
      <c r="AT1000" s="25">
        <f>IF(G1000="BLOQ",1,"")</f>
        <v/>
      </c>
      <c r="AU1000" s="25">
        <f>IF(L1000="BLOQ",1,"")</f>
        <v/>
      </c>
      <c r="AV1000" s="25">
        <f>MONTH(F1000)</f>
        <v/>
      </c>
      <c r="AW1000" s="65">
        <f>IF(AP1000="",100%,0%)</f>
        <v/>
      </c>
      <c r="AX1000" s="56" t="n"/>
      <c r="AY1000" s="24">
        <f>IF(M1000=0,"",M1000-$AX$2)</f>
        <v/>
      </c>
      <c r="AZ1000" s="66">
        <f>IF(AND(W1000="",AY1000&gt;0,AY1000&lt;15),1,0)</f>
        <v/>
      </c>
      <c r="BA1000" s="24">
        <f>IF(AND(W1000="",AY1000&gt;0,AY1000&lt;15),T1000,"")</f>
        <v/>
      </c>
      <c r="BB1000" s="87">
        <f>IF(R1000&lt;Q1000,"X","")</f>
        <v/>
      </c>
      <c r="BC1000" s="191" t="inlineStr">
        <is>
          <t>SI</t>
        </is>
      </c>
      <c r="BD1000" s="191" t="inlineStr">
        <is>
          <t>SI</t>
        </is>
      </c>
    </row>
    <row r="1001" ht="15" customHeight="1" s="162">
      <c r="A1001" s="7" t="n">
        <v>1000</v>
      </c>
      <c r="B1001" t="inlineStr">
        <is>
          <t>1146002242500</t>
        </is>
      </c>
      <c r="C1001" t="inlineStr">
        <is>
          <t>SIRENA DIRECC C/FLASH TRANSP 97DB IP24</t>
        </is>
      </c>
      <c r="D1001" t="inlineStr">
        <is>
          <t>1800108953</t>
        </is>
      </c>
      <c r="E1001" t="inlineStr">
        <is>
          <t>30</t>
        </is>
      </c>
      <c r="F1001" s="163" t="n">
        <v>45463</v>
      </c>
      <c r="G1001" t="inlineStr"/>
      <c r="H1001" t="inlineStr">
        <is>
          <t>4200573002</t>
        </is>
      </c>
      <c r="I1001" t="inlineStr">
        <is>
          <t>140</t>
        </is>
      </c>
      <c r="J1001" s="163" t="n">
        <v>45504</v>
      </c>
      <c r="K1001" s="163" t="n">
        <v>45509</v>
      </c>
      <c r="L1001" t="inlineStr"/>
      <c r="M1001" s="163" t="n">
        <v>45488</v>
      </c>
      <c r="N1001" s="164" t="n">
        <v>30</v>
      </c>
      <c r="O1001" s="164" t="n">
        <v>8</v>
      </c>
      <c r="P1001" t="inlineStr">
        <is>
          <t>Liberado</t>
        </is>
      </c>
      <c r="Q1001" s="165" t="n">
        <v>3</v>
      </c>
      <c r="R1001" s="165" t="n">
        <v>3</v>
      </c>
      <c r="S1001" s="165" t="n">
        <v>6</v>
      </c>
      <c r="T1001" s="165" t="n">
        <v>0</v>
      </c>
      <c r="U1001" s="166" t="n">
        <v>3</v>
      </c>
      <c r="V1001" s="166" t="n">
        <v>3</v>
      </c>
      <c r="W1001" t="inlineStr">
        <is>
          <t>X</t>
        </is>
      </c>
      <c r="X1001" t="inlineStr">
        <is>
          <t>0.00</t>
        </is>
      </c>
      <c r="Y1001" t="inlineStr"/>
      <c r="Z1001" t="inlineStr">
        <is>
          <t>HONEYWELL LIFE SAFETY IBERIA, S.L.</t>
        </is>
      </c>
      <c r="AA1001" t="inlineStr">
        <is>
          <t>HONEYWELL</t>
        </is>
      </c>
      <c r="AB1001" t="inlineStr">
        <is>
          <t>WSS-PC-I02</t>
        </is>
      </c>
      <c r="AC1001" t="inlineStr"/>
      <c r="AD1001" s="164" t="n">
        <v>0</v>
      </c>
      <c r="AE1001" s="185" t="n">
        <v>0</v>
      </c>
      <c r="AG1001" s="167" t="inlineStr">
        <is>
          <t>7218|JA2582_1001</t>
        </is>
      </c>
      <c r="AH1001" s="47">
        <f>IF(M1001=0,"-",M1001-J1001)</f>
        <v/>
      </c>
      <c r="AI1001" s="46">
        <f>IF(AND(S1001=0,M1001&gt;0,L1001=0),IF(AH1001&gt;=120,"VERY HIGH",IF(AH1001&gt;=90,"HIGH",IF(AH1001&gt;=60,"MEDIUM",IF(AH1001&lt;60,"LOW")))),"-")</f>
        <v/>
      </c>
      <c r="AJ1001" s="12" t="n"/>
      <c r="AK1001" s="53">
        <f>IF(AND(W1001="X",M1001&lt;=$AJ$2),"YES","")</f>
        <v/>
      </c>
      <c r="AL1001" s="54">
        <f>IF(AND(W1001="X",M1001&lt;=$AJ$2),S1001,"")</f>
        <v/>
      </c>
      <c r="AM1001" s="35" t="n"/>
      <c r="AN1001" s="35">
        <f>IF(AND(W1001="X",M1001&gt;$AJ$2),S1001,"")</f>
        <v/>
      </c>
      <c r="AO1001" s="35">
        <f>IF(AND(W1001="",M1001&gt;0,$AJ$2&gt;M1001,L1001=""),1,0)</f>
        <v/>
      </c>
      <c r="AP1001" s="35">
        <f>IF(AND(AK1001="YES",W1001="X"),"X","")</f>
        <v/>
      </c>
      <c r="AQ1001" s="55">
        <f>IF(AP1001="X",100%,0%)</f>
        <v/>
      </c>
      <c r="AR1001" s="25">
        <f>IF(AND(T1001&gt;0,L1001=""),H1001,"")</f>
        <v/>
      </c>
      <c r="AS1001" s="25">
        <f>IF(AND(D1001&gt;0,H1001=0,G1001=""),1,"")</f>
        <v/>
      </c>
      <c r="AT1001" s="25">
        <f>IF(G1001="BLOQ",1,"")</f>
        <v/>
      </c>
      <c r="AU1001" s="25">
        <f>IF(L1001="BLOQ",1,"")</f>
        <v/>
      </c>
      <c r="AV1001" s="25">
        <f>MONTH(F1001)</f>
        <v/>
      </c>
      <c r="AW1001" s="65">
        <f>IF(AP1001="",100%,0%)</f>
        <v/>
      </c>
      <c r="AX1001" s="56" t="n"/>
      <c r="AY1001" s="24">
        <f>IF(M1001=0,"",M1001-$AX$2)</f>
        <v/>
      </c>
      <c r="AZ1001" s="66">
        <f>IF(AND(W1001="",AY1001&gt;0,AY1001&lt;15),1,0)</f>
        <v/>
      </c>
      <c r="BA1001" s="24">
        <f>IF(AND(W1001="",AY1001&gt;0,AY1001&lt;15),T1001,"")</f>
        <v/>
      </c>
      <c r="BB1001" s="87">
        <f>IF(R1001&lt;Q1001,"X","")</f>
        <v/>
      </c>
      <c r="BC1001" s="191" t="inlineStr">
        <is>
          <t>SI</t>
        </is>
      </c>
      <c r="BD1001" s="191" t="inlineStr">
        <is>
          <t>SI</t>
        </is>
      </c>
    </row>
    <row r="1002" ht="15" customHeight="1" s="162">
      <c r="A1002" s="7" t="n">
        <v>1001</v>
      </c>
      <c r="B1002" t="inlineStr">
        <is>
          <t>1204800300000</t>
        </is>
      </c>
      <c r="C1002" t="inlineStr">
        <is>
          <t>CNC RECT AEREO 2P+E (M) 32A 230V IP44 AZ</t>
        </is>
      </c>
      <c r="D1002" t="inlineStr">
        <is>
          <t>1800108953</t>
        </is>
      </c>
      <c r="E1002" t="inlineStr">
        <is>
          <t>40</t>
        </is>
      </c>
      <c r="F1002" s="163" t="n">
        <v>45463</v>
      </c>
      <c r="G1002" t="inlineStr"/>
      <c r="H1002" t="inlineStr">
        <is>
          <t>4200571557</t>
        </is>
      </c>
      <c r="I1002" t="inlineStr">
        <is>
          <t>180</t>
        </is>
      </c>
      <c r="J1002" s="163" t="n">
        <v>45492</v>
      </c>
      <c r="K1002" s="163" t="n">
        <v>45497</v>
      </c>
      <c r="L1002" t="inlineStr"/>
      <c r="M1002" s="163" t="n">
        <v>45504</v>
      </c>
      <c r="N1002" s="164" t="n">
        <v>85</v>
      </c>
      <c r="O1002" s="164" t="n">
        <v>8</v>
      </c>
      <c r="P1002" t="inlineStr">
        <is>
          <t>Liberado</t>
        </is>
      </c>
      <c r="Q1002" s="165" t="n">
        <v>10</v>
      </c>
      <c r="R1002" s="165" t="n">
        <v>10</v>
      </c>
      <c r="S1002" s="165" t="n">
        <v>10</v>
      </c>
      <c r="T1002" s="165" t="n">
        <v>0</v>
      </c>
      <c r="U1002" s="166" t="n">
        <v>10</v>
      </c>
      <c r="V1002" s="166" t="n">
        <v>0</v>
      </c>
      <c r="W1002" t="inlineStr">
        <is>
          <t>X</t>
        </is>
      </c>
      <c r="X1002" t="inlineStr">
        <is>
          <t>0.00</t>
        </is>
      </c>
      <c r="Y1002" t="inlineStr"/>
      <c r="Z1002" t="inlineStr">
        <is>
          <t>TELKRON, S.A.</t>
        </is>
      </c>
      <c r="AA1002" t="inlineStr">
        <is>
          <t>RS AMIDATA</t>
        </is>
      </c>
      <c r="AB1002" t="inlineStr">
        <is>
          <t>464-6228</t>
        </is>
      </c>
      <c r="AC1002" t="inlineStr"/>
      <c r="AD1002" s="164" t="n">
        <v>0</v>
      </c>
      <c r="AE1002" s="185" t="n">
        <v>0</v>
      </c>
      <c r="AG1002" s="167" t="inlineStr">
        <is>
          <t>7218|JA2582_1001</t>
        </is>
      </c>
      <c r="AH1002" s="47">
        <f>IF(M1002=0,"-",M1002-J1002)</f>
        <v/>
      </c>
      <c r="AI1002" s="46">
        <f>IF(AND(S1002=0,M1002&gt;0,L1002=0),IF(AH1002&gt;=120,"VERY HIGH",IF(AH1002&gt;=90,"HIGH",IF(AH1002&gt;=60,"MEDIUM",IF(AH1002&lt;60,"LOW")))),"-")</f>
        <v/>
      </c>
      <c r="AJ1002" s="12" t="n"/>
      <c r="AK1002" s="53">
        <f>IF(AND(W1002="X",M1002&lt;=$AJ$2),"YES","")</f>
        <v/>
      </c>
      <c r="AL1002" s="54">
        <f>IF(AND(W1002="X",M1002&lt;=$AJ$2),S1002,"")</f>
        <v/>
      </c>
      <c r="AM1002" s="35" t="n"/>
      <c r="AN1002" s="35">
        <f>IF(AND(W1002="X",M1002&gt;$AJ$2),S1002,"")</f>
        <v/>
      </c>
      <c r="AO1002" s="35">
        <f>IF(AND(W1002="",M1002&gt;0,$AJ$2&gt;M1002,L1002=""),1,0)</f>
        <v/>
      </c>
      <c r="AP1002" s="35">
        <f>IF(AND(AK1002="YES",W1002="X"),"X","")</f>
        <v/>
      </c>
      <c r="AQ1002" s="55">
        <f>IF(AP1002="X",100%,0%)</f>
        <v/>
      </c>
      <c r="AR1002" s="25">
        <f>IF(AND(T1002&gt;0,L1002=""),H1002,"")</f>
        <v/>
      </c>
      <c r="AS1002" s="25">
        <f>IF(AND(D1002&gt;0,H1002=0,G1002=""),1,"")</f>
        <v/>
      </c>
      <c r="AT1002" s="25">
        <f>IF(G1002="BLOQ",1,"")</f>
        <v/>
      </c>
      <c r="AU1002" s="25">
        <f>IF(L1002="BLOQ",1,"")</f>
        <v/>
      </c>
      <c r="AV1002" s="25">
        <f>MONTH(F1002)</f>
        <v/>
      </c>
      <c r="AW1002" s="65">
        <f>IF(AP1002="",100%,0%)</f>
        <v/>
      </c>
      <c r="AX1002" s="56" t="n"/>
      <c r="AY1002" s="24">
        <f>IF(M1002=0,"",M1002-$AX$2)</f>
        <v/>
      </c>
      <c r="AZ1002" s="66">
        <f>IF(AND(W1002="",AY1002&gt;0,AY1002&lt;15),1,0)</f>
        <v/>
      </c>
      <c r="BA1002" s="24">
        <f>IF(AND(W1002="",AY1002&gt;0,AY1002&lt;15),T1002,"")</f>
        <v/>
      </c>
      <c r="BB1002" s="87">
        <f>IF(R1002&lt;Q1002,"X","")</f>
        <v/>
      </c>
      <c r="BC1002" s="190" t="inlineStr">
        <is>
          <t>NO</t>
        </is>
      </c>
      <c r="BD1002" s="191" t="inlineStr">
        <is>
          <t>SI</t>
        </is>
      </c>
    </row>
    <row r="1003" ht="15" customHeight="1" s="162">
      <c r="A1003" s="7" t="n">
        <v>1002</v>
      </c>
      <c r="B1003" t="inlineStr">
        <is>
          <t>1204800305000</t>
        </is>
      </c>
      <c r="C1003" t="inlineStr">
        <is>
          <t>CNC UNION 3P AER CBL 6-8MM IP68 NEGRA</t>
        </is>
      </c>
      <c r="D1003" t="inlineStr">
        <is>
          <t>1800108953</t>
        </is>
      </c>
      <c r="E1003" t="inlineStr">
        <is>
          <t>50</t>
        </is>
      </c>
      <c r="F1003" s="163" t="n">
        <v>45463</v>
      </c>
      <c r="G1003" t="inlineStr"/>
      <c r="H1003" t="inlineStr">
        <is>
          <t>4200574509</t>
        </is>
      </c>
      <c r="I1003" t="inlineStr">
        <is>
          <t>100</t>
        </is>
      </c>
      <c r="J1003" s="163" t="n">
        <v>45518</v>
      </c>
      <c r="K1003" s="163" t="n">
        <v>45518</v>
      </c>
      <c r="L1003" t="inlineStr"/>
      <c r="M1003" s="163" t="n">
        <v>45534</v>
      </c>
      <c r="N1003" s="164" t="n">
        <v>85</v>
      </c>
      <c r="O1003" s="164" t="n">
        <v>8</v>
      </c>
      <c r="P1003" t="inlineStr">
        <is>
          <t>Liberado</t>
        </is>
      </c>
      <c r="Q1003" s="165" t="n">
        <v>8</v>
      </c>
      <c r="R1003" s="165" t="n">
        <v>8</v>
      </c>
      <c r="S1003" s="165" t="n">
        <v>8</v>
      </c>
      <c r="T1003" s="165" t="n">
        <v>0</v>
      </c>
      <c r="U1003" s="166" t="n">
        <v>8</v>
      </c>
      <c r="V1003" s="166" t="n">
        <v>0</v>
      </c>
      <c r="W1003" t="inlineStr">
        <is>
          <t>X</t>
        </is>
      </c>
      <c r="X1003" t="inlineStr">
        <is>
          <t>0.00</t>
        </is>
      </c>
      <c r="Y1003" t="inlineStr"/>
      <c r="Z1003" t="inlineStr">
        <is>
          <t>LUJISA, S.A.</t>
        </is>
      </c>
      <c r="AA1003" t="inlineStr">
        <is>
          <t>BULGIN</t>
        </is>
      </c>
      <c r="AB1003" t="inlineStr">
        <is>
          <t>PX0777</t>
        </is>
      </c>
      <c r="AC1003" t="inlineStr"/>
      <c r="AD1003" s="164" t="n">
        <v>0</v>
      </c>
      <c r="AE1003" s="185" t="n">
        <v>0</v>
      </c>
      <c r="AG1003" s="167" t="inlineStr">
        <is>
          <t>7218|JA2582_1001</t>
        </is>
      </c>
      <c r="AH1003" s="47">
        <f>IF(M1003=0,"-",M1003-J1003)</f>
        <v/>
      </c>
      <c r="AI1003" s="46">
        <f>IF(AND(S1003=0,M1003&gt;0,L1003=0),IF(AH1003&gt;=120,"VERY HIGH",IF(AH1003&gt;=90,"HIGH",IF(AH1003&gt;=60,"MEDIUM",IF(AH1003&lt;60,"LOW")))),"-")</f>
        <v/>
      </c>
      <c r="AJ1003" s="12" t="n"/>
      <c r="AK1003" s="53">
        <f>IF(AND(W1003="X",M1003&lt;=$AJ$2),"YES","")</f>
        <v/>
      </c>
      <c r="AL1003" s="54">
        <f>IF(AND(W1003="X",M1003&lt;=$AJ$2),S1003,"")</f>
        <v/>
      </c>
      <c r="AM1003" s="35" t="n"/>
      <c r="AN1003" s="35">
        <f>IF(AND(W1003="X",M1003&gt;$AJ$2),S1003,"")</f>
        <v/>
      </c>
      <c r="AO1003" s="35">
        <f>IF(AND(W1003="",M1003&gt;0,$AJ$2&gt;M1003,L1003=""),1,0)</f>
        <v/>
      </c>
      <c r="AP1003" s="35">
        <f>IF(AND(AK1003="YES",W1003="X"),"X","")</f>
        <v/>
      </c>
      <c r="AQ1003" s="55">
        <f>IF(AP1003="X",100%,0%)</f>
        <v/>
      </c>
      <c r="AR1003" s="25">
        <f>IF(AND(T1003&gt;0,L1003=""),H1003,"")</f>
        <v/>
      </c>
      <c r="AS1003" s="25">
        <f>IF(AND(D1003&gt;0,H1003=0,G1003=""),1,"")</f>
        <v/>
      </c>
      <c r="AT1003" s="25">
        <f>IF(G1003="BLOQ",1,"")</f>
        <v/>
      </c>
      <c r="AU1003" s="25">
        <f>IF(L1003="BLOQ",1,"")</f>
        <v/>
      </c>
      <c r="AV1003" s="25">
        <f>MONTH(F1003)</f>
        <v/>
      </c>
      <c r="AW1003" s="65">
        <f>IF(AP1003="",100%,0%)</f>
        <v/>
      </c>
      <c r="AX1003" s="56" t="n"/>
      <c r="AY1003" s="24">
        <f>IF(M1003=0,"",M1003-$AX$2)</f>
        <v/>
      </c>
      <c r="AZ1003" s="66">
        <f>IF(AND(W1003="",AY1003&gt;0,AY1003&lt;15),1,0)</f>
        <v/>
      </c>
      <c r="BA1003" s="24">
        <f>IF(AND(W1003="",AY1003&gt;0,AY1003&lt;15),T1003,"")</f>
        <v/>
      </c>
      <c r="BB1003" s="87">
        <f>IF(R1003&lt;Q1003,"X","")</f>
        <v/>
      </c>
      <c r="BC1003" s="190" t="inlineStr">
        <is>
          <t>NO</t>
        </is>
      </c>
      <c r="BD1003" s="191" t="inlineStr">
        <is>
          <t>SI</t>
        </is>
      </c>
    </row>
    <row r="1004" ht="15" customHeight="1" s="162">
      <c r="A1004" s="7" t="n">
        <v>1003</v>
      </c>
      <c r="B1004" t="inlineStr">
        <is>
          <t>1207000640100</t>
        </is>
      </c>
      <c r="C1004" t="inlineStr">
        <is>
          <t>CNC RJ11 6P4C PLUG RECT CBL-MNT AU ROHS</t>
        </is>
      </c>
      <c r="D1004" t="inlineStr">
        <is>
          <t>1800108953</t>
        </is>
      </c>
      <c r="E1004" t="inlineStr">
        <is>
          <t>60</t>
        </is>
      </c>
      <c r="F1004" s="163" t="n">
        <v>45463</v>
      </c>
      <c r="G1004" t="inlineStr"/>
      <c r="H1004" t="inlineStr">
        <is>
          <t>4200571557</t>
        </is>
      </c>
      <c r="I1004" t="inlineStr">
        <is>
          <t>190</t>
        </is>
      </c>
      <c r="J1004" s="163" t="n">
        <v>45492</v>
      </c>
      <c r="K1004" s="163" t="n">
        <v>45497</v>
      </c>
      <c r="L1004" t="inlineStr"/>
      <c r="M1004" s="163" t="n">
        <v>45504</v>
      </c>
      <c r="N1004" s="164" t="n">
        <v>40</v>
      </c>
      <c r="O1004" s="164" t="n">
        <v>8</v>
      </c>
      <c r="P1004" t="inlineStr">
        <is>
          <t>Liberado</t>
        </is>
      </c>
      <c r="Q1004" s="165" t="n">
        <v>100</v>
      </c>
      <c r="R1004" s="165" t="n">
        <v>100</v>
      </c>
      <c r="S1004" s="165" t="n">
        <v>100</v>
      </c>
      <c r="T1004" s="165" t="n">
        <v>0</v>
      </c>
      <c r="U1004" s="166" t="n">
        <v>100</v>
      </c>
      <c r="V1004" s="166" t="n">
        <v>0</v>
      </c>
      <c r="W1004" t="inlineStr">
        <is>
          <t>X</t>
        </is>
      </c>
      <c r="X1004" t="inlineStr">
        <is>
          <t>0.00</t>
        </is>
      </c>
      <c r="Y1004" t="inlineStr"/>
      <c r="Z1004" t="inlineStr">
        <is>
          <t>TELKRON, S.A.</t>
        </is>
      </c>
      <c r="AA1004" t="inlineStr">
        <is>
          <t>RS PRO</t>
        </is>
      </c>
      <c r="AB1004" t="inlineStr">
        <is>
          <t>331-6342</t>
        </is>
      </c>
      <c r="AC1004" t="inlineStr"/>
      <c r="AD1004" s="164" t="n">
        <v>0</v>
      </c>
      <c r="AE1004" s="185" t="n">
        <v>0</v>
      </c>
      <c r="AG1004" s="167" t="inlineStr">
        <is>
          <t>7218|JA2582_1001</t>
        </is>
      </c>
      <c r="AH1004" s="47">
        <f>IF(M1004=0,"-",M1004-J1004)</f>
        <v/>
      </c>
      <c r="AI1004" s="46">
        <f>IF(AND(S1004=0,M1004&gt;0,L1004=0),IF(AH1004&gt;=120,"VERY HIGH",IF(AH1004&gt;=90,"HIGH",IF(AH1004&gt;=60,"MEDIUM",IF(AH1004&lt;60,"LOW")))),"-")</f>
        <v/>
      </c>
      <c r="AJ1004" s="12" t="n"/>
      <c r="AK1004" s="53">
        <f>IF(AND(W1004="X",M1004&lt;=$AJ$2),"YES","")</f>
        <v/>
      </c>
      <c r="AL1004" s="54">
        <f>IF(AND(W1004="X",M1004&lt;=$AJ$2),S1004,"")</f>
        <v/>
      </c>
      <c r="AM1004" s="35" t="n"/>
      <c r="AN1004" s="35">
        <f>IF(AND(W1004="X",M1004&gt;$AJ$2),S1004,"")</f>
        <v/>
      </c>
      <c r="AO1004" s="35">
        <f>IF(AND(W1004="",M1004&gt;0,$AJ$2&gt;M1004,L1004=""),1,0)</f>
        <v/>
      </c>
      <c r="AP1004" s="35">
        <f>IF(AND(AK1004="YES",W1004="X"),"X","")</f>
        <v/>
      </c>
      <c r="AQ1004" s="55">
        <f>IF(AP1004="X",100%,0%)</f>
        <v/>
      </c>
      <c r="AR1004" s="25">
        <f>IF(AND(T1004&gt;0,L1004=""),H1004,"")</f>
        <v/>
      </c>
      <c r="AS1004" s="25">
        <f>IF(AND(D1004&gt;0,H1004=0,G1004=""),1,"")</f>
        <v/>
      </c>
      <c r="AT1004" s="25">
        <f>IF(G1004="BLOQ",1,"")</f>
        <v/>
      </c>
      <c r="AU1004" s="25">
        <f>IF(L1004="BLOQ",1,"")</f>
        <v/>
      </c>
      <c r="AV1004" s="25">
        <f>MONTH(F1004)</f>
        <v/>
      </c>
      <c r="AW1004" s="65">
        <f>IF(AP1004="",100%,0%)</f>
        <v/>
      </c>
      <c r="AX1004" s="56" t="n"/>
      <c r="AY1004" s="24">
        <f>IF(M1004=0,"",M1004-$AX$2)</f>
        <v/>
      </c>
      <c r="AZ1004" s="66">
        <f>IF(AND(W1004="",AY1004&gt;0,AY1004&lt;15),1,0)</f>
        <v/>
      </c>
      <c r="BA1004" s="24">
        <f>IF(AND(W1004="",AY1004&gt;0,AY1004&lt;15),T1004,"")</f>
        <v/>
      </c>
      <c r="BB1004" s="87">
        <f>IF(R1004&lt;Q1004,"X","")</f>
        <v/>
      </c>
      <c r="BC1004" s="190" t="inlineStr">
        <is>
          <t>NO</t>
        </is>
      </c>
      <c r="BD1004" s="191" t="inlineStr">
        <is>
          <t>SI</t>
        </is>
      </c>
    </row>
    <row r="1005" ht="15" customHeight="1" s="162">
      <c r="A1005" s="7" t="n">
        <v>1004</v>
      </c>
      <c r="B1005" t="inlineStr">
        <is>
          <t>1208000300300</t>
        </is>
      </c>
      <c r="C1005" t="inlineStr">
        <is>
          <t>CNC RECT IEC C20 3P (M) 16A 250V</t>
        </is>
      </c>
      <c r="D1005" t="inlineStr">
        <is>
          <t>1800108953</t>
        </is>
      </c>
      <c r="E1005" t="inlineStr">
        <is>
          <t>70</t>
        </is>
      </c>
      <c r="F1005" s="163" t="n">
        <v>45463</v>
      </c>
      <c r="G1005" t="inlineStr"/>
      <c r="H1005" t="inlineStr">
        <is>
          <t>4200571112</t>
        </is>
      </c>
      <c r="I1005" t="inlineStr">
        <is>
          <t>10</t>
        </is>
      </c>
      <c r="J1005" s="163" t="n">
        <v>45490</v>
      </c>
      <c r="K1005" s="163" t="n">
        <v>45490</v>
      </c>
      <c r="L1005" t="inlineStr"/>
      <c r="M1005" s="163" t="n">
        <v>45496</v>
      </c>
      <c r="N1005" s="164" t="n">
        <v>85</v>
      </c>
      <c r="O1005" s="164" t="n">
        <v>8</v>
      </c>
      <c r="P1005" t="inlineStr">
        <is>
          <t>Liberado</t>
        </is>
      </c>
      <c r="Q1005" s="165" t="n">
        <v>15</v>
      </c>
      <c r="R1005" s="165" t="n">
        <v>15</v>
      </c>
      <c r="S1005" s="165" t="n">
        <v>15</v>
      </c>
      <c r="T1005" s="165" t="n">
        <v>0</v>
      </c>
      <c r="U1005" s="166" t="n">
        <v>15</v>
      </c>
      <c r="V1005" s="166" t="n">
        <v>0</v>
      </c>
      <c r="W1005" t="inlineStr">
        <is>
          <t>X</t>
        </is>
      </c>
      <c r="X1005" t="inlineStr">
        <is>
          <t>0.00</t>
        </is>
      </c>
      <c r="Y1005" t="inlineStr"/>
      <c r="Z1005" t="inlineStr">
        <is>
          <t>INFORMATICA CALCULO Y TECNICA, S.A.</t>
        </is>
      </c>
      <c r="AA1005" t="inlineStr">
        <is>
          <t>ELCOM INTERNATIONAL PVT LTD</t>
        </is>
      </c>
      <c r="AB1005" t="inlineStr">
        <is>
          <t>776-9125</t>
        </is>
      </c>
      <c r="AC1005" t="inlineStr"/>
      <c r="AD1005" s="164" t="n">
        <v>0</v>
      </c>
      <c r="AE1005" s="185" t="n">
        <v>0</v>
      </c>
      <c r="AG1005" s="167" t="inlineStr">
        <is>
          <t>7218|JA2582_1001</t>
        </is>
      </c>
      <c r="AH1005" s="47">
        <f>IF(M1005=0,"-",M1005-J1005)</f>
        <v/>
      </c>
      <c r="AI1005" s="46">
        <f>IF(AND(S1005=0,M1005&gt;0,L1005=0),IF(AH1005&gt;=120,"VERY HIGH",IF(AH1005&gt;=90,"HIGH",IF(AH1005&gt;=60,"MEDIUM",IF(AH1005&lt;60,"LOW")))),"-")</f>
        <v/>
      </c>
      <c r="AJ1005" s="12" t="n"/>
      <c r="AK1005" s="53">
        <f>IF(AND(W1005="X",M1005&lt;=$AJ$2),"YES","")</f>
        <v/>
      </c>
      <c r="AL1005" s="54">
        <f>IF(AND(W1005="X",M1005&lt;=$AJ$2),S1005,"")</f>
        <v/>
      </c>
      <c r="AM1005" s="35" t="n"/>
      <c r="AN1005" s="35">
        <f>IF(AND(W1005="X",M1005&gt;$AJ$2),S1005,"")</f>
        <v/>
      </c>
      <c r="AO1005" s="35">
        <f>IF(AND(W1005="",M1005&gt;0,$AJ$2&gt;M1005,L1005=""),1,0)</f>
        <v/>
      </c>
      <c r="AP1005" s="35">
        <f>IF(AND(AK1005="YES",W1005="X"),"X","")</f>
        <v/>
      </c>
      <c r="AQ1005" s="55">
        <f>IF(AP1005="X",100%,0%)</f>
        <v/>
      </c>
      <c r="AR1005" s="25">
        <f>IF(AND(T1005&gt;0,L1005=""),H1005,"")</f>
        <v/>
      </c>
      <c r="AS1005" s="25">
        <f>IF(AND(D1005&gt;0,H1005=0,G1005=""),1,"")</f>
        <v/>
      </c>
      <c r="AT1005" s="25">
        <f>IF(G1005="BLOQ",1,"")</f>
        <v/>
      </c>
      <c r="AU1005" s="25">
        <f>IF(L1005="BLOQ",1,"")</f>
        <v/>
      </c>
      <c r="AV1005" s="25">
        <f>MONTH(F1005)</f>
        <v/>
      </c>
      <c r="AW1005" s="65">
        <f>IF(AP1005="",100%,0%)</f>
        <v/>
      </c>
      <c r="AX1005" s="56" t="n"/>
      <c r="AY1005" s="24">
        <f>IF(M1005=0,"",M1005-$AX$2)</f>
        <v/>
      </c>
      <c r="AZ1005" s="66">
        <f>IF(AND(W1005="",AY1005&gt;0,AY1005&lt;15),1,0)</f>
        <v/>
      </c>
      <c r="BA1005" s="24">
        <f>IF(AND(W1005="",AY1005&gt;0,AY1005&lt;15),T1005,"")</f>
        <v/>
      </c>
      <c r="BB1005" s="87">
        <f>IF(R1005&lt;Q1005,"X","")</f>
        <v/>
      </c>
      <c r="BC1005" s="190" t="inlineStr">
        <is>
          <t>NO</t>
        </is>
      </c>
      <c r="BD1005" s="191" t="inlineStr">
        <is>
          <t>SI</t>
        </is>
      </c>
    </row>
    <row r="1006" ht="15" customHeight="1" s="162">
      <c r="A1006" s="7" t="n">
        <v>1005</v>
      </c>
      <c r="B1006" t="inlineStr">
        <is>
          <t>1208000322100</t>
        </is>
      </c>
      <c r="C1006" t="inlineStr">
        <is>
          <t>CNC ALIMENT 2P+T 16A/250VAC CBL LATERAL</t>
        </is>
      </c>
      <c r="D1006" t="inlineStr">
        <is>
          <t>1800108953</t>
        </is>
      </c>
      <c r="E1006" t="inlineStr">
        <is>
          <t>80</t>
        </is>
      </c>
      <c r="F1006" s="163" t="n">
        <v>45463</v>
      </c>
      <c r="G1006" t="inlineStr"/>
      <c r="H1006" t="inlineStr">
        <is>
          <t>4200570653</t>
        </is>
      </c>
      <c r="I1006" t="inlineStr">
        <is>
          <t>160</t>
        </is>
      </c>
      <c r="J1006" s="163" t="n">
        <v>45488</v>
      </c>
      <c r="K1006" s="163" t="n">
        <v>45744</v>
      </c>
      <c r="L1006" t="inlineStr"/>
      <c r="M1006" s="163" t="n">
        <v>45500</v>
      </c>
      <c r="N1006" s="164" t="n">
        <v>80</v>
      </c>
      <c r="O1006" s="164" t="n">
        <v>8</v>
      </c>
      <c r="P1006" t="inlineStr">
        <is>
          <t>Liberado</t>
        </is>
      </c>
      <c r="Q1006" s="165" t="n">
        <v>1</v>
      </c>
      <c r="R1006" s="165" t="n">
        <v>5</v>
      </c>
      <c r="S1006" s="165" t="n">
        <v>5</v>
      </c>
      <c r="T1006" s="165" t="n">
        <v>0</v>
      </c>
      <c r="U1006" s="166" t="n">
        <v>5</v>
      </c>
      <c r="V1006" s="166" t="n">
        <v>0</v>
      </c>
      <c r="W1006" t="inlineStr">
        <is>
          <t>X</t>
        </is>
      </c>
      <c r="X1006" t="inlineStr">
        <is>
          <t>0.00</t>
        </is>
      </c>
      <c r="Y1006" t="inlineStr"/>
      <c r="Z1006" t="inlineStr">
        <is>
          <t>TELKRON, S.A.</t>
        </is>
      </c>
      <c r="AA1006" t="inlineStr">
        <is>
          <t>RS PRO</t>
        </is>
      </c>
      <c r="AB1006" t="inlineStr">
        <is>
          <t>849-6115</t>
        </is>
      </c>
      <c r="AC1006" t="inlineStr"/>
      <c r="AD1006" s="164" t="n">
        <v>0</v>
      </c>
      <c r="AE1006" s="185" t="n">
        <v>0</v>
      </c>
      <c r="AG1006" s="167" t="inlineStr">
        <is>
          <t>7218|JA2582_1001</t>
        </is>
      </c>
      <c r="AH1006" s="47">
        <f>IF(M1006=0,"-",M1006-J1006)</f>
        <v/>
      </c>
      <c r="AI1006" s="46">
        <f>IF(AND(S1006=0,M1006&gt;0,L1006=0),IF(AH1006&gt;=120,"VERY HIGH",IF(AH1006&gt;=90,"HIGH",IF(AH1006&gt;=60,"MEDIUM",IF(AH1006&lt;60,"LOW")))),"-")</f>
        <v/>
      </c>
      <c r="AJ1006" s="12" t="n"/>
      <c r="AK1006" s="53">
        <f>IF(AND(W1006="X",M1006&lt;=$AJ$2),"YES","")</f>
        <v/>
      </c>
      <c r="AL1006" s="54">
        <f>IF(AND(W1006="X",M1006&lt;=$AJ$2),S1006,"")</f>
        <v/>
      </c>
      <c r="AM1006" s="35" t="n"/>
      <c r="AN1006" s="35">
        <f>IF(AND(W1006="X",M1006&gt;$AJ$2),S1006,"")</f>
        <v/>
      </c>
      <c r="AO1006" s="35">
        <f>IF(AND(W1006="",M1006&gt;0,$AJ$2&gt;M1006,L1006=""),1,0)</f>
        <v/>
      </c>
      <c r="AP1006" s="35">
        <f>IF(AND(AK1006="YES",W1006="X"),"X","")</f>
        <v/>
      </c>
      <c r="AQ1006" s="55">
        <f>IF(AP1006="X",100%,0%)</f>
        <v/>
      </c>
      <c r="AR1006" s="25">
        <f>IF(AND(T1006&gt;0,L1006=""),H1006,"")</f>
        <v/>
      </c>
      <c r="AS1006" s="25">
        <f>IF(AND(D1006&gt;0,H1006=0,G1006=""),1,"")</f>
        <v/>
      </c>
      <c r="AT1006" s="25">
        <f>IF(G1006="BLOQ",1,"")</f>
        <v/>
      </c>
      <c r="AU1006" s="25">
        <f>IF(L1006="BLOQ",1,"")</f>
        <v/>
      </c>
      <c r="AV1006" s="25">
        <f>MONTH(F1006)</f>
        <v/>
      </c>
      <c r="AW1006" s="65">
        <f>IF(AP1006="",100%,0%)</f>
        <v/>
      </c>
      <c r="AX1006" s="56" t="n"/>
      <c r="AY1006" s="24">
        <f>IF(M1006=0,"",M1006-$AX$2)</f>
        <v/>
      </c>
      <c r="AZ1006" s="66">
        <f>IF(AND(W1006="",AY1006&gt;0,AY1006&lt;15),1,0)</f>
        <v/>
      </c>
      <c r="BA1006" s="24">
        <f>IF(AND(W1006="",AY1006&gt;0,AY1006&lt;15),T1006,"")</f>
        <v/>
      </c>
      <c r="BB1006" s="87">
        <f>IF(R1006&lt;Q1006,"X","")</f>
        <v/>
      </c>
      <c r="BC1006" s="190" t="inlineStr">
        <is>
          <t>NO</t>
        </is>
      </c>
      <c r="BD1006" s="191" t="inlineStr">
        <is>
          <t>SI</t>
        </is>
      </c>
    </row>
    <row r="1007" ht="15" customHeight="1" s="162">
      <c r="A1007" s="7" t="n">
        <v>1006</v>
      </c>
      <c r="B1007" t="inlineStr">
        <is>
          <t>1208000323400</t>
        </is>
      </c>
      <c r="C1007" t="inlineStr">
        <is>
          <t>CNC RED 2P+T M 230V 60HZ 16A PLUG IP44</t>
        </is>
      </c>
      <c r="D1007" t="inlineStr">
        <is>
          <t>1800108953</t>
        </is>
      </c>
      <c r="E1007" t="inlineStr">
        <is>
          <t>90</t>
        </is>
      </c>
      <c r="F1007" s="163" t="n">
        <v>45463</v>
      </c>
      <c r="G1007" t="inlineStr"/>
      <c r="H1007" t="inlineStr">
        <is>
          <t>4200572519</t>
        </is>
      </c>
      <c r="I1007" t="inlineStr">
        <is>
          <t>10</t>
        </is>
      </c>
      <c r="J1007" s="163" t="n">
        <v>45501</v>
      </c>
      <c r="K1007" s="163" t="n">
        <v>45524</v>
      </c>
      <c r="L1007" t="inlineStr"/>
      <c r="M1007" s="163" t="n">
        <v>45534</v>
      </c>
      <c r="N1007" s="164" t="n">
        <v>85</v>
      </c>
      <c r="O1007" s="164" t="n">
        <v>8</v>
      </c>
      <c r="P1007" t="inlineStr">
        <is>
          <t>Liberado</t>
        </is>
      </c>
      <c r="Q1007" s="165" t="n">
        <v>10</v>
      </c>
      <c r="R1007" s="165" t="n">
        <v>10</v>
      </c>
      <c r="S1007" s="165" t="n">
        <v>10</v>
      </c>
      <c r="T1007" s="165" t="n">
        <v>0</v>
      </c>
      <c r="U1007" s="166" t="n">
        <v>10</v>
      </c>
      <c r="V1007" s="166" t="n">
        <v>0</v>
      </c>
      <c r="W1007" t="inlineStr">
        <is>
          <t>X</t>
        </is>
      </c>
      <c r="X1007" t="inlineStr">
        <is>
          <t>0.00</t>
        </is>
      </c>
      <c r="Y1007" t="inlineStr"/>
      <c r="Z1007" t="inlineStr">
        <is>
          <t>ICOMPPLUS ELECTRONICS S.L</t>
        </is>
      </c>
      <c r="AA1007" t="inlineStr">
        <is>
          <t>MENNEKES ELECT.</t>
        </is>
      </c>
      <c r="AB1007" t="inlineStr">
        <is>
          <t>248</t>
        </is>
      </c>
      <c r="AC1007" t="inlineStr"/>
      <c r="AD1007" s="164" t="n">
        <v>1</v>
      </c>
      <c r="AE1007" s="185" t="n">
        <v>1</v>
      </c>
      <c r="AG1007" s="167" t="inlineStr">
        <is>
          <t>7218|JA2582_1001</t>
        </is>
      </c>
      <c r="AH1007" s="47">
        <f>IF(M1007=0,"-",M1007-J1007)</f>
        <v/>
      </c>
      <c r="AI1007" s="46">
        <f>IF(AND(S1007=0,M1007&gt;0,L1007=0),IF(AH1007&gt;=120,"VERY HIGH",IF(AH1007&gt;=90,"HIGH",IF(AH1007&gt;=60,"MEDIUM",IF(AH1007&lt;60,"LOW")))),"-")</f>
        <v/>
      </c>
      <c r="AJ1007" s="12" t="n"/>
      <c r="AK1007" s="53">
        <f>IF(AND(W1007="X",M1007&lt;=$AJ$2),"YES","")</f>
        <v/>
      </c>
      <c r="AL1007" s="54">
        <f>IF(AND(W1007="X",M1007&lt;=$AJ$2),S1007,"")</f>
        <v/>
      </c>
      <c r="AM1007" s="35" t="n"/>
      <c r="AN1007" s="35">
        <f>IF(AND(W1007="X",M1007&gt;$AJ$2),S1007,"")</f>
        <v/>
      </c>
      <c r="AO1007" s="35">
        <f>IF(AND(W1007="",M1007&gt;0,$AJ$2&gt;M1007,L1007=""),1,0)</f>
        <v/>
      </c>
      <c r="AP1007" s="35">
        <f>IF(AND(AK1007="YES",W1007="X"),"X","")</f>
        <v/>
      </c>
      <c r="AQ1007" s="55">
        <f>IF(AP1007="X",100%,0%)</f>
        <v/>
      </c>
      <c r="AR1007" s="25">
        <f>IF(AND(T1007&gt;0,L1007=""),H1007,"")</f>
        <v/>
      </c>
      <c r="AS1007" s="25">
        <f>IF(AND(D1007&gt;0,H1007=0,G1007=""),1,"")</f>
        <v/>
      </c>
      <c r="AT1007" s="25">
        <f>IF(G1007="BLOQ",1,"")</f>
        <v/>
      </c>
      <c r="AU1007" s="25">
        <f>IF(L1007="BLOQ",1,"")</f>
        <v/>
      </c>
      <c r="AV1007" s="25">
        <f>MONTH(F1007)</f>
        <v/>
      </c>
      <c r="AW1007" s="65">
        <f>IF(AP1007="",100%,0%)</f>
        <v/>
      </c>
      <c r="AX1007" s="56" t="n"/>
      <c r="AY1007" s="24">
        <f>IF(M1007=0,"",M1007-$AX$2)</f>
        <v/>
      </c>
      <c r="AZ1007" s="66">
        <f>IF(AND(W1007="",AY1007&gt;0,AY1007&lt;15),1,0)</f>
        <v/>
      </c>
      <c r="BA1007" s="24">
        <f>IF(AND(W1007="",AY1007&gt;0,AY1007&lt;15),T1007,"")</f>
        <v/>
      </c>
      <c r="BB1007" s="87">
        <f>IF(R1007&lt;Q1007,"X","")</f>
        <v/>
      </c>
      <c r="BC1007" s="190" t="inlineStr">
        <is>
          <t>NO</t>
        </is>
      </c>
      <c r="BD1007" s="191" t="inlineStr">
        <is>
          <t>SI</t>
        </is>
      </c>
    </row>
    <row r="1008" ht="15" customHeight="1" s="162">
      <c r="A1008" s="7" t="n">
        <v>1007</v>
      </c>
      <c r="B1008" t="inlineStr">
        <is>
          <t>1208000324100</t>
        </is>
      </c>
      <c r="C1008" t="inlineStr">
        <is>
          <t>CNC CLAVIJA 2P+T/M ACOD 250VAC 16A BLANC</t>
        </is>
      </c>
      <c r="D1008" t="inlineStr">
        <is>
          <t>1800108953</t>
        </is>
      </c>
      <c r="E1008" t="inlineStr">
        <is>
          <t>100</t>
        </is>
      </c>
      <c r="F1008" s="163" t="n">
        <v>45463</v>
      </c>
      <c r="G1008" t="inlineStr"/>
      <c r="H1008" t="inlineStr">
        <is>
          <t>4200573516</t>
        </is>
      </c>
      <c r="I1008" t="inlineStr">
        <is>
          <t>10</t>
        </is>
      </c>
      <c r="J1008" s="163" t="n">
        <v>45509</v>
      </c>
      <c r="K1008" s="163" t="n">
        <v>45509</v>
      </c>
      <c r="L1008" t="inlineStr"/>
      <c r="M1008" s="163" t="n">
        <v>45516</v>
      </c>
      <c r="N1008" s="164" t="n">
        <v>30</v>
      </c>
      <c r="O1008" s="164" t="n">
        <v>8</v>
      </c>
      <c r="P1008" t="inlineStr">
        <is>
          <t>Liberado</t>
        </is>
      </c>
      <c r="Q1008" s="165" t="n">
        <v>25</v>
      </c>
      <c r="R1008" s="165" t="n">
        <v>25</v>
      </c>
      <c r="S1008" s="165" t="n">
        <v>25</v>
      </c>
      <c r="T1008" s="165" t="n">
        <v>0</v>
      </c>
      <c r="U1008" s="166" t="n">
        <v>25</v>
      </c>
      <c r="V1008" s="166" t="n">
        <v>0</v>
      </c>
      <c r="W1008" t="inlineStr">
        <is>
          <t>X</t>
        </is>
      </c>
      <c r="X1008" t="inlineStr">
        <is>
          <t>0.00</t>
        </is>
      </c>
      <c r="Y1008" t="inlineStr"/>
      <c r="Z1008" t="inlineStr">
        <is>
          <t>LUJISA, S.A.</t>
        </is>
      </c>
      <c r="AA1008" t="inlineStr">
        <is>
          <t>SOLERA</t>
        </is>
      </c>
      <c r="AB1008" t="inlineStr">
        <is>
          <t>6566</t>
        </is>
      </c>
      <c r="AC1008" t="inlineStr"/>
      <c r="AD1008" s="164" t="n">
        <v>0</v>
      </c>
      <c r="AE1008" s="185" t="n">
        <v>0</v>
      </c>
      <c r="AG1008" s="167" t="inlineStr">
        <is>
          <t>7218|JA2582_1001</t>
        </is>
      </c>
      <c r="AH1008" s="47">
        <f>IF(M1008=0,"-",M1008-J1008)</f>
        <v/>
      </c>
      <c r="AI1008" s="46">
        <f>IF(AND(S1008=0,M1008&gt;0,L1008=0),IF(AH1008&gt;=120,"VERY HIGH",IF(AH1008&gt;=90,"HIGH",IF(AH1008&gt;=60,"MEDIUM",IF(AH1008&lt;60,"LOW")))),"-")</f>
        <v/>
      </c>
      <c r="AJ1008" s="12" t="n"/>
      <c r="AK1008" s="53">
        <f>IF(AND(W1008="X",M1008&lt;=$AJ$2),"YES","")</f>
        <v/>
      </c>
      <c r="AL1008" s="54">
        <f>IF(AND(W1008="X",M1008&lt;=$AJ$2),S1008,"")</f>
        <v/>
      </c>
      <c r="AM1008" s="35" t="n"/>
      <c r="AN1008" s="35">
        <f>IF(AND(W1008="X",M1008&gt;$AJ$2),S1008,"")</f>
        <v/>
      </c>
      <c r="AO1008" s="35">
        <f>IF(AND(W1008="",M1008&gt;0,$AJ$2&gt;M1008,L1008=""),1,0)</f>
        <v/>
      </c>
      <c r="AP1008" s="35">
        <f>IF(AND(AK1008="YES",W1008="X"),"X","")</f>
        <v/>
      </c>
      <c r="AQ1008" s="55">
        <f>IF(AP1008="X",100%,0%)</f>
        <v/>
      </c>
      <c r="AR1008" s="25">
        <f>IF(AND(T1008&gt;0,L1008=""),H1008,"")</f>
        <v/>
      </c>
      <c r="AS1008" s="25">
        <f>IF(AND(D1008&gt;0,H1008=0,G1008=""),1,"")</f>
        <v/>
      </c>
      <c r="AT1008" s="25">
        <f>IF(G1008="BLOQ",1,"")</f>
        <v/>
      </c>
      <c r="AU1008" s="25">
        <f>IF(L1008="BLOQ",1,"")</f>
        <v/>
      </c>
      <c r="AV1008" s="25">
        <f>MONTH(F1008)</f>
        <v/>
      </c>
      <c r="AW1008" s="65">
        <f>IF(AP1008="",100%,0%)</f>
        <v/>
      </c>
      <c r="AX1008" s="56" t="n"/>
      <c r="AY1008" s="24">
        <f>IF(M1008=0,"",M1008-$AX$2)</f>
        <v/>
      </c>
      <c r="AZ1008" s="66">
        <f>IF(AND(W1008="",AY1008&gt;0,AY1008&lt;15),1,0)</f>
        <v/>
      </c>
      <c r="BA1008" s="24">
        <f>IF(AND(W1008="",AY1008&gt;0,AY1008&lt;15),T1008,"")</f>
        <v/>
      </c>
      <c r="BB1008" s="87">
        <f>IF(R1008&lt;Q1008,"X","")</f>
        <v/>
      </c>
      <c r="BC1008" s="190" t="inlineStr">
        <is>
          <t>NO</t>
        </is>
      </c>
      <c r="BD1008" s="191" t="inlineStr">
        <is>
          <t>SI</t>
        </is>
      </c>
    </row>
    <row r="1009" ht="15" customHeight="1" s="162">
      <c r="A1009" s="7" t="n">
        <v>1008</v>
      </c>
      <c r="B1009" t="inlineStr">
        <is>
          <t>1208000325700</t>
        </is>
      </c>
      <c r="C1009" t="inlineStr">
        <is>
          <t>CNC ALIMENT IEC C14 3M RECT TOR 250V 10A</t>
        </is>
      </c>
      <c r="D1009" t="inlineStr">
        <is>
          <t>1800108953</t>
        </is>
      </c>
      <c r="E1009" t="inlineStr">
        <is>
          <t>110</t>
        </is>
      </c>
      <c r="F1009" s="163" t="n">
        <v>45463</v>
      </c>
      <c r="G1009" t="inlineStr"/>
      <c r="H1009" t="inlineStr">
        <is>
          <t>4200571557</t>
        </is>
      </c>
      <c r="I1009" t="inlineStr">
        <is>
          <t>200</t>
        </is>
      </c>
      <c r="J1009" s="163" t="n">
        <v>45492</v>
      </c>
      <c r="K1009" s="163" t="n">
        <v>45497</v>
      </c>
      <c r="L1009" t="inlineStr"/>
      <c r="M1009" s="163" t="n">
        <v>45504</v>
      </c>
      <c r="N1009" s="164" t="n">
        <v>85</v>
      </c>
      <c r="O1009" s="164" t="n">
        <v>8</v>
      </c>
      <c r="P1009" t="inlineStr">
        <is>
          <t>Liberado</t>
        </is>
      </c>
      <c r="Q1009" s="165" t="n">
        <v>60</v>
      </c>
      <c r="R1009" s="165" t="n">
        <v>60</v>
      </c>
      <c r="S1009" s="165" t="n">
        <v>70</v>
      </c>
      <c r="T1009" s="165" t="n">
        <v>0</v>
      </c>
      <c r="U1009" s="166" t="n">
        <v>60</v>
      </c>
      <c r="V1009" s="166" t="n">
        <v>10</v>
      </c>
      <c r="W1009" t="inlineStr">
        <is>
          <t>X</t>
        </is>
      </c>
      <c r="X1009" t="inlineStr">
        <is>
          <t>0.00</t>
        </is>
      </c>
      <c r="Y1009" t="inlineStr"/>
      <c r="Z1009" t="inlineStr">
        <is>
          <t>TELKRON, S.A.</t>
        </is>
      </c>
      <c r="AA1009" t="inlineStr">
        <is>
          <t>RS PRO</t>
        </is>
      </c>
      <c r="AB1009" t="inlineStr">
        <is>
          <t>776-9113</t>
        </is>
      </c>
      <c r="AC1009" t="inlineStr"/>
      <c r="AD1009" s="164" t="n">
        <v>0</v>
      </c>
      <c r="AE1009" s="185" t="n">
        <v>0</v>
      </c>
      <c r="AG1009" s="167" t="inlineStr">
        <is>
          <t>7218|JA2582_1001</t>
        </is>
      </c>
      <c r="AH1009" s="47">
        <f>IF(M1009=0,"-",M1009-J1009)</f>
        <v/>
      </c>
      <c r="AI1009" s="46">
        <f>IF(AND(S1009=0,M1009&gt;0,L1009=0),IF(AH1009&gt;=120,"VERY HIGH",IF(AH1009&gt;=90,"HIGH",IF(AH1009&gt;=60,"MEDIUM",IF(AH1009&lt;60,"LOW")))),"-")</f>
        <v/>
      </c>
      <c r="AJ1009" s="12" t="n"/>
      <c r="AK1009" s="53">
        <f>IF(AND(W1009="X",M1009&lt;=$AJ$2),"YES","")</f>
        <v/>
      </c>
      <c r="AL1009" s="54">
        <f>IF(AND(W1009="X",M1009&lt;=$AJ$2),S1009,"")</f>
        <v/>
      </c>
      <c r="AM1009" s="35" t="n"/>
      <c r="AN1009" s="35">
        <f>IF(AND(W1009="X",M1009&gt;$AJ$2),S1009,"")</f>
        <v/>
      </c>
      <c r="AO1009" s="35">
        <f>IF(AND(W1009="",M1009&gt;0,$AJ$2&gt;M1009,L1009=""),1,0)</f>
        <v/>
      </c>
      <c r="AP1009" s="35">
        <f>IF(AND(AK1009="YES",W1009="X"),"X","")</f>
        <v/>
      </c>
      <c r="AQ1009" s="55">
        <f>IF(AP1009="X",100%,0%)</f>
        <v/>
      </c>
      <c r="AR1009" s="25">
        <f>IF(AND(T1009&gt;0,L1009=""),H1009,"")</f>
        <v/>
      </c>
      <c r="AS1009" s="25">
        <f>IF(AND(D1009&gt;0,H1009=0,G1009=""),1,"")</f>
        <v/>
      </c>
      <c r="AT1009" s="25">
        <f>IF(G1009="BLOQ",1,"")</f>
        <v/>
      </c>
      <c r="AU1009" s="25">
        <f>IF(L1009="BLOQ",1,"")</f>
        <v/>
      </c>
      <c r="AV1009" s="25">
        <f>MONTH(F1009)</f>
        <v/>
      </c>
      <c r="AW1009" s="65">
        <f>IF(AP1009="",100%,0%)</f>
        <v/>
      </c>
      <c r="AX1009" s="56" t="n"/>
      <c r="AY1009" s="24">
        <f>IF(M1009=0,"",M1009-$AX$2)</f>
        <v/>
      </c>
      <c r="AZ1009" s="66">
        <f>IF(AND(W1009="",AY1009&gt;0,AY1009&lt;15),1,0)</f>
        <v/>
      </c>
      <c r="BA1009" s="24">
        <f>IF(AND(W1009="",AY1009&gt;0,AY1009&lt;15),T1009,"")</f>
        <v/>
      </c>
      <c r="BB1009" s="87">
        <f>IF(R1009&lt;Q1009,"X","")</f>
        <v/>
      </c>
      <c r="BC1009" s="190" t="inlineStr">
        <is>
          <t>NO</t>
        </is>
      </c>
      <c r="BD1009" s="191" t="inlineStr">
        <is>
          <t>SI</t>
        </is>
      </c>
    </row>
    <row r="1010" ht="15" customHeight="1" s="162">
      <c r="A1010" s="7" t="n">
        <v>1009</v>
      </c>
      <c r="B1010" t="inlineStr">
        <is>
          <t>1218000325100</t>
        </is>
      </c>
      <c r="C1010" t="inlineStr">
        <is>
          <t>CNC RED 2P+T H 230V 32A JACK IP44 AZUL</t>
        </is>
      </c>
      <c r="D1010" t="inlineStr">
        <is>
          <t>1800108953</t>
        </is>
      </c>
      <c r="E1010" t="inlineStr">
        <is>
          <t>120</t>
        </is>
      </c>
      <c r="F1010" s="163" t="n">
        <v>45463</v>
      </c>
      <c r="G1010" t="inlineStr"/>
      <c r="H1010" t="inlineStr">
        <is>
          <t>4200572519</t>
        </is>
      </c>
      <c r="I1010" t="inlineStr">
        <is>
          <t>20</t>
        </is>
      </c>
      <c r="J1010" s="163" t="n">
        <v>45501</v>
      </c>
      <c r="K1010" s="163" t="n">
        <v>45524</v>
      </c>
      <c r="L1010" t="inlineStr"/>
      <c r="M1010" s="163" t="n">
        <v>45569</v>
      </c>
      <c r="N1010" s="164" t="n">
        <v>30</v>
      </c>
      <c r="O1010" s="164" t="n">
        <v>8</v>
      </c>
      <c r="P1010" t="inlineStr">
        <is>
          <t>Liberado</t>
        </is>
      </c>
      <c r="Q1010" s="165" t="n">
        <v>10</v>
      </c>
      <c r="R1010" s="165" t="n">
        <v>10</v>
      </c>
      <c r="S1010" s="165" t="n">
        <v>10</v>
      </c>
      <c r="T1010" s="165" t="n">
        <v>0</v>
      </c>
      <c r="U1010" s="166" t="n">
        <v>10</v>
      </c>
      <c r="V1010" s="166" t="n">
        <v>0</v>
      </c>
      <c r="W1010" t="inlineStr">
        <is>
          <t>X</t>
        </is>
      </c>
      <c r="X1010" t="inlineStr">
        <is>
          <t>0.00</t>
        </is>
      </c>
      <c r="Y1010" t="inlineStr"/>
      <c r="Z1010" t="inlineStr">
        <is>
          <t>ICOMPPLUS ELECTRONICS S.L</t>
        </is>
      </c>
      <c r="AA1010" t="inlineStr">
        <is>
          <t>MENNEKES ELECT.</t>
        </is>
      </c>
      <c r="AB1010" t="inlineStr">
        <is>
          <t>522</t>
        </is>
      </c>
      <c r="AC1010" t="inlineStr"/>
      <c r="AD1010" s="164" t="n">
        <v>2</v>
      </c>
      <c r="AE1010" s="185" t="n">
        <v>1</v>
      </c>
      <c r="AG1010" s="167" t="inlineStr">
        <is>
          <t>7218|JA2582_1001</t>
        </is>
      </c>
      <c r="AH1010" s="47">
        <f>IF(M1010=0,"-",M1010-J1010)</f>
        <v/>
      </c>
      <c r="AI1010" s="46">
        <f>IF(AND(S1010=0,M1010&gt;0,L1010=0),IF(AH1010&gt;=120,"VERY HIGH",IF(AH1010&gt;=90,"HIGH",IF(AH1010&gt;=60,"MEDIUM",IF(AH1010&lt;60,"LOW")))),"-")</f>
        <v/>
      </c>
      <c r="AJ1010" s="12" t="n"/>
      <c r="AK1010" s="53">
        <f>IF(AND(W1010="X",M1010&lt;=$AJ$2),"YES","")</f>
        <v/>
      </c>
      <c r="AL1010" s="54">
        <f>IF(AND(W1010="X",M1010&lt;=$AJ$2),S1010,"")</f>
        <v/>
      </c>
      <c r="AM1010" s="35" t="n"/>
      <c r="AN1010" s="35">
        <f>IF(AND(W1010="X",M1010&gt;$AJ$2),S1010,"")</f>
        <v/>
      </c>
      <c r="AO1010" s="35">
        <f>IF(AND(W1010="",M1010&gt;0,$AJ$2&gt;M1010,L1010=""),1,0)</f>
        <v/>
      </c>
      <c r="AP1010" s="35">
        <f>IF(AND(AK1010="YES",W1010="X"),"X","")</f>
        <v/>
      </c>
      <c r="AQ1010" s="55">
        <f>IF(AP1010="X",100%,0%)</f>
        <v/>
      </c>
      <c r="AR1010" s="25">
        <f>IF(AND(T1010&gt;0,L1010=""),H1010,"")</f>
        <v/>
      </c>
      <c r="AS1010" s="25">
        <f>IF(AND(D1010&gt;0,H1010=0,G1010=""),1,"")</f>
        <v/>
      </c>
      <c r="AT1010" s="25">
        <f>IF(G1010="BLOQ",1,"")</f>
        <v/>
      </c>
      <c r="AU1010" s="25">
        <f>IF(L1010="BLOQ",1,"")</f>
        <v/>
      </c>
      <c r="AV1010" s="25">
        <f>MONTH(F1010)</f>
        <v/>
      </c>
      <c r="AW1010" s="65">
        <f>IF(AP1010="",100%,0%)</f>
        <v/>
      </c>
      <c r="AX1010" s="56" t="n"/>
      <c r="AY1010" s="24">
        <f>IF(M1010=0,"",M1010-$AX$2)</f>
        <v/>
      </c>
      <c r="AZ1010" s="66">
        <f>IF(AND(W1010="",AY1010&gt;0,AY1010&lt;15),1,0)</f>
        <v/>
      </c>
      <c r="BA1010" s="24">
        <f>IF(AND(W1010="",AY1010&gt;0,AY1010&lt;15),T1010,"")</f>
        <v/>
      </c>
      <c r="BB1010" s="87">
        <f>IF(R1010&lt;Q1010,"X","")</f>
        <v/>
      </c>
      <c r="BC1010" s="190" t="inlineStr">
        <is>
          <t>NO</t>
        </is>
      </c>
      <c r="BD1010" s="191" t="inlineStr">
        <is>
          <t>SI</t>
        </is>
      </c>
    </row>
    <row r="1011" ht="15" customHeight="1" s="162">
      <c r="A1011" s="7" t="n">
        <v>1010</v>
      </c>
      <c r="B1011" t="inlineStr">
        <is>
          <t>1218000325200</t>
        </is>
      </c>
      <c r="C1011" t="inlineStr">
        <is>
          <t>CNC RED 2P+T H 230V 16A JACK IP44 AZUL</t>
        </is>
      </c>
      <c r="D1011" t="inlineStr">
        <is>
          <t>1800108953</t>
        </is>
      </c>
      <c r="E1011" t="inlineStr">
        <is>
          <t>130</t>
        </is>
      </c>
      <c r="F1011" s="163" t="n">
        <v>45463</v>
      </c>
      <c r="G1011" t="inlineStr"/>
      <c r="H1011" t="inlineStr">
        <is>
          <t>4200572519</t>
        </is>
      </c>
      <c r="I1011" t="inlineStr">
        <is>
          <t>30</t>
        </is>
      </c>
      <c r="J1011" s="163" t="n">
        <v>45501</v>
      </c>
      <c r="K1011" s="163" t="n">
        <v>45524</v>
      </c>
      <c r="L1011" t="inlineStr"/>
      <c r="M1011" s="163" t="n">
        <v>45534</v>
      </c>
      <c r="N1011" s="164" t="n">
        <v>85</v>
      </c>
      <c r="O1011" s="164" t="n">
        <v>8</v>
      </c>
      <c r="P1011" t="inlineStr">
        <is>
          <t>Liberado</t>
        </is>
      </c>
      <c r="Q1011" s="165" t="n">
        <v>10</v>
      </c>
      <c r="R1011" s="165" t="n">
        <v>10</v>
      </c>
      <c r="S1011" s="165" t="n">
        <v>10</v>
      </c>
      <c r="T1011" s="165" t="n">
        <v>0</v>
      </c>
      <c r="U1011" s="166" t="n">
        <v>10</v>
      </c>
      <c r="V1011" s="166" t="n">
        <v>0</v>
      </c>
      <c r="W1011" t="inlineStr">
        <is>
          <t>X</t>
        </is>
      </c>
      <c r="X1011" t="inlineStr">
        <is>
          <t>0.00</t>
        </is>
      </c>
      <c r="Y1011" t="inlineStr"/>
      <c r="Z1011" t="inlineStr">
        <is>
          <t>ICOMPPLUS ELECTRONICS S.L</t>
        </is>
      </c>
      <c r="AA1011" t="inlineStr">
        <is>
          <t>MENNEKES ELECT.</t>
        </is>
      </c>
      <c r="AB1011" t="inlineStr">
        <is>
          <t>510</t>
        </is>
      </c>
      <c r="AC1011" t="inlineStr"/>
      <c r="AD1011" s="164" t="n">
        <v>1</v>
      </c>
      <c r="AE1011" s="185" t="n">
        <v>1</v>
      </c>
      <c r="AG1011" s="167" t="inlineStr">
        <is>
          <t>7218|JA2582_1001</t>
        </is>
      </c>
      <c r="AH1011" s="47">
        <f>IF(M1011=0,"-",M1011-J1011)</f>
        <v/>
      </c>
      <c r="AI1011" s="46">
        <f>IF(AND(S1011=0,M1011&gt;0,L1011=0),IF(AH1011&gt;=120,"VERY HIGH",IF(AH1011&gt;=90,"HIGH",IF(AH1011&gt;=60,"MEDIUM",IF(AH1011&lt;60,"LOW")))),"-")</f>
        <v/>
      </c>
      <c r="AJ1011" s="12" t="n"/>
      <c r="AK1011" s="53">
        <f>IF(AND(W1011="X",M1011&lt;=$AJ$2),"YES","")</f>
        <v/>
      </c>
      <c r="AL1011" s="54">
        <f>IF(AND(W1011="X",M1011&lt;=$AJ$2),S1011,"")</f>
        <v/>
      </c>
      <c r="AM1011" s="35" t="n"/>
      <c r="AN1011" s="35">
        <f>IF(AND(W1011="X",M1011&gt;$AJ$2),S1011,"")</f>
        <v/>
      </c>
      <c r="AO1011" s="35">
        <f>IF(AND(W1011="",M1011&gt;0,$AJ$2&gt;M1011,L1011=""),1,0)</f>
        <v/>
      </c>
      <c r="AP1011" s="35">
        <f>IF(AND(AK1011="YES",W1011="X"),"X","")</f>
        <v/>
      </c>
      <c r="AQ1011" s="55">
        <f>IF(AP1011="X",100%,0%)</f>
        <v/>
      </c>
      <c r="AR1011" s="25">
        <f>IF(AND(T1011&gt;0,L1011=""),H1011,"")</f>
        <v/>
      </c>
      <c r="AS1011" s="25">
        <f>IF(AND(D1011&gt;0,H1011=0,G1011=""),1,"")</f>
        <v/>
      </c>
      <c r="AT1011" s="25">
        <f>IF(G1011="BLOQ",1,"")</f>
        <v/>
      </c>
      <c r="AU1011" s="25">
        <f>IF(L1011="BLOQ",1,"")</f>
        <v/>
      </c>
      <c r="AV1011" s="25">
        <f>MONTH(F1011)</f>
        <v/>
      </c>
      <c r="AW1011" s="65">
        <f>IF(AP1011="",100%,0%)</f>
        <v/>
      </c>
      <c r="AX1011" s="56" t="n"/>
      <c r="AY1011" s="24">
        <f>IF(M1011=0,"",M1011-$AX$2)</f>
        <v/>
      </c>
      <c r="AZ1011" s="66">
        <f>IF(AND(W1011="",AY1011&gt;0,AY1011&lt;15),1,0)</f>
        <v/>
      </c>
      <c r="BA1011" s="24">
        <f>IF(AND(W1011="",AY1011&gt;0,AY1011&lt;15),T1011,"")</f>
        <v/>
      </c>
      <c r="BB1011" s="87">
        <f>IF(R1011&lt;Q1011,"X","")</f>
        <v/>
      </c>
      <c r="BC1011" s="190" t="inlineStr">
        <is>
          <t>NO</t>
        </is>
      </c>
      <c r="BD1011" s="191" t="inlineStr">
        <is>
          <t>SI</t>
        </is>
      </c>
    </row>
    <row r="1012" ht="15" customHeight="1" s="162">
      <c r="A1012" s="7" t="n">
        <v>1011</v>
      </c>
      <c r="B1012" t="inlineStr">
        <is>
          <t>1218000520700</t>
        </is>
      </c>
      <c r="C1012" t="inlineStr">
        <is>
          <t>CNC RED 5P (H) 400V AEREO 16A IP67</t>
        </is>
      </c>
      <c r="D1012" t="inlineStr">
        <is>
          <t>1800108953</t>
        </is>
      </c>
      <c r="E1012" t="inlineStr">
        <is>
          <t>140</t>
        </is>
      </c>
      <c r="F1012" s="163" t="n">
        <v>45463</v>
      </c>
      <c r="G1012" t="inlineStr"/>
      <c r="H1012" t="inlineStr">
        <is>
          <t>4200572519</t>
        </is>
      </c>
      <c r="I1012" t="inlineStr">
        <is>
          <t>40</t>
        </is>
      </c>
      <c r="J1012" s="163" t="n">
        <v>45501</v>
      </c>
      <c r="K1012" s="163" t="n">
        <v>45524</v>
      </c>
      <c r="L1012" t="inlineStr"/>
      <c r="M1012" s="163" t="n">
        <v>45534</v>
      </c>
      <c r="N1012" s="164" t="n">
        <v>30</v>
      </c>
      <c r="O1012" s="164" t="n">
        <v>8</v>
      </c>
      <c r="P1012" t="inlineStr">
        <is>
          <t>Liberado</t>
        </is>
      </c>
      <c r="Q1012" s="165" t="n">
        <v>4</v>
      </c>
      <c r="R1012" s="165" t="n">
        <v>4</v>
      </c>
      <c r="S1012" s="165" t="n">
        <v>4</v>
      </c>
      <c r="T1012" s="165" t="n">
        <v>0</v>
      </c>
      <c r="U1012" s="166" t="n">
        <v>4</v>
      </c>
      <c r="V1012" s="166" t="n">
        <v>0</v>
      </c>
      <c r="W1012" t="inlineStr">
        <is>
          <t>X</t>
        </is>
      </c>
      <c r="X1012" t="inlineStr">
        <is>
          <t>0.00</t>
        </is>
      </c>
      <c r="Y1012" t="inlineStr"/>
      <c r="Z1012" t="inlineStr">
        <is>
          <t>ICOMPPLUS ELECTRONICS S.L</t>
        </is>
      </c>
      <c r="AA1012" t="inlineStr">
        <is>
          <t>MENNEKES ELECT.</t>
        </is>
      </c>
      <c r="AB1012" t="inlineStr">
        <is>
          <t>550</t>
        </is>
      </c>
      <c r="AC1012" t="inlineStr"/>
      <c r="AD1012" s="164" t="n">
        <v>1</v>
      </c>
      <c r="AE1012" s="185" t="n">
        <v>1</v>
      </c>
      <c r="AG1012" s="167" t="inlineStr">
        <is>
          <t>7218|JA2582_1001</t>
        </is>
      </c>
      <c r="AH1012" s="47">
        <f>IF(M1012=0,"-",M1012-J1012)</f>
        <v/>
      </c>
      <c r="AI1012" s="46">
        <f>IF(AND(S1012=0,M1012&gt;0,L1012=0),IF(AH1012&gt;=120,"VERY HIGH",IF(AH1012&gt;=90,"HIGH",IF(AH1012&gt;=60,"MEDIUM",IF(AH1012&lt;60,"LOW")))),"-")</f>
        <v/>
      </c>
      <c r="AJ1012" s="12" t="n"/>
      <c r="AK1012" s="53">
        <f>IF(AND(W1012="X",M1012&lt;=$AJ$2),"YES","")</f>
        <v/>
      </c>
      <c r="AL1012" s="54">
        <f>IF(AND(W1012="X",M1012&lt;=$AJ$2),S1012,"")</f>
        <v/>
      </c>
      <c r="AM1012" s="35" t="n"/>
      <c r="AN1012" s="35">
        <f>IF(AND(W1012="X",M1012&gt;$AJ$2),S1012,"")</f>
        <v/>
      </c>
      <c r="AO1012" s="35">
        <f>IF(AND(W1012="",M1012&gt;0,$AJ$2&gt;M1012,L1012=""),1,0)</f>
        <v/>
      </c>
      <c r="AP1012" s="35">
        <f>IF(AND(AK1012="YES",W1012="X"),"X","")</f>
        <v/>
      </c>
      <c r="AQ1012" s="55">
        <f>IF(AP1012="X",100%,0%)</f>
        <v/>
      </c>
      <c r="AR1012" s="25">
        <f>IF(AND(T1012&gt;0,L1012=""),H1012,"")</f>
        <v/>
      </c>
      <c r="AS1012" s="25">
        <f>IF(AND(D1012&gt;0,H1012=0,G1012=""),1,"")</f>
        <v/>
      </c>
      <c r="AT1012" s="25">
        <f>IF(G1012="BLOQ",1,"")</f>
        <v/>
      </c>
      <c r="AU1012" s="25">
        <f>IF(L1012="BLOQ",1,"")</f>
        <v/>
      </c>
      <c r="AV1012" s="25">
        <f>MONTH(F1012)</f>
        <v/>
      </c>
      <c r="AW1012" s="65">
        <f>IF(AP1012="",100%,0%)</f>
        <v/>
      </c>
      <c r="AX1012" s="56" t="n"/>
      <c r="AY1012" s="24">
        <f>IF(M1012=0,"",M1012-$AX$2)</f>
        <v/>
      </c>
      <c r="AZ1012" s="66">
        <f>IF(AND(W1012="",AY1012&gt;0,AY1012&lt;15),1,0)</f>
        <v/>
      </c>
      <c r="BA1012" s="24">
        <f>IF(AND(W1012="",AY1012&gt;0,AY1012&lt;15),T1012,"")</f>
        <v/>
      </c>
      <c r="BB1012" s="87">
        <f>IF(R1012&lt;Q1012,"X","")</f>
        <v/>
      </c>
      <c r="BC1012" s="190" t="inlineStr">
        <is>
          <t>NO</t>
        </is>
      </c>
      <c r="BD1012" s="191" t="inlineStr">
        <is>
          <t>SI</t>
        </is>
      </c>
    </row>
    <row r="1013" ht="15" customHeight="1" s="162">
      <c r="A1013" s="7" t="n">
        <v>1012</v>
      </c>
      <c r="B1013" t="inlineStr">
        <is>
          <t>1218000523200</t>
        </is>
      </c>
      <c r="C1013" t="inlineStr">
        <is>
          <t>CNC RED AEREO 3P+N+T 32A 400V ROJO IP44</t>
        </is>
      </c>
      <c r="D1013" t="inlineStr">
        <is>
          <t>1800108953</t>
        </is>
      </c>
      <c r="E1013" t="inlineStr">
        <is>
          <t>150</t>
        </is>
      </c>
      <c r="F1013" s="163" t="n">
        <v>45463</v>
      </c>
      <c r="G1013" t="inlineStr"/>
      <c r="H1013" t="inlineStr">
        <is>
          <t>4200572843</t>
        </is>
      </c>
      <c r="I1013" t="inlineStr">
        <is>
          <t>10</t>
        </is>
      </c>
      <c r="J1013" s="163" t="n">
        <v>45503</v>
      </c>
      <c r="K1013" s="163" t="n">
        <v>45503</v>
      </c>
      <c r="L1013" t="inlineStr"/>
      <c r="M1013" s="163" t="n">
        <v>45510</v>
      </c>
      <c r="N1013" s="164" t="n">
        <v>85</v>
      </c>
      <c r="O1013" s="164" t="n">
        <v>8</v>
      </c>
      <c r="P1013" t="inlineStr">
        <is>
          <t>Liberado</t>
        </is>
      </c>
      <c r="Q1013" s="165" t="n">
        <v>4</v>
      </c>
      <c r="R1013" s="165" t="n">
        <v>4</v>
      </c>
      <c r="S1013" s="165" t="n">
        <v>4</v>
      </c>
      <c r="T1013" s="165" t="n">
        <v>0</v>
      </c>
      <c r="U1013" s="166" t="n">
        <v>4</v>
      </c>
      <c r="V1013" s="166" t="n">
        <v>0</v>
      </c>
      <c r="W1013" t="inlineStr">
        <is>
          <t>X</t>
        </is>
      </c>
      <c r="X1013" t="inlineStr">
        <is>
          <t>0.00</t>
        </is>
      </c>
      <c r="Y1013" t="inlineStr"/>
      <c r="Z1013" t="inlineStr">
        <is>
          <t>REBOUND ELECTRONICS (UK) LTD</t>
        </is>
      </c>
      <c r="AA1013" t="inlineStr">
        <is>
          <t>LEWDEN</t>
        </is>
      </c>
      <c r="AB1013" t="inlineStr">
        <is>
          <t>PM32/2800FPB</t>
        </is>
      </c>
      <c r="AC1013" t="inlineStr"/>
      <c r="AD1013" s="164" t="n">
        <v>0</v>
      </c>
      <c r="AE1013" s="185" t="n">
        <v>0</v>
      </c>
      <c r="AG1013" s="167" t="inlineStr">
        <is>
          <t>7218|JA2582_1001</t>
        </is>
      </c>
      <c r="AH1013" s="47">
        <f>IF(M1013=0,"-",M1013-J1013)</f>
        <v/>
      </c>
      <c r="AI1013" s="46">
        <f>IF(AND(S1013=0,M1013&gt;0,L1013=0),IF(AH1013&gt;=120,"VERY HIGH",IF(AH1013&gt;=90,"HIGH",IF(AH1013&gt;=60,"MEDIUM",IF(AH1013&lt;60,"LOW")))),"-")</f>
        <v/>
      </c>
      <c r="AJ1013" s="12" t="n"/>
      <c r="AK1013" s="53">
        <f>IF(AND(W1013="X",M1013&lt;=$AJ$2),"YES","")</f>
        <v/>
      </c>
      <c r="AL1013" s="54">
        <f>IF(AND(W1013="X",M1013&lt;=$AJ$2),S1013,"")</f>
        <v/>
      </c>
      <c r="AM1013" s="35" t="n"/>
      <c r="AN1013" s="35">
        <f>IF(AND(W1013="X",M1013&gt;$AJ$2),S1013,"")</f>
        <v/>
      </c>
      <c r="AO1013" s="35">
        <f>IF(AND(W1013="",M1013&gt;0,$AJ$2&gt;M1013,L1013=""),1,0)</f>
        <v/>
      </c>
      <c r="AP1013" s="35">
        <f>IF(AND(AK1013="YES",W1013="X"),"X","")</f>
        <v/>
      </c>
      <c r="AQ1013" s="55">
        <f>IF(AP1013="X",100%,0%)</f>
        <v/>
      </c>
      <c r="AR1013" s="25">
        <f>IF(AND(T1013&gt;0,L1013=""),H1013,"")</f>
        <v/>
      </c>
      <c r="AS1013" s="25">
        <f>IF(AND(D1013&gt;0,H1013=0,G1013=""),1,"")</f>
        <v/>
      </c>
      <c r="AT1013" s="25">
        <f>IF(G1013="BLOQ",1,"")</f>
        <v/>
      </c>
      <c r="AU1013" s="25">
        <f>IF(L1013="BLOQ",1,"")</f>
        <v/>
      </c>
      <c r="AV1013" s="25">
        <f>MONTH(F1013)</f>
        <v/>
      </c>
      <c r="AW1013" s="65">
        <f>IF(AP1013="",100%,0%)</f>
        <v/>
      </c>
      <c r="AX1013" s="56" t="n"/>
      <c r="AY1013" s="24">
        <f>IF(M1013=0,"",M1013-$AX$2)</f>
        <v/>
      </c>
      <c r="AZ1013" s="66">
        <f>IF(AND(W1013="",AY1013&gt;0,AY1013&lt;15),1,0)</f>
        <v/>
      </c>
      <c r="BA1013" s="24">
        <f>IF(AND(W1013="",AY1013&gt;0,AY1013&lt;15),T1013,"")</f>
        <v/>
      </c>
      <c r="BB1013" s="87">
        <f>IF(R1013&lt;Q1013,"X","")</f>
        <v/>
      </c>
      <c r="BC1013" s="190" t="inlineStr">
        <is>
          <t>NO</t>
        </is>
      </c>
      <c r="BD1013" s="191" t="inlineStr">
        <is>
          <t>SI</t>
        </is>
      </c>
    </row>
    <row r="1014" ht="15" customHeight="1" s="162">
      <c r="A1014" s="7" t="n">
        <v>1013</v>
      </c>
      <c r="B1014" t="inlineStr">
        <is>
          <t>1218000523210</t>
        </is>
      </c>
      <c r="C1014" t="inlineStr">
        <is>
          <t>CNC RED AEREA 5P H 400V 32A IP44 ROJO</t>
        </is>
      </c>
      <c r="D1014" t="inlineStr">
        <is>
          <t>1800108953</t>
        </is>
      </c>
      <c r="E1014" t="inlineStr">
        <is>
          <t>160</t>
        </is>
      </c>
      <c r="F1014" s="163" t="n">
        <v>45463</v>
      </c>
      <c r="G1014" t="inlineStr"/>
      <c r="H1014" t="inlineStr">
        <is>
          <t>4200572519</t>
        </is>
      </c>
      <c r="I1014" t="inlineStr">
        <is>
          <t>50</t>
        </is>
      </c>
      <c r="J1014" s="163" t="n">
        <v>45501</v>
      </c>
      <c r="K1014" s="163" t="n">
        <v>45524</v>
      </c>
      <c r="L1014" t="inlineStr"/>
      <c r="M1014" s="163" t="n">
        <v>45534</v>
      </c>
      <c r="N1014" s="164" t="n">
        <v>30</v>
      </c>
      <c r="O1014" s="164" t="n">
        <v>8</v>
      </c>
      <c r="P1014" t="inlineStr">
        <is>
          <t>Liberado</t>
        </is>
      </c>
      <c r="Q1014" s="165" t="n">
        <v>4</v>
      </c>
      <c r="R1014" s="165" t="n">
        <v>4</v>
      </c>
      <c r="S1014" s="165" t="n">
        <v>4</v>
      </c>
      <c r="T1014" s="165" t="n">
        <v>0</v>
      </c>
      <c r="U1014" s="166" t="n">
        <v>4</v>
      </c>
      <c r="V1014" s="166" t="n">
        <v>0</v>
      </c>
      <c r="W1014" t="inlineStr">
        <is>
          <t>X</t>
        </is>
      </c>
      <c r="X1014" t="inlineStr">
        <is>
          <t>0.00</t>
        </is>
      </c>
      <c r="Y1014" t="inlineStr"/>
      <c r="Z1014" t="inlineStr">
        <is>
          <t>ICOMPPLUS ELECTRONICS S.L</t>
        </is>
      </c>
      <c r="AA1014" t="inlineStr">
        <is>
          <t>MENNEKES ELECT.</t>
        </is>
      </c>
      <c r="AB1014" t="inlineStr">
        <is>
          <t>3976</t>
        </is>
      </c>
      <c r="AC1014" t="inlineStr"/>
      <c r="AD1014" s="164" t="n">
        <v>1</v>
      </c>
      <c r="AE1014" s="185" t="n">
        <v>1</v>
      </c>
      <c r="AG1014" s="167" t="inlineStr">
        <is>
          <t>7218|JA2582_1001</t>
        </is>
      </c>
      <c r="AH1014" s="47">
        <f>IF(M1014=0,"-",M1014-J1014)</f>
        <v/>
      </c>
      <c r="AI1014" s="46">
        <f>IF(AND(S1014=0,M1014&gt;0,L1014=0),IF(AH1014&gt;=120,"VERY HIGH",IF(AH1014&gt;=90,"HIGH",IF(AH1014&gt;=60,"MEDIUM",IF(AH1014&lt;60,"LOW")))),"-")</f>
        <v/>
      </c>
      <c r="AJ1014" s="12" t="n"/>
      <c r="AK1014" s="53">
        <f>IF(AND(W1014="X",M1014&lt;=$AJ$2),"YES","")</f>
        <v/>
      </c>
      <c r="AL1014" s="54">
        <f>IF(AND(W1014="X",M1014&lt;=$AJ$2),S1014,"")</f>
        <v/>
      </c>
      <c r="AM1014" s="35" t="n"/>
      <c r="AN1014" s="35">
        <f>IF(AND(W1014="X",M1014&gt;$AJ$2),S1014,"")</f>
        <v/>
      </c>
      <c r="AO1014" s="35">
        <f>IF(AND(W1014="",M1014&gt;0,$AJ$2&gt;M1014,L1014=""),1,0)</f>
        <v/>
      </c>
      <c r="AP1014" s="35">
        <f>IF(AND(AK1014="YES",W1014="X"),"X","")</f>
        <v/>
      </c>
      <c r="AQ1014" s="55">
        <f>IF(AP1014="X",100%,0%)</f>
        <v/>
      </c>
      <c r="AR1014" s="25">
        <f>IF(AND(T1014&gt;0,L1014=""),H1014,"")</f>
        <v/>
      </c>
      <c r="AS1014" s="25">
        <f>IF(AND(D1014&gt;0,H1014=0,G1014=""),1,"")</f>
        <v/>
      </c>
      <c r="AT1014" s="25">
        <f>IF(G1014="BLOQ",1,"")</f>
        <v/>
      </c>
      <c r="AU1014" s="25">
        <f>IF(L1014="BLOQ",1,"")</f>
        <v/>
      </c>
      <c r="AV1014" s="25">
        <f>MONTH(F1014)</f>
        <v/>
      </c>
      <c r="AW1014" s="65">
        <f>IF(AP1014="",100%,0%)</f>
        <v/>
      </c>
      <c r="AX1014" s="56" t="n"/>
      <c r="AY1014" s="24">
        <f>IF(M1014=0,"",M1014-$AX$2)</f>
        <v/>
      </c>
      <c r="AZ1014" s="66">
        <f>IF(AND(W1014="",AY1014&gt;0,AY1014&lt;15),1,0)</f>
        <v/>
      </c>
      <c r="BA1014" s="24">
        <f>IF(AND(W1014="",AY1014&gt;0,AY1014&lt;15),T1014,"")</f>
        <v/>
      </c>
      <c r="BB1014" s="87">
        <f>IF(R1014&lt;Q1014,"X","")</f>
        <v/>
      </c>
      <c r="BC1014" s="190" t="inlineStr">
        <is>
          <t>NO</t>
        </is>
      </c>
      <c r="BD1014" s="191" t="inlineStr">
        <is>
          <t>SI</t>
        </is>
      </c>
    </row>
    <row r="1015" ht="15" customHeight="1" s="162">
      <c r="A1015" s="7" t="n">
        <v>1014</v>
      </c>
      <c r="B1015" t="inlineStr">
        <is>
          <t>1220115045000</t>
        </is>
      </c>
      <c r="C1015" t="inlineStr">
        <is>
          <t>CBL FLEX 1X50MM2 H07Z1-K 750V HFLS AZ RH</t>
        </is>
      </c>
      <c r="D1015" t="inlineStr">
        <is>
          <t>1800108953</t>
        </is>
      </c>
      <c r="E1015" t="inlineStr">
        <is>
          <t>170</t>
        </is>
      </c>
      <c r="F1015" s="163" t="n">
        <v>45463</v>
      </c>
      <c r="G1015" t="inlineStr"/>
      <c r="H1015" t="inlineStr">
        <is>
          <t>4200572832</t>
        </is>
      </c>
      <c r="I1015" t="inlineStr">
        <is>
          <t>20</t>
        </is>
      </c>
      <c r="J1015" s="163" t="n">
        <v>45503</v>
      </c>
      <c r="K1015" s="163" t="n">
        <v>45503</v>
      </c>
      <c r="L1015" t="inlineStr"/>
      <c r="M1015" s="163" t="n">
        <v>45511</v>
      </c>
      <c r="N1015" s="164" t="n">
        <v>35</v>
      </c>
      <c r="O1015" s="164" t="n">
        <v>8</v>
      </c>
      <c r="P1015" t="inlineStr">
        <is>
          <t>Liberado</t>
        </is>
      </c>
      <c r="Q1015" s="165" t="n">
        <v>100</v>
      </c>
      <c r="R1015" s="165" t="n">
        <v>100</v>
      </c>
      <c r="S1015" s="165" t="n">
        <v>100</v>
      </c>
      <c r="T1015" s="165" t="n">
        <v>0</v>
      </c>
      <c r="U1015" s="166" t="n">
        <v>100</v>
      </c>
      <c r="V1015" s="166" t="n">
        <v>0</v>
      </c>
      <c r="W1015" t="inlineStr">
        <is>
          <t>X</t>
        </is>
      </c>
      <c r="X1015" t="inlineStr">
        <is>
          <t>0.00</t>
        </is>
      </c>
      <c r="Y1015" t="inlineStr"/>
      <c r="Z1015" t="inlineStr">
        <is>
          <t>EPIRSA</t>
        </is>
      </c>
      <c r="AA1015" t="inlineStr">
        <is>
          <t>GENERAL CABLE</t>
        </is>
      </c>
      <c r="AB1015" t="inlineStr">
        <is>
          <t>1656114AZ</t>
        </is>
      </c>
      <c r="AC1015" t="inlineStr"/>
      <c r="AD1015" s="164" t="n">
        <v>0</v>
      </c>
      <c r="AE1015" s="185" t="n">
        <v>0</v>
      </c>
      <c r="AG1015" s="167" t="inlineStr">
        <is>
          <t>7218|JA2582_1001</t>
        </is>
      </c>
      <c r="AH1015" s="47">
        <f>IF(M1015=0,"-",M1015-J1015)</f>
        <v/>
      </c>
      <c r="AI1015" s="46">
        <f>IF(AND(S1015=0,M1015&gt;0,L1015=0),IF(AH1015&gt;=120,"VERY HIGH",IF(AH1015&gt;=90,"HIGH",IF(AH1015&gt;=60,"MEDIUM",IF(AH1015&lt;60,"LOW")))),"-")</f>
        <v/>
      </c>
      <c r="AJ1015" s="12" t="n"/>
      <c r="AK1015" s="53">
        <f>IF(AND(W1015="X",M1015&lt;=$AJ$2),"YES","")</f>
        <v/>
      </c>
      <c r="AL1015" s="54">
        <f>IF(AND(W1015="X",M1015&lt;=$AJ$2),S1015,"")</f>
        <v/>
      </c>
      <c r="AM1015" s="35" t="n"/>
      <c r="AN1015" s="35">
        <f>IF(AND(W1015="X",M1015&gt;$AJ$2),S1015,"")</f>
        <v/>
      </c>
      <c r="AO1015" s="35">
        <f>IF(AND(W1015="",M1015&gt;0,$AJ$2&gt;M1015,L1015=""),1,0)</f>
        <v/>
      </c>
      <c r="AP1015" s="35">
        <f>IF(AND(AK1015="YES",W1015="X"),"X","")</f>
        <v/>
      </c>
      <c r="AQ1015" s="55">
        <f>IF(AP1015="X",100%,0%)</f>
        <v/>
      </c>
      <c r="AR1015" s="25">
        <f>IF(AND(T1015&gt;0,L1015=""),H1015,"")</f>
        <v/>
      </c>
      <c r="AS1015" s="25">
        <f>IF(AND(D1015&gt;0,H1015=0,G1015=""),1,"")</f>
        <v/>
      </c>
      <c r="AT1015" s="25">
        <f>IF(G1015="BLOQ",1,"")</f>
        <v/>
      </c>
      <c r="AU1015" s="25">
        <f>IF(L1015="BLOQ",1,"")</f>
        <v/>
      </c>
      <c r="AV1015" s="25">
        <f>MONTH(F1015)</f>
        <v/>
      </c>
      <c r="AW1015" s="65">
        <f>IF(AP1015="",100%,0%)</f>
        <v/>
      </c>
      <c r="AX1015" s="56" t="n"/>
      <c r="AY1015" s="24">
        <f>IF(M1015=0,"",M1015-$AX$2)</f>
        <v/>
      </c>
      <c r="AZ1015" s="66">
        <f>IF(AND(W1015="",AY1015&gt;0,AY1015&lt;15),1,0)</f>
        <v/>
      </c>
      <c r="BA1015" s="24">
        <f>IF(AND(W1015="",AY1015&gt;0,AY1015&lt;15),T1015,"")</f>
        <v/>
      </c>
      <c r="BB1015" s="87">
        <f>IF(R1015&lt;Q1015,"X","")</f>
        <v/>
      </c>
      <c r="BC1015" s="190" t="inlineStr">
        <is>
          <t>NO</t>
        </is>
      </c>
      <c r="BD1015" s="191" t="inlineStr">
        <is>
          <t>SI</t>
        </is>
      </c>
    </row>
    <row r="1016" ht="15" customHeight="1" s="162">
      <c r="A1016" s="7" t="n">
        <v>1015</v>
      </c>
      <c r="B1016" t="inlineStr">
        <is>
          <t>1220115100000</t>
        </is>
      </c>
      <c r="C1016" t="inlineStr">
        <is>
          <t>CBL FLX 1X10MM2 H07Z1-K AST2 750V POL AV</t>
        </is>
      </c>
      <c r="D1016" t="inlineStr">
        <is>
          <t>1800108953</t>
        </is>
      </c>
      <c r="E1016" t="inlineStr">
        <is>
          <t>180</t>
        </is>
      </c>
      <c r="F1016" s="163" t="n">
        <v>45463</v>
      </c>
      <c r="G1016" t="inlineStr"/>
      <c r="H1016" t="inlineStr">
        <is>
          <t>4200572832</t>
        </is>
      </c>
      <c r="I1016" t="inlineStr">
        <is>
          <t>30</t>
        </is>
      </c>
      <c r="J1016" s="163" t="n">
        <v>45503</v>
      </c>
      <c r="K1016" s="163" t="n">
        <v>45503</v>
      </c>
      <c r="L1016" t="inlineStr"/>
      <c r="M1016" s="163" t="n">
        <v>45511</v>
      </c>
      <c r="N1016" s="164" t="n">
        <v>50</v>
      </c>
      <c r="O1016" s="164" t="n">
        <v>8</v>
      </c>
      <c r="P1016" t="inlineStr">
        <is>
          <t>Liberado</t>
        </is>
      </c>
      <c r="Q1016" s="165" t="n">
        <v>100</v>
      </c>
      <c r="R1016" s="165" t="n">
        <v>100</v>
      </c>
      <c r="S1016" s="165" t="n">
        <v>100</v>
      </c>
      <c r="T1016" s="165" t="n">
        <v>0</v>
      </c>
      <c r="U1016" s="166" t="n">
        <v>100</v>
      </c>
      <c r="V1016" s="166" t="n">
        <v>0</v>
      </c>
      <c r="W1016" t="inlineStr">
        <is>
          <t>X</t>
        </is>
      </c>
      <c r="X1016" t="inlineStr">
        <is>
          <t>0.00</t>
        </is>
      </c>
      <c r="Y1016" t="inlineStr"/>
      <c r="Z1016" t="inlineStr">
        <is>
          <t>EPIRSA</t>
        </is>
      </c>
      <c r="AA1016" t="inlineStr">
        <is>
          <t>GENERAL CABLE</t>
        </is>
      </c>
      <c r="AB1016" t="inlineStr">
        <is>
          <t>1656110AVP</t>
        </is>
      </c>
      <c r="AC1016" t="inlineStr"/>
      <c r="AD1016" s="164" t="n">
        <v>0</v>
      </c>
      <c r="AE1016" s="185" t="n">
        <v>0</v>
      </c>
      <c r="AG1016" s="167" t="inlineStr">
        <is>
          <t>7218|JA2582_1001</t>
        </is>
      </c>
      <c r="AH1016" s="47">
        <f>IF(M1016=0,"-",M1016-J1016)</f>
        <v/>
      </c>
      <c r="AI1016" s="46">
        <f>IF(AND(S1016=0,M1016&gt;0,L1016=0),IF(AH1016&gt;=120,"VERY HIGH",IF(AH1016&gt;=90,"HIGH",IF(AH1016&gt;=60,"MEDIUM",IF(AH1016&lt;60,"LOW")))),"-")</f>
        <v/>
      </c>
      <c r="AJ1016" s="12" t="n"/>
      <c r="AK1016" s="53">
        <f>IF(AND(W1016="X",M1016&lt;=$AJ$2),"YES","")</f>
        <v/>
      </c>
      <c r="AL1016" s="54">
        <f>IF(AND(W1016="X",M1016&lt;=$AJ$2),S1016,"")</f>
        <v/>
      </c>
      <c r="AM1016" s="35" t="n"/>
      <c r="AN1016" s="35">
        <f>IF(AND(W1016="X",M1016&gt;$AJ$2),S1016,"")</f>
        <v/>
      </c>
      <c r="AO1016" s="35">
        <f>IF(AND(W1016="",M1016&gt;0,$AJ$2&gt;M1016,L1016=""),1,0)</f>
        <v/>
      </c>
      <c r="AP1016" s="35">
        <f>IF(AND(AK1016="YES",W1016="X"),"X","")</f>
        <v/>
      </c>
      <c r="AQ1016" s="55">
        <f>IF(AP1016="X",100%,0%)</f>
        <v/>
      </c>
      <c r="AR1016" s="25">
        <f>IF(AND(T1016&gt;0,L1016=""),H1016,"")</f>
        <v/>
      </c>
      <c r="AS1016" s="25">
        <f>IF(AND(D1016&gt;0,H1016=0,G1016=""),1,"")</f>
        <v/>
      </c>
      <c r="AT1016" s="25">
        <f>IF(G1016="BLOQ",1,"")</f>
        <v/>
      </c>
      <c r="AU1016" s="25">
        <f>IF(L1016="BLOQ",1,"")</f>
        <v/>
      </c>
      <c r="AV1016" s="25">
        <f>MONTH(F1016)</f>
        <v/>
      </c>
      <c r="AW1016" s="65">
        <f>IF(AP1016="",100%,0%)</f>
        <v/>
      </c>
      <c r="AX1016" s="56" t="n"/>
      <c r="AY1016" s="24">
        <f>IF(M1016=0,"",M1016-$AX$2)</f>
        <v/>
      </c>
      <c r="AZ1016" s="66">
        <f>IF(AND(W1016="",AY1016&gt;0,AY1016&lt;15),1,0)</f>
        <v/>
      </c>
      <c r="BA1016" s="24">
        <f>IF(AND(W1016="",AY1016&gt;0,AY1016&lt;15),T1016,"")</f>
        <v/>
      </c>
      <c r="BB1016" s="87">
        <f>IF(R1016&lt;Q1016,"X","")</f>
        <v/>
      </c>
      <c r="BC1016" s="190" t="inlineStr">
        <is>
          <t>NO</t>
        </is>
      </c>
      <c r="BD1016" s="191" t="inlineStr">
        <is>
          <t>SI</t>
        </is>
      </c>
    </row>
    <row r="1017" ht="15" customHeight="1" s="162">
      <c r="A1017" s="7" t="n">
        <v>1016</v>
      </c>
      <c r="B1017" t="inlineStr">
        <is>
          <t>1220115163700</t>
        </is>
      </c>
      <c r="C1017" t="inlineStr">
        <is>
          <t>CBL FLX 1X16MM2 450/750V H07Z1-K AS VEAM</t>
        </is>
      </c>
      <c r="D1017" t="inlineStr">
        <is>
          <t>1800108953</t>
        </is>
      </c>
      <c r="E1017" t="inlineStr">
        <is>
          <t>190</t>
        </is>
      </c>
      <c r="F1017" s="163" t="n">
        <v>45463</v>
      </c>
      <c r="G1017" t="inlineStr"/>
      <c r="H1017" t="inlineStr">
        <is>
          <t>4200571780</t>
        </is>
      </c>
      <c r="I1017" t="inlineStr">
        <is>
          <t>10</t>
        </is>
      </c>
      <c r="J1017" s="163" t="n">
        <v>45496</v>
      </c>
      <c r="K1017" s="163" t="n">
        <v>45497</v>
      </c>
      <c r="L1017" t="inlineStr"/>
      <c r="M1017" s="163" t="n">
        <v>45502</v>
      </c>
      <c r="N1017" s="164" t="n">
        <v>85</v>
      </c>
      <c r="O1017" s="164" t="n">
        <v>8</v>
      </c>
      <c r="P1017" t="inlineStr">
        <is>
          <t>Liberado</t>
        </is>
      </c>
      <c r="Q1017" s="165" t="n">
        <v>100</v>
      </c>
      <c r="R1017" s="165" t="n">
        <v>100</v>
      </c>
      <c r="S1017" s="165" t="n">
        <v>100</v>
      </c>
      <c r="T1017" s="165" t="n">
        <v>0</v>
      </c>
      <c r="U1017" s="166" t="n">
        <v>100</v>
      </c>
      <c r="V1017" s="166" t="n">
        <v>0</v>
      </c>
      <c r="W1017" t="inlineStr">
        <is>
          <t>X</t>
        </is>
      </c>
      <c r="X1017" t="inlineStr">
        <is>
          <t>0.00</t>
        </is>
      </c>
      <c r="Y1017" t="inlineStr"/>
      <c r="Z1017" t="inlineStr">
        <is>
          <t>LUJISA, S.A.</t>
        </is>
      </c>
      <c r="AA1017" t="inlineStr">
        <is>
          <t>TOP CABLE</t>
        </is>
      </c>
      <c r="AB1017" t="inlineStr">
        <is>
          <t>151V016.R100</t>
        </is>
      </c>
      <c r="AC1017" t="inlineStr"/>
      <c r="AD1017" s="164" t="n">
        <v>0</v>
      </c>
      <c r="AE1017" s="185" t="n">
        <v>0</v>
      </c>
      <c r="AG1017" s="167" t="inlineStr">
        <is>
          <t>7218|JA2582_1001</t>
        </is>
      </c>
      <c r="AH1017" s="47">
        <f>IF(M1017=0,"-",M1017-J1017)</f>
        <v/>
      </c>
      <c r="AI1017" s="46">
        <f>IF(AND(S1017=0,M1017&gt;0,L1017=0),IF(AH1017&gt;=120,"VERY HIGH",IF(AH1017&gt;=90,"HIGH",IF(AH1017&gt;=60,"MEDIUM",IF(AH1017&lt;60,"LOW")))),"-")</f>
        <v/>
      </c>
      <c r="AJ1017" s="12" t="n"/>
      <c r="AK1017" s="53">
        <f>IF(AND(W1017="X",M1017&lt;=$AJ$2),"YES","")</f>
        <v/>
      </c>
      <c r="AL1017" s="54">
        <f>IF(AND(W1017="X",M1017&lt;=$AJ$2),S1017,"")</f>
        <v/>
      </c>
      <c r="AM1017" s="35" t="n"/>
      <c r="AN1017" s="35">
        <f>IF(AND(W1017="X",M1017&gt;$AJ$2),S1017,"")</f>
        <v/>
      </c>
      <c r="AO1017" s="35">
        <f>IF(AND(W1017="",M1017&gt;0,$AJ$2&gt;M1017,L1017=""),1,0)</f>
        <v/>
      </c>
      <c r="AP1017" s="35">
        <f>IF(AND(AK1017="YES",W1017="X"),"X","")</f>
        <v/>
      </c>
      <c r="AQ1017" s="55">
        <f>IF(AP1017="X",100%,0%)</f>
        <v/>
      </c>
      <c r="AR1017" s="25">
        <f>IF(AND(T1017&gt;0,L1017=""),H1017,"")</f>
        <v/>
      </c>
      <c r="AS1017" s="25">
        <f>IF(AND(D1017&gt;0,H1017=0,G1017=""),1,"")</f>
        <v/>
      </c>
      <c r="AT1017" s="25">
        <f>IF(G1017="BLOQ",1,"")</f>
        <v/>
      </c>
      <c r="AU1017" s="25">
        <f>IF(L1017="BLOQ",1,"")</f>
        <v/>
      </c>
      <c r="AV1017" s="25">
        <f>MONTH(F1017)</f>
        <v/>
      </c>
      <c r="AW1017" s="65">
        <f>IF(AP1017="",100%,0%)</f>
        <v/>
      </c>
      <c r="AX1017" s="56" t="n"/>
      <c r="AY1017" s="24">
        <f>IF(M1017=0,"",M1017-$AX$2)</f>
        <v/>
      </c>
      <c r="AZ1017" s="66">
        <f>IF(AND(W1017="",AY1017&gt;0,AY1017&lt;15),1,0)</f>
        <v/>
      </c>
      <c r="BA1017" s="24">
        <f>IF(AND(W1017="",AY1017&gt;0,AY1017&lt;15),T1017,"")</f>
        <v/>
      </c>
      <c r="BB1017" s="87">
        <f>IF(R1017&lt;Q1017,"X","")</f>
        <v/>
      </c>
      <c r="BC1017" s="190" t="inlineStr">
        <is>
          <t>NO</t>
        </is>
      </c>
      <c r="BD1017" s="191" t="inlineStr">
        <is>
          <t>SI</t>
        </is>
      </c>
    </row>
    <row r="1018" ht="15" customHeight="1" s="162">
      <c r="A1018" s="7" t="n">
        <v>1017</v>
      </c>
      <c r="B1018" t="inlineStr">
        <is>
          <t>1220115356000</t>
        </is>
      </c>
      <c r="C1018" t="inlineStr">
        <is>
          <t>CBL FLX 1X35MM2 H07Z1-K(AS) 750V POL A/V</t>
        </is>
      </c>
      <c r="D1018" t="inlineStr">
        <is>
          <t>1800108953</t>
        </is>
      </c>
      <c r="E1018" t="inlineStr">
        <is>
          <t>200</t>
        </is>
      </c>
      <c r="F1018" s="163" t="n">
        <v>45463</v>
      </c>
      <c r="G1018" t="inlineStr"/>
      <c r="H1018" t="inlineStr">
        <is>
          <t>4200572832</t>
        </is>
      </c>
      <c r="I1018" t="inlineStr">
        <is>
          <t>40</t>
        </is>
      </c>
      <c r="J1018" s="163" t="n">
        <v>45503</v>
      </c>
      <c r="K1018" s="163" t="n">
        <v>45503</v>
      </c>
      <c r="L1018" t="inlineStr"/>
      <c r="M1018" s="163" t="n">
        <v>45511</v>
      </c>
      <c r="N1018" s="164" t="n">
        <v>35</v>
      </c>
      <c r="O1018" s="164" t="n">
        <v>8</v>
      </c>
      <c r="P1018" t="inlineStr">
        <is>
          <t>Liberado</t>
        </is>
      </c>
      <c r="Q1018" s="165" t="n">
        <v>100</v>
      </c>
      <c r="R1018" s="165" t="n">
        <v>100</v>
      </c>
      <c r="S1018" s="165" t="n">
        <v>100</v>
      </c>
      <c r="T1018" s="165" t="n">
        <v>0</v>
      </c>
      <c r="U1018" s="166" t="n">
        <v>100</v>
      </c>
      <c r="V1018" s="166" t="n">
        <v>0</v>
      </c>
      <c r="W1018" t="inlineStr">
        <is>
          <t>X</t>
        </is>
      </c>
      <c r="X1018" t="inlineStr">
        <is>
          <t>0.00</t>
        </is>
      </c>
      <c r="Y1018" t="inlineStr"/>
      <c r="Z1018" t="inlineStr">
        <is>
          <t>EPIRSA</t>
        </is>
      </c>
      <c r="AA1018" t="inlineStr">
        <is>
          <t>GENERAL CABLE</t>
        </is>
      </c>
      <c r="AB1018" t="inlineStr">
        <is>
          <t>1656113AVP</t>
        </is>
      </c>
      <c r="AC1018" t="inlineStr"/>
      <c r="AD1018" s="164" t="n">
        <v>0</v>
      </c>
      <c r="AE1018" s="185" t="n">
        <v>0</v>
      </c>
      <c r="AG1018" s="167" t="inlineStr">
        <is>
          <t>7218|JA2582_1001</t>
        </is>
      </c>
      <c r="AH1018" s="47">
        <f>IF(M1018=0,"-",M1018-J1018)</f>
        <v/>
      </c>
      <c r="AI1018" s="46">
        <f>IF(AND(S1018=0,M1018&gt;0,L1018=0),IF(AH1018&gt;=120,"VERY HIGH",IF(AH1018&gt;=90,"HIGH",IF(AH1018&gt;=60,"MEDIUM",IF(AH1018&lt;60,"LOW")))),"-")</f>
        <v/>
      </c>
      <c r="AJ1018" s="12" t="n"/>
      <c r="AK1018" s="53">
        <f>IF(AND(W1018="X",M1018&lt;=$AJ$2),"YES","")</f>
        <v/>
      </c>
      <c r="AL1018" s="54">
        <f>IF(AND(W1018="X",M1018&lt;=$AJ$2),S1018,"")</f>
        <v/>
      </c>
      <c r="AM1018" s="35" t="n"/>
      <c r="AN1018" s="35">
        <f>IF(AND(W1018="X",M1018&gt;$AJ$2),S1018,"")</f>
        <v/>
      </c>
      <c r="AO1018" s="35">
        <f>IF(AND(W1018="",M1018&gt;0,$AJ$2&gt;M1018,L1018=""),1,0)</f>
        <v/>
      </c>
      <c r="AP1018" s="35">
        <f>IF(AND(AK1018="YES",W1018="X"),"X","")</f>
        <v/>
      </c>
      <c r="AQ1018" s="55">
        <f>IF(AP1018="X",100%,0%)</f>
        <v/>
      </c>
      <c r="AR1018" s="25">
        <f>IF(AND(T1018&gt;0,L1018=""),H1018,"")</f>
        <v/>
      </c>
      <c r="AS1018" s="25">
        <f>IF(AND(D1018&gt;0,H1018=0,G1018=""),1,"")</f>
        <v/>
      </c>
      <c r="AT1018" s="25">
        <f>IF(G1018="BLOQ",1,"")</f>
        <v/>
      </c>
      <c r="AU1018" s="25">
        <f>IF(L1018="BLOQ",1,"")</f>
        <v/>
      </c>
      <c r="AV1018" s="25">
        <f>MONTH(F1018)</f>
        <v/>
      </c>
      <c r="AW1018" s="65">
        <f>IF(AP1018="",100%,0%)</f>
        <v/>
      </c>
      <c r="AX1018" s="56" t="n"/>
      <c r="AY1018" s="24">
        <f>IF(M1018=0,"",M1018-$AX$2)</f>
        <v/>
      </c>
      <c r="AZ1018" s="66">
        <f>IF(AND(W1018="",AY1018&gt;0,AY1018&lt;15),1,0)</f>
        <v/>
      </c>
      <c r="BA1018" s="24">
        <f>IF(AND(W1018="",AY1018&gt;0,AY1018&lt;15),T1018,"")</f>
        <v/>
      </c>
      <c r="BB1018" s="87">
        <f>IF(R1018&lt;Q1018,"X","")</f>
        <v/>
      </c>
      <c r="BC1018" s="190" t="inlineStr">
        <is>
          <t>NO</t>
        </is>
      </c>
      <c r="BD1018" s="191" t="inlineStr">
        <is>
          <t>SI</t>
        </is>
      </c>
    </row>
    <row r="1019" ht="15" customHeight="1" s="162">
      <c r="A1019" s="7" t="n">
        <v>1018</v>
      </c>
      <c r="B1019" t="inlineStr">
        <is>
          <t>1220115502001</t>
        </is>
      </c>
      <c r="C1019" t="inlineStr">
        <is>
          <t>CBL FLEX 1X50MM2 NE H07Z1-K 750V CU Z1</t>
        </is>
      </c>
      <c r="D1019" t="inlineStr">
        <is>
          <t>1800108953</t>
        </is>
      </c>
      <c r="E1019" t="inlineStr">
        <is>
          <t>210</t>
        </is>
      </c>
      <c r="F1019" s="163" t="n">
        <v>45463</v>
      </c>
      <c r="G1019" t="inlineStr"/>
      <c r="H1019" t="inlineStr">
        <is>
          <t>4200573355</t>
        </is>
      </c>
      <c r="I1019" t="inlineStr">
        <is>
          <t>30</t>
        </is>
      </c>
      <c r="J1019" s="163" t="n">
        <v>45506</v>
      </c>
      <c r="K1019" s="163" t="n">
        <v>45517</v>
      </c>
      <c r="L1019" t="inlineStr"/>
      <c r="M1019" s="163" t="n">
        <v>45516</v>
      </c>
      <c r="N1019" s="164" t="n">
        <v>85</v>
      </c>
      <c r="O1019" s="164" t="n">
        <v>8</v>
      </c>
      <c r="P1019" t="inlineStr">
        <is>
          <t>Liberado</t>
        </is>
      </c>
      <c r="Q1019" s="165" t="n">
        <v>200</v>
      </c>
      <c r="R1019" s="165" t="n">
        <v>200</v>
      </c>
      <c r="S1019" s="165" t="n">
        <v>200</v>
      </c>
      <c r="T1019" s="165" t="n">
        <v>0</v>
      </c>
      <c r="U1019" s="166" t="n">
        <v>200</v>
      </c>
      <c r="V1019" s="166" t="n">
        <v>0</v>
      </c>
      <c r="W1019" t="inlineStr">
        <is>
          <t>X</t>
        </is>
      </c>
      <c r="X1019" t="inlineStr">
        <is>
          <t>0.00</t>
        </is>
      </c>
      <c r="Y1019" t="inlineStr"/>
      <c r="Z1019" t="inlineStr">
        <is>
          <t>TELKRON, S.A.</t>
        </is>
      </c>
      <c r="AA1019" t="inlineStr">
        <is>
          <t>INPLASNU</t>
        </is>
      </c>
      <c r="AB1019" t="inlineStr">
        <is>
          <t>INPLASNU H07Z1-K/1X50MM2 NEGRO</t>
        </is>
      </c>
      <c r="AC1019" t="inlineStr"/>
      <c r="AD1019" s="164" t="n">
        <v>0</v>
      </c>
      <c r="AE1019" s="185" t="n">
        <v>0</v>
      </c>
      <c r="AG1019" s="167" t="inlineStr">
        <is>
          <t>7218|JA2582_1001</t>
        </is>
      </c>
      <c r="AH1019" s="47">
        <f>IF(M1019=0,"-",M1019-J1019)</f>
        <v/>
      </c>
      <c r="AI1019" s="46">
        <f>IF(AND(S1019=0,M1019&gt;0,L1019=0),IF(AH1019&gt;=120,"VERY HIGH",IF(AH1019&gt;=90,"HIGH",IF(AH1019&gt;=60,"MEDIUM",IF(AH1019&lt;60,"LOW")))),"-")</f>
        <v/>
      </c>
      <c r="AJ1019" s="12" t="n"/>
      <c r="AK1019" s="53">
        <f>IF(AND(W1019="X",M1019&lt;=$AJ$2),"YES","")</f>
        <v/>
      </c>
      <c r="AL1019" s="54">
        <f>IF(AND(W1019="X",M1019&lt;=$AJ$2),S1019,"")</f>
        <v/>
      </c>
      <c r="AM1019" s="35" t="n"/>
      <c r="AN1019" s="35">
        <f>IF(AND(W1019="X",M1019&gt;$AJ$2),S1019,"")</f>
        <v/>
      </c>
      <c r="AO1019" s="35">
        <f>IF(AND(W1019="",M1019&gt;0,$AJ$2&gt;M1019,L1019=""),1,0)</f>
        <v/>
      </c>
      <c r="AP1019" s="35">
        <f>IF(AND(AK1019="YES",W1019="X"),"X","")</f>
        <v/>
      </c>
      <c r="AQ1019" s="55">
        <f>IF(AP1019="X",100%,0%)</f>
        <v/>
      </c>
      <c r="AR1019" s="25">
        <f>IF(AND(T1019&gt;0,L1019=""),H1019,"")</f>
        <v/>
      </c>
      <c r="AS1019" s="25">
        <f>IF(AND(D1019&gt;0,H1019=0,G1019=""),1,"")</f>
        <v/>
      </c>
      <c r="AT1019" s="25">
        <f>IF(G1019="BLOQ",1,"")</f>
        <v/>
      </c>
      <c r="AU1019" s="25">
        <f>IF(L1019="BLOQ",1,"")</f>
        <v/>
      </c>
      <c r="AV1019" s="25">
        <f>MONTH(F1019)</f>
        <v/>
      </c>
      <c r="AW1019" s="65">
        <f>IF(AP1019="",100%,0%)</f>
        <v/>
      </c>
      <c r="AX1019" s="56" t="n"/>
      <c r="AY1019" s="24">
        <f>IF(M1019=0,"",M1019-$AX$2)</f>
        <v/>
      </c>
      <c r="AZ1019" s="66">
        <f>IF(AND(W1019="",AY1019&gt;0,AY1019&lt;15),1,0)</f>
        <v/>
      </c>
      <c r="BA1019" s="24">
        <f>IF(AND(W1019="",AY1019&gt;0,AY1019&lt;15),T1019,"")</f>
        <v/>
      </c>
      <c r="BB1019" s="87">
        <f>IF(R1019&lt;Q1019,"X","")</f>
        <v/>
      </c>
      <c r="BC1019" s="190" t="inlineStr">
        <is>
          <t>NO</t>
        </is>
      </c>
      <c r="BD1019" s="191" t="inlineStr">
        <is>
          <t>SI</t>
        </is>
      </c>
    </row>
    <row r="1020" ht="15" customHeight="1" s="162">
      <c r="A1020" s="7" t="n">
        <v>1019</v>
      </c>
      <c r="B1020" t="inlineStr">
        <is>
          <t>1220115502002</t>
        </is>
      </c>
      <c r="C1020" t="inlineStr">
        <is>
          <t>CBL FLEX 1X50MM2 AV H07Z1-K 750V CU Z1</t>
        </is>
      </c>
      <c r="D1020" t="inlineStr">
        <is>
          <t>1800108953</t>
        </is>
      </c>
      <c r="E1020" t="inlineStr">
        <is>
          <t>220</t>
        </is>
      </c>
      <c r="F1020" s="163" t="n">
        <v>45463</v>
      </c>
      <c r="G1020" t="inlineStr"/>
      <c r="H1020" t="inlineStr">
        <is>
          <t>4200573355</t>
        </is>
      </c>
      <c r="I1020" t="inlineStr">
        <is>
          <t>40</t>
        </is>
      </c>
      <c r="J1020" s="163" t="n">
        <v>45506</v>
      </c>
      <c r="K1020" s="163" t="n">
        <v>45517</v>
      </c>
      <c r="L1020" t="inlineStr"/>
      <c r="M1020" s="163" t="n">
        <v>45516</v>
      </c>
      <c r="N1020" s="164" t="n">
        <v>85</v>
      </c>
      <c r="O1020" s="164" t="n">
        <v>8</v>
      </c>
      <c r="P1020" t="inlineStr">
        <is>
          <t>Liberado</t>
        </is>
      </c>
      <c r="Q1020" s="165" t="n">
        <v>100</v>
      </c>
      <c r="R1020" s="165" t="n">
        <v>100</v>
      </c>
      <c r="S1020" s="165" t="n">
        <v>100</v>
      </c>
      <c r="T1020" s="165" t="n">
        <v>0</v>
      </c>
      <c r="U1020" s="166" t="n">
        <v>100</v>
      </c>
      <c r="V1020" s="166" t="n">
        <v>0</v>
      </c>
      <c r="W1020" t="inlineStr">
        <is>
          <t>X</t>
        </is>
      </c>
      <c r="X1020" t="inlineStr">
        <is>
          <t>0.00</t>
        </is>
      </c>
      <c r="Y1020" t="inlineStr"/>
      <c r="Z1020" t="inlineStr">
        <is>
          <t>TELKRON, S.A.</t>
        </is>
      </c>
      <c r="AA1020" t="inlineStr">
        <is>
          <t>INPLASNU</t>
        </is>
      </c>
      <c r="AB1020" t="inlineStr">
        <is>
          <t>INPLASNU H07Z1-K/1X50MM2 AMARILLO/VERDE</t>
        </is>
      </c>
      <c r="AC1020" t="inlineStr"/>
      <c r="AD1020" s="164" t="n">
        <v>0</v>
      </c>
      <c r="AE1020" s="185" t="n">
        <v>0</v>
      </c>
      <c r="AG1020" s="167" t="inlineStr">
        <is>
          <t>7218|JA2582_1001</t>
        </is>
      </c>
      <c r="AH1020" s="47">
        <f>IF(M1020=0,"-",M1020-J1020)</f>
        <v/>
      </c>
      <c r="AI1020" s="46">
        <f>IF(AND(S1020=0,M1020&gt;0,L1020=0),IF(AH1020&gt;=120,"VERY HIGH",IF(AH1020&gt;=90,"HIGH",IF(AH1020&gt;=60,"MEDIUM",IF(AH1020&lt;60,"LOW")))),"-")</f>
        <v/>
      </c>
      <c r="AJ1020" s="12" t="n"/>
      <c r="AK1020" s="53">
        <f>IF(AND(W1020="X",M1020&lt;=$AJ$2),"YES","")</f>
        <v/>
      </c>
      <c r="AL1020" s="54">
        <f>IF(AND(W1020="X",M1020&lt;=$AJ$2),S1020,"")</f>
        <v/>
      </c>
      <c r="AM1020" s="35" t="n"/>
      <c r="AN1020" s="35">
        <f>IF(AND(W1020="X",M1020&gt;$AJ$2),S1020,"")</f>
        <v/>
      </c>
      <c r="AO1020" s="35">
        <f>IF(AND(W1020="",M1020&gt;0,$AJ$2&gt;M1020,L1020=""),1,0)</f>
        <v/>
      </c>
      <c r="AP1020" s="35">
        <f>IF(AND(AK1020="YES",W1020="X"),"X","")</f>
        <v/>
      </c>
      <c r="AQ1020" s="55">
        <f>IF(AP1020="X",100%,0%)</f>
        <v/>
      </c>
      <c r="AR1020" s="25">
        <f>IF(AND(T1020&gt;0,L1020=""),H1020,"")</f>
        <v/>
      </c>
      <c r="AS1020" s="25">
        <f>IF(AND(D1020&gt;0,H1020=0,G1020=""),1,"")</f>
        <v/>
      </c>
      <c r="AT1020" s="25">
        <f>IF(G1020="BLOQ",1,"")</f>
        <v/>
      </c>
      <c r="AU1020" s="25">
        <f>IF(L1020="BLOQ",1,"")</f>
        <v/>
      </c>
      <c r="AV1020" s="25">
        <f>MONTH(F1020)</f>
        <v/>
      </c>
      <c r="AW1020" s="65">
        <f>IF(AP1020="",100%,0%)</f>
        <v/>
      </c>
      <c r="AX1020" s="56" t="n"/>
      <c r="AY1020" s="24">
        <f>IF(M1020=0,"",M1020-$AX$2)</f>
        <v/>
      </c>
      <c r="AZ1020" s="66">
        <f>IF(AND(W1020="",AY1020&gt;0,AY1020&lt;15),1,0)</f>
        <v/>
      </c>
      <c r="BA1020" s="24">
        <f>IF(AND(W1020="",AY1020&gt;0,AY1020&lt;15),T1020,"")</f>
        <v/>
      </c>
      <c r="BB1020" s="87">
        <f>IF(R1020&lt;Q1020,"X","")</f>
        <v/>
      </c>
      <c r="BC1020" s="190" t="inlineStr">
        <is>
          <t>NO</t>
        </is>
      </c>
      <c r="BD1020" s="191" t="inlineStr">
        <is>
          <t>SI</t>
        </is>
      </c>
    </row>
    <row r="1021" ht="15" customHeight="1" s="162">
      <c r="A1021" s="7" t="n">
        <v>1020</v>
      </c>
      <c r="B1021" t="inlineStr">
        <is>
          <t>1220314154502</t>
        </is>
      </c>
      <c r="C1021" t="inlineStr">
        <is>
          <t>CBL FLEX 3X1,5MM2 RZ1-K 0,6/1KV POLIOLE</t>
        </is>
      </c>
      <c r="D1021" t="inlineStr">
        <is>
          <t>1800108953</t>
        </is>
      </c>
      <c r="E1021" t="inlineStr">
        <is>
          <t>230</t>
        </is>
      </c>
      <c r="F1021" s="163" t="n">
        <v>45463</v>
      </c>
      <c r="G1021" t="inlineStr"/>
      <c r="H1021" t="inlineStr">
        <is>
          <t>4200571770</t>
        </is>
      </c>
      <c r="I1021" t="inlineStr">
        <is>
          <t>10</t>
        </is>
      </c>
      <c r="J1021" s="163" t="n">
        <v>45496</v>
      </c>
      <c r="K1021" s="163" t="n">
        <v>45553</v>
      </c>
      <c r="L1021" t="inlineStr"/>
      <c r="M1021" s="163" t="n">
        <v>45502</v>
      </c>
      <c r="N1021" s="164" t="n">
        <v>30</v>
      </c>
      <c r="O1021" s="164" t="n">
        <v>8</v>
      </c>
      <c r="P1021" t="inlineStr">
        <is>
          <t>Liberado</t>
        </is>
      </c>
      <c r="Q1021" s="165" t="n">
        <v>600</v>
      </c>
      <c r="R1021" s="165" t="n">
        <v>600</v>
      </c>
      <c r="S1021" s="165" t="n">
        <v>600</v>
      </c>
      <c r="T1021" s="165" t="n">
        <v>0</v>
      </c>
      <c r="U1021" s="166" t="n">
        <v>600</v>
      </c>
      <c r="V1021" s="166" t="n">
        <v>0</v>
      </c>
      <c r="W1021" t="inlineStr">
        <is>
          <t>X</t>
        </is>
      </c>
      <c r="X1021" t="inlineStr">
        <is>
          <t>0.00</t>
        </is>
      </c>
      <c r="Y1021" t="inlineStr"/>
      <c r="Z1021" t="inlineStr">
        <is>
          <t>(AEMSA)ALMACENES ELECTRICOS MADRILE</t>
        </is>
      </c>
      <c r="AA1021" t="inlineStr">
        <is>
          <t>MIGUELEZ</t>
        </is>
      </c>
      <c r="AB1021" t="inlineStr">
        <is>
          <t>RZ1-K (AS) 0,6/1KV 3X1,5MM2 VER</t>
        </is>
      </c>
      <c r="AC1021" t="inlineStr"/>
      <c r="AD1021" s="164" t="n">
        <v>0</v>
      </c>
      <c r="AE1021" s="185" t="n">
        <v>0</v>
      </c>
      <c r="AG1021" s="167" t="inlineStr">
        <is>
          <t>7218|JA2582_1001</t>
        </is>
      </c>
      <c r="AH1021" s="47">
        <f>IF(M1021=0,"-",M1021-J1021)</f>
        <v/>
      </c>
      <c r="AI1021" s="46">
        <f>IF(AND(S1021=0,M1021&gt;0,L1021=0),IF(AH1021&gt;=120,"VERY HIGH",IF(AH1021&gt;=90,"HIGH",IF(AH1021&gt;=60,"MEDIUM",IF(AH1021&lt;60,"LOW")))),"-")</f>
        <v/>
      </c>
      <c r="AJ1021" s="12" t="n"/>
      <c r="AK1021" s="53">
        <f>IF(AND(W1021="X",M1021&lt;=$AJ$2),"YES","")</f>
        <v/>
      </c>
      <c r="AL1021" s="54">
        <f>IF(AND(W1021="X",M1021&lt;=$AJ$2),S1021,"")</f>
        <v/>
      </c>
      <c r="AM1021" s="35" t="n"/>
      <c r="AN1021" s="35">
        <f>IF(AND(W1021="X",M1021&gt;$AJ$2),S1021,"")</f>
        <v/>
      </c>
      <c r="AO1021" s="35">
        <f>IF(AND(W1021="",M1021&gt;0,$AJ$2&gt;M1021,L1021=""),1,0)</f>
        <v/>
      </c>
      <c r="AP1021" s="35">
        <f>IF(AND(AK1021="YES",W1021="X"),"X","")</f>
        <v/>
      </c>
      <c r="AQ1021" s="55">
        <f>IF(AP1021="X",100%,0%)</f>
        <v/>
      </c>
      <c r="AR1021" s="25">
        <f>IF(AND(T1021&gt;0,L1021=""),H1021,"")</f>
        <v/>
      </c>
      <c r="AS1021" s="25">
        <f>IF(AND(D1021&gt;0,H1021=0,G1021=""),1,"")</f>
        <v/>
      </c>
      <c r="AT1021" s="25">
        <f>IF(G1021="BLOQ",1,"")</f>
        <v/>
      </c>
      <c r="AU1021" s="25">
        <f>IF(L1021="BLOQ",1,"")</f>
        <v/>
      </c>
      <c r="AV1021" s="25">
        <f>MONTH(F1021)</f>
        <v/>
      </c>
      <c r="AW1021" s="65">
        <f>IF(AP1021="",100%,0%)</f>
        <v/>
      </c>
      <c r="AX1021" s="56" t="n"/>
      <c r="AY1021" s="24">
        <f>IF(M1021=0,"",M1021-$AX$2)</f>
        <v/>
      </c>
      <c r="AZ1021" s="66">
        <f>IF(AND(W1021="",AY1021&gt;0,AY1021&lt;15),1,0)</f>
        <v/>
      </c>
      <c r="BA1021" s="24">
        <f>IF(AND(W1021="",AY1021&gt;0,AY1021&lt;15),T1021,"")</f>
        <v/>
      </c>
      <c r="BB1021" s="87">
        <f>IF(R1021&lt;Q1021,"X","")</f>
        <v/>
      </c>
      <c r="BC1021" s="190" t="inlineStr">
        <is>
          <t>NO</t>
        </is>
      </c>
      <c r="BD1021" s="191" t="inlineStr">
        <is>
          <t>SI</t>
        </is>
      </c>
    </row>
    <row r="1022" ht="15" customHeight="1" s="162">
      <c r="A1022" s="7" t="n">
        <v>1021</v>
      </c>
      <c r="B1022" t="inlineStr">
        <is>
          <t>1220314254505</t>
        </is>
      </c>
      <c r="C1022" t="inlineStr">
        <is>
          <t>CBL FLEX 5X2,5MM2 RZ1-K 0,6/1KV POLIOLE</t>
        </is>
      </c>
      <c r="D1022" t="inlineStr">
        <is>
          <t>1800108953</t>
        </is>
      </c>
      <c r="E1022" t="inlineStr">
        <is>
          <t>240</t>
        </is>
      </c>
      <c r="F1022" s="163" t="n">
        <v>45463</v>
      </c>
      <c r="G1022" t="inlineStr"/>
      <c r="H1022" t="inlineStr">
        <is>
          <t>4200571770</t>
        </is>
      </c>
      <c r="I1022" t="inlineStr">
        <is>
          <t>20</t>
        </is>
      </c>
      <c r="J1022" s="163" t="n">
        <v>45496</v>
      </c>
      <c r="K1022" s="163" t="n">
        <v>45553</v>
      </c>
      <c r="L1022" t="inlineStr"/>
      <c r="M1022" s="163" t="n">
        <v>45502</v>
      </c>
      <c r="N1022" s="164" t="n">
        <v>30</v>
      </c>
      <c r="O1022" s="164" t="n">
        <v>8</v>
      </c>
      <c r="P1022" t="inlineStr">
        <is>
          <t>Liberado</t>
        </is>
      </c>
      <c r="Q1022" s="165" t="n">
        <v>200</v>
      </c>
      <c r="R1022" s="165" t="n">
        <v>200</v>
      </c>
      <c r="S1022" s="165" t="n">
        <v>200</v>
      </c>
      <c r="T1022" s="165" t="n">
        <v>0</v>
      </c>
      <c r="U1022" s="166" t="n">
        <v>200</v>
      </c>
      <c r="V1022" s="166" t="n">
        <v>0</v>
      </c>
      <c r="W1022" t="inlineStr">
        <is>
          <t>X</t>
        </is>
      </c>
      <c r="X1022" t="inlineStr">
        <is>
          <t>0.00</t>
        </is>
      </c>
      <c r="Y1022" t="inlineStr"/>
      <c r="Z1022" t="inlineStr">
        <is>
          <t>(AEMSA)ALMACENES ELECTRICOS MADRILE</t>
        </is>
      </c>
      <c r="AA1022" t="inlineStr">
        <is>
          <t>MIGUELEZ</t>
        </is>
      </c>
      <c r="AB1022" t="inlineStr">
        <is>
          <t>RZ15025</t>
        </is>
      </c>
      <c r="AC1022" t="inlineStr"/>
      <c r="AD1022" s="164" t="n">
        <v>0</v>
      </c>
      <c r="AE1022" s="185" t="n">
        <v>0</v>
      </c>
      <c r="AG1022" s="167" t="inlineStr">
        <is>
          <t>7218|JA2582_1001</t>
        </is>
      </c>
      <c r="AH1022" s="47">
        <f>IF(M1022=0,"-",M1022-J1022)</f>
        <v/>
      </c>
      <c r="AI1022" s="46">
        <f>IF(AND(S1022=0,M1022&gt;0,L1022=0),IF(AH1022&gt;=120,"VERY HIGH",IF(AH1022&gt;=90,"HIGH",IF(AH1022&gt;=60,"MEDIUM",IF(AH1022&lt;60,"LOW")))),"-")</f>
        <v/>
      </c>
      <c r="AJ1022" s="12" t="n"/>
      <c r="AK1022" s="53">
        <f>IF(AND(W1022="X",M1022&lt;=$AJ$2),"YES","")</f>
        <v/>
      </c>
      <c r="AL1022" s="54">
        <f>IF(AND(W1022="X",M1022&lt;=$AJ$2),S1022,"")</f>
        <v/>
      </c>
      <c r="AM1022" s="35" t="n"/>
      <c r="AN1022" s="35">
        <f>IF(AND(W1022="X",M1022&gt;$AJ$2),S1022,"")</f>
        <v/>
      </c>
      <c r="AO1022" s="35">
        <f>IF(AND(W1022="",M1022&gt;0,$AJ$2&gt;M1022,L1022=""),1,0)</f>
        <v/>
      </c>
      <c r="AP1022" s="35">
        <f>IF(AND(AK1022="YES",W1022="X"),"X","")</f>
        <v/>
      </c>
      <c r="AQ1022" s="55">
        <f>IF(AP1022="X",100%,0%)</f>
        <v/>
      </c>
      <c r="AR1022" s="25">
        <f>IF(AND(T1022&gt;0,L1022=""),H1022,"")</f>
        <v/>
      </c>
      <c r="AS1022" s="25">
        <f>IF(AND(D1022&gt;0,H1022=0,G1022=""),1,"")</f>
        <v/>
      </c>
      <c r="AT1022" s="25">
        <f>IF(G1022="BLOQ",1,"")</f>
        <v/>
      </c>
      <c r="AU1022" s="25">
        <f>IF(L1022="BLOQ",1,"")</f>
        <v/>
      </c>
      <c r="AV1022" s="25">
        <f>MONTH(F1022)</f>
        <v/>
      </c>
      <c r="AW1022" s="65">
        <f>IF(AP1022="",100%,0%)</f>
        <v/>
      </c>
      <c r="AX1022" s="56" t="n"/>
      <c r="AY1022" s="24">
        <f>IF(M1022=0,"",M1022-$AX$2)</f>
        <v/>
      </c>
      <c r="AZ1022" s="66">
        <f>IF(AND(W1022="",AY1022&gt;0,AY1022&lt;15),1,0)</f>
        <v/>
      </c>
      <c r="BA1022" s="24">
        <f>IF(AND(W1022="",AY1022&gt;0,AY1022&lt;15),T1022,"")</f>
        <v/>
      </c>
      <c r="BB1022" s="87">
        <f>IF(R1022&lt;Q1022,"X","")</f>
        <v/>
      </c>
      <c r="BC1022" s="190" t="inlineStr">
        <is>
          <t>NO</t>
        </is>
      </c>
      <c r="BD1022" s="191" t="inlineStr">
        <is>
          <t>SI</t>
        </is>
      </c>
    </row>
    <row r="1023" ht="15" customHeight="1" s="162">
      <c r="A1023" s="7" t="n">
        <v>1022</v>
      </c>
      <c r="B1023" t="inlineStr">
        <is>
          <t>1220314254508</t>
        </is>
      </c>
      <c r="C1023" t="inlineStr">
        <is>
          <t>CBL FLEX 3X2,5MM2 RZ1-K 0,6/1KV POLIOLE</t>
        </is>
      </c>
      <c r="D1023" t="inlineStr">
        <is>
          <t>1800108953</t>
        </is>
      </c>
      <c r="E1023" t="inlineStr">
        <is>
          <t>250</t>
        </is>
      </c>
      <c r="F1023" s="163" t="n">
        <v>45463</v>
      </c>
      <c r="G1023" t="inlineStr"/>
      <c r="H1023" t="inlineStr">
        <is>
          <t>4200571770</t>
        </is>
      </c>
      <c r="I1023" t="inlineStr">
        <is>
          <t>30</t>
        </is>
      </c>
      <c r="J1023" s="163" t="n">
        <v>45496</v>
      </c>
      <c r="K1023" s="163" t="n">
        <v>45553</v>
      </c>
      <c r="L1023" t="inlineStr"/>
      <c r="M1023" s="163" t="n">
        <v>45502</v>
      </c>
      <c r="N1023" s="164" t="n">
        <v>85</v>
      </c>
      <c r="O1023" s="164" t="n">
        <v>8</v>
      </c>
      <c r="P1023" t="inlineStr">
        <is>
          <t>Liberado</t>
        </is>
      </c>
      <c r="Q1023" s="165" t="n">
        <v>500</v>
      </c>
      <c r="R1023" s="165" t="n">
        <v>500</v>
      </c>
      <c r="S1023" s="165" t="n">
        <v>500</v>
      </c>
      <c r="T1023" s="165" t="n">
        <v>0</v>
      </c>
      <c r="U1023" s="166" t="n">
        <v>500</v>
      </c>
      <c r="V1023" s="166" t="n">
        <v>0</v>
      </c>
      <c r="W1023" t="inlineStr">
        <is>
          <t>X</t>
        </is>
      </c>
      <c r="X1023" t="inlineStr">
        <is>
          <t>0.00</t>
        </is>
      </c>
      <c r="Y1023" t="inlineStr"/>
      <c r="Z1023" t="inlineStr">
        <is>
          <t>(AEMSA)ALMACENES ELECTRICOS MADRILE</t>
        </is>
      </c>
      <c r="AA1023" t="inlineStr">
        <is>
          <t>MIGUELEZ</t>
        </is>
      </c>
      <c r="AB1023" t="inlineStr">
        <is>
          <t>RZ1-K (AS) 0,6/1KV 3X2,5MM2 VER</t>
        </is>
      </c>
      <c r="AC1023" t="inlineStr"/>
      <c r="AD1023" s="164" t="n">
        <v>0</v>
      </c>
      <c r="AE1023" s="185" t="n">
        <v>0</v>
      </c>
      <c r="AG1023" s="167" t="inlineStr">
        <is>
          <t>7218|JA2582_1001</t>
        </is>
      </c>
      <c r="AH1023" s="47">
        <f>IF(M1023=0,"-",M1023-J1023)</f>
        <v/>
      </c>
      <c r="AI1023" s="46">
        <f>IF(AND(S1023=0,M1023&gt;0,L1023=0),IF(AH1023&gt;=120,"VERY HIGH",IF(AH1023&gt;=90,"HIGH",IF(AH1023&gt;=60,"MEDIUM",IF(AH1023&lt;60,"LOW")))),"-")</f>
        <v/>
      </c>
      <c r="AJ1023" s="12" t="n"/>
      <c r="AK1023" s="53">
        <f>IF(AND(W1023="X",M1023&lt;=$AJ$2),"YES","")</f>
        <v/>
      </c>
      <c r="AL1023" s="54">
        <f>IF(AND(W1023="X",M1023&lt;=$AJ$2),S1023,"")</f>
        <v/>
      </c>
      <c r="AM1023" s="35" t="n"/>
      <c r="AN1023" s="35">
        <f>IF(AND(W1023="X",M1023&gt;$AJ$2),S1023,"")</f>
        <v/>
      </c>
      <c r="AO1023" s="35">
        <f>IF(AND(W1023="",M1023&gt;0,$AJ$2&gt;M1023,L1023=""),1,0)</f>
        <v/>
      </c>
      <c r="AP1023" s="35">
        <f>IF(AND(AK1023="YES",W1023="X"),"X","")</f>
        <v/>
      </c>
      <c r="AQ1023" s="55">
        <f>IF(AP1023="X",100%,0%)</f>
        <v/>
      </c>
      <c r="AR1023" s="25">
        <f>IF(AND(T1023&gt;0,L1023=""),H1023,"")</f>
        <v/>
      </c>
      <c r="AS1023" s="25">
        <f>IF(AND(D1023&gt;0,H1023=0,G1023=""),1,"")</f>
        <v/>
      </c>
      <c r="AT1023" s="25">
        <f>IF(G1023="BLOQ",1,"")</f>
        <v/>
      </c>
      <c r="AU1023" s="25">
        <f>IF(L1023="BLOQ",1,"")</f>
        <v/>
      </c>
      <c r="AV1023" s="25">
        <f>MONTH(F1023)</f>
        <v/>
      </c>
      <c r="AW1023" s="65">
        <f>IF(AP1023="",100%,0%)</f>
        <v/>
      </c>
      <c r="AX1023" s="56" t="n"/>
      <c r="AY1023" s="24">
        <f>IF(M1023=0,"",M1023-$AX$2)</f>
        <v/>
      </c>
      <c r="AZ1023" s="66">
        <f>IF(AND(W1023="",AY1023&gt;0,AY1023&lt;15),1,0)</f>
        <v/>
      </c>
      <c r="BA1023" s="24">
        <f>IF(AND(W1023="",AY1023&gt;0,AY1023&lt;15),T1023,"")</f>
        <v/>
      </c>
      <c r="BB1023" s="87">
        <f>IF(R1023&lt;Q1023,"X","")</f>
        <v/>
      </c>
      <c r="BC1023" s="190" t="inlineStr">
        <is>
          <t>NO</t>
        </is>
      </c>
      <c r="BD1023" s="191" t="inlineStr">
        <is>
          <t>SI</t>
        </is>
      </c>
    </row>
    <row r="1024" ht="15" customHeight="1" s="162">
      <c r="A1024" s="7" t="n">
        <v>1023</v>
      </c>
      <c r="B1024" t="inlineStr">
        <is>
          <t>1220314404100</t>
        </is>
      </c>
      <c r="C1024" t="inlineStr">
        <is>
          <t>CBL FLEX 3X4MM2 RZ1-K 0,6/1KV POLIOLE NE</t>
        </is>
      </c>
      <c r="D1024" t="inlineStr">
        <is>
          <t>1800108953</t>
        </is>
      </c>
      <c r="E1024" t="inlineStr">
        <is>
          <t>260</t>
        </is>
      </c>
      <c r="F1024" s="163" t="n">
        <v>45463</v>
      </c>
      <c r="G1024" t="inlineStr"/>
      <c r="H1024" t="inlineStr">
        <is>
          <t>4200571770</t>
        </is>
      </c>
      <c r="I1024" t="inlineStr">
        <is>
          <t>40</t>
        </is>
      </c>
      <c r="J1024" s="163" t="n">
        <v>45496</v>
      </c>
      <c r="K1024" s="163" t="n">
        <v>45553</v>
      </c>
      <c r="L1024" t="inlineStr"/>
      <c r="M1024" s="163" t="n">
        <v>45631</v>
      </c>
      <c r="N1024" s="164" t="n">
        <v>30</v>
      </c>
      <c r="O1024" s="164" t="n">
        <v>8</v>
      </c>
      <c r="P1024" t="inlineStr">
        <is>
          <t>Liberado</t>
        </is>
      </c>
      <c r="Q1024" s="165" t="n">
        <v>300</v>
      </c>
      <c r="R1024" s="165" t="n">
        <v>300</v>
      </c>
      <c r="S1024" s="165" t="n">
        <v>600</v>
      </c>
      <c r="T1024" s="165" t="n">
        <v>0</v>
      </c>
      <c r="U1024" s="166" t="n">
        <v>300</v>
      </c>
      <c r="V1024" s="166" t="n">
        <v>300</v>
      </c>
      <c r="W1024" t="inlineStr">
        <is>
          <t>X</t>
        </is>
      </c>
      <c r="X1024" t="inlineStr">
        <is>
          <t>0.00</t>
        </is>
      </c>
      <c r="Y1024" t="inlineStr"/>
      <c r="Z1024" t="inlineStr">
        <is>
          <t>(AEMSA)ALMACENES ELECTRICOS MADRILE</t>
        </is>
      </c>
      <c r="AA1024" t="inlineStr">
        <is>
          <t>MIGUELEZ</t>
        </is>
      </c>
      <c r="AB1024" t="inlineStr">
        <is>
          <t>RZ1-K (AS) 0,6/1KV CU 3X4MM2 NE</t>
        </is>
      </c>
      <c r="AC1024" t="inlineStr"/>
      <c r="AD1024" s="164" t="n">
        <v>1</v>
      </c>
      <c r="AE1024" s="185" t="n">
        <v>1</v>
      </c>
      <c r="AG1024" s="167" t="inlineStr">
        <is>
          <t>7218|JA2582_1001</t>
        </is>
      </c>
      <c r="AH1024" s="47">
        <f>IF(M1024=0,"-",M1024-J1024)</f>
        <v/>
      </c>
      <c r="AI1024" s="46">
        <f>IF(AND(S1024=0,M1024&gt;0,L1024=0),IF(AH1024&gt;=120,"VERY HIGH",IF(AH1024&gt;=90,"HIGH",IF(AH1024&gt;=60,"MEDIUM",IF(AH1024&lt;60,"LOW")))),"-")</f>
        <v/>
      </c>
      <c r="AJ1024" s="12" t="n"/>
      <c r="AK1024" s="53">
        <f>IF(AND(W1024="X",M1024&lt;=$AJ$2),"YES","")</f>
        <v/>
      </c>
      <c r="AL1024" s="54">
        <f>IF(AND(W1024="X",M1024&lt;=$AJ$2),S1024,"")</f>
        <v/>
      </c>
      <c r="AM1024" s="35" t="n"/>
      <c r="AN1024" s="35">
        <f>IF(AND(W1024="X",M1024&gt;$AJ$2),S1024,"")</f>
        <v/>
      </c>
      <c r="AO1024" s="35">
        <f>IF(AND(W1024="",M1024&gt;0,$AJ$2&gt;M1024,L1024=""),1,0)</f>
        <v/>
      </c>
      <c r="AP1024" s="35">
        <f>IF(AND(AK1024="YES",W1024="X"),"X","")</f>
        <v/>
      </c>
      <c r="AQ1024" s="55">
        <f>IF(AP1024="X",100%,0%)</f>
        <v/>
      </c>
      <c r="AR1024" s="25">
        <f>IF(AND(T1024&gt;0,L1024=""),H1024,"")</f>
        <v/>
      </c>
      <c r="AS1024" s="25">
        <f>IF(AND(D1024&gt;0,H1024=0,G1024=""),1,"")</f>
        <v/>
      </c>
      <c r="AT1024" s="25">
        <f>IF(G1024="BLOQ",1,"")</f>
        <v/>
      </c>
      <c r="AU1024" s="25">
        <f>IF(L1024="BLOQ",1,"")</f>
        <v/>
      </c>
      <c r="AV1024" s="25">
        <f>MONTH(F1024)</f>
        <v/>
      </c>
      <c r="AW1024" s="65">
        <f>IF(AP1024="",100%,0%)</f>
        <v/>
      </c>
      <c r="AX1024" s="56" t="n"/>
      <c r="AY1024" s="24">
        <f>IF(M1024=0,"",M1024-$AX$2)</f>
        <v/>
      </c>
      <c r="AZ1024" s="66">
        <f>IF(AND(W1024="",AY1024&gt;0,AY1024&lt;15),1,0)</f>
        <v/>
      </c>
      <c r="BA1024" s="24">
        <f>IF(AND(W1024="",AY1024&gt;0,AY1024&lt;15),T1024,"")</f>
        <v/>
      </c>
      <c r="BB1024" s="87">
        <f>IF(R1024&lt;Q1024,"X","")</f>
        <v/>
      </c>
      <c r="BC1024" s="190" t="inlineStr">
        <is>
          <t>NO</t>
        </is>
      </c>
      <c r="BD1024" s="191" t="inlineStr">
        <is>
          <t>SI</t>
        </is>
      </c>
    </row>
    <row r="1025" ht="15" customHeight="1" s="162">
      <c r="A1025" s="7" t="n">
        <v>1024</v>
      </c>
      <c r="B1025" t="inlineStr">
        <is>
          <t>1220315404000</t>
        </is>
      </c>
      <c r="C1025" t="inlineStr">
        <is>
          <t>CBL RZ1-K 0,6/1KV CU 5X4MM2 BAJO HALOGEN</t>
        </is>
      </c>
      <c r="D1025" t="inlineStr">
        <is>
          <t>1800108953</t>
        </is>
      </c>
      <c r="E1025" t="inlineStr">
        <is>
          <t>270</t>
        </is>
      </c>
      <c r="F1025" s="163" t="n">
        <v>45463</v>
      </c>
      <c r="G1025" t="inlineStr"/>
      <c r="H1025" t="inlineStr">
        <is>
          <t>4200571250</t>
        </is>
      </c>
      <c r="I1025" t="inlineStr">
        <is>
          <t>10</t>
        </is>
      </c>
      <c r="J1025" s="163" t="n">
        <v>45491</v>
      </c>
      <c r="K1025" s="163" t="n">
        <v>45491</v>
      </c>
      <c r="L1025" t="inlineStr"/>
      <c r="M1025" s="163" t="n">
        <v>45496</v>
      </c>
      <c r="N1025" s="164" t="n">
        <v>85</v>
      </c>
      <c r="O1025" s="164" t="n">
        <v>8</v>
      </c>
      <c r="P1025" t="inlineStr">
        <is>
          <t>Liberado</t>
        </is>
      </c>
      <c r="Q1025" s="165" t="n">
        <v>200</v>
      </c>
      <c r="R1025" s="165" t="n">
        <v>200</v>
      </c>
      <c r="S1025" s="165" t="n">
        <v>200</v>
      </c>
      <c r="T1025" s="165" t="n">
        <v>0</v>
      </c>
      <c r="U1025" s="166" t="n">
        <v>200</v>
      </c>
      <c r="V1025" s="166" t="n">
        <v>0</v>
      </c>
      <c r="W1025" t="inlineStr">
        <is>
          <t>X</t>
        </is>
      </c>
      <c r="X1025" t="inlineStr">
        <is>
          <t>0.00</t>
        </is>
      </c>
      <c r="Y1025" t="inlineStr"/>
      <c r="Z1025" t="inlineStr">
        <is>
          <t>(AEMSA)ALMACENES ELECTRICOS MADRILE</t>
        </is>
      </c>
      <c r="AA1025" t="inlineStr">
        <is>
          <t>CABELTE CABOS ELECTR</t>
        </is>
      </c>
      <c r="AB1025" t="inlineStr">
        <is>
          <t>RZ1-K 0,6/1KV CU 5X4MM2</t>
        </is>
      </c>
      <c r="AC1025" t="inlineStr"/>
      <c r="AD1025" s="164" t="n">
        <v>0</v>
      </c>
      <c r="AE1025" s="185" t="n">
        <v>0</v>
      </c>
      <c r="AG1025" s="167" t="inlineStr">
        <is>
          <t>7218|JA2582_1001</t>
        </is>
      </c>
      <c r="AH1025" s="47">
        <f>IF(M1025=0,"-",M1025-J1025)</f>
        <v/>
      </c>
      <c r="AI1025" s="46">
        <f>IF(AND(S1025=0,M1025&gt;0,L1025=0),IF(AH1025&gt;=120,"VERY HIGH",IF(AH1025&gt;=90,"HIGH",IF(AH1025&gt;=60,"MEDIUM",IF(AH1025&lt;60,"LOW")))),"-")</f>
        <v/>
      </c>
      <c r="AJ1025" s="12" t="n"/>
      <c r="AK1025" s="53">
        <f>IF(AND(W1025="X",M1025&lt;=$AJ$2),"YES","")</f>
        <v/>
      </c>
      <c r="AL1025" s="54">
        <f>IF(AND(W1025="X",M1025&lt;=$AJ$2),S1025,"")</f>
        <v/>
      </c>
      <c r="AM1025" s="35" t="n"/>
      <c r="AN1025" s="35">
        <f>IF(AND(W1025="X",M1025&gt;$AJ$2),S1025,"")</f>
        <v/>
      </c>
      <c r="AO1025" s="35">
        <f>IF(AND(W1025="",M1025&gt;0,$AJ$2&gt;M1025,L1025=""),1,0)</f>
        <v/>
      </c>
      <c r="AP1025" s="35">
        <f>IF(AND(AK1025="YES",W1025="X"),"X","")</f>
        <v/>
      </c>
      <c r="AQ1025" s="55">
        <f>IF(AP1025="X",100%,0%)</f>
        <v/>
      </c>
      <c r="AR1025" s="25">
        <f>IF(AND(T1025&gt;0,L1025=""),H1025,"")</f>
        <v/>
      </c>
      <c r="AS1025" s="25">
        <f>IF(AND(D1025&gt;0,H1025=0,G1025=""),1,"")</f>
        <v/>
      </c>
      <c r="AT1025" s="25">
        <f>IF(G1025="BLOQ",1,"")</f>
        <v/>
      </c>
      <c r="AU1025" s="25">
        <f>IF(L1025="BLOQ",1,"")</f>
        <v/>
      </c>
      <c r="AV1025" s="25">
        <f>MONTH(F1025)</f>
        <v/>
      </c>
      <c r="AW1025" s="65">
        <f>IF(AP1025="",100%,0%)</f>
        <v/>
      </c>
      <c r="AX1025" s="56" t="n"/>
      <c r="AY1025" s="24">
        <f>IF(M1025=0,"",M1025-$AX$2)</f>
        <v/>
      </c>
      <c r="AZ1025" s="66">
        <f>IF(AND(W1025="",AY1025&gt;0,AY1025&lt;15),1,0)</f>
        <v/>
      </c>
      <c r="BA1025" s="24">
        <f>IF(AND(W1025="",AY1025&gt;0,AY1025&lt;15),T1025,"")</f>
        <v/>
      </c>
      <c r="BB1025" s="87">
        <f>IF(R1025&lt;Q1025,"X","")</f>
        <v/>
      </c>
      <c r="BC1025" s="190" t="inlineStr">
        <is>
          <t>NO</t>
        </is>
      </c>
      <c r="BD1025" s="191" t="inlineStr">
        <is>
          <t>SI</t>
        </is>
      </c>
    </row>
    <row r="1026" ht="15" customHeight="1" s="162">
      <c r="A1026" s="7" t="n">
        <v>1025</v>
      </c>
      <c r="B1026" t="inlineStr">
        <is>
          <t>1222700280000</t>
        </is>
      </c>
      <c r="C1026" t="inlineStr">
        <is>
          <t>CBL PAR 4X2X28AWG 7/0.127MM 80V PE NEG</t>
        </is>
      </c>
      <c r="D1026" t="inlineStr">
        <is>
          <t>1800108953</t>
        </is>
      </c>
      <c r="E1026" t="inlineStr">
        <is>
          <t>280</t>
        </is>
      </c>
      <c r="F1026" s="163" t="n">
        <v>45463</v>
      </c>
      <c r="G1026" t="inlineStr"/>
      <c r="H1026" t="inlineStr">
        <is>
          <t>4200571148</t>
        </is>
      </c>
      <c r="I1026" t="inlineStr">
        <is>
          <t>60</t>
        </is>
      </c>
      <c r="J1026" s="163" t="n">
        <v>45490</v>
      </c>
      <c r="K1026" s="163" t="n">
        <v>45491</v>
      </c>
      <c r="L1026" t="inlineStr"/>
      <c r="M1026" s="163" t="n">
        <v>45505</v>
      </c>
      <c r="N1026" s="164" t="n">
        <v>85</v>
      </c>
      <c r="O1026" s="164" t="n">
        <v>8</v>
      </c>
      <c r="P1026" t="inlineStr">
        <is>
          <t>Liberado</t>
        </is>
      </c>
      <c r="Q1026" s="165" t="n">
        <v>2</v>
      </c>
      <c r="R1026" s="165" t="n">
        <v>50</v>
      </c>
      <c r="S1026" s="165" t="n">
        <v>150</v>
      </c>
      <c r="T1026" s="165" t="n">
        <v>0</v>
      </c>
      <c r="U1026" s="166" t="n">
        <v>50</v>
      </c>
      <c r="V1026" s="166" t="n">
        <v>100</v>
      </c>
      <c r="W1026" t="inlineStr">
        <is>
          <t>X</t>
        </is>
      </c>
      <c r="X1026" t="inlineStr">
        <is>
          <t>0.00</t>
        </is>
      </c>
      <c r="Y1026" t="inlineStr"/>
      <c r="Z1026" t="inlineStr">
        <is>
          <t>SUMINISTROS CONECTORES PROF.,SA.</t>
        </is>
      </c>
      <c r="AA1026" t="inlineStr">
        <is>
          <t>DECELECT</t>
        </is>
      </c>
      <c r="AB1026" t="inlineStr">
        <is>
          <t>SPE191354</t>
        </is>
      </c>
      <c r="AC1026" t="inlineStr"/>
      <c r="AD1026" s="164" t="n">
        <v>0</v>
      </c>
      <c r="AE1026" s="185" t="n">
        <v>0</v>
      </c>
      <c r="AG1026" s="167" t="inlineStr">
        <is>
          <t>7218|JA2582_1001</t>
        </is>
      </c>
      <c r="AH1026" s="47">
        <f>IF(M1026=0,"-",M1026-J1026)</f>
        <v/>
      </c>
      <c r="AI1026" s="46">
        <f>IF(AND(S1026=0,M1026&gt;0,L1026=0),IF(AH1026&gt;=120,"VERY HIGH",IF(AH1026&gt;=90,"HIGH",IF(AH1026&gt;=60,"MEDIUM",IF(AH1026&lt;60,"LOW")))),"-")</f>
        <v/>
      </c>
      <c r="AJ1026" s="12" t="n"/>
      <c r="AK1026" s="53">
        <f>IF(AND(W1026="X",M1026&lt;=$AJ$2),"YES","")</f>
        <v/>
      </c>
      <c r="AL1026" s="54">
        <f>IF(AND(W1026="X",M1026&lt;=$AJ$2),S1026,"")</f>
        <v/>
      </c>
      <c r="AM1026" s="35" t="n"/>
      <c r="AN1026" s="35">
        <f>IF(AND(W1026="X",M1026&gt;$AJ$2),S1026,"")</f>
        <v/>
      </c>
      <c r="AO1026" s="35">
        <f>IF(AND(W1026="",M1026&gt;0,$AJ$2&gt;M1026,L1026=""),1,0)</f>
        <v/>
      </c>
      <c r="AP1026" s="35">
        <f>IF(AND(AK1026="YES",W1026="X"),"X","")</f>
        <v/>
      </c>
      <c r="AQ1026" s="55">
        <f>IF(AP1026="X",100%,0%)</f>
        <v/>
      </c>
      <c r="AR1026" s="25">
        <f>IF(AND(T1026&gt;0,L1026=""),H1026,"")</f>
        <v/>
      </c>
      <c r="AS1026" s="25">
        <f>IF(AND(D1026&gt;0,H1026=0,G1026=""),1,"")</f>
        <v/>
      </c>
      <c r="AT1026" s="25">
        <f>IF(G1026="BLOQ",1,"")</f>
        <v/>
      </c>
      <c r="AU1026" s="25">
        <f>IF(L1026="BLOQ",1,"")</f>
        <v/>
      </c>
      <c r="AV1026" s="25">
        <f>MONTH(F1026)</f>
        <v/>
      </c>
      <c r="AW1026" s="65">
        <f>IF(AP1026="",100%,0%)</f>
        <v/>
      </c>
      <c r="AX1026" s="56" t="n"/>
      <c r="AY1026" s="24">
        <f>IF(M1026=0,"",M1026-$AX$2)</f>
        <v/>
      </c>
      <c r="AZ1026" s="66">
        <f>IF(AND(W1026="",AY1026&gt;0,AY1026&lt;15),1,0)</f>
        <v/>
      </c>
      <c r="BA1026" s="24">
        <f>IF(AND(W1026="",AY1026&gt;0,AY1026&lt;15),T1026,"")</f>
        <v/>
      </c>
      <c r="BB1026" s="87">
        <f>IF(R1026&lt;Q1026,"X","")</f>
        <v/>
      </c>
      <c r="BC1026" s="190" t="inlineStr">
        <is>
          <t>NO</t>
        </is>
      </c>
      <c r="BD1026" s="191" t="inlineStr">
        <is>
          <t>SI</t>
        </is>
      </c>
    </row>
    <row r="1027" ht="15" customHeight="1" s="162">
      <c r="A1027" s="7" t="n">
        <v>1026</v>
      </c>
      <c r="B1027" t="inlineStr">
        <is>
          <t>1229500280000</t>
        </is>
      </c>
      <c r="C1027" t="inlineStr">
        <is>
          <t>CBL PLANO 6XAWG28 FCC68 3M PVC GRIS</t>
        </is>
      </c>
      <c r="D1027" t="inlineStr">
        <is>
          <t>1800108953</t>
        </is>
      </c>
      <c r="E1027" t="inlineStr">
        <is>
          <t>290</t>
        </is>
      </c>
      <c r="F1027" s="163" t="n">
        <v>45463</v>
      </c>
      <c r="G1027" t="inlineStr"/>
      <c r="H1027" t="inlineStr">
        <is>
          <t>4200571557</t>
        </is>
      </c>
      <c r="I1027" t="inlineStr">
        <is>
          <t>210</t>
        </is>
      </c>
      <c r="J1027" s="163" t="n">
        <v>45492</v>
      </c>
      <c r="K1027" s="163" t="n">
        <v>45497</v>
      </c>
      <c r="L1027" t="inlineStr"/>
      <c r="M1027" s="163" t="n">
        <v>45504</v>
      </c>
      <c r="N1027" s="164" t="n">
        <v>105</v>
      </c>
      <c r="O1027" s="164" t="n">
        <v>8</v>
      </c>
      <c r="P1027" t="inlineStr">
        <is>
          <t>Liberado</t>
        </is>
      </c>
      <c r="Q1027" s="165" t="n">
        <v>3</v>
      </c>
      <c r="R1027" s="165" t="n">
        <v>3</v>
      </c>
      <c r="S1027" s="165" t="n">
        <v>3</v>
      </c>
      <c r="T1027" s="165" t="n">
        <v>0</v>
      </c>
      <c r="U1027" s="166" t="n">
        <v>3</v>
      </c>
      <c r="V1027" s="166" t="n">
        <v>0</v>
      </c>
      <c r="W1027" t="inlineStr">
        <is>
          <t>X</t>
        </is>
      </c>
      <c r="X1027" t="inlineStr">
        <is>
          <t>0.00</t>
        </is>
      </c>
      <c r="Y1027" t="inlineStr"/>
      <c r="Z1027" t="inlineStr">
        <is>
          <t>TELKRON, S.A.</t>
        </is>
      </c>
      <c r="AA1027" t="inlineStr">
        <is>
          <t>RS</t>
        </is>
      </c>
      <c r="AB1027" t="inlineStr">
        <is>
          <t>446-664</t>
        </is>
      </c>
      <c r="AC1027" t="inlineStr"/>
      <c r="AD1027" s="164" t="n">
        <v>0</v>
      </c>
      <c r="AE1027" s="185" t="n">
        <v>0</v>
      </c>
      <c r="AG1027" s="167" t="inlineStr">
        <is>
          <t>7218|JA2582_1001</t>
        </is>
      </c>
      <c r="AH1027" s="47">
        <f>IF(M1027=0,"-",M1027-J1027)</f>
        <v/>
      </c>
      <c r="AI1027" s="46">
        <f>IF(AND(S1027=0,M1027&gt;0,L1027=0),IF(AH1027&gt;=120,"VERY HIGH",IF(AH1027&gt;=90,"HIGH",IF(AH1027&gt;=60,"MEDIUM",IF(AH1027&lt;60,"LOW")))),"-")</f>
        <v/>
      </c>
      <c r="AJ1027" s="12" t="n"/>
      <c r="AK1027" s="53">
        <f>IF(AND(W1027="X",M1027&lt;=$AJ$2),"YES","")</f>
        <v/>
      </c>
      <c r="AL1027" s="54">
        <f>IF(AND(W1027="X",M1027&lt;=$AJ$2),S1027,"")</f>
        <v/>
      </c>
      <c r="AM1027" s="35" t="n"/>
      <c r="AN1027" s="35">
        <f>IF(AND(W1027="X",M1027&gt;$AJ$2),S1027,"")</f>
        <v/>
      </c>
      <c r="AO1027" s="35">
        <f>IF(AND(W1027="",M1027&gt;0,$AJ$2&gt;M1027,L1027=""),1,0)</f>
        <v/>
      </c>
      <c r="AP1027" s="35">
        <f>IF(AND(AK1027="YES",W1027="X"),"X","")</f>
        <v/>
      </c>
      <c r="AQ1027" s="55">
        <f>IF(AP1027="X",100%,0%)</f>
        <v/>
      </c>
      <c r="AR1027" s="25">
        <f>IF(AND(T1027&gt;0,L1027=""),H1027,"")</f>
        <v/>
      </c>
      <c r="AS1027" s="25">
        <f>IF(AND(D1027&gt;0,H1027=0,G1027=""),1,"")</f>
        <v/>
      </c>
      <c r="AT1027" s="25">
        <f>IF(G1027="BLOQ",1,"")</f>
        <v/>
      </c>
      <c r="AU1027" s="25">
        <f>IF(L1027="BLOQ",1,"")</f>
        <v/>
      </c>
      <c r="AV1027" s="25">
        <f>MONTH(F1027)</f>
        <v/>
      </c>
      <c r="AW1027" s="65">
        <f>IF(AP1027="",100%,0%)</f>
        <v/>
      </c>
      <c r="AX1027" s="56" t="n"/>
      <c r="AY1027" s="24">
        <f>IF(M1027=0,"",M1027-$AX$2)</f>
        <v/>
      </c>
      <c r="AZ1027" s="66">
        <f>IF(AND(W1027="",AY1027&gt;0,AY1027&lt;15),1,0)</f>
        <v/>
      </c>
      <c r="BA1027" s="24">
        <f>IF(AND(W1027="",AY1027&gt;0,AY1027&lt;15),T1027,"")</f>
        <v/>
      </c>
      <c r="BB1027" s="87">
        <f>IF(R1027&lt;Q1027,"X","")</f>
        <v/>
      </c>
      <c r="BC1027" s="190" t="inlineStr">
        <is>
          <t>NO</t>
        </is>
      </c>
      <c r="BD1027" s="191" t="inlineStr">
        <is>
          <t>SI</t>
        </is>
      </c>
    </row>
    <row r="1028" ht="15" customHeight="1" s="162">
      <c r="A1028" s="7" t="n">
        <v>1027</v>
      </c>
      <c r="B1028" t="inlineStr">
        <is>
          <t>1229500280101</t>
        </is>
      </c>
      <c r="C1028" t="inlineStr">
        <is>
          <t>CBL EQ TELEFONO RJ12/RJ12 6P4C GRIS L=6M</t>
        </is>
      </c>
      <c r="D1028" t="inlineStr">
        <is>
          <t>1800108953</t>
        </is>
      </c>
      <c r="E1028" t="inlineStr">
        <is>
          <t>300</t>
        </is>
      </c>
      <c r="F1028" s="163" t="n">
        <v>45463</v>
      </c>
      <c r="G1028" t="inlineStr"/>
      <c r="H1028" t="inlineStr">
        <is>
          <t>4200573125</t>
        </is>
      </c>
      <c r="I1028" t="inlineStr">
        <is>
          <t>180</t>
        </is>
      </c>
      <c r="J1028" s="163" t="n">
        <v>45505</v>
      </c>
      <c r="K1028" s="163" t="n">
        <v>45638</v>
      </c>
      <c r="L1028" t="inlineStr"/>
      <c r="M1028" s="163" t="n">
        <v>45523</v>
      </c>
      <c r="N1028" s="164" t="n">
        <v>105</v>
      </c>
      <c r="O1028" s="164" t="n">
        <v>8</v>
      </c>
      <c r="P1028" t="inlineStr">
        <is>
          <t>Liberado</t>
        </is>
      </c>
      <c r="Q1028" s="165" t="n">
        <v>12</v>
      </c>
      <c r="R1028" s="165" t="n">
        <v>12</v>
      </c>
      <c r="S1028" s="165" t="n">
        <v>12</v>
      </c>
      <c r="T1028" s="165" t="n">
        <v>0</v>
      </c>
      <c r="U1028" s="166" t="n">
        <v>12</v>
      </c>
      <c r="V1028" s="166" t="n">
        <v>0</v>
      </c>
      <c r="W1028" t="inlineStr">
        <is>
          <t>X</t>
        </is>
      </c>
      <c r="X1028" t="inlineStr">
        <is>
          <t>0.00</t>
        </is>
      </c>
      <c r="Y1028" t="inlineStr"/>
      <c r="Z1028" t="inlineStr">
        <is>
          <t>ICOMPPLUS ELECTRONICS S.L</t>
        </is>
      </c>
      <c r="AA1028" t="inlineStr">
        <is>
          <t>ROLINE</t>
        </is>
      </c>
      <c r="AB1028" t="inlineStr">
        <is>
          <t>11.04.1906-10</t>
        </is>
      </c>
      <c r="AC1028" t="inlineStr"/>
      <c r="AD1028" s="164" t="n">
        <v>1</v>
      </c>
      <c r="AE1028" s="185" t="n">
        <v>1</v>
      </c>
      <c r="AG1028" s="167" t="inlineStr">
        <is>
          <t>7218|JA2582_1001</t>
        </is>
      </c>
      <c r="AH1028" s="47">
        <f>IF(M1028=0,"-",M1028-J1028)</f>
        <v/>
      </c>
      <c r="AI1028" s="46">
        <f>IF(AND(S1028=0,M1028&gt;0,L1028=0),IF(AH1028&gt;=120,"VERY HIGH",IF(AH1028&gt;=90,"HIGH",IF(AH1028&gt;=60,"MEDIUM",IF(AH1028&lt;60,"LOW")))),"-")</f>
        <v/>
      </c>
      <c r="AJ1028" s="12" t="n"/>
      <c r="AK1028" s="53">
        <f>IF(AND(W1028="X",M1028&lt;=$AJ$2),"YES","")</f>
        <v/>
      </c>
      <c r="AL1028" s="54">
        <f>IF(AND(W1028="X",M1028&lt;=$AJ$2),S1028,"")</f>
        <v/>
      </c>
      <c r="AM1028" s="35" t="n"/>
      <c r="AN1028" s="35">
        <f>IF(AND(W1028="X",M1028&gt;$AJ$2),S1028,"")</f>
        <v/>
      </c>
      <c r="AO1028" s="35">
        <f>IF(AND(W1028="",M1028&gt;0,$AJ$2&gt;M1028,L1028=""),1,0)</f>
        <v/>
      </c>
      <c r="AP1028" s="35">
        <f>IF(AND(AK1028="YES",W1028="X"),"X","")</f>
        <v/>
      </c>
      <c r="AQ1028" s="55">
        <f>IF(AP1028="X",100%,0%)</f>
        <v/>
      </c>
      <c r="AR1028" s="25">
        <f>IF(AND(T1028&gt;0,L1028=""),H1028,"")</f>
        <v/>
      </c>
      <c r="AS1028" s="25">
        <f>IF(AND(D1028&gt;0,H1028=0,G1028=""),1,"")</f>
        <v/>
      </c>
      <c r="AT1028" s="25">
        <f>IF(G1028="BLOQ",1,"")</f>
        <v/>
      </c>
      <c r="AU1028" s="25">
        <f>IF(L1028="BLOQ",1,"")</f>
        <v/>
      </c>
      <c r="AV1028" s="25">
        <f>MONTH(F1028)</f>
        <v/>
      </c>
      <c r="AW1028" s="65">
        <f>IF(AP1028="",100%,0%)</f>
        <v/>
      </c>
      <c r="AX1028" s="56" t="n"/>
      <c r="AY1028" s="24">
        <f>IF(M1028=0,"",M1028-$AX$2)</f>
        <v/>
      </c>
      <c r="AZ1028" s="66">
        <f>IF(AND(W1028="",AY1028&gt;0,AY1028&lt;15),1,0)</f>
        <v/>
      </c>
      <c r="BA1028" s="24">
        <f>IF(AND(W1028="",AY1028&gt;0,AY1028&lt;15),T1028,"")</f>
        <v/>
      </c>
      <c r="BB1028" s="87">
        <f>IF(R1028&lt;Q1028,"X","")</f>
        <v/>
      </c>
      <c r="BC1028" s="190" t="inlineStr">
        <is>
          <t>NO</t>
        </is>
      </c>
      <c r="BD1028" s="191" t="inlineStr">
        <is>
          <t>SI</t>
        </is>
      </c>
    </row>
    <row r="1029" ht="15" customHeight="1" s="162">
      <c r="A1029" s="7" t="n">
        <v>1028</v>
      </c>
      <c r="B1029" t="inlineStr">
        <is>
          <t>1229590001001</t>
        </is>
      </c>
      <c r="C1029" t="inlineStr">
        <is>
          <t>CBL EQ ALIM C13-IEC/CNC-B  250V NG L=2M</t>
        </is>
      </c>
      <c r="D1029" t="inlineStr">
        <is>
          <t>1800108953</t>
        </is>
      </c>
      <c r="E1029" t="inlineStr">
        <is>
          <t>310</t>
        </is>
      </c>
      <c r="F1029" s="163" t="n">
        <v>45463</v>
      </c>
      <c r="G1029" t="inlineStr"/>
      <c r="H1029" t="inlineStr">
        <is>
          <t>4200571557</t>
        </is>
      </c>
      <c r="I1029" t="inlineStr">
        <is>
          <t>220</t>
        </is>
      </c>
      <c r="J1029" s="163" t="n">
        <v>45492</v>
      </c>
      <c r="K1029" s="163" t="n">
        <v>45497</v>
      </c>
      <c r="L1029" t="inlineStr"/>
      <c r="M1029" s="163" t="n">
        <v>45504</v>
      </c>
      <c r="N1029" s="164" t="n">
        <v>105</v>
      </c>
      <c r="O1029" s="164" t="n">
        <v>8</v>
      </c>
      <c r="P1029" t="inlineStr">
        <is>
          <t>Liberado</t>
        </is>
      </c>
      <c r="Q1029" s="165" t="n">
        <v>30</v>
      </c>
      <c r="R1029" s="165" t="n">
        <v>30</v>
      </c>
      <c r="S1029" s="165" t="n">
        <v>90</v>
      </c>
      <c r="T1029" s="165" t="n">
        <v>0</v>
      </c>
      <c r="U1029" s="166" t="n">
        <v>30</v>
      </c>
      <c r="V1029" s="166" t="n">
        <v>60</v>
      </c>
      <c r="W1029" t="inlineStr">
        <is>
          <t>X</t>
        </is>
      </c>
      <c r="X1029" t="inlineStr">
        <is>
          <t>0.00</t>
        </is>
      </c>
      <c r="Y1029" t="inlineStr"/>
      <c r="Z1029" t="inlineStr">
        <is>
          <t>TELKRON, S.A.</t>
        </is>
      </c>
      <c r="AA1029" t="inlineStr">
        <is>
          <t>RS PRO</t>
        </is>
      </c>
      <c r="AB1029" t="inlineStr">
        <is>
          <t>731-6153</t>
        </is>
      </c>
      <c r="AC1029" t="inlineStr"/>
      <c r="AD1029" s="164" t="n">
        <v>0</v>
      </c>
      <c r="AE1029" s="185" t="n">
        <v>0</v>
      </c>
      <c r="AG1029" s="167" t="inlineStr">
        <is>
          <t>7218|JA2582_1001</t>
        </is>
      </c>
      <c r="AH1029" s="47">
        <f>IF(M1029=0,"-",M1029-J1029)</f>
        <v/>
      </c>
      <c r="AI1029" s="46">
        <f>IF(AND(S1029=0,M1029&gt;0,L1029=0),IF(AH1029&gt;=120,"VERY HIGH",IF(AH1029&gt;=90,"HIGH",IF(AH1029&gt;=60,"MEDIUM",IF(AH1029&lt;60,"LOW")))),"-")</f>
        <v/>
      </c>
      <c r="AJ1029" s="12" t="n"/>
      <c r="AK1029" s="53">
        <f>IF(AND(W1029="X",M1029&lt;=$AJ$2),"YES","")</f>
        <v/>
      </c>
      <c r="AL1029" s="54">
        <f>IF(AND(W1029="X",M1029&lt;=$AJ$2),S1029,"")</f>
        <v/>
      </c>
      <c r="AM1029" s="35" t="n"/>
      <c r="AN1029" s="35">
        <f>IF(AND(W1029="X",M1029&gt;$AJ$2),S1029,"")</f>
        <v/>
      </c>
      <c r="AO1029" s="35">
        <f>IF(AND(W1029="",M1029&gt;0,$AJ$2&gt;M1029,L1029=""),1,0)</f>
        <v/>
      </c>
      <c r="AP1029" s="35">
        <f>IF(AND(AK1029="YES",W1029="X"),"X","")</f>
        <v/>
      </c>
      <c r="AQ1029" s="55">
        <f>IF(AP1029="X",100%,0%)</f>
        <v/>
      </c>
      <c r="AR1029" s="25">
        <f>IF(AND(T1029&gt;0,L1029=""),H1029,"")</f>
        <v/>
      </c>
      <c r="AS1029" s="25">
        <f>IF(AND(D1029&gt;0,H1029=0,G1029=""),1,"")</f>
        <v/>
      </c>
      <c r="AT1029" s="25">
        <f>IF(G1029="BLOQ",1,"")</f>
        <v/>
      </c>
      <c r="AU1029" s="25">
        <f>IF(L1029="BLOQ",1,"")</f>
        <v/>
      </c>
      <c r="AV1029" s="25">
        <f>MONTH(F1029)</f>
        <v/>
      </c>
      <c r="AW1029" s="65">
        <f>IF(AP1029="",100%,0%)</f>
        <v/>
      </c>
      <c r="AX1029" s="56" t="n"/>
      <c r="AY1029" s="24">
        <f>IF(M1029=0,"",M1029-$AX$2)</f>
        <v/>
      </c>
      <c r="AZ1029" s="66">
        <f>IF(AND(W1029="",AY1029&gt;0,AY1029&lt;15),1,0)</f>
        <v/>
      </c>
      <c r="BA1029" s="24">
        <f>IF(AND(W1029="",AY1029&gt;0,AY1029&lt;15),T1029,"")</f>
        <v/>
      </c>
      <c r="BB1029" s="87">
        <f>IF(R1029&lt;Q1029,"X","")</f>
        <v/>
      </c>
      <c r="BC1029" s="190" t="inlineStr">
        <is>
          <t>NO</t>
        </is>
      </c>
      <c r="BD1029" s="191" t="inlineStr">
        <is>
          <t>SI</t>
        </is>
      </c>
    </row>
    <row r="1030" ht="15" customHeight="1" s="162">
      <c r="A1030" s="7" t="n">
        <v>1029</v>
      </c>
      <c r="B1030" t="inlineStr">
        <is>
          <t>1229591010007</t>
        </is>
      </c>
      <c r="C1030" t="inlineStr">
        <is>
          <t>CBL EQ IEC C13/NO CNC (H/H) 250V 10A PVC</t>
        </is>
      </c>
      <c r="D1030" t="inlineStr">
        <is>
          <t>1800108953</t>
        </is>
      </c>
      <c r="E1030" t="inlineStr">
        <is>
          <t>320</t>
        </is>
      </c>
      <c r="F1030" s="163" t="n">
        <v>45463</v>
      </c>
      <c r="G1030" t="inlineStr"/>
      <c r="H1030" t="inlineStr">
        <is>
          <t>4200571557</t>
        </is>
      </c>
      <c r="I1030" t="inlineStr">
        <is>
          <t>230</t>
        </is>
      </c>
      <c r="J1030" s="163" t="n">
        <v>45492</v>
      </c>
      <c r="K1030" s="163" t="n">
        <v>45497</v>
      </c>
      <c r="L1030" t="inlineStr"/>
      <c r="M1030" s="163" t="n">
        <v>45504</v>
      </c>
      <c r="N1030" s="164" t="n">
        <v>105</v>
      </c>
      <c r="O1030" s="164" t="n">
        <v>8</v>
      </c>
      <c r="P1030" t="inlineStr">
        <is>
          <t>Liberado</t>
        </is>
      </c>
      <c r="Q1030" s="165" t="n">
        <v>30</v>
      </c>
      <c r="R1030" s="165" t="n">
        <v>30</v>
      </c>
      <c r="S1030" s="165" t="n">
        <v>30</v>
      </c>
      <c r="T1030" s="165" t="n">
        <v>0</v>
      </c>
      <c r="U1030" s="166" t="n">
        <v>30</v>
      </c>
      <c r="V1030" s="166" t="n">
        <v>0</v>
      </c>
      <c r="W1030" t="inlineStr">
        <is>
          <t>X</t>
        </is>
      </c>
      <c r="X1030" t="inlineStr">
        <is>
          <t>0.00</t>
        </is>
      </c>
      <c r="Y1030" t="inlineStr"/>
      <c r="Z1030" t="inlineStr">
        <is>
          <t>TELKRON, S.A.</t>
        </is>
      </c>
      <c r="AA1030" t="inlineStr">
        <is>
          <t>RS PRO</t>
        </is>
      </c>
      <c r="AB1030" t="inlineStr">
        <is>
          <t>901-0753</t>
        </is>
      </c>
      <c r="AC1030" t="inlineStr"/>
      <c r="AD1030" s="164" t="n">
        <v>0</v>
      </c>
      <c r="AE1030" s="185" t="n">
        <v>0</v>
      </c>
      <c r="AG1030" s="167" t="inlineStr">
        <is>
          <t>7218|JA2582_1001</t>
        </is>
      </c>
      <c r="AH1030" s="47">
        <f>IF(M1030=0,"-",M1030-J1030)</f>
        <v/>
      </c>
      <c r="AI1030" s="46">
        <f>IF(AND(S1030=0,M1030&gt;0,L1030=0),IF(AH1030&gt;=120,"VERY HIGH",IF(AH1030&gt;=90,"HIGH",IF(AH1030&gt;=60,"MEDIUM",IF(AH1030&lt;60,"LOW")))),"-")</f>
        <v/>
      </c>
      <c r="AJ1030" s="12" t="n"/>
      <c r="AK1030" s="53">
        <f>IF(AND(W1030="X",M1030&lt;=$AJ$2),"YES","")</f>
        <v/>
      </c>
      <c r="AL1030" s="54">
        <f>IF(AND(W1030="X",M1030&lt;=$AJ$2),S1030,"")</f>
        <v/>
      </c>
      <c r="AM1030" s="35" t="n"/>
      <c r="AN1030" s="35">
        <f>IF(AND(W1030="X",M1030&gt;$AJ$2),S1030,"")</f>
        <v/>
      </c>
      <c r="AO1030" s="35">
        <f>IF(AND(W1030="",M1030&gt;0,$AJ$2&gt;M1030,L1030=""),1,0)</f>
        <v/>
      </c>
      <c r="AP1030" s="35">
        <f>IF(AND(AK1030="YES",W1030="X"),"X","")</f>
        <v/>
      </c>
      <c r="AQ1030" s="55">
        <f>IF(AP1030="X",100%,0%)</f>
        <v/>
      </c>
      <c r="AR1030" s="25">
        <f>IF(AND(T1030&gt;0,L1030=""),H1030,"")</f>
        <v/>
      </c>
      <c r="AS1030" s="25">
        <f>IF(AND(D1030&gt;0,H1030=0,G1030=""),1,"")</f>
        <v/>
      </c>
      <c r="AT1030" s="25">
        <f>IF(G1030="BLOQ",1,"")</f>
        <v/>
      </c>
      <c r="AU1030" s="25">
        <f>IF(L1030="BLOQ",1,"")</f>
        <v/>
      </c>
      <c r="AV1030" s="25">
        <f>MONTH(F1030)</f>
        <v/>
      </c>
      <c r="AW1030" s="65">
        <f>IF(AP1030="",100%,0%)</f>
        <v/>
      </c>
      <c r="AX1030" s="56" t="n"/>
      <c r="AY1030" s="24">
        <f>IF(M1030=0,"",M1030-$AX$2)</f>
        <v/>
      </c>
      <c r="AZ1030" s="66">
        <f>IF(AND(W1030="",AY1030&gt;0,AY1030&lt;15),1,0)</f>
        <v/>
      </c>
      <c r="BA1030" s="24">
        <f>IF(AND(W1030="",AY1030&gt;0,AY1030&lt;15),T1030,"")</f>
        <v/>
      </c>
      <c r="BB1030" s="87">
        <f>IF(R1030&lt;Q1030,"X","")</f>
        <v/>
      </c>
      <c r="BC1030" s="190" t="inlineStr">
        <is>
          <t>NO</t>
        </is>
      </c>
      <c r="BD1030" s="191" t="inlineStr">
        <is>
          <t>SI</t>
        </is>
      </c>
    </row>
    <row r="1031" ht="15" customHeight="1" s="162">
      <c r="A1031" s="7" t="n">
        <v>1030</v>
      </c>
      <c r="B1031" t="inlineStr">
        <is>
          <t>1237525872000</t>
        </is>
      </c>
      <c r="C1031" t="inlineStr">
        <is>
          <t>CAJA MNTJE SUPERF 87X93X32MM P/PULS KAC</t>
        </is>
      </c>
      <c r="D1031" t="inlineStr">
        <is>
          <t>1800108953</t>
        </is>
      </c>
      <c r="E1031" t="inlineStr">
        <is>
          <t>330</t>
        </is>
      </c>
      <c r="F1031" s="163" t="n">
        <v>45463</v>
      </c>
      <c r="G1031" t="inlineStr"/>
      <c r="H1031" t="inlineStr">
        <is>
          <t>4200584136</t>
        </is>
      </c>
      <c r="I1031" t="inlineStr">
        <is>
          <t>20</t>
        </is>
      </c>
      <c r="J1031" s="163" t="n">
        <v>45600</v>
      </c>
      <c r="K1031" s="163" t="n">
        <v>45607</v>
      </c>
      <c r="L1031" t="inlineStr">
        <is>
          <t>BORR</t>
        </is>
      </c>
      <c r="M1031" s="163" t="n">
        <v>45628</v>
      </c>
      <c r="N1031" s="164" t="n">
        <v>55</v>
      </c>
      <c r="O1031" s="164" t="n">
        <v>8</v>
      </c>
      <c r="P1031" t="inlineStr"/>
      <c r="Q1031" s="165" t="n">
        <v>3</v>
      </c>
      <c r="R1031" s="165" t="n">
        <v>3</v>
      </c>
      <c r="S1031" s="165" t="n">
        <v>0</v>
      </c>
      <c r="T1031" s="165" t="n">
        <v>3</v>
      </c>
      <c r="U1031" s="166" t="n">
        <v>0</v>
      </c>
      <c r="V1031" s="166" t="n">
        <v>0</v>
      </c>
      <c r="W1031" t="inlineStr"/>
      <c r="X1031" t="inlineStr">
        <is>
          <t>12.84</t>
        </is>
      </c>
      <c r="Y1031" t="inlineStr"/>
      <c r="Z1031" t="inlineStr">
        <is>
          <t>HONEYWELL LIFE SAFETY IBERIA, S.L.</t>
        </is>
      </c>
      <c r="AA1031" t="inlineStr">
        <is>
          <t>HONEYWELL</t>
        </is>
      </c>
      <c r="AB1031" t="inlineStr">
        <is>
          <t>PS031W</t>
        </is>
      </c>
      <c r="AC1031" t="inlineStr"/>
      <c r="AD1031" s="164" t="n">
        <v>1</v>
      </c>
      <c r="AE1031" s="185" t="n">
        <v>1</v>
      </c>
      <c r="AG1031" s="167" t="inlineStr">
        <is>
          <t>7218|JA2582_1001</t>
        </is>
      </c>
      <c r="AH1031" s="47">
        <f>IF(M1031=0,"-",M1031-J1031)</f>
        <v/>
      </c>
      <c r="AI1031" s="46">
        <f>IF(AND(S1031=0,M1031&gt;0,L1031=0),IF(AH1031&gt;=120,"VERY HIGH",IF(AH1031&gt;=90,"HIGH",IF(AH1031&gt;=60,"MEDIUM",IF(AH1031&lt;60,"LOW")))),"-")</f>
        <v/>
      </c>
      <c r="AJ1031" s="12" t="n"/>
      <c r="AK1031" s="53">
        <f>IF(AND(W1031="X",M1031&lt;=$AJ$2),"YES","")</f>
        <v/>
      </c>
      <c r="AL1031" s="54">
        <f>IF(AND(W1031="X",M1031&lt;=$AJ$2),S1031,"")</f>
        <v/>
      </c>
      <c r="AM1031" s="35" t="n"/>
      <c r="AN1031" s="35">
        <f>IF(AND(W1031="X",M1031&gt;$AJ$2),S1031,"")</f>
        <v/>
      </c>
      <c r="AO1031" s="35">
        <f>IF(AND(W1031="",M1031&gt;0,$AJ$2&gt;M1031,L1031=""),1,0)</f>
        <v/>
      </c>
      <c r="AP1031" s="35">
        <f>IF(AND(AK1031="YES",W1031="X"),"X","")</f>
        <v/>
      </c>
      <c r="AQ1031" s="55">
        <f>IF(AP1031="X",100%,0%)</f>
        <v/>
      </c>
      <c r="AR1031" s="25">
        <f>IF(AND(T1031&gt;0,L1031=""),H1031,"")</f>
        <v/>
      </c>
      <c r="AS1031" s="25">
        <f>IF(AND(D1031&gt;0,H1031=0,G1031=""),1,"")</f>
        <v/>
      </c>
      <c r="AT1031" s="25">
        <f>IF(G1031="BLOQ",1,"")</f>
        <v/>
      </c>
      <c r="AU1031" s="25">
        <f>IF(L1031="BLOQ",1,"")</f>
        <v/>
      </c>
      <c r="AV1031" s="25">
        <f>MONTH(F1031)</f>
        <v/>
      </c>
      <c r="AW1031" s="65">
        <f>IF(AP1031="",100%,0%)</f>
        <v/>
      </c>
      <c r="AX1031" s="56" t="n"/>
      <c r="AY1031" s="24">
        <f>IF(M1031=0,"",M1031-$AX$2)</f>
        <v/>
      </c>
      <c r="AZ1031" s="66">
        <f>IF(AND(W1031="",AY1031&gt;0,AY1031&lt;15),1,0)</f>
        <v/>
      </c>
      <c r="BA1031" s="24">
        <f>IF(AND(W1031="",AY1031&gt;0,AY1031&lt;15),T1031,"")</f>
        <v/>
      </c>
      <c r="BB1031" s="87">
        <f>IF(R1031&lt;Q1031,"X","")</f>
        <v/>
      </c>
      <c r="BC1031" s="191" t="inlineStr">
        <is>
          <t>SI</t>
        </is>
      </c>
      <c r="BD1031" s="191" t="inlineStr">
        <is>
          <t>SI</t>
        </is>
      </c>
    </row>
    <row r="1032" ht="15" customHeight="1" s="162">
      <c r="A1032" s="7" t="n">
        <v>1031</v>
      </c>
      <c r="B1032" t="inlineStr">
        <is>
          <t>1237525872000</t>
        </is>
      </c>
      <c r="C1032" t="inlineStr">
        <is>
          <t>CAJA MNTJE SUPERF 87X93X32MM P/PULS KAC</t>
        </is>
      </c>
      <c r="D1032" t="inlineStr">
        <is>
          <t>1800108953</t>
        </is>
      </c>
      <c r="E1032" t="inlineStr">
        <is>
          <t>330</t>
        </is>
      </c>
      <c r="F1032" s="163" t="n">
        <v>45463</v>
      </c>
      <c r="G1032" t="inlineStr"/>
      <c r="H1032" t="inlineStr">
        <is>
          <t>4200585889</t>
        </is>
      </c>
      <c r="I1032" t="inlineStr">
        <is>
          <t>30</t>
        </is>
      </c>
      <c r="J1032" s="163" t="n">
        <v>45611</v>
      </c>
      <c r="K1032" s="163" t="n">
        <v>45616</v>
      </c>
      <c r="L1032" t="inlineStr"/>
      <c r="M1032" s="163" t="n">
        <v>45625</v>
      </c>
      <c r="N1032" s="164" t="n">
        <v>55</v>
      </c>
      <c r="O1032" s="164" t="n">
        <v>8</v>
      </c>
      <c r="P1032" t="inlineStr">
        <is>
          <t>Liberado</t>
        </is>
      </c>
      <c r="Q1032" s="165" t="n">
        <v>3</v>
      </c>
      <c r="R1032" s="165" t="n">
        <v>3</v>
      </c>
      <c r="S1032" s="165" t="n">
        <v>3</v>
      </c>
      <c r="T1032" s="165" t="n">
        <v>0</v>
      </c>
      <c r="U1032" s="166" t="n">
        <v>3</v>
      </c>
      <c r="V1032" s="166" t="n">
        <v>0</v>
      </c>
      <c r="W1032" t="inlineStr">
        <is>
          <t>X</t>
        </is>
      </c>
      <c r="X1032" t="inlineStr">
        <is>
          <t>0.00</t>
        </is>
      </c>
      <c r="Y1032" t="inlineStr"/>
      <c r="Z1032" t="inlineStr">
        <is>
          <t>OMNIAELECTRONICS, S.L.</t>
        </is>
      </c>
      <c r="AA1032" t="inlineStr">
        <is>
          <t>HONEYWELL</t>
        </is>
      </c>
      <c r="AB1032" t="inlineStr">
        <is>
          <t>PS031W</t>
        </is>
      </c>
      <c r="AC1032" t="inlineStr"/>
      <c r="AD1032" s="164" t="n">
        <v>0</v>
      </c>
      <c r="AE1032" s="185" t="n">
        <v>0</v>
      </c>
      <c r="AG1032" s="167" t="inlineStr">
        <is>
          <t>7218|JA2582_1001</t>
        </is>
      </c>
      <c r="AH1032" s="47">
        <f>IF(M1032=0,"-",M1032-J1032)</f>
        <v/>
      </c>
      <c r="AI1032" s="46">
        <f>IF(AND(S1032=0,M1032&gt;0,L1032=0),IF(AH1032&gt;=120,"VERY HIGH",IF(AH1032&gt;=90,"HIGH",IF(AH1032&gt;=60,"MEDIUM",IF(AH1032&lt;60,"LOW")))),"-")</f>
        <v/>
      </c>
      <c r="AJ1032" s="12" t="n"/>
      <c r="AK1032" s="53">
        <f>IF(AND(W1032="X",M1032&lt;=$AJ$2),"YES","")</f>
        <v/>
      </c>
      <c r="AL1032" s="54">
        <f>IF(AND(W1032="X",M1032&lt;=$AJ$2),S1032,"")</f>
        <v/>
      </c>
      <c r="AM1032" s="35" t="n"/>
      <c r="AN1032" s="35">
        <f>IF(AND(W1032="X",M1032&gt;$AJ$2),S1032,"")</f>
        <v/>
      </c>
      <c r="AO1032" s="35">
        <f>IF(AND(W1032="",M1032&gt;0,$AJ$2&gt;M1032,L1032=""),1,0)</f>
        <v/>
      </c>
      <c r="AP1032" s="35">
        <f>IF(AND(AK1032="YES",W1032="X"),"X","")</f>
        <v/>
      </c>
      <c r="AQ1032" s="55">
        <f>IF(AP1032="X",100%,0%)</f>
        <v/>
      </c>
      <c r="AR1032" s="25">
        <f>IF(AND(T1032&gt;0,L1032=""),H1032,"")</f>
        <v/>
      </c>
      <c r="AS1032" s="25">
        <f>IF(AND(D1032&gt;0,H1032=0,G1032=""),1,"")</f>
        <v/>
      </c>
      <c r="AT1032" s="25">
        <f>IF(G1032="BLOQ",1,"")</f>
        <v/>
      </c>
      <c r="AU1032" s="25">
        <f>IF(L1032="BLOQ",1,"")</f>
        <v/>
      </c>
      <c r="AV1032" s="25">
        <f>MONTH(F1032)</f>
        <v/>
      </c>
      <c r="AW1032" s="65">
        <f>IF(AP1032="",100%,0%)</f>
        <v/>
      </c>
      <c r="AX1032" s="56" t="n"/>
      <c r="AY1032" s="24">
        <f>IF(M1032=0,"",M1032-$AX$2)</f>
        <v/>
      </c>
      <c r="AZ1032" s="66">
        <f>IF(AND(W1032="",AY1032&gt;0,AY1032&lt;15),1,0)</f>
        <v/>
      </c>
      <c r="BA1032" s="24">
        <f>IF(AND(W1032="",AY1032&gt;0,AY1032&lt;15),T1032,"")</f>
        <v/>
      </c>
      <c r="BB1032" s="87">
        <f>IF(R1032&lt;Q1032,"X","")</f>
        <v/>
      </c>
      <c r="BC1032" s="191" t="inlineStr">
        <is>
          <t>SI</t>
        </is>
      </c>
      <c r="BD1032" s="191" t="inlineStr">
        <is>
          <t>SI</t>
        </is>
      </c>
    </row>
    <row r="1033" ht="15" customHeight="1" s="162">
      <c r="A1033" s="7" t="n">
        <v>1032</v>
      </c>
      <c r="B1033" t="inlineStr">
        <is>
          <t>1238000022000</t>
        </is>
      </c>
      <c r="C1033" t="inlineStr">
        <is>
          <t>TERMINAL RED DESNUDO AWG=2 S=35MM2 SERIE</t>
        </is>
      </c>
      <c r="D1033" t="inlineStr">
        <is>
          <t>1800108953</t>
        </is>
      </c>
      <c r="E1033" t="inlineStr">
        <is>
          <t>340</t>
        </is>
      </c>
      <c r="F1033" s="163" t="n">
        <v>45463</v>
      </c>
      <c r="G1033" t="inlineStr"/>
      <c r="H1033" t="inlineStr">
        <is>
          <t>4200572594</t>
        </is>
      </c>
      <c r="I1033" t="inlineStr">
        <is>
          <t>10</t>
        </is>
      </c>
      <c r="J1033" s="163" t="n">
        <v>45502</v>
      </c>
      <c r="K1033" s="163" t="n">
        <v>45502</v>
      </c>
      <c r="L1033" t="inlineStr"/>
      <c r="M1033" s="163" t="n">
        <v>45512</v>
      </c>
      <c r="N1033" s="164" t="n">
        <v>110</v>
      </c>
      <c r="O1033" s="164" t="n">
        <v>8</v>
      </c>
      <c r="P1033" t="inlineStr">
        <is>
          <t>Liberado</t>
        </is>
      </c>
      <c r="Q1033" s="165" t="n">
        <v>100</v>
      </c>
      <c r="R1033" s="165" t="n">
        <v>100</v>
      </c>
      <c r="S1033" s="165" t="n">
        <v>100</v>
      </c>
      <c r="T1033" s="165" t="n">
        <v>0</v>
      </c>
      <c r="U1033" s="166" t="n">
        <v>100</v>
      </c>
      <c r="V1033" s="166" t="n">
        <v>0</v>
      </c>
      <c r="W1033" t="inlineStr">
        <is>
          <t>X</t>
        </is>
      </c>
      <c r="X1033" t="inlineStr">
        <is>
          <t>0.00</t>
        </is>
      </c>
      <c r="Y1033" t="inlineStr"/>
      <c r="Z1033" t="inlineStr">
        <is>
          <t>LUJISA, S.A.</t>
        </is>
      </c>
      <c r="AA1033" t="inlineStr">
        <is>
          <t>CEMBRE</t>
        </is>
      </c>
      <c r="AB1033" t="inlineStr">
        <is>
          <t>A7-P20</t>
        </is>
      </c>
      <c r="AC1033" t="inlineStr"/>
      <c r="AD1033" s="164" t="n">
        <v>0</v>
      </c>
      <c r="AE1033" s="185" t="n">
        <v>0</v>
      </c>
      <c r="AG1033" s="167" t="inlineStr">
        <is>
          <t>7218|JA2582_1001</t>
        </is>
      </c>
      <c r="AH1033" s="47">
        <f>IF(M1033=0,"-",M1033-J1033)</f>
        <v/>
      </c>
      <c r="AI1033" s="46">
        <f>IF(AND(S1033=0,M1033&gt;0,L1033=0),IF(AH1033&gt;=120,"VERY HIGH",IF(AH1033&gt;=90,"HIGH",IF(AH1033&gt;=60,"MEDIUM",IF(AH1033&lt;60,"LOW")))),"-")</f>
        <v/>
      </c>
      <c r="AJ1033" s="12" t="n"/>
      <c r="AK1033" s="53">
        <f>IF(AND(W1033="X",M1033&lt;=$AJ$2),"YES","")</f>
        <v/>
      </c>
      <c r="AL1033" s="54">
        <f>IF(AND(W1033="X",M1033&lt;=$AJ$2),S1033,"")</f>
        <v/>
      </c>
      <c r="AM1033" s="35" t="n"/>
      <c r="AN1033" s="35">
        <f>IF(AND(W1033="X",M1033&gt;$AJ$2),S1033,"")</f>
        <v/>
      </c>
      <c r="AO1033" s="35">
        <f>IF(AND(W1033="",M1033&gt;0,$AJ$2&gt;M1033,L1033=""),1,0)</f>
        <v/>
      </c>
      <c r="AP1033" s="35">
        <f>IF(AND(AK1033="YES",W1033="X"),"X","")</f>
        <v/>
      </c>
      <c r="AQ1033" s="55">
        <f>IF(AP1033="X",100%,0%)</f>
        <v/>
      </c>
      <c r="AR1033" s="25">
        <f>IF(AND(T1033&gt;0,L1033=""),H1033,"")</f>
        <v/>
      </c>
      <c r="AS1033" s="25">
        <f>IF(AND(D1033&gt;0,H1033=0,G1033=""),1,"")</f>
        <v/>
      </c>
      <c r="AT1033" s="25">
        <f>IF(G1033="BLOQ",1,"")</f>
        <v/>
      </c>
      <c r="AU1033" s="25">
        <f>IF(L1033="BLOQ",1,"")</f>
        <v/>
      </c>
      <c r="AV1033" s="25">
        <f>MONTH(F1033)</f>
        <v/>
      </c>
      <c r="AW1033" s="65">
        <f>IF(AP1033="",100%,0%)</f>
        <v/>
      </c>
      <c r="AX1033" s="56" t="n"/>
      <c r="AY1033" s="24">
        <f>IF(M1033=0,"",M1033-$AX$2)</f>
        <v/>
      </c>
      <c r="AZ1033" s="66">
        <f>IF(AND(W1033="",AY1033&gt;0,AY1033&lt;15),1,0)</f>
        <v/>
      </c>
      <c r="BA1033" s="24">
        <f>IF(AND(W1033="",AY1033&gt;0,AY1033&lt;15),T1033,"")</f>
        <v/>
      </c>
      <c r="BB1033" s="87">
        <f>IF(R1033&lt;Q1033,"X","")</f>
        <v/>
      </c>
      <c r="BC1033" s="190" t="inlineStr">
        <is>
          <t>NO</t>
        </is>
      </c>
      <c r="BD1033" s="191" t="inlineStr">
        <is>
          <t>SI</t>
        </is>
      </c>
    </row>
    <row r="1034" ht="15" customHeight="1" s="162">
      <c r="A1034" s="7" t="n">
        <v>1033</v>
      </c>
      <c r="B1034" t="inlineStr">
        <is>
          <t>1238000070300</t>
        </is>
      </c>
      <c r="C1034" t="inlineStr">
        <is>
          <t>TERM CERRADO AMPOWER-R 7AWG TOR M6</t>
        </is>
      </c>
      <c r="D1034" t="inlineStr">
        <is>
          <t>1800108953</t>
        </is>
      </c>
      <c r="E1034" t="inlineStr">
        <is>
          <t>350</t>
        </is>
      </c>
      <c r="F1034" s="163" t="n">
        <v>45463</v>
      </c>
      <c r="G1034" t="inlineStr"/>
      <c r="H1034" t="inlineStr">
        <is>
          <t>4200571579</t>
        </is>
      </c>
      <c r="I1034" t="inlineStr">
        <is>
          <t>140</t>
        </is>
      </c>
      <c r="J1034" s="163" t="n">
        <v>45495</v>
      </c>
      <c r="K1034" s="163" t="n">
        <v>45497</v>
      </c>
      <c r="L1034" t="inlineStr"/>
      <c r="M1034" s="163" t="n">
        <v>45504</v>
      </c>
      <c r="N1034" s="164" t="n">
        <v>60</v>
      </c>
      <c r="O1034" s="164" t="n">
        <v>8</v>
      </c>
      <c r="P1034" t="inlineStr">
        <is>
          <t>Liberado</t>
        </is>
      </c>
      <c r="Q1034" s="165" t="n">
        <v>100</v>
      </c>
      <c r="R1034" s="165" t="n">
        <v>100</v>
      </c>
      <c r="S1034" s="165" t="n">
        <v>100</v>
      </c>
      <c r="T1034" s="165" t="n">
        <v>0</v>
      </c>
      <c r="U1034" s="166" t="n">
        <v>100</v>
      </c>
      <c r="V1034" s="166" t="n">
        <v>0</v>
      </c>
      <c r="W1034" t="inlineStr">
        <is>
          <t>X</t>
        </is>
      </c>
      <c r="X1034" t="inlineStr">
        <is>
          <t>0.00</t>
        </is>
      </c>
      <c r="Y1034" t="inlineStr"/>
      <c r="Z1034" t="inlineStr">
        <is>
          <t>ICOMPPLUS ELECTRONICS S.L</t>
        </is>
      </c>
      <c r="AA1034" t="inlineStr">
        <is>
          <t>TE CONNECTIVITY</t>
        </is>
      </c>
      <c r="AB1034" t="inlineStr">
        <is>
          <t>710031-4</t>
        </is>
      </c>
      <c r="AC1034" t="inlineStr"/>
      <c r="AD1034" s="164" t="n">
        <v>0</v>
      </c>
      <c r="AE1034" s="185" t="n">
        <v>0</v>
      </c>
      <c r="AG1034" s="167" t="inlineStr">
        <is>
          <t>7218|JA2582_1001</t>
        </is>
      </c>
      <c r="AH1034" s="47">
        <f>IF(M1034=0,"-",M1034-J1034)</f>
        <v/>
      </c>
      <c r="AI1034" s="46">
        <f>IF(AND(S1034=0,M1034&gt;0,L1034=0),IF(AH1034&gt;=120,"VERY HIGH",IF(AH1034&gt;=90,"HIGH",IF(AH1034&gt;=60,"MEDIUM",IF(AH1034&lt;60,"LOW")))),"-")</f>
        <v/>
      </c>
      <c r="AJ1034" s="12" t="n"/>
      <c r="AK1034" s="53">
        <f>IF(AND(W1034="X",M1034&lt;=$AJ$2),"YES","")</f>
        <v/>
      </c>
      <c r="AL1034" s="54">
        <f>IF(AND(W1034="X",M1034&lt;=$AJ$2),S1034,"")</f>
        <v/>
      </c>
      <c r="AM1034" s="35" t="n"/>
      <c r="AN1034" s="35">
        <f>IF(AND(W1034="X",M1034&gt;$AJ$2),S1034,"")</f>
        <v/>
      </c>
      <c r="AO1034" s="35">
        <f>IF(AND(W1034="",M1034&gt;0,$AJ$2&gt;M1034,L1034=""),1,0)</f>
        <v/>
      </c>
      <c r="AP1034" s="35">
        <f>IF(AND(AK1034="YES",W1034="X"),"X","")</f>
        <v/>
      </c>
      <c r="AQ1034" s="55">
        <f>IF(AP1034="X",100%,0%)</f>
        <v/>
      </c>
      <c r="AR1034" s="25">
        <f>IF(AND(T1034&gt;0,L1034=""),H1034,"")</f>
        <v/>
      </c>
      <c r="AS1034" s="25">
        <f>IF(AND(D1034&gt;0,H1034=0,G1034=""),1,"")</f>
        <v/>
      </c>
      <c r="AT1034" s="25">
        <f>IF(G1034="BLOQ",1,"")</f>
        <v/>
      </c>
      <c r="AU1034" s="25">
        <f>IF(L1034="BLOQ",1,"")</f>
        <v/>
      </c>
      <c r="AV1034" s="25">
        <f>MONTH(F1034)</f>
        <v/>
      </c>
      <c r="AW1034" s="65">
        <f>IF(AP1034="",100%,0%)</f>
        <v/>
      </c>
      <c r="AX1034" s="56" t="n"/>
      <c r="AY1034" s="24">
        <f>IF(M1034=0,"",M1034-$AX$2)</f>
        <v/>
      </c>
      <c r="AZ1034" s="66">
        <f>IF(AND(W1034="",AY1034&gt;0,AY1034&lt;15),1,0)</f>
        <v/>
      </c>
      <c r="BA1034" s="24">
        <f>IF(AND(W1034="",AY1034&gt;0,AY1034&lt;15),T1034,"")</f>
        <v/>
      </c>
      <c r="BB1034" s="87">
        <f>IF(R1034&lt;Q1034,"X","")</f>
        <v/>
      </c>
      <c r="BC1034" s="190" t="inlineStr">
        <is>
          <t>NO</t>
        </is>
      </c>
      <c r="BD1034" s="191" t="inlineStr">
        <is>
          <t>SI</t>
        </is>
      </c>
    </row>
    <row r="1035" ht="15" customHeight="1" s="162">
      <c r="A1035" s="7" t="n">
        <v>1034</v>
      </c>
      <c r="B1035" t="inlineStr">
        <is>
          <t>1238015350100</t>
        </is>
      </c>
      <c r="C1035" t="inlineStr">
        <is>
          <t>TERMINAL DESNUDO 35MM2 CRIMP CU</t>
        </is>
      </c>
      <c r="D1035" t="inlineStr">
        <is>
          <t>1800108953</t>
        </is>
      </c>
      <c r="E1035" t="inlineStr">
        <is>
          <t>360</t>
        </is>
      </c>
      <c r="F1035" s="163" t="n">
        <v>45463</v>
      </c>
      <c r="G1035" t="inlineStr"/>
      <c r="H1035" t="inlineStr">
        <is>
          <t>4200571557</t>
        </is>
      </c>
      <c r="I1035" t="inlineStr">
        <is>
          <t>240</t>
        </is>
      </c>
      <c r="J1035" s="163" t="n">
        <v>45492</v>
      </c>
      <c r="K1035" s="163" t="n">
        <v>45497</v>
      </c>
      <c r="L1035" t="inlineStr"/>
      <c r="M1035" s="163" t="n">
        <v>45504</v>
      </c>
      <c r="N1035" s="164" t="n">
        <v>110</v>
      </c>
      <c r="O1035" s="164" t="n">
        <v>8</v>
      </c>
      <c r="P1035" t="inlineStr">
        <is>
          <t>Liberado</t>
        </is>
      </c>
      <c r="Q1035" s="165" t="n">
        <v>50</v>
      </c>
      <c r="R1035" s="165" t="n">
        <v>50</v>
      </c>
      <c r="S1035" s="165" t="n">
        <v>50</v>
      </c>
      <c r="T1035" s="165" t="n">
        <v>0</v>
      </c>
      <c r="U1035" s="166" t="n">
        <v>50</v>
      </c>
      <c r="V1035" s="166" t="n">
        <v>0</v>
      </c>
      <c r="W1035" t="inlineStr">
        <is>
          <t>X</t>
        </is>
      </c>
      <c r="X1035" t="inlineStr">
        <is>
          <t>0.00</t>
        </is>
      </c>
      <c r="Y1035" t="inlineStr"/>
      <c r="Z1035" t="inlineStr">
        <is>
          <t>TELKRON, S.A.</t>
        </is>
      </c>
      <c r="AA1035" t="inlineStr">
        <is>
          <t>RS</t>
        </is>
      </c>
      <c r="AB1035" t="inlineStr">
        <is>
          <t>531-885</t>
        </is>
      </c>
      <c r="AC1035" t="inlineStr"/>
      <c r="AD1035" s="164" t="n">
        <v>0</v>
      </c>
      <c r="AE1035" s="185" t="n">
        <v>0</v>
      </c>
      <c r="AG1035" s="167" t="inlineStr">
        <is>
          <t>7218|JA2582_1001</t>
        </is>
      </c>
      <c r="AH1035" s="47">
        <f>IF(M1035=0,"-",M1035-J1035)</f>
        <v/>
      </c>
      <c r="AI1035" s="46">
        <f>IF(AND(S1035=0,M1035&gt;0,L1035=0),IF(AH1035&gt;=120,"VERY HIGH",IF(AH1035&gt;=90,"HIGH",IF(AH1035&gt;=60,"MEDIUM",IF(AH1035&lt;60,"LOW")))),"-")</f>
        <v/>
      </c>
      <c r="AJ1035" s="12" t="n"/>
      <c r="AK1035" s="53">
        <f>IF(AND(W1035="X",M1035&lt;=$AJ$2),"YES","")</f>
        <v/>
      </c>
      <c r="AL1035" s="54">
        <f>IF(AND(W1035="X",M1035&lt;=$AJ$2),S1035,"")</f>
        <v/>
      </c>
      <c r="AM1035" s="35" t="n"/>
      <c r="AN1035" s="35">
        <f>IF(AND(W1035="X",M1035&gt;$AJ$2),S1035,"")</f>
        <v/>
      </c>
      <c r="AO1035" s="35">
        <f>IF(AND(W1035="",M1035&gt;0,$AJ$2&gt;M1035,L1035=""),1,0)</f>
        <v/>
      </c>
      <c r="AP1035" s="35">
        <f>IF(AND(AK1035="YES",W1035="X"),"X","")</f>
        <v/>
      </c>
      <c r="AQ1035" s="55">
        <f>IF(AP1035="X",100%,0%)</f>
        <v/>
      </c>
      <c r="AR1035" s="25">
        <f>IF(AND(T1035&gt;0,L1035=""),H1035,"")</f>
        <v/>
      </c>
      <c r="AS1035" s="25">
        <f>IF(AND(D1035&gt;0,H1035=0,G1035=""),1,"")</f>
        <v/>
      </c>
      <c r="AT1035" s="25">
        <f>IF(G1035="BLOQ",1,"")</f>
        <v/>
      </c>
      <c r="AU1035" s="25">
        <f>IF(L1035="BLOQ",1,"")</f>
        <v/>
      </c>
      <c r="AV1035" s="25">
        <f>MONTH(F1035)</f>
        <v/>
      </c>
      <c r="AW1035" s="65">
        <f>IF(AP1035="",100%,0%)</f>
        <v/>
      </c>
      <c r="AX1035" s="56" t="n"/>
      <c r="AY1035" s="24">
        <f>IF(M1035=0,"",M1035-$AX$2)</f>
        <v/>
      </c>
      <c r="AZ1035" s="66">
        <f>IF(AND(W1035="",AY1035&gt;0,AY1035&lt;15),1,0)</f>
        <v/>
      </c>
      <c r="BA1035" s="24">
        <f>IF(AND(W1035="",AY1035&gt;0,AY1035&lt;15),T1035,"")</f>
        <v/>
      </c>
      <c r="BB1035" s="87">
        <f>IF(R1035&lt;Q1035,"X","")</f>
        <v/>
      </c>
      <c r="BC1035" s="190" t="inlineStr">
        <is>
          <t>NO</t>
        </is>
      </c>
      <c r="BD1035" s="191" t="inlineStr">
        <is>
          <t>SI</t>
        </is>
      </c>
    </row>
    <row r="1036" ht="15" customHeight="1" s="162">
      <c r="A1036" s="7" t="n">
        <v>1035</v>
      </c>
      <c r="B1036" t="inlineStr">
        <is>
          <t>1238015350400</t>
        </is>
      </c>
      <c r="C1036" t="inlineStr">
        <is>
          <t>TERMINAL RED DESNUDO M8 35MM2 D8MM CU/SN</t>
        </is>
      </c>
      <c r="D1036" t="inlineStr">
        <is>
          <t>1800108953</t>
        </is>
      </c>
      <c r="E1036" t="inlineStr">
        <is>
          <t>370</t>
        </is>
      </c>
      <c r="F1036" s="163" t="n">
        <v>45463</v>
      </c>
      <c r="G1036" t="inlineStr"/>
      <c r="H1036" t="inlineStr">
        <is>
          <t>4200572594</t>
        </is>
      </c>
      <c r="I1036" t="inlineStr">
        <is>
          <t>20</t>
        </is>
      </c>
      <c r="J1036" s="163" t="n">
        <v>45502</v>
      </c>
      <c r="K1036" s="163" t="n">
        <v>45502</v>
      </c>
      <c r="L1036" t="inlineStr"/>
      <c r="M1036" s="163" t="n">
        <v>45512</v>
      </c>
      <c r="N1036" s="164" t="n">
        <v>30</v>
      </c>
      <c r="O1036" s="164" t="n">
        <v>8</v>
      </c>
      <c r="P1036" t="inlineStr">
        <is>
          <t>Liberado</t>
        </is>
      </c>
      <c r="Q1036" s="165" t="n">
        <v>50</v>
      </c>
      <c r="R1036" s="165" t="n">
        <v>50</v>
      </c>
      <c r="S1036" s="165" t="n">
        <v>50</v>
      </c>
      <c r="T1036" s="165" t="n">
        <v>0</v>
      </c>
      <c r="U1036" s="166" t="n">
        <v>50</v>
      </c>
      <c r="V1036" s="166" t="n">
        <v>0</v>
      </c>
      <c r="W1036" t="inlineStr">
        <is>
          <t>X</t>
        </is>
      </c>
      <c r="X1036" t="inlineStr">
        <is>
          <t>0.00</t>
        </is>
      </c>
      <c r="Y1036" t="inlineStr"/>
      <c r="Z1036" t="inlineStr">
        <is>
          <t>LUJISA, S.A.</t>
        </is>
      </c>
      <c r="AA1036" t="inlineStr">
        <is>
          <t>CEMBRE</t>
        </is>
      </c>
      <c r="AB1036" t="inlineStr">
        <is>
          <t>A7-M8</t>
        </is>
      </c>
      <c r="AC1036" t="inlineStr"/>
      <c r="AD1036" s="164" t="n">
        <v>0</v>
      </c>
      <c r="AE1036" s="185" t="n">
        <v>0</v>
      </c>
      <c r="AG1036" s="167" t="inlineStr">
        <is>
          <t>7218|JA2582_1001</t>
        </is>
      </c>
      <c r="AH1036" s="47">
        <f>IF(M1036=0,"-",M1036-J1036)</f>
        <v/>
      </c>
      <c r="AI1036" s="46">
        <f>IF(AND(S1036=0,M1036&gt;0,L1036=0),IF(AH1036&gt;=120,"VERY HIGH",IF(AH1036&gt;=90,"HIGH",IF(AH1036&gt;=60,"MEDIUM",IF(AH1036&lt;60,"LOW")))),"-")</f>
        <v/>
      </c>
      <c r="AJ1036" s="12" t="n"/>
      <c r="AK1036" s="53">
        <f>IF(AND(W1036="X",M1036&lt;=$AJ$2),"YES","")</f>
        <v/>
      </c>
      <c r="AL1036" s="54">
        <f>IF(AND(W1036="X",M1036&lt;=$AJ$2),S1036,"")</f>
        <v/>
      </c>
      <c r="AM1036" s="35" t="n"/>
      <c r="AN1036" s="35">
        <f>IF(AND(W1036="X",M1036&gt;$AJ$2),S1036,"")</f>
        <v/>
      </c>
      <c r="AO1036" s="35">
        <f>IF(AND(W1036="",M1036&gt;0,$AJ$2&gt;M1036,L1036=""),1,0)</f>
        <v/>
      </c>
      <c r="AP1036" s="35">
        <f>IF(AND(AK1036="YES",W1036="X"),"X","")</f>
        <v/>
      </c>
      <c r="AQ1036" s="55">
        <f>IF(AP1036="X",100%,0%)</f>
        <v/>
      </c>
      <c r="AR1036" s="25">
        <f>IF(AND(T1036&gt;0,L1036=""),H1036,"")</f>
        <v/>
      </c>
      <c r="AS1036" s="25">
        <f>IF(AND(D1036&gt;0,H1036=0,G1036=""),1,"")</f>
        <v/>
      </c>
      <c r="AT1036" s="25">
        <f>IF(G1036="BLOQ",1,"")</f>
        <v/>
      </c>
      <c r="AU1036" s="25">
        <f>IF(L1036="BLOQ",1,"")</f>
        <v/>
      </c>
      <c r="AV1036" s="25">
        <f>MONTH(F1036)</f>
        <v/>
      </c>
      <c r="AW1036" s="65">
        <f>IF(AP1036="",100%,0%)</f>
        <v/>
      </c>
      <c r="AX1036" s="56" t="n"/>
      <c r="AY1036" s="24">
        <f>IF(M1036=0,"",M1036-$AX$2)</f>
        <v/>
      </c>
      <c r="AZ1036" s="66">
        <f>IF(AND(W1036="",AY1036&gt;0,AY1036&lt;15),1,0)</f>
        <v/>
      </c>
      <c r="BA1036" s="24">
        <f>IF(AND(W1036="",AY1036&gt;0,AY1036&lt;15),T1036,"")</f>
        <v/>
      </c>
      <c r="BB1036" s="87">
        <f>IF(R1036&lt;Q1036,"X","")</f>
        <v/>
      </c>
      <c r="BC1036" s="190" t="inlineStr">
        <is>
          <t>NO</t>
        </is>
      </c>
      <c r="BD1036" s="191" t="inlineStr">
        <is>
          <t>SI</t>
        </is>
      </c>
    </row>
    <row r="1037" ht="15" customHeight="1" s="162">
      <c r="A1037" s="7" t="n">
        <v>1036</v>
      </c>
      <c r="B1037" t="inlineStr">
        <is>
          <t>1238015500100</t>
        </is>
      </c>
      <c r="C1037" t="inlineStr">
        <is>
          <t>TERMINAL RED DESNUDO M8 50MM2 D8MM CU/SN</t>
        </is>
      </c>
      <c r="D1037" t="inlineStr">
        <is>
          <t>1800108953</t>
        </is>
      </c>
      <c r="E1037" t="inlineStr">
        <is>
          <t>380</t>
        </is>
      </c>
      <c r="F1037" s="163" t="n">
        <v>45463</v>
      </c>
      <c r="G1037" t="inlineStr"/>
      <c r="H1037" t="inlineStr">
        <is>
          <t>4200572594</t>
        </is>
      </c>
      <c r="I1037" t="inlineStr">
        <is>
          <t>30</t>
        </is>
      </c>
      <c r="J1037" s="163" t="n">
        <v>45502</v>
      </c>
      <c r="K1037" s="163" t="n">
        <v>45502</v>
      </c>
      <c r="L1037" t="inlineStr"/>
      <c r="M1037" s="163" t="n">
        <v>45512</v>
      </c>
      <c r="N1037" s="164" t="n">
        <v>30</v>
      </c>
      <c r="O1037" s="164" t="n">
        <v>8</v>
      </c>
      <c r="P1037" t="inlineStr">
        <is>
          <t>Liberado</t>
        </is>
      </c>
      <c r="Q1037" s="165" t="n">
        <v>50</v>
      </c>
      <c r="R1037" s="165" t="n">
        <v>50</v>
      </c>
      <c r="S1037" s="165" t="n">
        <v>50</v>
      </c>
      <c r="T1037" s="165" t="n">
        <v>0</v>
      </c>
      <c r="U1037" s="166" t="n">
        <v>50</v>
      </c>
      <c r="V1037" s="166" t="n">
        <v>0</v>
      </c>
      <c r="W1037" t="inlineStr">
        <is>
          <t>X</t>
        </is>
      </c>
      <c r="X1037" t="inlineStr">
        <is>
          <t>0.00</t>
        </is>
      </c>
      <c r="Y1037" t="inlineStr"/>
      <c r="Z1037" t="inlineStr">
        <is>
          <t>LUJISA, S.A.</t>
        </is>
      </c>
      <c r="AA1037" t="inlineStr">
        <is>
          <t>CEMBRE</t>
        </is>
      </c>
      <c r="AB1037" t="inlineStr">
        <is>
          <t>A10-M8</t>
        </is>
      </c>
      <c r="AC1037" t="inlineStr"/>
      <c r="AD1037" s="164" t="n">
        <v>0</v>
      </c>
      <c r="AE1037" s="185" t="n">
        <v>0</v>
      </c>
      <c r="AG1037" s="167" t="inlineStr">
        <is>
          <t>7218|JA2582_1001</t>
        </is>
      </c>
      <c r="AH1037" s="47">
        <f>IF(M1037=0,"-",M1037-J1037)</f>
        <v/>
      </c>
      <c r="AI1037" s="46">
        <f>IF(AND(S1037=0,M1037&gt;0,L1037=0),IF(AH1037&gt;=120,"VERY HIGH",IF(AH1037&gt;=90,"HIGH",IF(AH1037&gt;=60,"MEDIUM",IF(AH1037&lt;60,"LOW")))),"-")</f>
        <v/>
      </c>
      <c r="AJ1037" s="12" t="n"/>
      <c r="AK1037" s="53">
        <f>IF(AND(W1037="X",M1037&lt;=$AJ$2),"YES","")</f>
        <v/>
      </c>
      <c r="AL1037" s="54">
        <f>IF(AND(W1037="X",M1037&lt;=$AJ$2),S1037,"")</f>
        <v/>
      </c>
      <c r="AM1037" s="35" t="n"/>
      <c r="AN1037" s="35">
        <f>IF(AND(W1037="X",M1037&gt;$AJ$2),S1037,"")</f>
        <v/>
      </c>
      <c r="AO1037" s="35">
        <f>IF(AND(W1037="",M1037&gt;0,$AJ$2&gt;M1037,L1037=""),1,0)</f>
        <v/>
      </c>
      <c r="AP1037" s="35">
        <f>IF(AND(AK1037="YES",W1037="X"),"X","")</f>
        <v/>
      </c>
      <c r="AQ1037" s="55">
        <f>IF(AP1037="X",100%,0%)</f>
        <v/>
      </c>
      <c r="AR1037" s="25">
        <f>IF(AND(T1037&gt;0,L1037=""),H1037,"")</f>
        <v/>
      </c>
      <c r="AS1037" s="25">
        <f>IF(AND(D1037&gt;0,H1037=0,G1037=""),1,"")</f>
        <v/>
      </c>
      <c r="AT1037" s="25">
        <f>IF(G1037="BLOQ",1,"")</f>
        <v/>
      </c>
      <c r="AU1037" s="25">
        <f>IF(L1037="BLOQ",1,"")</f>
        <v/>
      </c>
      <c r="AV1037" s="25">
        <f>MONTH(F1037)</f>
        <v/>
      </c>
      <c r="AW1037" s="65">
        <f>IF(AP1037="",100%,0%)</f>
        <v/>
      </c>
      <c r="AX1037" s="56" t="n"/>
      <c r="AY1037" s="24">
        <f>IF(M1037=0,"",M1037-$AX$2)</f>
        <v/>
      </c>
      <c r="AZ1037" s="66">
        <f>IF(AND(W1037="",AY1037&gt;0,AY1037&lt;15),1,0)</f>
        <v/>
      </c>
      <c r="BA1037" s="24">
        <f>IF(AND(W1037="",AY1037&gt;0,AY1037&lt;15),T1037,"")</f>
        <v/>
      </c>
      <c r="BB1037" s="87">
        <f>IF(R1037&lt;Q1037,"X","")</f>
        <v/>
      </c>
      <c r="BC1037" s="190" t="inlineStr">
        <is>
          <t>NO</t>
        </is>
      </c>
      <c r="BD1037" s="191" t="inlineStr">
        <is>
          <t>SI</t>
        </is>
      </c>
    </row>
    <row r="1038" ht="15" customHeight="1" s="162">
      <c r="A1038" s="7" t="n">
        <v>1037</v>
      </c>
      <c r="B1038" t="inlineStr">
        <is>
          <t>1238015500102</t>
        </is>
      </c>
      <c r="C1038" t="inlineStr">
        <is>
          <t>TERM RED DESNUDO 50MM2 CRIMP SN/CU XCT</t>
        </is>
      </c>
      <c r="D1038" t="inlineStr">
        <is>
          <t>1800108953</t>
        </is>
      </c>
      <c r="E1038" t="inlineStr">
        <is>
          <t>390</t>
        </is>
      </c>
      <c r="F1038" s="163" t="n">
        <v>45463</v>
      </c>
      <c r="G1038" t="inlineStr"/>
      <c r="H1038" t="inlineStr">
        <is>
          <t>4200571579</t>
        </is>
      </c>
      <c r="I1038" t="inlineStr">
        <is>
          <t>150</t>
        </is>
      </c>
      <c r="J1038" s="163" t="n">
        <v>45495</v>
      </c>
      <c r="K1038" s="163" t="n">
        <v>45497</v>
      </c>
      <c r="L1038" t="inlineStr"/>
      <c r="M1038" s="163" t="n">
        <v>45504</v>
      </c>
      <c r="N1038" s="164" t="n">
        <v>110</v>
      </c>
      <c r="O1038" s="164" t="n">
        <v>8</v>
      </c>
      <c r="P1038" t="inlineStr">
        <is>
          <t>Liberado</t>
        </is>
      </c>
      <c r="Q1038" s="165" t="n">
        <v>50</v>
      </c>
      <c r="R1038" s="165" t="n">
        <v>50</v>
      </c>
      <c r="S1038" s="165" t="n">
        <v>50</v>
      </c>
      <c r="T1038" s="165" t="n">
        <v>0</v>
      </c>
      <c r="U1038" s="166" t="n">
        <v>50</v>
      </c>
      <c r="V1038" s="166" t="n">
        <v>0</v>
      </c>
      <c r="W1038" t="inlineStr">
        <is>
          <t>X</t>
        </is>
      </c>
      <c r="X1038" t="inlineStr">
        <is>
          <t>0.00</t>
        </is>
      </c>
      <c r="Y1038" t="inlineStr"/>
      <c r="Z1038" t="inlineStr">
        <is>
          <t>ICOMPPLUS ELECTRONICS S.L</t>
        </is>
      </c>
      <c r="AA1038" t="inlineStr">
        <is>
          <t>TE CONNECTIVITY</t>
        </is>
      </c>
      <c r="AB1038" t="inlineStr">
        <is>
          <t>710025-5</t>
        </is>
      </c>
      <c r="AC1038" t="inlineStr"/>
      <c r="AD1038" s="164" t="n">
        <v>0</v>
      </c>
      <c r="AE1038" s="185" t="n">
        <v>0</v>
      </c>
      <c r="AG1038" s="167" t="inlineStr">
        <is>
          <t>7218|JA2582_1001</t>
        </is>
      </c>
      <c r="AH1038" s="47">
        <f>IF(M1038=0,"-",M1038-J1038)</f>
        <v/>
      </c>
      <c r="AI1038" s="46">
        <f>IF(AND(S1038=0,M1038&gt;0,L1038=0),IF(AH1038&gt;=120,"VERY HIGH",IF(AH1038&gt;=90,"HIGH",IF(AH1038&gt;=60,"MEDIUM",IF(AH1038&lt;60,"LOW")))),"-")</f>
        <v/>
      </c>
      <c r="AJ1038" s="12" t="n"/>
      <c r="AK1038" s="53">
        <f>IF(AND(W1038="X",M1038&lt;=$AJ$2),"YES","")</f>
        <v/>
      </c>
      <c r="AL1038" s="54">
        <f>IF(AND(W1038="X",M1038&lt;=$AJ$2),S1038,"")</f>
        <v/>
      </c>
      <c r="AM1038" s="35" t="n"/>
      <c r="AN1038" s="35">
        <f>IF(AND(W1038="X",M1038&gt;$AJ$2),S1038,"")</f>
        <v/>
      </c>
      <c r="AO1038" s="35">
        <f>IF(AND(W1038="",M1038&gt;0,$AJ$2&gt;M1038,L1038=""),1,0)</f>
        <v/>
      </c>
      <c r="AP1038" s="35">
        <f>IF(AND(AK1038="YES",W1038="X"),"X","")</f>
        <v/>
      </c>
      <c r="AQ1038" s="55">
        <f>IF(AP1038="X",100%,0%)</f>
        <v/>
      </c>
      <c r="AR1038" s="25">
        <f>IF(AND(T1038&gt;0,L1038=""),H1038,"")</f>
        <v/>
      </c>
      <c r="AS1038" s="25">
        <f>IF(AND(D1038&gt;0,H1038=0,G1038=""),1,"")</f>
        <v/>
      </c>
      <c r="AT1038" s="25">
        <f>IF(G1038="BLOQ",1,"")</f>
        <v/>
      </c>
      <c r="AU1038" s="25">
        <f>IF(L1038="BLOQ",1,"")</f>
        <v/>
      </c>
      <c r="AV1038" s="25">
        <f>MONTH(F1038)</f>
        <v/>
      </c>
      <c r="AW1038" s="65">
        <f>IF(AP1038="",100%,0%)</f>
        <v/>
      </c>
      <c r="AX1038" s="56" t="n"/>
      <c r="AY1038" s="24">
        <f>IF(M1038=0,"",M1038-$AX$2)</f>
        <v/>
      </c>
      <c r="AZ1038" s="66">
        <f>IF(AND(W1038="",AY1038&gt;0,AY1038&lt;15),1,0)</f>
        <v/>
      </c>
      <c r="BA1038" s="24">
        <f>IF(AND(W1038="",AY1038&gt;0,AY1038&lt;15),T1038,"")</f>
        <v/>
      </c>
      <c r="BB1038" s="87">
        <f>IF(R1038&lt;Q1038,"X","")</f>
        <v/>
      </c>
      <c r="BC1038" s="190" t="inlineStr">
        <is>
          <t>NO</t>
        </is>
      </c>
      <c r="BD1038" s="191" t="inlineStr">
        <is>
          <t>SI</t>
        </is>
      </c>
    </row>
    <row r="1039" ht="15" customHeight="1" s="162">
      <c r="A1039" s="7" t="n">
        <v>1038</v>
      </c>
      <c r="B1039" t="inlineStr">
        <is>
          <t>1238025102000</t>
        </is>
      </c>
      <c r="C1039" t="inlineStr">
        <is>
          <t>PUNTERA S/AISL D=10X45MM 50MM2 CRIMP CU</t>
        </is>
      </c>
      <c r="D1039" t="inlineStr">
        <is>
          <t>1800108953</t>
        </is>
      </c>
      <c r="E1039" t="inlineStr">
        <is>
          <t>400</t>
        </is>
      </c>
      <c r="F1039" s="163" t="n">
        <v>45463</v>
      </c>
      <c r="G1039" t="inlineStr"/>
      <c r="H1039" t="inlineStr">
        <is>
          <t>4200572594</t>
        </is>
      </c>
      <c r="I1039" t="inlineStr">
        <is>
          <t>40</t>
        </is>
      </c>
      <c r="J1039" s="163" t="n">
        <v>45502</v>
      </c>
      <c r="K1039" s="163" t="n">
        <v>45502</v>
      </c>
      <c r="L1039" t="inlineStr"/>
      <c r="M1039" s="163" t="n">
        <v>45512</v>
      </c>
      <c r="N1039" s="164" t="n">
        <v>65</v>
      </c>
      <c r="O1039" s="164" t="n">
        <v>8</v>
      </c>
      <c r="P1039" t="inlineStr">
        <is>
          <t>Liberado</t>
        </is>
      </c>
      <c r="Q1039" s="165" t="n">
        <v>50</v>
      </c>
      <c r="R1039" s="165" t="n">
        <v>50</v>
      </c>
      <c r="S1039" s="165" t="n">
        <v>50</v>
      </c>
      <c r="T1039" s="165" t="n">
        <v>0</v>
      </c>
      <c r="U1039" s="166" t="n">
        <v>50</v>
      </c>
      <c r="V1039" s="166" t="n">
        <v>0</v>
      </c>
      <c r="W1039" t="inlineStr">
        <is>
          <t>X</t>
        </is>
      </c>
      <c r="X1039" t="inlineStr">
        <is>
          <t>0.00</t>
        </is>
      </c>
      <c r="Y1039" t="inlineStr"/>
      <c r="Z1039" t="inlineStr">
        <is>
          <t>LUJISA, S.A.</t>
        </is>
      </c>
      <c r="AA1039" t="inlineStr">
        <is>
          <t>CEMBRE</t>
        </is>
      </c>
      <c r="AB1039" t="inlineStr">
        <is>
          <t>A10-P25</t>
        </is>
      </c>
      <c r="AC1039" t="inlineStr"/>
      <c r="AD1039" s="164" t="n">
        <v>0</v>
      </c>
      <c r="AE1039" s="185" t="n">
        <v>0</v>
      </c>
      <c r="AG1039" s="167" t="inlineStr">
        <is>
          <t>7218|JA2582_1001</t>
        </is>
      </c>
      <c r="AH1039" s="47">
        <f>IF(M1039=0,"-",M1039-J1039)</f>
        <v/>
      </c>
      <c r="AI1039" s="46">
        <f>IF(AND(S1039=0,M1039&gt;0,L1039=0),IF(AH1039&gt;=120,"VERY HIGH",IF(AH1039&gt;=90,"HIGH",IF(AH1039&gt;=60,"MEDIUM",IF(AH1039&lt;60,"LOW")))),"-")</f>
        <v/>
      </c>
      <c r="AJ1039" s="12" t="n"/>
      <c r="AK1039" s="53">
        <f>IF(AND(W1039="X",M1039&lt;=$AJ$2),"YES","")</f>
        <v/>
      </c>
      <c r="AL1039" s="54">
        <f>IF(AND(W1039="X",M1039&lt;=$AJ$2),S1039,"")</f>
        <v/>
      </c>
      <c r="AM1039" s="35" t="n"/>
      <c r="AN1039" s="35">
        <f>IF(AND(W1039="X",M1039&gt;$AJ$2),S1039,"")</f>
        <v/>
      </c>
      <c r="AO1039" s="35">
        <f>IF(AND(W1039="",M1039&gt;0,$AJ$2&gt;M1039,L1039=""),1,0)</f>
        <v/>
      </c>
      <c r="AP1039" s="35">
        <f>IF(AND(AK1039="YES",W1039="X"),"X","")</f>
        <v/>
      </c>
      <c r="AQ1039" s="55">
        <f>IF(AP1039="X",100%,0%)</f>
        <v/>
      </c>
      <c r="AR1039" s="25">
        <f>IF(AND(T1039&gt;0,L1039=""),H1039,"")</f>
        <v/>
      </c>
      <c r="AS1039" s="25">
        <f>IF(AND(D1039&gt;0,H1039=0,G1039=""),1,"")</f>
        <v/>
      </c>
      <c r="AT1039" s="25">
        <f>IF(G1039="BLOQ",1,"")</f>
        <v/>
      </c>
      <c r="AU1039" s="25">
        <f>IF(L1039="BLOQ",1,"")</f>
        <v/>
      </c>
      <c r="AV1039" s="25">
        <f>MONTH(F1039)</f>
        <v/>
      </c>
      <c r="AW1039" s="65">
        <f>IF(AP1039="",100%,0%)</f>
        <v/>
      </c>
      <c r="AX1039" s="56" t="n"/>
      <c r="AY1039" s="24">
        <f>IF(M1039=0,"",M1039-$AX$2)</f>
        <v/>
      </c>
      <c r="AZ1039" s="66">
        <f>IF(AND(W1039="",AY1039&gt;0,AY1039&lt;15),1,0)</f>
        <v/>
      </c>
      <c r="BA1039" s="24">
        <f>IF(AND(W1039="",AY1039&gt;0,AY1039&lt;15),T1039,"")</f>
        <v/>
      </c>
      <c r="BB1039" s="87">
        <f>IF(R1039&lt;Q1039,"X","")</f>
        <v/>
      </c>
      <c r="BC1039" s="190" t="inlineStr">
        <is>
          <t>NO</t>
        </is>
      </c>
      <c r="BD1039" s="191" t="inlineStr">
        <is>
          <t>SI</t>
        </is>
      </c>
    </row>
    <row r="1040" ht="15" customHeight="1" s="162">
      <c r="A1040" s="7" t="n">
        <v>1039</v>
      </c>
      <c r="B1040" t="inlineStr">
        <is>
          <t>1238500100409</t>
        </is>
      </c>
      <c r="C1040" t="inlineStr">
        <is>
          <t>TERM PREAISL REDONDO AWG12-10 NYLON AMAR</t>
        </is>
      </c>
      <c r="D1040" t="inlineStr">
        <is>
          <t>1800108953</t>
        </is>
      </c>
      <c r="E1040" t="inlineStr">
        <is>
          <t>410</t>
        </is>
      </c>
      <c r="F1040" s="163" t="n">
        <v>45463</v>
      </c>
      <c r="G1040" t="inlineStr"/>
      <c r="H1040" t="inlineStr">
        <is>
          <t>4200571557</t>
        </is>
      </c>
      <c r="I1040" t="inlineStr">
        <is>
          <t>250</t>
        </is>
      </c>
      <c r="J1040" s="163" t="n">
        <v>45492</v>
      </c>
      <c r="K1040" s="163" t="n">
        <v>45497</v>
      </c>
      <c r="L1040" t="inlineStr"/>
      <c r="M1040" s="163" t="n">
        <v>45504</v>
      </c>
      <c r="N1040" s="164" t="n">
        <v>110</v>
      </c>
      <c r="O1040" s="164" t="n">
        <v>8</v>
      </c>
      <c r="P1040" t="inlineStr">
        <is>
          <t>Liberado</t>
        </is>
      </c>
      <c r="Q1040" s="165" t="n">
        <v>100</v>
      </c>
      <c r="R1040" s="165" t="n">
        <v>100</v>
      </c>
      <c r="S1040" s="165" t="n">
        <v>100</v>
      </c>
      <c r="T1040" s="165" t="n">
        <v>0</v>
      </c>
      <c r="U1040" s="166" t="n">
        <v>100</v>
      </c>
      <c r="V1040" s="166" t="n">
        <v>0</v>
      </c>
      <c r="W1040" t="inlineStr">
        <is>
          <t>X</t>
        </is>
      </c>
      <c r="X1040" t="inlineStr">
        <is>
          <t>0.00</t>
        </is>
      </c>
      <c r="Y1040" t="inlineStr"/>
      <c r="Z1040" t="inlineStr">
        <is>
          <t>TELKRON, S.A.</t>
        </is>
      </c>
      <c r="AA1040" t="inlineStr">
        <is>
          <t>RS</t>
        </is>
      </c>
      <c r="AB1040" t="inlineStr">
        <is>
          <t>267-6441</t>
        </is>
      </c>
      <c r="AC1040" t="inlineStr"/>
      <c r="AD1040" s="164" t="n">
        <v>0</v>
      </c>
      <c r="AE1040" s="185" t="n">
        <v>0</v>
      </c>
      <c r="AG1040" s="167" t="inlineStr">
        <is>
          <t>7218|JA2582_1001</t>
        </is>
      </c>
      <c r="AH1040" s="47">
        <f>IF(M1040=0,"-",M1040-J1040)</f>
        <v/>
      </c>
      <c r="AI1040" s="46">
        <f>IF(AND(S1040=0,M1040&gt;0,L1040=0),IF(AH1040&gt;=120,"VERY HIGH",IF(AH1040&gt;=90,"HIGH",IF(AH1040&gt;=60,"MEDIUM",IF(AH1040&lt;60,"LOW")))),"-")</f>
        <v/>
      </c>
      <c r="AJ1040" s="12" t="n"/>
      <c r="AK1040" s="53">
        <f>IF(AND(W1040="X",M1040&lt;=$AJ$2),"YES","")</f>
        <v/>
      </c>
      <c r="AL1040" s="54">
        <f>IF(AND(W1040="X",M1040&lt;=$AJ$2),S1040,"")</f>
        <v/>
      </c>
      <c r="AM1040" s="35" t="n"/>
      <c r="AN1040" s="35">
        <f>IF(AND(W1040="X",M1040&gt;$AJ$2),S1040,"")</f>
        <v/>
      </c>
      <c r="AO1040" s="35">
        <f>IF(AND(W1040="",M1040&gt;0,$AJ$2&gt;M1040,L1040=""),1,0)</f>
        <v/>
      </c>
      <c r="AP1040" s="35">
        <f>IF(AND(AK1040="YES",W1040="X"),"X","")</f>
        <v/>
      </c>
      <c r="AQ1040" s="55">
        <f>IF(AP1040="X",100%,0%)</f>
        <v/>
      </c>
      <c r="AR1040" s="25">
        <f>IF(AND(T1040&gt;0,L1040=""),H1040,"")</f>
        <v/>
      </c>
      <c r="AS1040" s="25">
        <f>IF(AND(D1040&gt;0,H1040=0,G1040=""),1,"")</f>
        <v/>
      </c>
      <c r="AT1040" s="25">
        <f>IF(G1040="BLOQ",1,"")</f>
        <v/>
      </c>
      <c r="AU1040" s="25">
        <f>IF(L1040="BLOQ",1,"")</f>
        <v/>
      </c>
      <c r="AV1040" s="25">
        <f>MONTH(F1040)</f>
        <v/>
      </c>
      <c r="AW1040" s="65">
        <f>IF(AP1040="",100%,0%)</f>
        <v/>
      </c>
      <c r="AX1040" s="56" t="n"/>
      <c r="AY1040" s="24">
        <f>IF(M1040=0,"",M1040-$AX$2)</f>
        <v/>
      </c>
      <c r="AZ1040" s="66">
        <f>IF(AND(W1040="",AY1040&gt;0,AY1040&lt;15),1,0)</f>
        <v/>
      </c>
      <c r="BA1040" s="24">
        <f>IF(AND(W1040="",AY1040&gt;0,AY1040&lt;15),T1040,"")</f>
        <v/>
      </c>
      <c r="BB1040" s="87">
        <f>IF(R1040&lt;Q1040,"X","")</f>
        <v/>
      </c>
      <c r="BC1040" s="190" t="inlineStr">
        <is>
          <t>NO</t>
        </is>
      </c>
      <c r="BD1040" s="191" t="inlineStr">
        <is>
          <t>SI</t>
        </is>
      </c>
    </row>
    <row r="1041" ht="15" customHeight="1" s="162">
      <c r="A1041" s="7" t="n">
        <v>1040</v>
      </c>
      <c r="B1041" t="inlineStr">
        <is>
          <t>1238514350100</t>
        </is>
      </c>
      <c r="C1041" t="inlineStr">
        <is>
          <t>TERMINAL PREAIS PUNTERA 35MM2 BEIGE</t>
        </is>
      </c>
      <c r="D1041" t="inlineStr">
        <is>
          <t>1800108953</t>
        </is>
      </c>
      <c r="E1041" t="inlineStr">
        <is>
          <t>420</t>
        </is>
      </c>
      <c r="F1041" s="163" t="n">
        <v>45463</v>
      </c>
      <c r="G1041" t="inlineStr"/>
      <c r="H1041" t="inlineStr">
        <is>
          <t>4200572594</t>
        </is>
      </c>
      <c r="I1041" t="inlineStr">
        <is>
          <t>50</t>
        </is>
      </c>
      <c r="J1041" s="163" t="n">
        <v>45502</v>
      </c>
      <c r="K1041" s="163" t="n">
        <v>45502</v>
      </c>
      <c r="L1041" t="inlineStr"/>
      <c r="M1041" s="163" t="n">
        <v>45512</v>
      </c>
      <c r="N1041" s="164" t="n">
        <v>30</v>
      </c>
      <c r="O1041" s="164" t="n">
        <v>8</v>
      </c>
      <c r="P1041" t="inlineStr">
        <is>
          <t>Liberado</t>
        </is>
      </c>
      <c r="Q1041" s="165" t="n">
        <v>50</v>
      </c>
      <c r="R1041" s="165" t="n">
        <v>50</v>
      </c>
      <c r="S1041" s="165" t="n">
        <v>50</v>
      </c>
      <c r="T1041" s="165" t="n">
        <v>0</v>
      </c>
      <c r="U1041" s="166" t="n">
        <v>50</v>
      </c>
      <c r="V1041" s="166" t="n">
        <v>0</v>
      </c>
      <c r="W1041" t="inlineStr">
        <is>
          <t>X</t>
        </is>
      </c>
      <c r="X1041" t="inlineStr">
        <is>
          <t>0.00</t>
        </is>
      </c>
      <c r="Y1041" t="inlineStr"/>
      <c r="Z1041" t="inlineStr">
        <is>
          <t>LUJISA, S.A.</t>
        </is>
      </c>
      <c r="AA1041" t="inlineStr">
        <is>
          <t>CEMBRE</t>
        </is>
      </c>
      <c r="AB1041" t="inlineStr">
        <is>
          <t>PKC 35016</t>
        </is>
      </c>
      <c r="AC1041" t="inlineStr"/>
      <c r="AD1041" s="164" t="n">
        <v>0</v>
      </c>
      <c r="AE1041" s="185" t="n">
        <v>0</v>
      </c>
      <c r="AG1041" s="167" t="inlineStr">
        <is>
          <t>7218|JA2582_1001</t>
        </is>
      </c>
      <c r="AH1041" s="47">
        <f>IF(M1041=0,"-",M1041-J1041)</f>
        <v/>
      </c>
      <c r="AI1041" s="46">
        <f>IF(AND(S1041=0,M1041&gt;0,L1041=0),IF(AH1041&gt;=120,"VERY HIGH",IF(AH1041&gt;=90,"HIGH",IF(AH1041&gt;=60,"MEDIUM",IF(AH1041&lt;60,"LOW")))),"-")</f>
        <v/>
      </c>
      <c r="AJ1041" s="12" t="n"/>
      <c r="AK1041" s="53">
        <f>IF(AND(W1041="X",M1041&lt;=$AJ$2),"YES","")</f>
        <v/>
      </c>
      <c r="AL1041" s="54">
        <f>IF(AND(W1041="X",M1041&lt;=$AJ$2),S1041,"")</f>
        <v/>
      </c>
      <c r="AM1041" s="35" t="n"/>
      <c r="AN1041" s="35">
        <f>IF(AND(W1041="X",M1041&gt;$AJ$2),S1041,"")</f>
        <v/>
      </c>
      <c r="AO1041" s="35">
        <f>IF(AND(W1041="",M1041&gt;0,$AJ$2&gt;M1041,L1041=""),1,0)</f>
        <v/>
      </c>
      <c r="AP1041" s="35">
        <f>IF(AND(AK1041="YES",W1041="X"),"X","")</f>
        <v/>
      </c>
      <c r="AQ1041" s="55">
        <f>IF(AP1041="X",100%,0%)</f>
        <v/>
      </c>
      <c r="AR1041" s="25">
        <f>IF(AND(T1041&gt;0,L1041=""),H1041,"")</f>
        <v/>
      </c>
      <c r="AS1041" s="25">
        <f>IF(AND(D1041&gt;0,H1041=0,G1041=""),1,"")</f>
        <v/>
      </c>
      <c r="AT1041" s="25">
        <f>IF(G1041="BLOQ",1,"")</f>
        <v/>
      </c>
      <c r="AU1041" s="25">
        <f>IF(L1041="BLOQ",1,"")</f>
        <v/>
      </c>
      <c r="AV1041" s="25">
        <f>MONTH(F1041)</f>
        <v/>
      </c>
      <c r="AW1041" s="65">
        <f>IF(AP1041="",100%,0%)</f>
        <v/>
      </c>
      <c r="AX1041" s="56" t="n"/>
      <c r="AY1041" s="24">
        <f>IF(M1041=0,"",M1041-$AX$2)</f>
        <v/>
      </c>
      <c r="AZ1041" s="66">
        <f>IF(AND(W1041="",AY1041&gt;0,AY1041&lt;15),1,0)</f>
        <v/>
      </c>
      <c r="BA1041" s="24">
        <f>IF(AND(W1041="",AY1041&gt;0,AY1041&lt;15),T1041,"")</f>
        <v/>
      </c>
      <c r="BB1041" s="87">
        <f>IF(R1041&lt;Q1041,"X","")</f>
        <v/>
      </c>
      <c r="BC1041" s="190" t="inlineStr">
        <is>
          <t>NO</t>
        </is>
      </c>
      <c r="BD1041" s="191" t="inlineStr">
        <is>
          <t>SI</t>
        </is>
      </c>
    </row>
    <row r="1042" ht="15" customHeight="1" s="162">
      <c r="A1042" s="7" t="n">
        <v>1041</v>
      </c>
      <c r="B1042" t="inlineStr">
        <is>
          <t>1261121205001</t>
        </is>
      </c>
      <c r="C1042" t="inlineStr">
        <is>
          <t>BATERIA RECARG 6CELDAS 12V 14AH</t>
        </is>
      </c>
      <c r="D1042" t="inlineStr">
        <is>
          <t>1800108953</t>
        </is>
      </c>
      <c r="E1042" t="inlineStr">
        <is>
          <t>430</t>
        </is>
      </c>
      <c r="F1042" s="163" t="n">
        <v>45463</v>
      </c>
      <c r="G1042" t="inlineStr"/>
      <c r="H1042" t="inlineStr">
        <is>
          <t>4200573595</t>
        </is>
      </c>
      <c r="I1042" t="inlineStr">
        <is>
          <t>10</t>
        </is>
      </c>
      <c r="J1042" s="163" t="n">
        <v>45509</v>
      </c>
      <c r="K1042" s="163" t="n">
        <v>45509</v>
      </c>
      <c r="L1042" t="inlineStr"/>
      <c r="M1042" s="163" t="n">
        <v>45524</v>
      </c>
      <c r="N1042" s="164" t="n">
        <v>40</v>
      </c>
      <c r="O1042" s="164" t="n">
        <v>8</v>
      </c>
      <c r="P1042" t="inlineStr">
        <is>
          <t>Liberado</t>
        </is>
      </c>
      <c r="Q1042" s="165" t="n">
        <v>2</v>
      </c>
      <c r="R1042" s="165" t="n">
        <v>2</v>
      </c>
      <c r="S1042" s="165" t="n">
        <v>2</v>
      </c>
      <c r="T1042" s="165" t="n">
        <v>0</v>
      </c>
      <c r="U1042" s="166" t="n">
        <v>2</v>
      </c>
      <c r="V1042" s="166" t="n">
        <v>0</v>
      </c>
      <c r="W1042" t="inlineStr">
        <is>
          <t>X</t>
        </is>
      </c>
      <c r="X1042" t="inlineStr">
        <is>
          <t>0.00</t>
        </is>
      </c>
      <c r="Y1042" t="inlineStr"/>
      <c r="Z1042" t="inlineStr">
        <is>
          <t>RENOBAT OPTIMIZATION</t>
        </is>
      </c>
      <c r="AA1042" t="inlineStr">
        <is>
          <t>POWER SONIC</t>
        </is>
      </c>
      <c r="AB1042" t="inlineStr">
        <is>
          <t>PS-1212</t>
        </is>
      </c>
      <c r="AC1042" t="inlineStr"/>
      <c r="AD1042" s="164" t="n">
        <v>0</v>
      </c>
      <c r="AE1042" s="185" t="n">
        <v>0</v>
      </c>
      <c r="AG1042" s="167" t="inlineStr">
        <is>
          <t>7218|JA2582_1001</t>
        </is>
      </c>
      <c r="AH1042" s="47">
        <f>IF(M1042=0,"-",M1042-J1042)</f>
        <v/>
      </c>
      <c r="AI1042" s="46">
        <f>IF(AND(S1042=0,M1042&gt;0,L1042=0),IF(AH1042&gt;=120,"VERY HIGH",IF(AH1042&gt;=90,"HIGH",IF(AH1042&gt;=60,"MEDIUM",IF(AH1042&lt;60,"LOW")))),"-")</f>
        <v/>
      </c>
      <c r="AJ1042" s="12" t="n"/>
      <c r="AK1042" s="53">
        <f>IF(AND(W1042="X",M1042&lt;=$AJ$2),"YES","")</f>
        <v/>
      </c>
      <c r="AL1042" s="54">
        <f>IF(AND(W1042="X",M1042&lt;=$AJ$2),S1042,"")</f>
        <v/>
      </c>
      <c r="AM1042" s="35" t="n"/>
      <c r="AN1042" s="35">
        <f>IF(AND(W1042="X",M1042&gt;$AJ$2),S1042,"")</f>
        <v/>
      </c>
      <c r="AO1042" s="35">
        <f>IF(AND(W1042="",M1042&gt;0,$AJ$2&gt;M1042,L1042=""),1,0)</f>
        <v/>
      </c>
      <c r="AP1042" s="35">
        <f>IF(AND(AK1042="YES",W1042="X"),"X","")</f>
        <v/>
      </c>
      <c r="AQ1042" s="55">
        <f>IF(AP1042="X",100%,0%)</f>
        <v/>
      </c>
      <c r="AR1042" s="25">
        <f>IF(AND(T1042&gt;0,L1042=""),H1042,"")</f>
        <v/>
      </c>
      <c r="AS1042" s="25">
        <f>IF(AND(D1042&gt;0,H1042=0,G1042=""),1,"")</f>
        <v/>
      </c>
      <c r="AT1042" s="25">
        <f>IF(G1042="BLOQ",1,"")</f>
        <v/>
      </c>
      <c r="AU1042" s="25">
        <f>IF(L1042="BLOQ",1,"")</f>
        <v/>
      </c>
      <c r="AV1042" s="25">
        <f>MONTH(F1042)</f>
        <v/>
      </c>
      <c r="AW1042" s="65">
        <f>IF(AP1042="",100%,0%)</f>
        <v/>
      </c>
      <c r="AX1042" s="56" t="n"/>
      <c r="AY1042" s="24">
        <f>IF(M1042=0,"",M1042-$AX$2)</f>
        <v/>
      </c>
      <c r="AZ1042" s="66">
        <f>IF(AND(W1042="",AY1042&gt;0,AY1042&lt;15),1,0)</f>
        <v/>
      </c>
      <c r="BA1042" s="24">
        <f>IF(AND(W1042="",AY1042&gt;0,AY1042&lt;15),T1042,"")</f>
        <v/>
      </c>
      <c r="BB1042" s="87">
        <f>IF(R1042&lt;Q1042,"X","")</f>
        <v/>
      </c>
      <c r="BC1042" s="190" t="inlineStr">
        <is>
          <t>NO</t>
        </is>
      </c>
      <c r="BD1042" s="191" t="inlineStr">
        <is>
          <t>SI</t>
        </is>
      </c>
    </row>
    <row r="1043" ht="15" customHeight="1" s="162">
      <c r="A1043" s="7" t="n">
        <v>1042</v>
      </c>
      <c r="B1043" t="inlineStr">
        <is>
          <t>1263011000903</t>
        </is>
      </c>
      <c r="C1043" t="inlineStr">
        <is>
          <t>F.A. 85-264VAC/24VDC 630MA 15,2W DIN RAI</t>
        </is>
      </c>
      <c r="D1043" t="inlineStr">
        <is>
          <t>1800108953</t>
        </is>
      </c>
      <c r="E1043" t="inlineStr">
        <is>
          <t>440</t>
        </is>
      </c>
      <c r="F1043" s="163" t="n">
        <v>45463</v>
      </c>
      <c r="G1043" t="inlineStr"/>
      <c r="H1043" t="inlineStr">
        <is>
          <t>4200568000</t>
        </is>
      </c>
      <c r="I1043" t="inlineStr">
        <is>
          <t>20</t>
        </is>
      </c>
      <c r="J1043" s="163" t="n">
        <v>45463</v>
      </c>
      <c r="K1043" s="163" t="n">
        <v>45464</v>
      </c>
      <c r="L1043" t="inlineStr"/>
      <c r="M1043" s="163" t="n">
        <v>45488</v>
      </c>
      <c r="N1043" s="164" t="n">
        <v>40</v>
      </c>
      <c r="O1043" s="164" t="n">
        <v>8</v>
      </c>
      <c r="P1043" t="inlineStr">
        <is>
          <t>Liberado</t>
        </is>
      </c>
      <c r="Q1043" s="165" t="n">
        <v>2</v>
      </c>
      <c r="R1043" s="165" t="n">
        <v>2</v>
      </c>
      <c r="S1043" s="165" t="n">
        <v>2</v>
      </c>
      <c r="T1043" s="165" t="n">
        <v>0</v>
      </c>
      <c r="U1043" s="166" t="n">
        <v>2</v>
      </c>
      <c r="V1043" s="166" t="n">
        <v>0</v>
      </c>
      <c r="W1043" t="inlineStr">
        <is>
          <t>X</t>
        </is>
      </c>
      <c r="X1043" t="inlineStr">
        <is>
          <t>0.00</t>
        </is>
      </c>
      <c r="Y1043" t="inlineStr"/>
      <c r="Z1043" t="inlineStr">
        <is>
          <t>ELECTRONICA OLFER, S.L.</t>
        </is>
      </c>
      <c r="AA1043" t="inlineStr">
        <is>
          <t>MEAN WELL</t>
        </is>
      </c>
      <c r="AB1043" t="inlineStr">
        <is>
          <t>HDR-15-24</t>
        </is>
      </c>
      <c r="AC1043" t="inlineStr"/>
      <c r="AD1043" s="164" t="n">
        <v>0</v>
      </c>
      <c r="AE1043" s="185" t="n">
        <v>0</v>
      </c>
      <c r="AG1043" s="167" t="inlineStr">
        <is>
          <t>7218|JA2582_1001</t>
        </is>
      </c>
      <c r="AH1043" s="47">
        <f>IF(M1043=0,"-",M1043-J1043)</f>
        <v/>
      </c>
      <c r="AI1043" s="46">
        <f>IF(AND(S1043=0,M1043&gt;0,L1043=0),IF(AH1043&gt;=120,"VERY HIGH",IF(AH1043&gt;=90,"HIGH",IF(AH1043&gt;=60,"MEDIUM",IF(AH1043&lt;60,"LOW")))),"-")</f>
        <v/>
      </c>
      <c r="AJ1043" s="12" t="n"/>
      <c r="AK1043" s="53">
        <f>IF(AND(W1043="X",M1043&lt;=$AJ$2),"YES","")</f>
        <v/>
      </c>
      <c r="AL1043" s="54">
        <f>IF(AND(W1043="X",M1043&lt;=$AJ$2),S1043,"")</f>
        <v/>
      </c>
      <c r="AM1043" s="35" t="n"/>
      <c r="AN1043" s="35">
        <f>IF(AND(W1043="X",M1043&gt;$AJ$2),S1043,"")</f>
        <v/>
      </c>
      <c r="AO1043" s="35">
        <f>IF(AND(W1043="",M1043&gt;0,$AJ$2&gt;M1043,L1043=""),1,0)</f>
        <v/>
      </c>
      <c r="AP1043" s="35">
        <f>IF(AND(AK1043="YES",W1043="X"),"X","")</f>
        <v/>
      </c>
      <c r="AQ1043" s="55">
        <f>IF(AP1043="X",100%,0%)</f>
        <v/>
      </c>
      <c r="AR1043" s="25">
        <f>IF(AND(T1043&gt;0,L1043=""),H1043,"")</f>
        <v/>
      </c>
      <c r="AS1043" s="25">
        <f>IF(AND(D1043&gt;0,H1043=0,G1043=""),1,"")</f>
        <v/>
      </c>
      <c r="AT1043" s="25">
        <f>IF(G1043="BLOQ",1,"")</f>
        <v/>
      </c>
      <c r="AU1043" s="25">
        <f>IF(L1043="BLOQ",1,"")</f>
        <v/>
      </c>
      <c r="AV1043" s="25">
        <f>MONTH(F1043)</f>
        <v/>
      </c>
      <c r="AW1043" s="65">
        <f>IF(AP1043="",100%,0%)</f>
        <v/>
      </c>
      <c r="AX1043" s="56" t="n"/>
      <c r="AY1043" s="24">
        <f>IF(M1043=0,"",M1043-$AX$2)</f>
        <v/>
      </c>
      <c r="AZ1043" s="66">
        <f>IF(AND(W1043="",AY1043&gt;0,AY1043&lt;15),1,0)</f>
        <v/>
      </c>
      <c r="BA1043" s="24">
        <f>IF(AND(W1043="",AY1043&gt;0,AY1043&lt;15),T1043,"")</f>
        <v/>
      </c>
      <c r="BB1043" s="87">
        <f>IF(R1043&lt;Q1043,"X","")</f>
        <v/>
      </c>
      <c r="BC1043" s="190" t="inlineStr">
        <is>
          <t>NO</t>
        </is>
      </c>
      <c r="BD1043" s="191" t="inlineStr">
        <is>
          <t>SI</t>
        </is>
      </c>
    </row>
    <row r="1044" ht="15" customHeight="1" s="162">
      <c r="A1044" s="7" t="n">
        <v>1043</v>
      </c>
      <c r="B1044" t="inlineStr">
        <is>
          <t>1263011080700</t>
        </is>
      </c>
      <c r="C1044" t="inlineStr">
        <is>
          <t>F.A. 100/115/200/230VAC +/-12V/0,75A 15W</t>
        </is>
      </c>
      <c r="D1044" t="inlineStr">
        <is>
          <t>1800108953</t>
        </is>
      </c>
      <c r="E1044" t="inlineStr">
        <is>
          <t>450</t>
        </is>
      </c>
      <c r="F1044" s="163" t="n">
        <v>45463</v>
      </c>
      <c r="G1044" t="inlineStr"/>
      <c r="H1044" t="inlineStr">
        <is>
          <t>4200568531</t>
        </is>
      </c>
      <c r="I1044" t="inlineStr">
        <is>
          <t>10</t>
        </is>
      </c>
      <c r="J1044" s="163" t="n">
        <v>45470</v>
      </c>
      <c r="K1044" s="163" t="n">
        <v>45470</v>
      </c>
      <c r="L1044" t="inlineStr"/>
      <c r="M1044" s="163" t="n">
        <v>45488</v>
      </c>
      <c r="N1044" s="164" t="n">
        <v>90</v>
      </c>
      <c r="O1044" s="164" t="n">
        <v>8</v>
      </c>
      <c r="P1044" t="inlineStr">
        <is>
          <t>Liberado</t>
        </is>
      </c>
      <c r="Q1044" s="165" t="n">
        <v>2</v>
      </c>
      <c r="R1044" s="165" t="n">
        <v>2</v>
      </c>
      <c r="S1044" s="165" t="n">
        <v>2</v>
      </c>
      <c r="T1044" s="165" t="n">
        <v>0</v>
      </c>
      <c r="U1044" s="166" t="n">
        <v>2</v>
      </c>
      <c r="V1044" s="166" t="n">
        <v>0</v>
      </c>
      <c r="W1044" t="inlineStr">
        <is>
          <t>X</t>
        </is>
      </c>
      <c r="X1044" t="inlineStr">
        <is>
          <t>0.00</t>
        </is>
      </c>
      <c r="Y1044" t="inlineStr"/>
      <c r="Z1044" t="inlineStr">
        <is>
          <t>ICOMPPLUS ELECTRONICS S.L</t>
        </is>
      </c>
      <c r="AA1044" t="inlineStr">
        <is>
          <t>TDK-LAMBDA CORP</t>
        </is>
      </c>
      <c r="AB1044" t="inlineStr">
        <is>
          <t>NND15-1212</t>
        </is>
      </c>
      <c r="AC1044" t="inlineStr"/>
      <c r="AD1044" s="164" t="n">
        <v>0</v>
      </c>
      <c r="AE1044" s="185" t="n">
        <v>0</v>
      </c>
      <c r="AG1044" s="167" t="inlineStr">
        <is>
          <t>7218|JA2582_1001</t>
        </is>
      </c>
      <c r="AH1044" s="47">
        <f>IF(M1044=0,"-",M1044-J1044)</f>
        <v/>
      </c>
      <c r="AI1044" s="46">
        <f>IF(AND(S1044=0,M1044&gt;0,L1044=0),IF(AH1044&gt;=120,"VERY HIGH",IF(AH1044&gt;=90,"HIGH",IF(AH1044&gt;=60,"MEDIUM",IF(AH1044&lt;60,"LOW")))),"-")</f>
        <v/>
      </c>
      <c r="AJ1044" s="12" t="n"/>
      <c r="AK1044" s="53">
        <f>IF(AND(W1044="X",M1044&lt;=$AJ$2),"YES","")</f>
        <v/>
      </c>
      <c r="AL1044" s="54">
        <f>IF(AND(W1044="X",M1044&lt;=$AJ$2),S1044,"")</f>
        <v/>
      </c>
      <c r="AM1044" s="35" t="n"/>
      <c r="AN1044" s="35">
        <f>IF(AND(W1044="X",M1044&gt;$AJ$2),S1044,"")</f>
        <v/>
      </c>
      <c r="AO1044" s="35">
        <f>IF(AND(W1044="",M1044&gt;0,$AJ$2&gt;M1044,L1044=""),1,0)</f>
        <v/>
      </c>
      <c r="AP1044" s="35">
        <f>IF(AND(AK1044="YES",W1044="X"),"X","")</f>
        <v/>
      </c>
      <c r="AQ1044" s="55">
        <f>IF(AP1044="X",100%,0%)</f>
        <v/>
      </c>
      <c r="AR1044" s="25">
        <f>IF(AND(T1044&gt;0,L1044=""),H1044,"")</f>
        <v/>
      </c>
      <c r="AS1044" s="25">
        <f>IF(AND(D1044&gt;0,H1044=0,G1044=""),1,"")</f>
        <v/>
      </c>
      <c r="AT1044" s="25">
        <f>IF(G1044="BLOQ",1,"")</f>
        <v/>
      </c>
      <c r="AU1044" s="25">
        <f>IF(L1044="BLOQ",1,"")</f>
        <v/>
      </c>
      <c r="AV1044" s="25">
        <f>MONTH(F1044)</f>
        <v/>
      </c>
      <c r="AW1044" s="65">
        <f>IF(AP1044="",100%,0%)</f>
        <v/>
      </c>
      <c r="AX1044" s="56" t="n"/>
      <c r="AY1044" s="24">
        <f>IF(M1044=0,"",M1044-$AX$2)</f>
        <v/>
      </c>
      <c r="AZ1044" s="66">
        <f>IF(AND(W1044="",AY1044&gt;0,AY1044&lt;15),1,0)</f>
        <v/>
      </c>
      <c r="BA1044" s="24">
        <f>IF(AND(W1044="",AY1044&gt;0,AY1044&lt;15),T1044,"")</f>
        <v/>
      </c>
      <c r="BB1044" s="87">
        <f>IF(R1044&lt;Q1044,"X","")</f>
        <v/>
      </c>
      <c r="BC1044" s="190" t="inlineStr">
        <is>
          <t>NO</t>
        </is>
      </c>
      <c r="BD1044" s="191" t="inlineStr">
        <is>
          <t>SI</t>
        </is>
      </c>
    </row>
    <row r="1045" ht="15" customHeight="1" s="162">
      <c r="A1045" s="7" t="n">
        <v>1044</v>
      </c>
      <c r="B1045" t="inlineStr">
        <is>
          <t>1263011603300</t>
        </is>
      </c>
      <c r="C1045" t="inlineStr">
        <is>
          <t>F.A. VE=90-264VAC VS=12VDC 6W CNC-P1J</t>
        </is>
      </c>
      <c r="D1045" t="inlineStr">
        <is>
          <t>1800108953</t>
        </is>
      </c>
      <c r="E1045" t="inlineStr">
        <is>
          <t>460</t>
        </is>
      </c>
      <c r="F1045" s="163" t="n">
        <v>45463</v>
      </c>
      <c r="G1045" t="inlineStr"/>
      <c r="H1045" t="inlineStr">
        <is>
          <t>4200568000</t>
        </is>
      </c>
      <c r="I1045" t="inlineStr">
        <is>
          <t>30</t>
        </is>
      </c>
      <c r="J1045" s="163" t="n">
        <v>45463</v>
      </c>
      <c r="K1045" s="163" t="n">
        <v>45464</v>
      </c>
      <c r="L1045" t="inlineStr"/>
      <c r="M1045" s="163" t="n">
        <v>45488</v>
      </c>
      <c r="N1045" s="164" t="n">
        <v>40</v>
      </c>
      <c r="O1045" s="164" t="n">
        <v>8</v>
      </c>
      <c r="P1045" t="inlineStr">
        <is>
          <t>Liberado</t>
        </is>
      </c>
      <c r="Q1045" s="165" t="n">
        <v>4</v>
      </c>
      <c r="R1045" s="165" t="n">
        <v>4</v>
      </c>
      <c r="S1045" s="165" t="n">
        <v>4</v>
      </c>
      <c r="T1045" s="165" t="n">
        <v>0</v>
      </c>
      <c r="U1045" s="166" t="n">
        <v>4</v>
      </c>
      <c r="V1045" s="166" t="n">
        <v>0</v>
      </c>
      <c r="W1045" t="inlineStr">
        <is>
          <t>X</t>
        </is>
      </c>
      <c r="X1045" t="inlineStr">
        <is>
          <t>0.00</t>
        </is>
      </c>
      <c r="Y1045" t="inlineStr"/>
      <c r="Z1045" t="inlineStr">
        <is>
          <t>ELECTRONICA OLFER, S.L.</t>
        </is>
      </c>
      <c r="AA1045" t="inlineStr">
        <is>
          <t>MEAN WELL</t>
        </is>
      </c>
      <c r="AB1045" t="inlineStr">
        <is>
          <t>GS06E-3P1J</t>
        </is>
      </c>
      <c r="AC1045" t="inlineStr"/>
      <c r="AD1045" s="164" t="n">
        <v>0</v>
      </c>
      <c r="AE1045" s="185" t="n">
        <v>0</v>
      </c>
      <c r="AG1045" s="167" t="inlineStr">
        <is>
          <t>7218|JA2582_1001</t>
        </is>
      </c>
      <c r="AH1045" s="47">
        <f>IF(M1045=0,"-",M1045-J1045)</f>
        <v/>
      </c>
      <c r="AI1045" s="46">
        <f>IF(AND(S1045=0,M1045&gt;0,L1045=0),IF(AH1045&gt;=120,"VERY HIGH",IF(AH1045&gt;=90,"HIGH",IF(AH1045&gt;=60,"MEDIUM",IF(AH1045&lt;60,"LOW")))),"-")</f>
        <v/>
      </c>
      <c r="AJ1045" s="12" t="n"/>
      <c r="AK1045" s="53">
        <f>IF(AND(W1045="X",M1045&lt;=$AJ$2),"YES","")</f>
        <v/>
      </c>
      <c r="AL1045" s="54">
        <f>IF(AND(W1045="X",M1045&lt;=$AJ$2),S1045,"")</f>
        <v/>
      </c>
      <c r="AM1045" s="35" t="n"/>
      <c r="AN1045" s="35">
        <f>IF(AND(W1045="X",M1045&gt;$AJ$2),S1045,"")</f>
        <v/>
      </c>
      <c r="AO1045" s="35">
        <f>IF(AND(W1045="",M1045&gt;0,$AJ$2&gt;M1045,L1045=""),1,0)</f>
        <v/>
      </c>
      <c r="AP1045" s="35">
        <f>IF(AND(AK1045="YES",W1045="X"),"X","")</f>
        <v/>
      </c>
      <c r="AQ1045" s="55">
        <f>IF(AP1045="X",100%,0%)</f>
        <v/>
      </c>
      <c r="AR1045" s="25">
        <f>IF(AND(T1045&gt;0,L1045=""),H1045,"")</f>
        <v/>
      </c>
      <c r="AS1045" s="25">
        <f>IF(AND(D1045&gt;0,H1045=0,G1045=""),1,"")</f>
        <v/>
      </c>
      <c r="AT1045" s="25">
        <f>IF(G1045="BLOQ",1,"")</f>
        <v/>
      </c>
      <c r="AU1045" s="25">
        <f>IF(L1045="BLOQ",1,"")</f>
        <v/>
      </c>
      <c r="AV1045" s="25">
        <f>MONTH(F1045)</f>
        <v/>
      </c>
      <c r="AW1045" s="65">
        <f>IF(AP1045="",100%,0%)</f>
        <v/>
      </c>
      <c r="AX1045" s="56" t="n"/>
      <c r="AY1045" s="24">
        <f>IF(M1045=0,"",M1045-$AX$2)</f>
        <v/>
      </c>
      <c r="AZ1045" s="66">
        <f>IF(AND(W1045="",AY1045&gt;0,AY1045&lt;15),1,0)</f>
        <v/>
      </c>
      <c r="BA1045" s="24">
        <f>IF(AND(W1045="",AY1045&gt;0,AY1045&lt;15),T1045,"")</f>
        <v/>
      </c>
      <c r="BB1045" s="87">
        <f>IF(R1045&lt;Q1045,"X","")</f>
        <v/>
      </c>
      <c r="BC1045" s="190" t="inlineStr">
        <is>
          <t>NO</t>
        </is>
      </c>
      <c r="BD1045" s="191" t="inlineStr">
        <is>
          <t>SI</t>
        </is>
      </c>
    </row>
    <row r="1046" ht="15" customHeight="1" s="162">
      <c r="A1046" s="7" t="n">
        <v>1045</v>
      </c>
      <c r="B1046" t="inlineStr">
        <is>
          <t>1263011604400</t>
        </is>
      </c>
      <c r="C1046" t="inlineStr">
        <is>
          <t>F.A. VE=90-264VAC VS=12VDC 18W 1.5A</t>
        </is>
      </c>
      <c r="D1046" t="inlineStr">
        <is>
          <t>1800108953</t>
        </is>
      </c>
      <c r="E1046" t="inlineStr">
        <is>
          <t>470</t>
        </is>
      </c>
      <c r="F1046" s="163" t="n">
        <v>45463</v>
      </c>
      <c r="G1046" t="inlineStr"/>
      <c r="H1046" t="inlineStr">
        <is>
          <t>4200568093</t>
        </is>
      </c>
      <c r="I1046" t="inlineStr">
        <is>
          <t>20</t>
        </is>
      </c>
      <c r="J1046" s="163" t="n">
        <v>45464</v>
      </c>
      <c r="K1046" s="163" t="n">
        <v>45464</v>
      </c>
      <c r="L1046" t="inlineStr"/>
      <c r="M1046" s="163" t="n">
        <v>45488</v>
      </c>
      <c r="N1046" s="164" t="n">
        <v>40</v>
      </c>
      <c r="O1046" s="164" t="n">
        <v>8</v>
      </c>
      <c r="P1046" t="inlineStr">
        <is>
          <t>Liberado</t>
        </is>
      </c>
      <c r="Q1046" s="165" t="n">
        <v>1</v>
      </c>
      <c r="R1046" s="165" t="n">
        <v>1</v>
      </c>
      <c r="S1046" s="165" t="n">
        <v>1</v>
      </c>
      <c r="T1046" s="165" t="n">
        <v>0</v>
      </c>
      <c r="U1046" s="166" t="n">
        <v>1</v>
      </c>
      <c r="V1046" s="166" t="n">
        <v>0</v>
      </c>
      <c r="W1046" t="inlineStr">
        <is>
          <t>X</t>
        </is>
      </c>
      <c r="X1046" t="inlineStr">
        <is>
          <t>0.00</t>
        </is>
      </c>
      <c r="Y1046" t="inlineStr"/>
      <c r="Z1046" t="inlineStr">
        <is>
          <t>(AEMSA)ALMACENES ELECTRICOS MADRILE</t>
        </is>
      </c>
      <c r="AA1046" t="inlineStr">
        <is>
          <t>XP POWER</t>
        </is>
      </c>
      <c r="AB1046" t="inlineStr">
        <is>
          <t>121-7147</t>
        </is>
      </c>
      <c r="AC1046" t="inlineStr"/>
      <c r="AD1046" s="164" t="n">
        <v>0</v>
      </c>
      <c r="AE1046" s="185" t="n">
        <v>0</v>
      </c>
      <c r="AG1046" s="167" t="inlineStr">
        <is>
          <t>7218|JA2582_1001</t>
        </is>
      </c>
      <c r="AH1046" s="47">
        <f>IF(M1046=0,"-",M1046-J1046)</f>
        <v/>
      </c>
      <c r="AI1046" s="46">
        <f>IF(AND(S1046=0,M1046&gt;0,L1046=0),IF(AH1046&gt;=120,"VERY HIGH",IF(AH1046&gt;=90,"HIGH",IF(AH1046&gt;=60,"MEDIUM",IF(AH1046&lt;60,"LOW")))),"-")</f>
        <v/>
      </c>
      <c r="AJ1046" s="12" t="n"/>
      <c r="AK1046" s="53">
        <f>IF(AND(W1046="X",M1046&lt;=$AJ$2),"YES","")</f>
        <v/>
      </c>
      <c r="AL1046" s="54">
        <f>IF(AND(W1046="X",M1046&lt;=$AJ$2),S1046,"")</f>
        <v/>
      </c>
      <c r="AM1046" s="35" t="n"/>
      <c r="AN1046" s="35">
        <f>IF(AND(W1046="X",M1046&gt;$AJ$2),S1046,"")</f>
        <v/>
      </c>
      <c r="AO1046" s="35">
        <f>IF(AND(W1046="",M1046&gt;0,$AJ$2&gt;M1046,L1046=""),1,0)</f>
        <v/>
      </c>
      <c r="AP1046" s="35">
        <f>IF(AND(AK1046="YES",W1046="X"),"X","")</f>
        <v/>
      </c>
      <c r="AQ1046" s="55">
        <f>IF(AP1046="X",100%,0%)</f>
        <v/>
      </c>
      <c r="AR1046" s="25">
        <f>IF(AND(T1046&gt;0,L1046=""),H1046,"")</f>
        <v/>
      </c>
      <c r="AS1046" s="25">
        <f>IF(AND(D1046&gt;0,H1046=0,G1046=""),1,"")</f>
        <v/>
      </c>
      <c r="AT1046" s="25">
        <f>IF(G1046="BLOQ",1,"")</f>
        <v/>
      </c>
      <c r="AU1046" s="25">
        <f>IF(L1046="BLOQ",1,"")</f>
        <v/>
      </c>
      <c r="AV1046" s="25">
        <f>MONTH(F1046)</f>
        <v/>
      </c>
      <c r="AW1046" s="65">
        <f>IF(AP1046="",100%,0%)</f>
        <v/>
      </c>
      <c r="AX1046" s="56" t="n"/>
      <c r="AY1046" s="24">
        <f>IF(M1046=0,"",M1046-$AX$2)</f>
        <v/>
      </c>
      <c r="AZ1046" s="66">
        <f>IF(AND(W1046="",AY1046&gt;0,AY1046&lt;15),1,0)</f>
        <v/>
      </c>
      <c r="BA1046" s="24">
        <f>IF(AND(W1046="",AY1046&gt;0,AY1046&lt;15),T1046,"")</f>
        <v/>
      </c>
      <c r="BB1046" s="87">
        <f>IF(R1046&lt;Q1046,"X","")</f>
        <v/>
      </c>
      <c r="BC1046" s="190" t="inlineStr">
        <is>
          <t>NO</t>
        </is>
      </c>
      <c r="BD1046" s="191" t="inlineStr">
        <is>
          <t>SI</t>
        </is>
      </c>
    </row>
    <row r="1047" ht="15" customHeight="1" s="162">
      <c r="A1047" s="7" t="n">
        <v>1046</v>
      </c>
      <c r="B1047" t="inlineStr">
        <is>
          <t>1263511130400</t>
        </is>
      </c>
      <c r="C1047" t="inlineStr">
        <is>
          <t>F.A CONM VE=85-264V 1000W SMPS</t>
        </is>
      </c>
      <c r="D1047" t="inlineStr">
        <is>
          <t>1800108953</t>
        </is>
      </c>
      <c r="E1047" t="inlineStr">
        <is>
          <t>480</t>
        </is>
      </c>
      <c r="F1047" s="163" t="n">
        <v>45463</v>
      </c>
      <c r="G1047" t="inlineStr"/>
      <c r="H1047" t="inlineStr">
        <is>
          <t>4200568256</t>
        </is>
      </c>
      <c r="I1047" t="inlineStr">
        <is>
          <t>10</t>
        </is>
      </c>
      <c r="J1047" s="163" t="n">
        <v>45467</v>
      </c>
      <c r="K1047" s="163" t="n">
        <v>45469</v>
      </c>
      <c r="L1047" t="inlineStr"/>
      <c r="M1047" s="163" t="n">
        <v>45488</v>
      </c>
      <c r="N1047" s="164" t="n">
        <v>40</v>
      </c>
      <c r="O1047" s="164" t="n">
        <v>8</v>
      </c>
      <c r="P1047" t="inlineStr">
        <is>
          <t>Liberado</t>
        </is>
      </c>
      <c r="Q1047" s="165" t="n">
        <v>8</v>
      </c>
      <c r="R1047" s="165" t="n">
        <v>8</v>
      </c>
      <c r="S1047" s="165" t="n">
        <v>8</v>
      </c>
      <c r="T1047" s="165" t="n">
        <v>0</v>
      </c>
      <c r="U1047" s="166" t="n">
        <v>8</v>
      </c>
      <c r="V1047" s="166" t="n">
        <v>0</v>
      </c>
      <c r="W1047" t="inlineStr">
        <is>
          <t>X</t>
        </is>
      </c>
      <c r="X1047" t="inlineStr">
        <is>
          <t>0.00</t>
        </is>
      </c>
      <c r="Y1047" t="inlineStr"/>
      <c r="Z1047" t="inlineStr">
        <is>
          <t>ICOMPPLUS ELECTRONICS S.L</t>
        </is>
      </c>
      <c r="AA1047" t="inlineStr">
        <is>
          <t>EXCELSYS TECHNOLOGIES</t>
        </is>
      </c>
      <c r="AB1047" t="inlineStr">
        <is>
          <t>XCC</t>
        </is>
      </c>
      <c r="AC1047" t="inlineStr"/>
      <c r="AD1047" s="164" t="n">
        <v>0</v>
      </c>
      <c r="AE1047" s="185" t="n">
        <v>0</v>
      </c>
      <c r="AG1047" s="167" t="inlineStr">
        <is>
          <t>7218|JA2582_1001</t>
        </is>
      </c>
      <c r="AH1047" s="47">
        <f>IF(M1047=0,"-",M1047-J1047)</f>
        <v/>
      </c>
      <c r="AI1047" s="46">
        <f>IF(AND(S1047=0,M1047&gt;0,L1047=0),IF(AH1047&gt;=120,"VERY HIGH",IF(AH1047&gt;=90,"HIGH",IF(AH1047&gt;=60,"MEDIUM",IF(AH1047&lt;60,"LOW")))),"-")</f>
        <v/>
      </c>
      <c r="AJ1047" s="12" t="n"/>
      <c r="AK1047" s="53">
        <f>IF(AND(W1047="X",M1047&lt;=$AJ$2),"YES","")</f>
        <v/>
      </c>
      <c r="AL1047" s="54">
        <f>IF(AND(W1047="X",M1047&lt;=$AJ$2),S1047,"")</f>
        <v/>
      </c>
      <c r="AM1047" s="35" t="n"/>
      <c r="AN1047" s="35">
        <f>IF(AND(W1047="X",M1047&gt;$AJ$2),S1047,"")</f>
        <v/>
      </c>
      <c r="AO1047" s="35">
        <f>IF(AND(W1047="",M1047&gt;0,$AJ$2&gt;M1047,L1047=""),1,0)</f>
        <v/>
      </c>
      <c r="AP1047" s="35">
        <f>IF(AND(AK1047="YES",W1047="X"),"X","")</f>
        <v/>
      </c>
      <c r="AQ1047" s="55">
        <f>IF(AP1047="X",100%,0%)</f>
        <v/>
      </c>
      <c r="AR1047" s="25">
        <f>IF(AND(T1047&gt;0,L1047=""),H1047,"")</f>
        <v/>
      </c>
      <c r="AS1047" s="25">
        <f>IF(AND(D1047&gt;0,H1047=0,G1047=""),1,"")</f>
        <v/>
      </c>
      <c r="AT1047" s="25">
        <f>IF(G1047="BLOQ",1,"")</f>
        <v/>
      </c>
      <c r="AU1047" s="25">
        <f>IF(L1047="BLOQ",1,"")</f>
        <v/>
      </c>
      <c r="AV1047" s="25">
        <f>MONTH(F1047)</f>
        <v/>
      </c>
      <c r="AW1047" s="65">
        <f>IF(AP1047="",100%,0%)</f>
        <v/>
      </c>
      <c r="AX1047" s="56" t="n"/>
      <c r="AY1047" s="24">
        <f>IF(M1047=0,"",M1047-$AX$2)</f>
        <v/>
      </c>
      <c r="AZ1047" s="66">
        <f>IF(AND(W1047="",AY1047&gt;0,AY1047&lt;15),1,0)</f>
        <v/>
      </c>
      <c r="BA1047" s="24">
        <f>IF(AND(W1047="",AY1047&gt;0,AY1047&lt;15),T1047,"")</f>
        <v/>
      </c>
      <c r="BB1047" s="87">
        <f>IF(R1047&lt;Q1047,"X","")</f>
        <v/>
      </c>
      <c r="BC1047" s="191" t="inlineStr">
        <is>
          <t>SI</t>
        </is>
      </c>
      <c r="BD1047" s="191" t="inlineStr">
        <is>
          <t>SI</t>
        </is>
      </c>
    </row>
    <row r="1048" ht="15" customHeight="1" s="162">
      <c r="A1048" s="7" t="n">
        <v>1047</v>
      </c>
      <c r="B1048" t="inlineStr">
        <is>
          <t>1263516109000</t>
        </is>
      </c>
      <c r="C1048" t="inlineStr">
        <is>
          <t>MOD SALIDA F.A. 3.2-6VDC 40A 200W XGEN</t>
        </is>
      </c>
      <c r="D1048" t="inlineStr">
        <is>
          <t>1800108953</t>
        </is>
      </c>
      <c r="E1048" t="inlineStr">
        <is>
          <t>490</t>
        </is>
      </c>
      <c r="F1048" s="163" t="n">
        <v>45463</v>
      </c>
      <c r="G1048" t="inlineStr"/>
      <c r="H1048" t="inlineStr">
        <is>
          <t>4200568256</t>
        </is>
      </c>
      <c r="I1048" t="inlineStr">
        <is>
          <t>20</t>
        </is>
      </c>
      <c r="J1048" s="163" t="n">
        <v>45467</v>
      </c>
      <c r="K1048" s="163" t="n">
        <v>45469</v>
      </c>
      <c r="L1048" t="inlineStr"/>
      <c r="M1048" s="163" t="n">
        <v>45488</v>
      </c>
      <c r="N1048" s="164" t="n">
        <v>98</v>
      </c>
      <c r="O1048" s="164" t="n">
        <v>8</v>
      </c>
      <c r="P1048" t="inlineStr">
        <is>
          <t>Liberado</t>
        </is>
      </c>
      <c r="Q1048" s="165" t="n">
        <v>16</v>
      </c>
      <c r="R1048" s="165" t="n">
        <v>16</v>
      </c>
      <c r="S1048" s="165" t="n">
        <v>16</v>
      </c>
      <c r="T1048" s="165" t="n">
        <v>0</v>
      </c>
      <c r="U1048" s="166" t="n">
        <v>16</v>
      </c>
      <c r="V1048" s="166" t="n">
        <v>0</v>
      </c>
      <c r="W1048" t="inlineStr">
        <is>
          <t>X</t>
        </is>
      </c>
      <c r="X1048" t="inlineStr">
        <is>
          <t>0.00</t>
        </is>
      </c>
      <c r="Y1048" t="inlineStr"/>
      <c r="Z1048" t="inlineStr">
        <is>
          <t>ICOMPPLUS ELECTRONICS S.L</t>
        </is>
      </c>
      <c r="AA1048" t="inlineStr">
        <is>
          <t>EXCELSYS TECHNOLOGIES</t>
        </is>
      </c>
      <c r="AB1048" t="inlineStr">
        <is>
          <t>XG2</t>
        </is>
      </c>
      <c r="AC1048" t="inlineStr"/>
      <c r="AD1048" s="164" t="n">
        <v>0</v>
      </c>
      <c r="AE1048" s="185" t="n">
        <v>0</v>
      </c>
      <c r="AG1048" s="167" t="inlineStr">
        <is>
          <t>7218|JA2582_1001</t>
        </is>
      </c>
      <c r="AH1048" s="47">
        <f>IF(M1048=0,"-",M1048-J1048)</f>
        <v/>
      </c>
      <c r="AI1048" s="46">
        <f>IF(AND(S1048=0,M1048&gt;0,L1048=0),IF(AH1048&gt;=120,"VERY HIGH",IF(AH1048&gt;=90,"HIGH",IF(AH1048&gt;=60,"MEDIUM",IF(AH1048&lt;60,"LOW")))),"-")</f>
        <v/>
      </c>
      <c r="AJ1048" s="12" t="n"/>
      <c r="AK1048" s="53">
        <f>IF(AND(W1048="X",M1048&lt;=$AJ$2),"YES","")</f>
        <v/>
      </c>
      <c r="AL1048" s="54">
        <f>IF(AND(W1048="X",M1048&lt;=$AJ$2),S1048,"")</f>
        <v/>
      </c>
      <c r="AM1048" s="35" t="n"/>
      <c r="AN1048" s="35">
        <f>IF(AND(W1048="X",M1048&gt;$AJ$2),S1048,"")</f>
        <v/>
      </c>
      <c r="AO1048" s="35">
        <f>IF(AND(W1048="",M1048&gt;0,$AJ$2&gt;M1048,L1048=""),1,0)</f>
        <v/>
      </c>
      <c r="AP1048" s="35">
        <f>IF(AND(AK1048="YES",W1048="X"),"X","")</f>
        <v/>
      </c>
      <c r="AQ1048" s="55">
        <f>IF(AP1048="X",100%,0%)</f>
        <v/>
      </c>
      <c r="AR1048" s="25">
        <f>IF(AND(T1048&gt;0,L1048=""),H1048,"")</f>
        <v/>
      </c>
      <c r="AS1048" s="25">
        <f>IF(AND(D1048&gt;0,H1048=0,G1048=""),1,"")</f>
        <v/>
      </c>
      <c r="AT1048" s="25">
        <f>IF(G1048="BLOQ",1,"")</f>
        <v/>
      </c>
      <c r="AU1048" s="25">
        <f>IF(L1048="BLOQ",1,"")</f>
        <v/>
      </c>
      <c r="AV1048" s="25">
        <f>MONTH(F1048)</f>
        <v/>
      </c>
      <c r="AW1048" s="65">
        <f>IF(AP1048="",100%,0%)</f>
        <v/>
      </c>
      <c r="AX1048" s="56" t="n"/>
      <c r="AY1048" s="24">
        <f>IF(M1048=0,"",M1048-$AX$2)</f>
        <v/>
      </c>
      <c r="AZ1048" s="66">
        <f>IF(AND(W1048="",AY1048&gt;0,AY1048&lt;15),1,0)</f>
        <v/>
      </c>
      <c r="BA1048" s="24">
        <f>IF(AND(W1048="",AY1048&gt;0,AY1048&lt;15),T1048,"")</f>
        <v/>
      </c>
      <c r="BB1048" s="87">
        <f>IF(R1048&lt;Q1048,"X","")</f>
        <v/>
      </c>
      <c r="BC1048" s="191" t="inlineStr">
        <is>
          <t>SI</t>
        </is>
      </c>
      <c r="BD1048" s="191" t="inlineStr">
        <is>
          <t>SI</t>
        </is>
      </c>
    </row>
    <row r="1049" ht="15" customHeight="1" s="162">
      <c r="A1049" s="7" t="n">
        <v>1048</v>
      </c>
      <c r="B1049" t="inlineStr">
        <is>
          <t>1263516109001</t>
        </is>
      </c>
      <c r="C1049" t="inlineStr">
        <is>
          <t>MOD SALIDA F.A. 6-15VDC 20A 240W XGEN</t>
        </is>
      </c>
      <c r="D1049" t="inlineStr">
        <is>
          <t>1800108953</t>
        </is>
      </c>
      <c r="E1049" t="inlineStr">
        <is>
          <t>500</t>
        </is>
      </c>
      <c r="F1049" s="163" t="n">
        <v>45463</v>
      </c>
      <c r="G1049" t="inlineStr"/>
      <c r="H1049" t="inlineStr">
        <is>
          <t>4200568256</t>
        </is>
      </c>
      <c r="I1049" t="inlineStr">
        <is>
          <t>30</t>
        </is>
      </c>
      <c r="J1049" s="163" t="n">
        <v>45467</v>
      </c>
      <c r="K1049" s="163" t="n">
        <v>45469</v>
      </c>
      <c r="L1049" t="inlineStr"/>
      <c r="M1049" s="163" t="n">
        <v>45488</v>
      </c>
      <c r="N1049" s="164" t="n">
        <v>115</v>
      </c>
      <c r="O1049" s="164" t="n">
        <v>8</v>
      </c>
      <c r="P1049" t="inlineStr">
        <is>
          <t>Liberado</t>
        </is>
      </c>
      <c r="Q1049" s="165" t="n">
        <v>8</v>
      </c>
      <c r="R1049" s="165" t="n">
        <v>8</v>
      </c>
      <c r="S1049" s="165" t="n">
        <v>8</v>
      </c>
      <c r="T1049" s="165" t="n">
        <v>0</v>
      </c>
      <c r="U1049" s="166" t="n">
        <v>8</v>
      </c>
      <c r="V1049" s="166" t="n">
        <v>0</v>
      </c>
      <c r="W1049" t="inlineStr">
        <is>
          <t>X</t>
        </is>
      </c>
      <c r="X1049" t="inlineStr">
        <is>
          <t>0.00</t>
        </is>
      </c>
      <c r="Y1049" t="inlineStr"/>
      <c r="Z1049" t="inlineStr">
        <is>
          <t>ICOMPPLUS ELECTRONICS S.L</t>
        </is>
      </c>
      <c r="AA1049" t="inlineStr">
        <is>
          <t>EXCELSYS TECHNOLOGIES</t>
        </is>
      </c>
      <c r="AB1049" t="inlineStr">
        <is>
          <t>XG3</t>
        </is>
      </c>
      <c r="AC1049" t="inlineStr"/>
      <c r="AD1049" s="164" t="n">
        <v>0</v>
      </c>
      <c r="AE1049" s="185" t="n">
        <v>0</v>
      </c>
      <c r="AG1049" s="167" t="inlineStr">
        <is>
          <t>7218|JA2582_1001</t>
        </is>
      </c>
      <c r="AH1049" s="47">
        <f>IF(M1049=0,"-",M1049-J1049)</f>
        <v/>
      </c>
      <c r="AI1049" s="46">
        <f>IF(AND(S1049=0,M1049&gt;0,L1049=0),IF(AH1049&gt;=120,"VERY HIGH",IF(AH1049&gt;=90,"HIGH",IF(AH1049&gt;=60,"MEDIUM",IF(AH1049&lt;60,"LOW")))),"-")</f>
        <v/>
      </c>
      <c r="AJ1049" s="12" t="n"/>
      <c r="AK1049" s="53">
        <f>IF(AND(W1049="X",M1049&lt;=$AJ$2),"YES","")</f>
        <v/>
      </c>
      <c r="AL1049" s="54">
        <f>IF(AND(W1049="X",M1049&lt;=$AJ$2),S1049,"")</f>
        <v/>
      </c>
      <c r="AM1049" s="35" t="n"/>
      <c r="AN1049" s="35">
        <f>IF(AND(W1049="X",M1049&gt;$AJ$2),S1049,"")</f>
        <v/>
      </c>
      <c r="AO1049" s="35">
        <f>IF(AND(W1049="",M1049&gt;0,$AJ$2&gt;M1049,L1049=""),1,0)</f>
        <v/>
      </c>
      <c r="AP1049" s="35">
        <f>IF(AND(AK1049="YES",W1049="X"),"X","")</f>
        <v/>
      </c>
      <c r="AQ1049" s="55">
        <f>IF(AP1049="X",100%,0%)</f>
        <v/>
      </c>
      <c r="AR1049" s="25">
        <f>IF(AND(T1049&gt;0,L1049=""),H1049,"")</f>
        <v/>
      </c>
      <c r="AS1049" s="25">
        <f>IF(AND(D1049&gt;0,H1049=0,G1049=""),1,"")</f>
        <v/>
      </c>
      <c r="AT1049" s="25">
        <f>IF(G1049="BLOQ",1,"")</f>
        <v/>
      </c>
      <c r="AU1049" s="25">
        <f>IF(L1049="BLOQ",1,"")</f>
        <v/>
      </c>
      <c r="AV1049" s="25">
        <f>MONTH(F1049)</f>
        <v/>
      </c>
      <c r="AW1049" s="65">
        <f>IF(AP1049="",100%,0%)</f>
        <v/>
      </c>
      <c r="AX1049" s="56" t="n"/>
      <c r="AY1049" s="24">
        <f>IF(M1049=0,"",M1049-$AX$2)</f>
        <v/>
      </c>
      <c r="AZ1049" s="66">
        <f>IF(AND(W1049="",AY1049&gt;0,AY1049&lt;15),1,0)</f>
        <v/>
      </c>
      <c r="BA1049" s="24">
        <f>IF(AND(W1049="",AY1049&gt;0,AY1049&lt;15),T1049,"")</f>
        <v/>
      </c>
      <c r="BB1049" s="87">
        <f>IF(R1049&lt;Q1049,"X","")</f>
        <v/>
      </c>
      <c r="BC1049" s="191" t="inlineStr">
        <is>
          <t>SI</t>
        </is>
      </c>
      <c r="BD1049" s="191" t="inlineStr">
        <is>
          <t>SI</t>
        </is>
      </c>
    </row>
    <row r="1050" ht="15" customHeight="1" s="162">
      <c r="A1050" s="7" t="n">
        <v>1049</v>
      </c>
      <c r="B1050" t="inlineStr">
        <is>
          <t>1263516109002</t>
        </is>
      </c>
      <c r="C1050" t="inlineStr">
        <is>
          <t>MOD SALIDA F.A. 12-30VDC 10A 240W XGEN</t>
        </is>
      </c>
      <c r="D1050" t="inlineStr">
        <is>
          <t>1800108953</t>
        </is>
      </c>
      <c r="E1050" t="inlineStr">
        <is>
          <t>510</t>
        </is>
      </c>
      <c r="F1050" s="163" t="n">
        <v>45463</v>
      </c>
      <c r="G1050" t="inlineStr"/>
      <c r="H1050" t="inlineStr">
        <is>
          <t>4200568256</t>
        </is>
      </c>
      <c r="I1050" t="inlineStr">
        <is>
          <t>40</t>
        </is>
      </c>
      <c r="J1050" s="163" t="n">
        <v>45467</v>
      </c>
      <c r="K1050" s="163" t="n">
        <v>45469</v>
      </c>
      <c r="L1050" t="inlineStr"/>
      <c r="M1050" s="163" t="n">
        <v>45488</v>
      </c>
      <c r="N1050" s="164" t="n">
        <v>85</v>
      </c>
      <c r="O1050" s="164" t="n">
        <v>8</v>
      </c>
      <c r="P1050" t="inlineStr">
        <is>
          <t>Liberado</t>
        </is>
      </c>
      <c r="Q1050" s="165" t="n">
        <v>15</v>
      </c>
      <c r="R1050" s="165" t="n">
        <v>15</v>
      </c>
      <c r="S1050" s="165" t="n">
        <v>15</v>
      </c>
      <c r="T1050" s="165" t="n">
        <v>0</v>
      </c>
      <c r="U1050" s="166" t="n">
        <v>15</v>
      </c>
      <c r="V1050" s="166" t="n">
        <v>0</v>
      </c>
      <c r="W1050" t="inlineStr">
        <is>
          <t>X</t>
        </is>
      </c>
      <c r="X1050" t="inlineStr">
        <is>
          <t>0.00</t>
        </is>
      </c>
      <c r="Y1050" t="inlineStr"/>
      <c r="Z1050" t="inlineStr">
        <is>
          <t>ICOMPPLUS ELECTRONICS S.L</t>
        </is>
      </c>
      <c r="AA1050" t="inlineStr">
        <is>
          <t>EXCELSYS TECHNOLOGIES</t>
        </is>
      </c>
      <c r="AB1050" t="inlineStr">
        <is>
          <t>XG4</t>
        </is>
      </c>
      <c r="AC1050" t="inlineStr"/>
      <c r="AD1050" s="164" t="n">
        <v>0</v>
      </c>
      <c r="AE1050" s="185" t="n">
        <v>0</v>
      </c>
      <c r="AG1050" s="167" t="inlineStr">
        <is>
          <t>7218|JA2582_1001</t>
        </is>
      </c>
      <c r="AH1050" s="47">
        <f>IF(M1050=0,"-",M1050-J1050)</f>
        <v/>
      </c>
      <c r="AI1050" s="46">
        <f>IF(AND(S1050=0,M1050&gt;0,L1050=0),IF(AH1050&gt;=120,"VERY HIGH",IF(AH1050&gt;=90,"HIGH",IF(AH1050&gt;=60,"MEDIUM",IF(AH1050&lt;60,"LOW")))),"-")</f>
        <v/>
      </c>
      <c r="AJ1050" s="12" t="n"/>
      <c r="AK1050" s="53">
        <f>IF(AND(W1050="X",M1050&lt;=$AJ$2),"YES","")</f>
        <v/>
      </c>
      <c r="AL1050" s="54">
        <f>IF(AND(W1050="X",M1050&lt;=$AJ$2),S1050,"")</f>
        <v/>
      </c>
      <c r="AM1050" s="35" t="n"/>
      <c r="AN1050" s="35">
        <f>IF(AND(W1050="X",M1050&gt;$AJ$2),S1050,"")</f>
        <v/>
      </c>
      <c r="AO1050" s="35">
        <f>IF(AND(W1050="",M1050&gt;0,$AJ$2&gt;M1050,L1050=""),1,0)</f>
        <v/>
      </c>
      <c r="AP1050" s="35">
        <f>IF(AND(AK1050="YES",W1050="X"),"X","")</f>
        <v/>
      </c>
      <c r="AQ1050" s="55">
        <f>IF(AP1050="X",100%,0%)</f>
        <v/>
      </c>
      <c r="AR1050" s="25">
        <f>IF(AND(T1050&gt;0,L1050=""),H1050,"")</f>
        <v/>
      </c>
      <c r="AS1050" s="25">
        <f>IF(AND(D1050&gt;0,H1050=0,G1050=""),1,"")</f>
        <v/>
      </c>
      <c r="AT1050" s="25">
        <f>IF(G1050="BLOQ",1,"")</f>
        <v/>
      </c>
      <c r="AU1050" s="25">
        <f>IF(L1050="BLOQ",1,"")</f>
        <v/>
      </c>
      <c r="AV1050" s="25">
        <f>MONTH(F1050)</f>
        <v/>
      </c>
      <c r="AW1050" s="65">
        <f>IF(AP1050="",100%,0%)</f>
        <v/>
      </c>
      <c r="AX1050" s="56" t="n"/>
      <c r="AY1050" s="24">
        <f>IF(M1050=0,"",M1050-$AX$2)</f>
        <v/>
      </c>
      <c r="AZ1050" s="66">
        <f>IF(AND(W1050="",AY1050&gt;0,AY1050&lt;15),1,0)</f>
        <v/>
      </c>
      <c r="BA1050" s="24">
        <f>IF(AND(W1050="",AY1050&gt;0,AY1050&lt;15),T1050,"")</f>
        <v/>
      </c>
      <c r="BB1050" s="87">
        <f>IF(R1050&lt;Q1050,"X","")</f>
        <v/>
      </c>
      <c r="BC1050" s="191" t="inlineStr">
        <is>
          <t>SI</t>
        </is>
      </c>
      <c r="BD1050" s="191" t="inlineStr">
        <is>
          <t>SI</t>
        </is>
      </c>
    </row>
    <row r="1051" ht="15" customHeight="1" s="162">
      <c r="A1051" s="7" t="n">
        <v>1050</v>
      </c>
      <c r="B1051" t="inlineStr">
        <is>
          <t>1263516109005</t>
        </is>
      </c>
      <c r="C1051" t="inlineStr">
        <is>
          <t>T.PWRMOD 85-264VAC/2,5VDC 50A 125W XLITE</t>
        </is>
      </c>
      <c r="D1051" t="inlineStr">
        <is>
          <t>1800108953</t>
        </is>
      </c>
      <c r="E1051" t="inlineStr">
        <is>
          <t>520</t>
        </is>
      </c>
      <c r="F1051" s="163" t="n">
        <v>45463</v>
      </c>
      <c r="G1051" t="inlineStr"/>
      <c r="H1051" t="inlineStr">
        <is>
          <t>4200568256</t>
        </is>
      </c>
      <c r="I1051" t="inlineStr">
        <is>
          <t>50</t>
        </is>
      </c>
      <c r="J1051" s="163" t="n">
        <v>45467</v>
      </c>
      <c r="K1051" s="163" t="n">
        <v>45469</v>
      </c>
      <c r="L1051" t="inlineStr"/>
      <c r="M1051" s="163" t="n">
        <v>45488</v>
      </c>
      <c r="N1051" s="164" t="n">
        <v>34</v>
      </c>
      <c r="O1051" s="164" t="n">
        <v>8</v>
      </c>
      <c r="P1051" t="inlineStr">
        <is>
          <t>Liberado</t>
        </is>
      </c>
      <c r="Q1051" s="165" t="n">
        <v>3</v>
      </c>
      <c r="R1051" s="165" t="n">
        <v>3</v>
      </c>
      <c r="S1051" s="165" t="n">
        <v>3</v>
      </c>
      <c r="T1051" s="165" t="n">
        <v>0</v>
      </c>
      <c r="U1051" s="166" t="n">
        <v>3</v>
      </c>
      <c r="V1051" s="166" t="n">
        <v>0</v>
      </c>
      <c r="W1051" t="inlineStr">
        <is>
          <t>X</t>
        </is>
      </c>
      <c r="X1051" t="inlineStr">
        <is>
          <t>0.00</t>
        </is>
      </c>
      <c r="Y1051" t="inlineStr"/>
      <c r="Z1051" t="inlineStr">
        <is>
          <t>ICOMPPLUS ELECTRONICS S.L</t>
        </is>
      </c>
      <c r="AA1051" t="inlineStr">
        <is>
          <t>EXCELSYS TECHNOLOGIES</t>
        </is>
      </c>
      <c r="AB1051" t="inlineStr">
        <is>
          <t>XG1</t>
        </is>
      </c>
      <c r="AC1051" t="inlineStr"/>
      <c r="AD1051" s="164" t="n">
        <v>0</v>
      </c>
      <c r="AE1051" s="185" t="n">
        <v>0</v>
      </c>
      <c r="AG1051" s="167" t="inlineStr">
        <is>
          <t>7218|JA2582_1001</t>
        </is>
      </c>
      <c r="AH1051" s="47">
        <f>IF(M1051=0,"-",M1051-J1051)</f>
        <v/>
      </c>
      <c r="AI1051" s="46">
        <f>IF(AND(S1051=0,M1051&gt;0,L1051=0),IF(AH1051&gt;=120,"VERY HIGH",IF(AH1051&gt;=90,"HIGH",IF(AH1051&gt;=60,"MEDIUM",IF(AH1051&lt;60,"LOW")))),"-")</f>
        <v/>
      </c>
      <c r="AJ1051" s="12" t="n"/>
      <c r="AK1051" s="53">
        <f>IF(AND(W1051="X",M1051&lt;=$AJ$2),"YES","")</f>
        <v/>
      </c>
      <c r="AL1051" s="54">
        <f>IF(AND(W1051="X",M1051&lt;=$AJ$2),S1051,"")</f>
        <v/>
      </c>
      <c r="AM1051" s="35" t="n"/>
      <c r="AN1051" s="35">
        <f>IF(AND(W1051="X",M1051&gt;$AJ$2),S1051,"")</f>
        <v/>
      </c>
      <c r="AO1051" s="35">
        <f>IF(AND(W1051="",M1051&gt;0,$AJ$2&gt;M1051,L1051=""),1,0)</f>
        <v/>
      </c>
      <c r="AP1051" s="35">
        <f>IF(AND(AK1051="YES",W1051="X"),"X","")</f>
        <v/>
      </c>
      <c r="AQ1051" s="55">
        <f>IF(AP1051="X",100%,0%)</f>
        <v/>
      </c>
      <c r="AR1051" s="25">
        <f>IF(AND(T1051&gt;0,L1051=""),H1051,"")</f>
        <v/>
      </c>
      <c r="AS1051" s="25">
        <f>IF(AND(D1051&gt;0,H1051=0,G1051=""),1,"")</f>
        <v/>
      </c>
      <c r="AT1051" s="25">
        <f>IF(G1051="BLOQ",1,"")</f>
        <v/>
      </c>
      <c r="AU1051" s="25">
        <f>IF(L1051="BLOQ",1,"")</f>
        <v/>
      </c>
      <c r="AV1051" s="25">
        <f>MONTH(F1051)</f>
        <v/>
      </c>
      <c r="AW1051" s="65">
        <f>IF(AP1051="",100%,0%)</f>
        <v/>
      </c>
      <c r="AX1051" s="56" t="n"/>
      <c r="AY1051" s="24">
        <f>IF(M1051=0,"",M1051-$AX$2)</f>
        <v/>
      </c>
      <c r="AZ1051" s="66">
        <f>IF(AND(W1051="",AY1051&gt;0,AY1051&lt;15),1,0)</f>
        <v/>
      </c>
      <c r="BA1051" s="24">
        <f>IF(AND(W1051="",AY1051&gt;0,AY1051&lt;15),T1051,"")</f>
        <v/>
      </c>
      <c r="BB1051" s="87">
        <f>IF(R1051&lt;Q1051,"X","")</f>
        <v/>
      </c>
      <c r="BC1051" s="191" t="inlineStr">
        <is>
          <t>SI</t>
        </is>
      </c>
      <c r="BD1051" s="191" t="inlineStr">
        <is>
          <t>SI</t>
        </is>
      </c>
    </row>
    <row r="1052" ht="15" customHeight="1" s="162">
      <c r="A1052" s="7" t="n">
        <v>1051</v>
      </c>
      <c r="B1052" t="inlineStr">
        <is>
          <t>1263516109006</t>
        </is>
      </c>
      <c r="C1052" t="inlineStr">
        <is>
          <t>ACC BUS BAR PARALLEL</t>
        </is>
      </c>
      <c r="D1052" t="inlineStr">
        <is>
          <t>1800108953</t>
        </is>
      </c>
      <c r="E1052" t="inlineStr">
        <is>
          <t>530</t>
        </is>
      </c>
      <c r="F1052" s="163" t="n">
        <v>45463</v>
      </c>
      <c r="G1052" t="inlineStr"/>
      <c r="H1052" t="inlineStr">
        <is>
          <t>4200568256</t>
        </is>
      </c>
      <c r="I1052" t="inlineStr">
        <is>
          <t>60</t>
        </is>
      </c>
      <c r="J1052" s="163" t="n">
        <v>45467</v>
      </c>
      <c r="K1052" s="163" t="n">
        <v>45469</v>
      </c>
      <c r="L1052" t="inlineStr"/>
      <c r="M1052" s="163" t="n">
        <v>45488</v>
      </c>
      <c r="N1052" s="164" t="n">
        <v>30</v>
      </c>
      <c r="O1052" s="164" t="n">
        <v>8</v>
      </c>
      <c r="P1052" t="inlineStr">
        <is>
          <t>Liberado</t>
        </is>
      </c>
      <c r="Q1052" s="165" t="n">
        <v>20</v>
      </c>
      <c r="R1052" s="165" t="n">
        <v>20</v>
      </c>
      <c r="S1052" s="165" t="n">
        <v>20</v>
      </c>
      <c r="T1052" s="165" t="n">
        <v>0</v>
      </c>
      <c r="U1052" s="166" t="n">
        <v>20</v>
      </c>
      <c r="V1052" s="166" t="n">
        <v>0</v>
      </c>
      <c r="W1052" t="inlineStr">
        <is>
          <t>X</t>
        </is>
      </c>
      <c r="X1052" t="inlineStr">
        <is>
          <t>0.00</t>
        </is>
      </c>
      <c r="Y1052" t="inlineStr"/>
      <c r="Z1052" t="inlineStr">
        <is>
          <t>ICOMPPLUS ELECTRONICS S.L</t>
        </is>
      </c>
      <c r="AA1052" t="inlineStr">
        <is>
          <t>EXCELSYS TECHNOLOGIES</t>
        </is>
      </c>
      <c r="AB1052" t="inlineStr">
        <is>
          <t>XP1</t>
        </is>
      </c>
      <c r="AC1052" t="inlineStr"/>
      <c r="AD1052" s="164" t="n">
        <v>0</v>
      </c>
      <c r="AE1052" s="185" t="n">
        <v>0</v>
      </c>
      <c r="AG1052" s="167" t="inlineStr">
        <is>
          <t>7218|JA2582_1001</t>
        </is>
      </c>
      <c r="AH1052" s="47">
        <f>IF(M1052=0,"-",M1052-J1052)</f>
        <v/>
      </c>
      <c r="AI1052" s="46">
        <f>IF(AND(S1052=0,M1052&gt;0,L1052=0),IF(AH1052&gt;=120,"VERY HIGH",IF(AH1052&gt;=90,"HIGH",IF(AH1052&gt;=60,"MEDIUM",IF(AH1052&lt;60,"LOW")))),"-")</f>
        <v/>
      </c>
      <c r="AJ1052" s="12" t="n"/>
      <c r="AK1052" s="53">
        <f>IF(AND(W1052="X",M1052&lt;=$AJ$2),"YES","")</f>
        <v/>
      </c>
      <c r="AL1052" s="54">
        <f>IF(AND(W1052="X",M1052&lt;=$AJ$2),S1052,"")</f>
        <v/>
      </c>
      <c r="AM1052" s="35" t="n"/>
      <c r="AN1052" s="35">
        <f>IF(AND(W1052="X",M1052&gt;$AJ$2),S1052,"")</f>
        <v/>
      </c>
      <c r="AO1052" s="35">
        <f>IF(AND(W1052="",M1052&gt;0,$AJ$2&gt;M1052,L1052=""),1,0)</f>
        <v/>
      </c>
      <c r="AP1052" s="35">
        <f>IF(AND(AK1052="YES",W1052="X"),"X","")</f>
        <v/>
      </c>
      <c r="AQ1052" s="55">
        <f>IF(AP1052="X",100%,0%)</f>
        <v/>
      </c>
      <c r="AR1052" s="25">
        <f>IF(AND(T1052&gt;0,L1052=""),H1052,"")</f>
        <v/>
      </c>
      <c r="AS1052" s="25">
        <f>IF(AND(D1052&gt;0,H1052=0,G1052=""),1,"")</f>
        <v/>
      </c>
      <c r="AT1052" s="25">
        <f>IF(G1052="BLOQ",1,"")</f>
        <v/>
      </c>
      <c r="AU1052" s="25">
        <f>IF(L1052="BLOQ",1,"")</f>
        <v/>
      </c>
      <c r="AV1052" s="25">
        <f>MONTH(F1052)</f>
        <v/>
      </c>
      <c r="AW1052" s="65">
        <f>IF(AP1052="",100%,0%)</f>
        <v/>
      </c>
      <c r="AX1052" s="56" t="n"/>
      <c r="AY1052" s="24">
        <f>IF(M1052=0,"",M1052-$AX$2)</f>
        <v/>
      </c>
      <c r="AZ1052" s="66">
        <f>IF(AND(W1052="",AY1052&gt;0,AY1052&lt;15),1,0)</f>
        <v/>
      </c>
      <c r="BA1052" s="24">
        <f>IF(AND(W1052="",AY1052&gt;0,AY1052&lt;15),T1052,"")</f>
        <v/>
      </c>
      <c r="BB1052" s="87">
        <f>IF(R1052&lt;Q1052,"X","")</f>
        <v/>
      </c>
      <c r="BC1052" s="190" t="inlineStr">
        <is>
          <t>NO</t>
        </is>
      </c>
      <c r="BD1052" s="191" t="inlineStr">
        <is>
          <t>SI</t>
        </is>
      </c>
    </row>
    <row r="1053" ht="15" customHeight="1" s="162">
      <c r="A1053" s="7" t="n">
        <v>1052</v>
      </c>
      <c r="B1053" t="inlineStr">
        <is>
          <t>1263516109007</t>
        </is>
      </c>
      <c r="C1053" t="inlineStr">
        <is>
          <t>ACC BUS BAR SERIES</t>
        </is>
      </c>
      <c r="D1053" t="inlineStr">
        <is>
          <t>1800108953</t>
        </is>
      </c>
      <c r="E1053" t="inlineStr">
        <is>
          <t>540</t>
        </is>
      </c>
      <c r="F1053" s="163" t="n">
        <v>45463</v>
      </c>
      <c r="G1053" t="inlineStr"/>
      <c r="H1053" t="inlineStr">
        <is>
          <t>4200568256</t>
        </is>
      </c>
      <c r="I1053" t="inlineStr">
        <is>
          <t>70</t>
        </is>
      </c>
      <c r="J1053" s="163" t="n">
        <v>45467</v>
      </c>
      <c r="K1053" s="163" t="n">
        <v>45469</v>
      </c>
      <c r="L1053" t="inlineStr"/>
      <c r="M1053" s="163" t="n">
        <v>45488</v>
      </c>
      <c r="N1053" s="164" t="n">
        <v>30</v>
      </c>
      <c r="O1053" s="164" t="n">
        <v>8</v>
      </c>
      <c r="P1053" t="inlineStr">
        <is>
          <t>Liberado</t>
        </is>
      </c>
      <c r="Q1053" s="165" t="n">
        <v>20</v>
      </c>
      <c r="R1053" s="165" t="n">
        <v>20</v>
      </c>
      <c r="S1053" s="165" t="n">
        <v>20</v>
      </c>
      <c r="T1053" s="165" t="n">
        <v>0</v>
      </c>
      <c r="U1053" s="166" t="n">
        <v>20</v>
      </c>
      <c r="V1053" s="166" t="n">
        <v>0</v>
      </c>
      <c r="W1053" t="inlineStr">
        <is>
          <t>X</t>
        </is>
      </c>
      <c r="X1053" t="inlineStr">
        <is>
          <t>0.00</t>
        </is>
      </c>
      <c r="Y1053" t="inlineStr"/>
      <c r="Z1053" t="inlineStr">
        <is>
          <t>ICOMPPLUS ELECTRONICS S.L</t>
        </is>
      </c>
      <c r="AA1053" t="inlineStr">
        <is>
          <t>EXCELSYS TECHNOLOGIES</t>
        </is>
      </c>
      <c r="AB1053" t="inlineStr">
        <is>
          <t>XS1</t>
        </is>
      </c>
      <c r="AC1053" t="inlineStr"/>
      <c r="AD1053" s="164" t="n">
        <v>0</v>
      </c>
      <c r="AE1053" s="185" t="n">
        <v>0</v>
      </c>
      <c r="AG1053" s="167" t="inlineStr">
        <is>
          <t>7218|JA2582_1001</t>
        </is>
      </c>
      <c r="AH1053" s="47">
        <f>IF(M1053=0,"-",M1053-J1053)</f>
        <v/>
      </c>
      <c r="AI1053" s="46">
        <f>IF(AND(S1053=0,M1053&gt;0,L1053=0),IF(AH1053&gt;=120,"VERY HIGH",IF(AH1053&gt;=90,"HIGH",IF(AH1053&gt;=60,"MEDIUM",IF(AH1053&lt;60,"LOW")))),"-")</f>
        <v/>
      </c>
      <c r="AJ1053" s="12" t="n"/>
      <c r="AK1053" s="53">
        <f>IF(AND(W1053="X",M1053&lt;=$AJ$2),"YES","")</f>
        <v/>
      </c>
      <c r="AL1053" s="54">
        <f>IF(AND(W1053="X",M1053&lt;=$AJ$2),S1053,"")</f>
        <v/>
      </c>
      <c r="AM1053" s="35" t="n"/>
      <c r="AN1053" s="35">
        <f>IF(AND(W1053="X",M1053&gt;$AJ$2),S1053,"")</f>
        <v/>
      </c>
      <c r="AO1053" s="35">
        <f>IF(AND(W1053="",M1053&gt;0,$AJ$2&gt;M1053,L1053=""),1,0)</f>
        <v/>
      </c>
      <c r="AP1053" s="35">
        <f>IF(AND(AK1053="YES",W1053="X"),"X","")</f>
        <v/>
      </c>
      <c r="AQ1053" s="55">
        <f>IF(AP1053="X",100%,0%)</f>
        <v/>
      </c>
      <c r="AR1053" s="25">
        <f>IF(AND(T1053&gt;0,L1053=""),H1053,"")</f>
        <v/>
      </c>
      <c r="AS1053" s="25">
        <f>IF(AND(D1053&gt;0,H1053=0,G1053=""),1,"")</f>
        <v/>
      </c>
      <c r="AT1053" s="25">
        <f>IF(G1053="BLOQ",1,"")</f>
        <v/>
      </c>
      <c r="AU1053" s="25">
        <f>IF(L1053="BLOQ",1,"")</f>
        <v/>
      </c>
      <c r="AV1053" s="25">
        <f>MONTH(F1053)</f>
        <v/>
      </c>
      <c r="AW1053" s="65">
        <f>IF(AP1053="",100%,0%)</f>
        <v/>
      </c>
      <c r="AX1053" s="56" t="n"/>
      <c r="AY1053" s="24">
        <f>IF(M1053=0,"",M1053-$AX$2)</f>
        <v/>
      </c>
      <c r="AZ1053" s="66">
        <f>IF(AND(W1053="",AY1053&gt;0,AY1053&lt;15),1,0)</f>
        <v/>
      </c>
      <c r="BA1053" s="24">
        <f>IF(AND(W1053="",AY1053&gt;0,AY1053&lt;15),T1053,"")</f>
        <v/>
      </c>
      <c r="BB1053" s="87">
        <f>IF(R1053&lt;Q1053,"X","")</f>
        <v/>
      </c>
      <c r="BC1053" s="190" t="inlineStr">
        <is>
          <t>NO</t>
        </is>
      </c>
      <c r="BD1053" s="191" t="inlineStr">
        <is>
          <t>SI</t>
        </is>
      </c>
    </row>
    <row r="1054" ht="15" customHeight="1" s="162">
      <c r="A1054" s="7" t="n">
        <v>1053</v>
      </c>
      <c r="B1054" t="inlineStr">
        <is>
          <t>1282001480200</t>
        </is>
      </c>
      <c r="C1054" t="inlineStr">
        <is>
          <t>SENSOR TEMP 1U RACK 2XRJ11</t>
        </is>
      </c>
      <c r="D1054" t="inlineStr">
        <is>
          <t>1800108953</t>
        </is>
      </c>
      <c r="E1054" t="inlineStr">
        <is>
          <t>550</t>
        </is>
      </c>
      <c r="F1054" s="163" t="n">
        <v>45463</v>
      </c>
      <c r="G1054" t="inlineStr"/>
      <c r="H1054" t="inlineStr">
        <is>
          <t>4200581755</t>
        </is>
      </c>
      <c r="I1054" t="inlineStr">
        <is>
          <t>10</t>
        </is>
      </c>
      <c r="J1054" s="163" t="n">
        <v>45582</v>
      </c>
      <c r="K1054" s="163" t="n">
        <v>45582</v>
      </c>
      <c r="L1054" t="inlineStr"/>
      <c r="M1054" s="163" t="n">
        <v>45590</v>
      </c>
      <c r="N1054" s="164" t="n">
        <v>30</v>
      </c>
      <c r="O1054" s="164" t="n">
        <v>8</v>
      </c>
      <c r="P1054" t="inlineStr">
        <is>
          <t>Liberado</t>
        </is>
      </c>
      <c r="Q1054" s="166" t="n">
        <v>15</v>
      </c>
      <c r="R1054" s="166" t="n">
        <v>15</v>
      </c>
      <c r="S1054" s="166" t="n">
        <v>15</v>
      </c>
      <c r="T1054" s="166" t="n">
        <v>0</v>
      </c>
      <c r="U1054" s="166" t="n">
        <v>15</v>
      </c>
      <c r="V1054" s="166" t="n">
        <v>0</v>
      </c>
      <c r="W1054" t="inlineStr">
        <is>
          <t>X</t>
        </is>
      </c>
      <c r="X1054" t="inlineStr">
        <is>
          <t>0.00</t>
        </is>
      </c>
      <c r="Y1054" t="inlineStr"/>
      <c r="Z1054" t="inlineStr">
        <is>
          <t>CARTRONIC MEMORY, S.A.</t>
        </is>
      </c>
      <c r="AA1054" t="inlineStr">
        <is>
          <t>HW GROUP</t>
        </is>
      </c>
      <c r="AB1054" t="inlineStr">
        <is>
          <t>600329</t>
        </is>
      </c>
      <c r="AC1054" t="inlineStr"/>
      <c r="AD1054" s="164" t="n">
        <v>0</v>
      </c>
      <c r="AE1054" s="185" t="n">
        <v>0</v>
      </c>
      <c r="AG1054" s="167" t="inlineStr">
        <is>
          <t>7218|JA2582_1001</t>
        </is>
      </c>
      <c r="AH1054" s="47">
        <f>IF(M1054=0,"-",M1054-J1054)</f>
        <v/>
      </c>
      <c r="AI1054" s="46">
        <f>IF(AND(S1054=0,M1054&gt;0,L1054=0),IF(AH1054&gt;=120,"VERY HIGH",IF(AH1054&gt;=90,"HIGH",IF(AH1054&gt;=60,"MEDIUM",IF(AH1054&lt;60,"LOW")))),"-")</f>
        <v/>
      </c>
      <c r="AJ1054" s="12" t="n"/>
      <c r="AK1054" s="53">
        <f>IF(AND(W1054="X",M1054&lt;=$AJ$2),"YES","")</f>
        <v/>
      </c>
      <c r="AL1054" s="54">
        <f>IF(AND(W1054="X",M1054&lt;=$AJ$2),S1054,"")</f>
        <v/>
      </c>
      <c r="AM1054" s="35" t="n"/>
      <c r="AN1054" s="35">
        <f>IF(AND(W1054="X",M1054&gt;$AJ$2),S1054,"")</f>
        <v/>
      </c>
      <c r="AO1054" s="35">
        <f>IF(AND(W1054="",M1054&gt;0,$AJ$2&gt;M1054,L1054=""),1,0)</f>
        <v/>
      </c>
      <c r="AP1054" s="35">
        <f>IF(AND(AK1054="YES",W1054="X"),"X","")</f>
        <v/>
      </c>
      <c r="AQ1054" s="55">
        <f>IF(AP1054="X",100%,0%)</f>
        <v/>
      </c>
      <c r="AR1054" s="25">
        <f>IF(AND(T1054&gt;0,L1054=""),H1054,"")</f>
        <v/>
      </c>
      <c r="AS1054" s="25">
        <f>IF(AND(D1054&gt;0,H1054=0,G1054=""),1,"")</f>
        <v/>
      </c>
      <c r="AT1054" s="25">
        <f>IF(G1054="BLOQ",1,"")</f>
        <v/>
      </c>
      <c r="AU1054" s="25">
        <f>IF(L1054="BLOQ",1,"")</f>
        <v/>
      </c>
      <c r="AV1054" s="25">
        <f>MONTH(F1054)</f>
        <v/>
      </c>
      <c r="AW1054" s="65">
        <f>IF(AP1054="",100%,0%)</f>
        <v/>
      </c>
      <c r="AX1054" s="56" t="n"/>
      <c r="AY1054" s="24">
        <f>IF(M1054=0,"",M1054-$AX$2)</f>
        <v/>
      </c>
      <c r="AZ1054" s="66">
        <f>IF(AND(W1054="",AY1054&gt;0,AY1054&lt;15),1,0)</f>
        <v/>
      </c>
      <c r="BA1054" s="24">
        <f>IF(AND(W1054="",AY1054&gt;0,AY1054&lt;15),T1054,"")</f>
        <v/>
      </c>
      <c r="BB1054" s="87">
        <f>IF(R1054&lt;Q1054,"X","")</f>
        <v/>
      </c>
      <c r="BC1054" s="191" t="inlineStr">
        <is>
          <t>SI</t>
        </is>
      </c>
      <c r="BD1054" s="191" t="inlineStr">
        <is>
          <t>SI</t>
        </is>
      </c>
    </row>
    <row r="1055" ht="15" customHeight="1" s="162">
      <c r="A1055" s="7" t="n">
        <v>1054</v>
      </c>
      <c r="B1055" t="inlineStr">
        <is>
          <t>1282001480400</t>
        </is>
      </c>
      <c r="C1055" t="inlineStr">
        <is>
          <t>TEMPERATURA SENSOR CBL EQ RJ11 IP67 3M</t>
        </is>
      </c>
      <c r="D1055" t="inlineStr">
        <is>
          <t>1800108953</t>
        </is>
      </c>
      <c r="E1055" t="inlineStr">
        <is>
          <t>560</t>
        </is>
      </c>
      <c r="F1055" s="163" t="n">
        <v>45463</v>
      </c>
      <c r="G1055" t="inlineStr"/>
      <c r="H1055" t="inlineStr">
        <is>
          <t>4200581755</t>
        </is>
      </c>
      <c r="I1055" t="inlineStr">
        <is>
          <t>20</t>
        </is>
      </c>
      <c r="J1055" s="163" t="n">
        <v>45582</v>
      </c>
      <c r="K1055" s="163" t="n">
        <v>45582</v>
      </c>
      <c r="L1055" t="inlineStr"/>
      <c r="M1055" s="163" t="n">
        <v>45590</v>
      </c>
      <c r="N1055" s="164" t="n">
        <v>40</v>
      </c>
      <c r="O1055" s="164" t="n">
        <v>8</v>
      </c>
      <c r="P1055" t="inlineStr">
        <is>
          <t>Liberado</t>
        </is>
      </c>
      <c r="Q1055" s="165" t="n">
        <v>2</v>
      </c>
      <c r="R1055" s="165" t="n">
        <v>2</v>
      </c>
      <c r="S1055" s="165" t="n">
        <v>2</v>
      </c>
      <c r="T1055" s="165" t="n">
        <v>0</v>
      </c>
      <c r="U1055" s="166" t="n">
        <v>2</v>
      </c>
      <c r="V1055" s="166" t="n">
        <v>0</v>
      </c>
      <c r="W1055" t="inlineStr">
        <is>
          <t>X</t>
        </is>
      </c>
      <c r="X1055" t="inlineStr">
        <is>
          <t>0.00</t>
        </is>
      </c>
      <c r="Y1055" t="inlineStr"/>
      <c r="Z1055" t="inlineStr">
        <is>
          <t>CARTRONIC MEMORY, S.A.</t>
        </is>
      </c>
      <c r="AA1055" t="inlineStr">
        <is>
          <t>HW GROUP</t>
        </is>
      </c>
      <c r="AB1055" t="inlineStr">
        <is>
          <t>600585</t>
        </is>
      </c>
      <c r="AC1055" t="inlineStr"/>
      <c r="AD1055" s="164" t="n">
        <v>0</v>
      </c>
      <c r="AE1055" s="185" t="n">
        <v>0</v>
      </c>
      <c r="AG1055" s="167" t="inlineStr">
        <is>
          <t>7218|JA2582_1001</t>
        </is>
      </c>
      <c r="AH1055" s="47">
        <f>IF(M1055=0,"-",M1055-J1055)</f>
        <v/>
      </c>
      <c r="AI1055" s="46">
        <f>IF(AND(S1055=0,M1055&gt;0,L1055=0),IF(AH1055&gt;=120,"VERY HIGH",IF(AH1055&gt;=90,"HIGH",IF(AH1055&gt;=60,"MEDIUM",IF(AH1055&lt;60,"LOW")))),"-")</f>
        <v/>
      </c>
      <c r="AJ1055" s="12" t="n"/>
      <c r="AK1055" s="53">
        <f>IF(AND(W1055="X",M1055&lt;=$AJ$2),"YES","")</f>
        <v/>
      </c>
      <c r="AL1055" s="54">
        <f>IF(AND(W1055="X",M1055&lt;=$AJ$2),S1055,"")</f>
        <v/>
      </c>
      <c r="AM1055" s="35" t="n"/>
      <c r="AN1055" s="35">
        <f>IF(AND(W1055="X",M1055&gt;$AJ$2),S1055,"")</f>
        <v/>
      </c>
      <c r="AO1055" s="35">
        <f>IF(AND(W1055="",M1055&gt;0,$AJ$2&gt;M1055,L1055=""),1,0)</f>
        <v/>
      </c>
      <c r="AP1055" s="35">
        <f>IF(AND(AK1055="YES",W1055="X"),"X","")</f>
        <v/>
      </c>
      <c r="AQ1055" s="55">
        <f>IF(AP1055="X",100%,0%)</f>
        <v/>
      </c>
      <c r="AR1055" s="25">
        <f>IF(AND(T1055&gt;0,L1055=""),H1055,"")</f>
        <v/>
      </c>
      <c r="AS1055" s="25">
        <f>IF(AND(D1055&gt;0,H1055=0,G1055=""),1,"")</f>
        <v/>
      </c>
      <c r="AT1055" s="25">
        <f>IF(G1055="BLOQ",1,"")</f>
        <v/>
      </c>
      <c r="AU1055" s="25">
        <f>IF(L1055="BLOQ",1,"")</f>
        <v/>
      </c>
      <c r="AV1055" s="25">
        <f>MONTH(F1055)</f>
        <v/>
      </c>
      <c r="AW1055" s="65">
        <f>IF(AP1055="",100%,0%)</f>
        <v/>
      </c>
      <c r="AX1055" s="56" t="n"/>
      <c r="AY1055" s="24">
        <f>IF(M1055=0,"",M1055-$AX$2)</f>
        <v/>
      </c>
      <c r="AZ1055" s="66">
        <f>IF(AND(W1055="",AY1055&gt;0,AY1055&lt;15),1,0)</f>
        <v/>
      </c>
      <c r="BA1055" s="24">
        <f>IF(AND(W1055="",AY1055&gt;0,AY1055&lt;15),T1055,"")</f>
        <v/>
      </c>
      <c r="BB1055" s="87">
        <f>IF(R1055&lt;Q1055,"X","")</f>
        <v/>
      </c>
      <c r="BC1055" s="190" t="inlineStr">
        <is>
          <t>NO</t>
        </is>
      </c>
      <c r="BD1055" s="191" t="inlineStr">
        <is>
          <t>SI</t>
        </is>
      </c>
    </row>
    <row r="1056" ht="15" customHeight="1" s="162">
      <c r="A1056" s="7" t="n">
        <v>1055</v>
      </c>
      <c r="B1056" t="inlineStr">
        <is>
          <t>1285000449000</t>
        </is>
      </c>
      <c r="C1056" t="inlineStr">
        <is>
          <t>BASE STD SUPERFICIE P/DET NFX PC/ABS BL</t>
        </is>
      </c>
      <c r="D1056" t="inlineStr">
        <is>
          <t>1800108953</t>
        </is>
      </c>
      <c r="E1056" t="inlineStr">
        <is>
          <t>570</t>
        </is>
      </c>
      <c r="F1056" s="163" t="n">
        <v>45463</v>
      </c>
      <c r="G1056" t="inlineStr"/>
      <c r="H1056" t="inlineStr">
        <is>
          <t>4200582054</t>
        </is>
      </c>
      <c r="I1056" t="inlineStr">
        <is>
          <t>10</t>
        </is>
      </c>
      <c r="J1056" s="163" t="n">
        <v>45586</v>
      </c>
      <c r="K1056" s="163" t="n">
        <v>45593</v>
      </c>
      <c r="L1056" t="inlineStr"/>
      <c r="M1056" s="163" t="n">
        <v>45488</v>
      </c>
      <c r="N1056" s="164" t="n">
        <v>35</v>
      </c>
      <c r="O1056" s="164" t="n">
        <v>8</v>
      </c>
      <c r="P1056" t="inlineStr">
        <is>
          <t>Liberado</t>
        </is>
      </c>
      <c r="Q1056" s="165" t="n">
        <v>15</v>
      </c>
      <c r="R1056" s="165" t="n">
        <v>15</v>
      </c>
      <c r="S1056" s="165" t="n">
        <v>15</v>
      </c>
      <c r="T1056" s="165" t="n">
        <v>0</v>
      </c>
      <c r="U1056" s="166" t="n">
        <v>15</v>
      </c>
      <c r="V1056" s="166" t="n">
        <v>0</v>
      </c>
      <c r="W1056" t="inlineStr">
        <is>
          <t>X</t>
        </is>
      </c>
      <c r="X1056" t="inlineStr">
        <is>
          <t>0.00</t>
        </is>
      </c>
      <c r="Y1056" t="inlineStr"/>
      <c r="Z1056" t="inlineStr">
        <is>
          <t>BY DEMES, S.L.</t>
        </is>
      </c>
      <c r="AA1056" t="inlineStr">
        <is>
          <t>NOTIFIER</t>
        </is>
      </c>
      <c r="AB1056" t="inlineStr">
        <is>
          <t>B501AP</t>
        </is>
      </c>
      <c r="AC1056" t="inlineStr"/>
      <c r="AD1056" s="164" t="n">
        <v>0</v>
      </c>
      <c r="AE1056" s="185" t="n">
        <v>0</v>
      </c>
      <c r="AG1056" s="167" t="inlineStr">
        <is>
          <t>7218|JA2582_1001</t>
        </is>
      </c>
      <c r="AH1056" s="47">
        <f>IF(M1056=0,"-",M1056-J1056)</f>
        <v/>
      </c>
      <c r="AI1056" s="46">
        <f>IF(AND(S1056=0,M1056&gt;0,L1056=0),IF(AH1056&gt;=120,"VERY HIGH",IF(AH1056&gt;=90,"HIGH",IF(AH1056&gt;=60,"MEDIUM",IF(AH1056&lt;60,"LOW")))),"-")</f>
        <v/>
      </c>
      <c r="AJ1056" s="12" t="n"/>
      <c r="AK1056" s="53">
        <f>IF(AND(W1056="X",M1056&lt;=$AJ$2),"YES","")</f>
        <v/>
      </c>
      <c r="AL1056" s="54">
        <f>IF(AND(W1056="X",M1056&lt;=$AJ$2),S1056,"")</f>
        <v/>
      </c>
      <c r="AM1056" s="35" t="n"/>
      <c r="AN1056" s="35">
        <f>IF(AND(W1056="X",M1056&gt;$AJ$2),S1056,"")</f>
        <v/>
      </c>
      <c r="AO1056" s="35">
        <f>IF(AND(W1056="",M1056&gt;0,$AJ$2&gt;M1056,L1056=""),1,0)</f>
        <v/>
      </c>
      <c r="AP1056" s="35">
        <f>IF(AND(AK1056="YES",W1056="X"),"X","")</f>
        <v/>
      </c>
      <c r="AQ1056" s="55">
        <f>IF(AP1056="X",100%,0%)</f>
        <v/>
      </c>
      <c r="AR1056" s="25">
        <f>IF(AND(T1056&gt;0,L1056=""),H1056,"")</f>
        <v/>
      </c>
      <c r="AS1056" s="25">
        <f>IF(AND(D1056&gt;0,H1056=0,G1056=""),1,"")</f>
        <v/>
      </c>
      <c r="AT1056" s="25">
        <f>IF(G1056="BLOQ",1,"")</f>
        <v/>
      </c>
      <c r="AU1056" s="25">
        <f>IF(L1056="BLOQ",1,"")</f>
        <v/>
      </c>
      <c r="AV1056" s="25">
        <f>MONTH(F1056)</f>
        <v/>
      </c>
      <c r="AW1056" s="65">
        <f>IF(AP1056="",100%,0%)</f>
        <v/>
      </c>
      <c r="AX1056" s="56" t="n"/>
      <c r="AY1056" s="24">
        <f>IF(M1056=0,"",M1056-$AX$2)</f>
        <v/>
      </c>
      <c r="AZ1056" s="66">
        <f>IF(AND(W1056="",AY1056&gt;0,AY1056&lt;15),1,0)</f>
        <v/>
      </c>
      <c r="BA1056" s="24">
        <f>IF(AND(W1056="",AY1056&gt;0,AY1056&lt;15),T1056,"")</f>
        <v/>
      </c>
      <c r="BB1056" s="87">
        <f>IF(R1056&lt;Q1056,"X","")</f>
        <v/>
      </c>
      <c r="BC1056" s="191" t="inlineStr">
        <is>
          <t>SI</t>
        </is>
      </c>
      <c r="BD1056" s="191" t="inlineStr">
        <is>
          <t>SI</t>
        </is>
      </c>
    </row>
    <row r="1057" ht="15" customHeight="1" s="162">
      <c r="A1057" s="7" t="n">
        <v>1056</v>
      </c>
      <c r="B1057" t="inlineStr">
        <is>
          <t>1285001000100</t>
        </is>
      </c>
      <c r="C1057" t="inlineStr">
        <is>
          <t>DETECTOR HUMO ALTA SENSIBILIDAD 32VDC BL</t>
        </is>
      </c>
      <c r="D1057" t="inlineStr">
        <is>
          <t>1800108953</t>
        </is>
      </c>
      <c r="E1057" t="inlineStr">
        <is>
          <t>580</t>
        </is>
      </c>
      <c r="F1057" s="163" t="n">
        <v>45463</v>
      </c>
      <c r="G1057" t="inlineStr"/>
      <c r="H1057" t="inlineStr">
        <is>
          <t>4200582054</t>
        </is>
      </c>
      <c r="I1057" t="inlineStr">
        <is>
          <t>20</t>
        </is>
      </c>
      <c r="J1057" s="163" t="n">
        <v>45586</v>
      </c>
      <c r="K1057" s="163" t="n">
        <v>45593</v>
      </c>
      <c r="L1057" t="inlineStr"/>
      <c r="M1057" s="163" t="n">
        <v>45488</v>
      </c>
      <c r="N1057" s="164" t="n">
        <v>40</v>
      </c>
      <c r="O1057" s="164" t="n">
        <v>8</v>
      </c>
      <c r="P1057" t="inlineStr">
        <is>
          <t>Liberado</t>
        </is>
      </c>
      <c r="Q1057" s="165" t="n">
        <v>15</v>
      </c>
      <c r="R1057" s="165" t="n">
        <v>15</v>
      </c>
      <c r="S1057" s="165" t="n">
        <v>15</v>
      </c>
      <c r="T1057" s="165" t="n">
        <v>0</v>
      </c>
      <c r="U1057" s="166" t="n">
        <v>0</v>
      </c>
      <c r="V1057" s="166" t="n">
        <v>0</v>
      </c>
      <c r="W1057" t="inlineStr">
        <is>
          <t>X</t>
        </is>
      </c>
      <c r="X1057" t="inlineStr">
        <is>
          <t>0.00</t>
        </is>
      </c>
      <c r="Y1057" t="inlineStr"/>
      <c r="Z1057" t="inlineStr">
        <is>
          <t>BY DEMES, S.L.</t>
        </is>
      </c>
      <c r="AA1057" t="inlineStr">
        <is>
          <t>NOTIFIER</t>
        </is>
      </c>
      <c r="AB1057" t="inlineStr">
        <is>
          <t>NFXI-VIEW</t>
        </is>
      </c>
      <c r="AC1057" t="inlineStr"/>
      <c r="AD1057" s="164" t="n">
        <v>0</v>
      </c>
      <c r="AE1057" s="185" t="n">
        <v>0</v>
      </c>
      <c r="AG1057" s="167" t="inlineStr">
        <is>
          <t>7218|JA2582_1001</t>
        </is>
      </c>
      <c r="AH1057" s="47">
        <f>IF(M1057=0,"-",M1057-J1057)</f>
        <v/>
      </c>
      <c r="AI1057" s="46">
        <f>IF(AND(S1057=0,M1057&gt;0,L1057=0),IF(AH1057&gt;=120,"VERY HIGH",IF(AH1057&gt;=90,"HIGH",IF(AH1057&gt;=60,"MEDIUM",IF(AH1057&lt;60,"LOW")))),"-")</f>
        <v/>
      </c>
      <c r="AJ1057" s="12" t="n"/>
      <c r="AK1057" s="53">
        <f>IF(AND(W1057="X",M1057&lt;=$AJ$2),"YES","")</f>
        <v/>
      </c>
      <c r="AL1057" s="54">
        <f>IF(AND(W1057="X",M1057&lt;=$AJ$2),S1057,"")</f>
        <v/>
      </c>
      <c r="AM1057" s="35" t="n"/>
      <c r="AN1057" s="35">
        <f>IF(AND(W1057="X",M1057&gt;$AJ$2),S1057,"")</f>
        <v/>
      </c>
      <c r="AO1057" s="35">
        <f>IF(AND(W1057="",M1057&gt;0,$AJ$2&gt;M1057,L1057=""),1,0)</f>
        <v/>
      </c>
      <c r="AP1057" s="35">
        <f>IF(AND(AK1057="YES",W1057="X"),"X","")</f>
        <v/>
      </c>
      <c r="AQ1057" s="55">
        <f>IF(AP1057="X",100%,0%)</f>
        <v/>
      </c>
      <c r="AR1057" s="25">
        <f>IF(AND(T1057&gt;0,L1057=""),H1057,"")</f>
        <v/>
      </c>
      <c r="AS1057" s="25">
        <f>IF(AND(D1057&gt;0,H1057=0,G1057=""),1,"")</f>
        <v/>
      </c>
      <c r="AT1057" s="25">
        <f>IF(G1057="BLOQ",1,"")</f>
        <v/>
      </c>
      <c r="AU1057" s="25">
        <f>IF(L1057="BLOQ",1,"")</f>
        <v/>
      </c>
      <c r="AV1057" s="25">
        <f>MONTH(F1057)</f>
        <v/>
      </c>
      <c r="AW1057" s="65">
        <f>IF(AP1057="",100%,0%)</f>
        <v/>
      </c>
      <c r="AX1057" s="56" t="n"/>
      <c r="AY1057" s="24">
        <f>IF(M1057=0,"",M1057-$AX$2)</f>
        <v/>
      </c>
      <c r="AZ1057" s="66">
        <f>IF(AND(W1057="",AY1057&gt;0,AY1057&lt;15),1,0)</f>
        <v/>
      </c>
      <c r="BA1057" s="24">
        <f>IF(AND(W1057="",AY1057&gt;0,AY1057&lt;15),T1057,"")</f>
        <v/>
      </c>
      <c r="BB1057" s="87">
        <f>IF(R1057&lt;Q1057,"X","")</f>
        <v/>
      </c>
      <c r="BC1057" s="191" t="inlineStr">
        <is>
          <t>SI</t>
        </is>
      </c>
      <c r="BD1057" s="191" t="inlineStr">
        <is>
          <t>SI</t>
        </is>
      </c>
    </row>
    <row r="1058" ht="15" customHeight="1" s="162">
      <c r="A1058" s="7" t="n">
        <v>1057</v>
      </c>
      <c r="B1058" t="inlineStr">
        <is>
          <t>1289980760100</t>
        </is>
      </c>
      <c r="C1058" t="inlineStr">
        <is>
          <t>SENSOR HUMEDAD 100%HR P/INT RJ11 CBL 3M</t>
        </is>
      </c>
      <c r="D1058" t="inlineStr">
        <is>
          <t>1800108953</t>
        </is>
      </c>
      <c r="E1058" t="inlineStr">
        <is>
          <t>590</t>
        </is>
      </c>
      <c r="F1058" s="163" t="n">
        <v>45463</v>
      </c>
      <c r="G1058" t="inlineStr"/>
      <c r="H1058" t="inlineStr">
        <is>
          <t>4200581755</t>
        </is>
      </c>
      <c r="I1058" t="inlineStr">
        <is>
          <t>30</t>
        </is>
      </c>
      <c r="J1058" s="163" t="n">
        <v>45582</v>
      </c>
      <c r="K1058" s="163" t="n">
        <v>45582</v>
      </c>
      <c r="L1058" t="inlineStr"/>
      <c r="M1058" s="163" t="n">
        <v>45590</v>
      </c>
      <c r="N1058" s="164" t="n">
        <v>40</v>
      </c>
      <c r="O1058" s="164" t="n">
        <v>8</v>
      </c>
      <c r="P1058" t="inlineStr">
        <is>
          <t>Liberado</t>
        </is>
      </c>
      <c r="Q1058" s="165" t="n">
        <v>4</v>
      </c>
      <c r="R1058" s="165" t="n">
        <v>4</v>
      </c>
      <c r="S1058" s="165" t="n">
        <v>4</v>
      </c>
      <c r="T1058" s="165" t="n">
        <v>0</v>
      </c>
      <c r="U1058" s="166" t="n">
        <v>4</v>
      </c>
      <c r="V1058" s="166" t="n">
        <v>0</v>
      </c>
      <c r="W1058" t="inlineStr">
        <is>
          <t>X</t>
        </is>
      </c>
      <c r="X1058" t="inlineStr">
        <is>
          <t>0.00</t>
        </is>
      </c>
      <c r="Y1058" t="inlineStr"/>
      <c r="Z1058" t="inlineStr">
        <is>
          <t>CARTRONIC MEMORY, S.A.</t>
        </is>
      </c>
      <c r="AA1058" t="inlineStr">
        <is>
          <t>HW GROUP</t>
        </is>
      </c>
      <c r="AB1058" t="inlineStr">
        <is>
          <t>HUMID-1WIRE 3M</t>
        </is>
      </c>
      <c r="AC1058" t="inlineStr"/>
      <c r="AD1058" s="164" t="n">
        <v>0</v>
      </c>
      <c r="AE1058" s="185" t="n">
        <v>0</v>
      </c>
      <c r="AG1058" s="167" t="inlineStr">
        <is>
          <t>7218|JA2582_1001</t>
        </is>
      </c>
      <c r="AH1058" s="47">
        <f>IF(M1058=0,"-",M1058-J1058)</f>
        <v/>
      </c>
      <c r="AI1058" s="46">
        <f>IF(AND(S1058=0,M1058&gt;0,L1058=0),IF(AH1058&gt;=120,"VERY HIGH",IF(AH1058&gt;=90,"HIGH",IF(AH1058&gt;=60,"MEDIUM",IF(AH1058&lt;60,"LOW")))),"-")</f>
        <v/>
      </c>
      <c r="AJ1058" s="12" t="n"/>
      <c r="AK1058" s="53">
        <f>IF(AND(W1058="X",M1058&lt;=$AJ$2),"YES","")</f>
        <v/>
      </c>
      <c r="AL1058" s="54">
        <f>IF(AND(W1058="X",M1058&lt;=$AJ$2),S1058,"")</f>
        <v/>
      </c>
      <c r="AM1058" s="35" t="n"/>
      <c r="AN1058" s="35">
        <f>IF(AND(W1058="X",M1058&gt;$AJ$2),S1058,"")</f>
        <v/>
      </c>
      <c r="AO1058" s="35">
        <f>IF(AND(W1058="",M1058&gt;0,$AJ$2&gt;M1058,L1058=""),1,0)</f>
        <v/>
      </c>
      <c r="AP1058" s="35">
        <f>IF(AND(AK1058="YES",W1058="X"),"X","")</f>
        <v/>
      </c>
      <c r="AQ1058" s="55">
        <f>IF(AP1058="X",100%,0%)</f>
        <v/>
      </c>
      <c r="AR1058" s="25">
        <f>IF(AND(T1058&gt;0,L1058=""),H1058,"")</f>
        <v/>
      </c>
      <c r="AS1058" s="25">
        <f>IF(AND(D1058&gt;0,H1058=0,G1058=""),1,"")</f>
        <v/>
      </c>
      <c r="AT1058" s="25">
        <f>IF(G1058="BLOQ",1,"")</f>
        <v/>
      </c>
      <c r="AU1058" s="25">
        <f>IF(L1058="BLOQ",1,"")</f>
        <v/>
      </c>
      <c r="AV1058" s="25">
        <f>MONTH(F1058)</f>
        <v/>
      </c>
      <c r="AW1058" s="65">
        <f>IF(AP1058="",100%,0%)</f>
        <v/>
      </c>
      <c r="AX1058" s="56" t="n"/>
      <c r="AY1058" s="24">
        <f>IF(M1058=0,"",M1058-$AX$2)</f>
        <v/>
      </c>
      <c r="AZ1058" s="66">
        <f>IF(AND(W1058="",AY1058&gt;0,AY1058&lt;15),1,0)</f>
        <v/>
      </c>
      <c r="BA1058" s="24">
        <f>IF(AND(W1058="",AY1058&gt;0,AY1058&lt;15),T1058,"")</f>
        <v/>
      </c>
      <c r="BB1058" s="87">
        <f>IF(R1058&lt;Q1058,"X","")</f>
        <v/>
      </c>
      <c r="BC1058" s="191" t="inlineStr">
        <is>
          <t>SI</t>
        </is>
      </c>
      <c r="BD1058" s="191" t="inlineStr">
        <is>
          <t>SI</t>
        </is>
      </c>
    </row>
    <row r="1059" ht="15" customHeight="1" s="162">
      <c r="A1059" s="7" t="n">
        <v>1058</v>
      </c>
      <c r="B1059" t="inlineStr">
        <is>
          <t>1309005060200</t>
        </is>
      </c>
      <c r="C1059" t="inlineStr">
        <is>
          <t>SPLITTER HUB 1/5 SENSOR 5XRJ11 10CM</t>
        </is>
      </c>
      <c r="D1059" t="inlineStr">
        <is>
          <t>1800108953</t>
        </is>
      </c>
      <c r="E1059" t="inlineStr">
        <is>
          <t>600</t>
        </is>
      </c>
      <c r="F1059" s="163" t="n">
        <v>45463</v>
      </c>
      <c r="G1059" t="inlineStr"/>
      <c r="H1059" t="inlineStr">
        <is>
          <t>4200578067</t>
        </is>
      </c>
      <c r="I1059" t="inlineStr">
        <is>
          <t>10</t>
        </is>
      </c>
      <c r="J1059" s="163" t="n">
        <v>45555</v>
      </c>
      <c r="K1059" s="163" t="n">
        <v>45555</v>
      </c>
      <c r="L1059" t="inlineStr"/>
      <c r="M1059" s="163" t="n">
        <v>45566</v>
      </c>
      <c r="N1059" s="164" t="n">
        <v>40</v>
      </c>
      <c r="O1059" s="164" t="n">
        <v>8</v>
      </c>
      <c r="P1059" t="inlineStr">
        <is>
          <t>Liberado</t>
        </is>
      </c>
      <c r="Q1059" s="165" t="n">
        <v>2</v>
      </c>
      <c r="R1059" s="165" t="n">
        <v>2</v>
      </c>
      <c r="S1059" s="165" t="n">
        <v>2</v>
      </c>
      <c r="T1059" s="165" t="n">
        <v>0</v>
      </c>
      <c r="U1059" s="166" t="n">
        <v>2</v>
      </c>
      <c r="V1059" s="166" t="n">
        <v>0</v>
      </c>
      <c r="W1059" t="inlineStr">
        <is>
          <t>X</t>
        </is>
      </c>
      <c r="X1059" t="inlineStr">
        <is>
          <t>0.00</t>
        </is>
      </c>
      <c r="Y1059" t="inlineStr"/>
      <c r="Z1059" t="inlineStr">
        <is>
          <t>INFORMATICA CALCULO Y TECNICA, S.A.</t>
        </is>
      </c>
      <c r="AA1059" t="inlineStr">
        <is>
          <t>HW GROUP</t>
        </is>
      </c>
      <c r="AB1059" t="inlineStr">
        <is>
          <t>600356</t>
        </is>
      </c>
      <c r="AC1059" t="inlineStr"/>
      <c r="AD1059" s="164" t="n">
        <v>0</v>
      </c>
      <c r="AE1059" s="185" t="n">
        <v>0</v>
      </c>
      <c r="AG1059" s="167" t="inlineStr">
        <is>
          <t>7218|JA2582_1001</t>
        </is>
      </c>
      <c r="AH1059" s="47">
        <f>IF(M1059=0,"-",M1059-J1059)</f>
        <v/>
      </c>
      <c r="AI1059" s="46">
        <f>IF(AND(S1059=0,M1059&gt;0,L1059=0),IF(AH1059&gt;=120,"VERY HIGH",IF(AH1059&gt;=90,"HIGH",IF(AH1059&gt;=60,"MEDIUM",IF(AH1059&lt;60,"LOW")))),"-")</f>
        <v/>
      </c>
      <c r="AJ1059" s="12" t="n"/>
      <c r="AK1059" s="53">
        <f>IF(AND(W1059="X",M1059&lt;=$AJ$2),"YES","")</f>
        <v/>
      </c>
      <c r="AL1059" s="54">
        <f>IF(AND(W1059="X",M1059&lt;=$AJ$2),S1059,"")</f>
        <v/>
      </c>
      <c r="AM1059" s="35" t="n"/>
      <c r="AN1059" s="35">
        <f>IF(AND(W1059="X",M1059&gt;$AJ$2),S1059,"")</f>
        <v/>
      </c>
      <c r="AO1059" s="35">
        <f>IF(AND(W1059="",M1059&gt;0,$AJ$2&gt;M1059,L1059=""),1,0)</f>
        <v/>
      </c>
      <c r="AP1059" s="35">
        <f>IF(AND(AK1059="YES",W1059="X"),"X","")</f>
        <v/>
      </c>
      <c r="AQ1059" s="55">
        <f>IF(AP1059="X",100%,0%)</f>
        <v/>
      </c>
      <c r="AR1059" s="25">
        <f>IF(AND(T1059&gt;0,L1059=""),H1059,"")</f>
        <v/>
      </c>
      <c r="AS1059" s="25">
        <f>IF(AND(D1059&gt;0,H1059=0,G1059=""),1,"")</f>
        <v/>
      </c>
      <c r="AT1059" s="25">
        <f>IF(G1059="BLOQ",1,"")</f>
        <v/>
      </c>
      <c r="AU1059" s="25">
        <f>IF(L1059="BLOQ",1,"")</f>
        <v/>
      </c>
      <c r="AV1059" s="25">
        <f>MONTH(F1059)</f>
        <v/>
      </c>
      <c r="AW1059" s="65">
        <f>IF(AP1059="",100%,0%)</f>
        <v/>
      </c>
      <c r="AX1059" s="56" t="n"/>
      <c r="AY1059" s="24">
        <f>IF(M1059=0,"",M1059-$AX$2)</f>
        <v/>
      </c>
      <c r="AZ1059" s="66">
        <f>IF(AND(W1059="",AY1059&gt;0,AY1059&lt;15),1,0)</f>
        <v/>
      </c>
      <c r="BA1059" s="24">
        <f>IF(AND(W1059="",AY1059&gt;0,AY1059&lt;15),T1059,"")</f>
        <v/>
      </c>
      <c r="BB1059" s="87">
        <f>IF(R1059&lt;Q1059,"X","")</f>
        <v/>
      </c>
      <c r="BC1059" s="190" t="inlineStr">
        <is>
          <t>NO</t>
        </is>
      </c>
      <c r="BD1059" s="191" t="inlineStr">
        <is>
          <t>SI</t>
        </is>
      </c>
    </row>
    <row r="1060" ht="15" customHeight="1" s="162">
      <c r="A1060" s="7" t="n">
        <v>1059</v>
      </c>
      <c r="B1060" t="inlineStr">
        <is>
          <t>1351202410200</t>
        </is>
      </c>
      <c r="C1060" t="inlineStr">
        <is>
          <t>MOD TERM 16SALIDA DIGI 24VDC 3C 500KBPS</t>
        </is>
      </c>
      <c r="D1060" t="inlineStr">
        <is>
          <t>1800108953</t>
        </is>
      </c>
      <c r="E1060" t="inlineStr">
        <is>
          <t>610</t>
        </is>
      </c>
      <c r="F1060" s="163" t="n">
        <v>45463</v>
      </c>
      <c r="G1060" t="inlineStr"/>
      <c r="H1060" t="inlineStr">
        <is>
          <t>4200578070</t>
        </is>
      </c>
      <c r="I1060" t="inlineStr">
        <is>
          <t>10</t>
        </is>
      </c>
      <c r="J1060" s="163" t="n">
        <v>45555</v>
      </c>
      <c r="K1060" s="163" t="n">
        <v>45558</v>
      </c>
      <c r="L1060" t="inlineStr"/>
      <c r="M1060" s="163" t="n">
        <v>45565</v>
      </c>
      <c r="N1060" s="164" t="n">
        <v>30</v>
      </c>
      <c r="O1060" s="164" t="n">
        <v>8</v>
      </c>
      <c r="P1060" t="inlineStr">
        <is>
          <t>Liberado</t>
        </is>
      </c>
      <c r="Q1060" s="165" t="n">
        <v>2</v>
      </c>
      <c r="R1060" s="165" t="n">
        <v>2</v>
      </c>
      <c r="S1060" s="165" t="n">
        <v>2</v>
      </c>
      <c r="T1060" s="165" t="n">
        <v>0</v>
      </c>
      <c r="U1060" s="166" t="n">
        <v>0</v>
      </c>
      <c r="V1060" s="166" t="n">
        <v>0</v>
      </c>
      <c r="W1060" t="inlineStr">
        <is>
          <t>X</t>
        </is>
      </c>
      <c r="X1060" t="inlineStr">
        <is>
          <t>0.00</t>
        </is>
      </c>
      <c r="Y1060" t="inlineStr"/>
      <c r="Z1060" t="inlineStr">
        <is>
          <t>(AEMSA)ALMACENES ELECTRICOS MADRILE</t>
        </is>
      </c>
      <c r="AA1060" t="inlineStr">
        <is>
          <t>PHOENIX CONTACT</t>
        </is>
      </c>
      <c r="AB1060" t="inlineStr">
        <is>
          <t>2861292</t>
        </is>
      </c>
      <c r="AC1060" t="inlineStr"/>
      <c r="AD1060" s="164" t="n">
        <v>0</v>
      </c>
      <c r="AE1060" s="185" t="n">
        <v>0</v>
      </c>
      <c r="AG1060" s="167" t="inlineStr">
        <is>
          <t>7218|JA2582_1001</t>
        </is>
      </c>
      <c r="AH1060" s="47">
        <f>IF(M1060=0,"-",M1060-J1060)</f>
        <v/>
      </c>
      <c r="AI1060" s="46">
        <f>IF(AND(S1060=0,M1060&gt;0,L1060=0),IF(AH1060&gt;=120,"VERY HIGH",IF(AH1060&gt;=90,"HIGH",IF(AH1060&gt;=60,"MEDIUM",IF(AH1060&lt;60,"LOW")))),"-")</f>
        <v/>
      </c>
      <c r="AJ1060" s="12" t="n"/>
      <c r="AK1060" s="53">
        <f>IF(AND(W1060="X",M1060&lt;=$AJ$2),"YES","")</f>
        <v/>
      </c>
      <c r="AL1060" s="54">
        <f>IF(AND(W1060="X",M1060&lt;=$AJ$2),S1060,"")</f>
        <v/>
      </c>
      <c r="AM1060" s="35" t="n"/>
      <c r="AN1060" s="35">
        <f>IF(AND(W1060="X",M1060&gt;$AJ$2),S1060,"")</f>
        <v/>
      </c>
      <c r="AO1060" s="35">
        <f>IF(AND(W1060="",M1060&gt;0,$AJ$2&gt;M1060,L1060=""),1,0)</f>
        <v/>
      </c>
      <c r="AP1060" s="35">
        <f>IF(AND(AK1060="YES",W1060="X"),"X","")</f>
        <v/>
      </c>
      <c r="AQ1060" s="55">
        <f>IF(AP1060="X",100%,0%)</f>
        <v/>
      </c>
      <c r="AR1060" s="25">
        <f>IF(AND(T1060&gt;0,L1060=""),H1060,"")</f>
        <v/>
      </c>
      <c r="AS1060" s="25">
        <f>IF(AND(D1060&gt;0,H1060=0,G1060=""),1,"")</f>
        <v/>
      </c>
      <c r="AT1060" s="25">
        <f>IF(G1060="BLOQ",1,"")</f>
        <v/>
      </c>
      <c r="AU1060" s="25">
        <f>IF(L1060="BLOQ",1,"")</f>
        <v/>
      </c>
      <c r="AV1060" s="25">
        <f>MONTH(F1060)</f>
        <v/>
      </c>
      <c r="AW1060" s="65">
        <f>IF(AP1060="",100%,0%)</f>
        <v/>
      </c>
      <c r="AX1060" s="56" t="n"/>
      <c r="AY1060" s="24">
        <f>IF(M1060=0,"",M1060-$AX$2)</f>
        <v/>
      </c>
      <c r="AZ1060" s="66">
        <f>IF(AND(W1060="",AY1060&gt;0,AY1060&lt;15),1,0)</f>
        <v/>
      </c>
      <c r="BA1060" s="24">
        <f>IF(AND(W1060="",AY1060&gt;0,AY1060&lt;15),T1060,"")</f>
        <v/>
      </c>
      <c r="BB1060" s="87">
        <f>IF(R1060&lt;Q1060,"X","")</f>
        <v/>
      </c>
      <c r="BC1060" s="190" t="inlineStr">
        <is>
          <t>NO</t>
        </is>
      </c>
      <c r="BD1060" s="191" t="inlineStr">
        <is>
          <t>SI</t>
        </is>
      </c>
    </row>
    <row r="1061" ht="15" customHeight="1" s="162">
      <c r="A1061" s="7" t="n">
        <v>1060</v>
      </c>
      <c r="B1061" t="inlineStr">
        <is>
          <t>1351202410300</t>
        </is>
      </c>
      <c r="C1061" t="inlineStr">
        <is>
          <t>MOD TERM 16ENTRADA DIGI 24VDC 3C 500KBPS</t>
        </is>
      </c>
      <c r="D1061" t="inlineStr">
        <is>
          <t>1800108953</t>
        </is>
      </c>
      <c r="E1061" t="inlineStr">
        <is>
          <t>620</t>
        </is>
      </c>
      <c r="F1061" s="163" t="n">
        <v>45463</v>
      </c>
      <c r="G1061" t="inlineStr"/>
      <c r="H1061" t="inlineStr">
        <is>
          <t>4200578070</t>
        </is>
      </c>
      <c r="I1061" t="inlineStr">
        <is>
          <t>20</t>
        </is>
      </c>
      <c r="J1061" s="163" t="n">
        <v>45555</v>
      </c>
      <c r="K1061" s="163" t="n">
        <v>45558</v>
      </c>
      <c r="L1061" t="inlineStr"/>
      <c r="M1061" s="163" t="n">
        <v>45565</v>
      </c>
      <c r="N1061" s="164" t="n">
        <v>30</v>
      </c>
      <c r="O1061" s="164" t="n">
        <v>8</v>
      </c>
      <c r="P1061" t="inlineStr">
        <is>
          <t>Liberado</t>
        </is>
      </c>
      <c r="Q1061" s="165" t="n">
        <v>3</v>
      </c>
      <c r="R1061" s="165" t="n">
        <v>3</v>
      </c>
      <c r="S1061" s="165" t="n">
        <v>3</v>
      </c>
      <c r="T1061" s="165" t="n">
        <v>0</v>
      </c>
      <c r="U1061" s="166" t="n">
        <v>3</v>
      </c>
      <c r="V1061" s="166" t="n">
        <v>0</v>
      </c>
      <c r="W1061" t="inlineStr">
        <is>
          <t>X</t>
        </is>
      </c>
      <c r="X1061" t="inlineStr">
        <is>
          <t>0.00</t>
        </is>
      </c>
      <c r="Y1061" t="inlineStr"/>
      <c r="Z1061" t="inlineStr">
        <is>
          <t>(AEMSA)ALMACENES ELECTRICOS MADRILE</t>
        </is>
      </c>
      <c r="AA1061" t="inlineStr">
        <is>
          <t>PHOENIX CONTACT</t>
        </is>
      </c>
      <c r="AB1061" t="inlineStr">
        <is>
          <t>2861250</t>
        </is>
      </c>
      <c r="AC1061" t="inlineStr"/>
      <c r="AD1061" s="164" t="n">
        <v>0</v>
      </c>
      <c r="AE1061" s="185" t="n">
        <v>0</v>
      </c>
      <c r="AG1061" s="167" t="inlineStr">
        <is>
          <t>7218|JA2582_1001</t>
        </is>
      </c>
      <c r="AH1061" s="47">
        <f>IF(M1061=0,"-",M1061-J1061)</f>
        <v/>
      </c>
      <c r="AI1061" s="46">
        <f>IF(AND(S1061=0,M1061&gt;0,L1061=0),IF(AH1061&gt;=120,"VERY HIGH",IF(AH1061&gt;=90,"HIGH",IF(AH1061&gt;=60,"MEDIUM",IF(AH1061&lt;60,"LOW")))),"-")</f>
        <v/>
      </c>
      <c r="AJ1061" s="12" t="n"/>
      <c r="AK1061" s="53">
        <f>IF(AND(W1061="X",M1061&lt;=$AJ$2),"YES","")</f>
        <v/>
      </c>
      <c r="AL1061" s="54">
        <f>IF(AND(W1061="X",M1061&lt;=$AJ$2),S1061,"")</f>
        <v/>
      </c>
      <c r="AM1061" s="35" t="n"/>
      <c r="AN1061" s="35">
        <f>IF(AND(W1061="X",M1061&gt;$AJ$2),S1061,"")</f>
        <v/>
      </c>
      <c r="AO1061" s="35">
        <f>IF(AND(W1061="",M1061&gt;0,$AJ$2&gt;M1061,L1061=""),1,0)</f>
        <v/>
      </c>
      <c r="AP1061" s="35">
        <f>IF(AND(AK1061="YES",W1061="X"),"X","")</f>
        <v/>
      </c>
      <c r="AQ1061" s="55">
        <f>IF(AP1061="X",100%,0%)</f>
        <v/>
      </c>
      <c r="AR1061" s="25">
        <f>IF(AND(T1061&gt;0,L1061=""),H1061,"")</f>
        <v/>
      </c>
      <c r="AS1061" s="25">
        <f>IF(AND(D1061&gt;0,H1061=0,G1061=""),1,"")</f>
        <v/>
      </c>
      <c r="AT1061" s="25">
        <f>IF(G1061="BLOQ",1,"")</f>
        <v/>
      </c>
      <c r="AU1061" s="25">
        <f>IF(L1061="BLOQ",1,"")</f>
        <v/>
      </c>
      <c r="AV1061" s="25">
        <f>MONTH(F1061)</f>
        <v/>
      </c>
      <c r="AW1061" s="65">
        <f>IF(AP1061="",100%,0%)</f>
        <v/>
      </c>
      <c r="AX1061" s="56" t="n"/>
      <c r="AY1061" s="24">
        <f>IF(M1061=0,"",M1061-$AX$2)</f>
        <v/>
      </c>
      <c r="AZ1061" s="66">
        <f>IF(AND(W1061="",AY1061&gt;0,AY1061&lt;15),1,0)</f>
        <v/>
      </c>
      <c r="BA1061" s="24">
        <f>IF(AND(W1061="",AY1061&gt;0,AY1061&lt;15),T1061,"")</f>
        <v/>
      </c>
      <c r="BB1061" s="87">
        <f>IF(R1061&lt;Q1061,"X","")</f>
        <v/>
      </c>
      <c r="BC1061" s="190" t="inlineStr">
        <is>
          <t>NO</t>
        </is>
      </c>
      <c r="BD1061" s="191" t="inlineStr">
        <is>
          <t>SI</t>
        </is>
      </c>
    </row>
    <row r="1062" ht="15" customHeight="1" s="162">
      <c r="A1062" s="7" t="n">
        <v>1061</v>
      </c>
      <c r="B1062" t="inlineStr">
        <is>
          <t>1351705469000</t>
        </is>
      </c>
      <c r="C1062" t="inlineStr">
        <is>
          <t>KIT MONTAJE P/ ID3000 2 LAZOS CAB STAND</t>
        </is>
      </c>
      <c r="D1062" t="inlineStr">
        <is>
          <t>1800108953</t>
        </is>
      </c>
      <c r="E1062" t="inlineStr">
        <is>
          <t>630</t>
        </is>
      </c>
      <c r="F1062" s="163" t="n">
        <v>45463</v>
      </c>
      <c r="G1062" t="inlineStr"/>
      <c r="H1062" t="inlineStr">
        <is>
          <t>4200582054</t>
        </is>
      </c>
      <c r="I1062" t="inlineStr">
        <is>
          <t>30</t>
        </is>
      </c>
      <c r="J1062" s="163" t="n">
        <v>45586</v>
      </c>
      <c r="K1062" s="163" t="n">
        <v>45593</v>
      </c>
      <c r="L1062" t="inlineStr"/>
      <c r="M1062" s="163" t="n">
        <v>45488</v>
      </c>
      <c r="N1062" s="164" t="n">
        <v>80</v>
      </c>
      <c r="O1062" s="164" t="n">
        <v>8</v>
      </c>
      <c r="P1062" t="inlineStr">
        <is>
          <t>Liberado</t>
        </is>
      </c>
      <c r="Q1062" s="166" t="n">
        <v>1</v>
      </c>
      <c r="R1062" s="166" t="n">
        <v>1</v>
      </c>
      <c r="S1062" s="166" t="n">
        <v>1</v>
      </c>
      <c r="T1062" s="166" t="n">
        <v>0</v>
      </c>
      <c r="U1062" s="166" t="n">
        <v>0</v>
      </c>
      <c r="V1062" s="166" t="n">
        <v>0</v>
      </c>
      <c r="W1062" t="inlineStr">
        <is>
          <t>X</t>
        </is>
      </c>
      <c r="X1062" t="inlineStr">
        <is>
          <t>0.00</t>
        </is>
      </c>
      <c r="Y1062" t="inlineStr"/>
      <c r="Z1062" t="inlineStr">
        <is>
          <t>BY DEMES, S.L.</t>
        </is>
      </c>
      <c r="AA1062" t="inlineStr">
        <is>
          <t>NOTIFIER</t>
        </is>
      </c>
      <c r="AB1062" t="inlineStr">
        <is>
          <t>ID3004-2-001</t>
        </is>
      </c>
      <c r="AC1062" t="inlineStr"/>
      <c r="AD1062" s="164" t="n">
        <v>0</v>
      </c>
      <c r="AE1062" s="185" t="n">
        <v>0</v>
      </c>
      <c r="AG1062" s="167" t="inlineStr">
        <is>
          <t>7218|JA2582_1001</t>
        </is>
      </c>
      <c r="AH1062" s="47">
        <f>IF(M1062=0,"-",M1062-J1062)</f>
        <v/>
      </c>
      <c r="AI1062" s="46">
        <f>IF(AND(S1062=0,M1062&gt;0,L1062=0),IF(AH1062&gt;=120,"VERY HIGH",IF(AH1062&gt;=90,"HIGH",IF(AH1062&gt;=60,"MEDIUM",IF(AH1062&lt;60,"LOW")))),"-")</f>
        <v/>
      </c>
      <c r="AJ1062" s="12" t="n"/>
      <c r="AK1062" s="53">
        <f>IF(AND(W1062="X",M1062&lt;=$AJ$2),"YES","")</f>
        <v/>
      </c>
      <c r="AL1062" s="54">
        <f>IF(AND(W1062="X",M1062&lt;=$AJ$2),S1062,"")</f>
        <v/>
      </c>
      <c r="AM1062" s="35" t="n"/>
      <c r="AN1062" s="35">
        <f>IF(AND(W1062="X",M1062&gt;$AJ$2),S1062,"")</f>
        <v/>
      </c>
      <c r="AO1062" s="35">
        <f>IF(AND(W1062="",M1062&gt;0,$AJ$2&gt;M1062,L1062=""),1,0)</f>
        <v/>
      </c>
      <c r="AP1062" s="35">
        <f>IF(AND(AK1062="YES",W1062="X"),"X","")</f>
        <v/>
      </c>
      <c r="AQ1062" s="55">
        <f>IF(AP1062="X",100%,0%)</f>
        <v/>
      </c>
      <c r="AR1062" s="25">
        <f>IF(AND(T1062&gt;0,L1062=""),H1062,"")</f>
        <v/>
      </c>
      <c r="AS1062" s="25">
        <f>IF(AND(D1062&gt;0,H1062=0,G1062=""),1,"")</f>
        <v/>
      </c>
      <c r="AT1062" s="25">
        <f>IF(G1062="BLOQ",1,"")</f>
        <v/>
      </c>
      <c r="AU1062" s="25">
        <f>IF(L1062="BLOQ",1,"")</f>
        <v/>
      </c>
      <c r="AV1062" s="25">
        <f>MONTH(F1062)</f>
        <v/>
      </c>
      <c r="AW1062" s="65">
        <f>IF(AP1062="",100%,0%)</f>
        <v/>
      </c>
      <c r="AX1062" s="56" t="n"/>
      <c r="AY1062" s="24">
        <f>IF(M1062=0,"",M1062-$AX$2)</f>
        <v/>
      </c>
      <c r="AZ1062" s="66">
        <f>IF(AND(W1062="",AY1062&gt;0,AY1062&lt;15),1,0)</f>
        <v/>
      </c>
      <c r="BA1062" s="24">
        <f>IF(AND(W1062="",AY1062&gt;0,AY1062&lt;15),T1062,"")</f>
        <v/>
      </c>
      <c r="BB1062" s="87">
        <f>IF(R1062&lt;Q1062,"X","")</f>
        <v/>
      </c>
      <c r="BC1062" s="191" t="inlineStr">
        <is>
          <t>SI</t>
        </is>
      </c>
      <c r="BD1062" s="191" t="inlineStr">
        <is>
          <t>SI</t>
        </is>
      </c>
    </row>
    <row r="1063" ht="15" customHeight="1" s="162">
      <c r="A1063" s="7" t="n">
        <v>1062</v>
      </c>
      <c r="B1063" t="inlineStr">
        <is>
          <t>1351708680400</t>
        </is>
      </c>
      <c r="C1063" t="inlineStr">
        <is>
          <t>MOD POSEIDON 3468 48VDC 4XDI 2XDO 230V 1</t>
        </is>
      </c>
      <c r="D1063" t="inlineStr">
        <is>
          <t>1800108953</t>
        </is>
      </c>
      <c r="E1063" t="inlineStr">
        <is>
          <t>640</t>
        </is>
      </c>
      <c r="F1063" s="163" t="n">
        <v>45463</v>
      </c>
      <c r="G1063" t="inlineStr"/>
      <c r="H1063" t="inlineStr">
        <is>
          <t>4200581755</t>
        </is>
      </c>
      <c r="I1063" t="inlineStr">
        <is>
          <t>40</t>
        </is>
      </c>
      <c r="J1063" s="163" t="n">
        <v>45582</v>
      </c>
      <c r="K1063" s="163" t="n">
        <v>45582</v>
      </c>
      <c r="L1063" t="inlineStr"/>
      <c r="M1063" s="163" t="n">
        <v>45590</v>
      </c>
      <c r="N1063" s="164" t="n">
        <v>40</v>
      </c>
      <c r="O1063" s="164" t="n">
        <v>8</v>
      </c>
      <c r="P1063" t="inlineStr">
        <is>
          <t>Liberado</t>
        </is>
      </c>
      <c r="Q1063" s="165" t="n">
        <v>2</v>
      </c>
      <c r="R1063" s="165" t="n">
        <v>2</v>
      </c>
      <c r="S1063" s="165" t="n">
        <v>2</v>
      </c>
      <c r="T1063" s="165" t="n">
        <v>0</v>
      </c>
      <c r="U1063" s="166" t="n">
        <v>2</v>
      </c>
      <c r="V1063" s="166" t="n">
        <v>0</v>
      </c>
      <c r="W1063" t="inlineStr">
        <is>
          <t>X</t>
        </is>
      </c>
      <c r="X1063" t="inlineStr">
        <is>
          <t>0.00</t>
        </is>
      </c>
      <c r="Y1063" t="inlineStr"/>
      <c r="Z1063" t="inlineStr">
        <is>
          <t>CARTRONIC MEMORY, S.A.</t>
        </is>
      </c>
      <c r="AA1063" t="inlineStr">
        <is>
          <t>HW GROUP</t>
        </is>
      </c>
      <c r="AB1063" t="inlineStr">
        <is>
          <t>600570</t>
        </is>
      </c>
      <c r="AC1063" t="inlineStr"/>
      <c r="AD1063" s="164" t="n">
        <v>0</v>
      </c>
      <c r="AE1063" s="185" t="n">
        <v>0</v>
      </c>
      <c r="AG1063" s="167" t="inlineStr">
        <is>
          <t>7218|JA2582_1001</t>
        </is>
      </c>
      <c r="AH1063" s="47">
        <f>IF(M1063=0,"-",M1063-J1063)</f>
        <v/>
      </c>
      <c r="AI1063" s="46">
        <f>IF(AND(S1063=0,M1063&gt;0,L1063=0),IF(AH1063&gt;=120,"VERY HIGH",IF(AH1063&gt;=90,"HIGH",IF(AH1063&gt;=60,"MEDIUM",IF(AH1063&lt;60,"LOW")))),"-")</f>
        <v/>
      </c>
      <c r="AJ1063" s="12" t="n"/>
      <c r="AK1063" s="53">
        <f>IF(AND(W1063="X",M1063&lt;=$AJ$2),"YES","")</f>
        <v/>
      </c>
      <c r="AL1063" s="54">
        <f>IF(AND(W1063="X",M1063&lt;=$AJ$2),S1063,"")</f>
        <v/>
      </c>
      <c r="AM1063" s="35" t="n"/>
      <c r="AN1063" s="35">
        <f>IF(AND(W1063="X",M1063&gt;$AJ$2),S1063,"")</f>
        <v/>
      </c>
      <c r="AO1063" s="35">
        <f>IF(AND(W1063="",M1063&gt;0,$AJ$2&gt;M1063,L1063=""),1,0)</f>
        <v/>
      </c>
      <c r="AP1063" s="35">
        <f>IF(AND(AK1063="YES",W1063="X"),"X","")</f>
        <v/>
      </c>
      <c r="AQ1063" s="55">
        <f>IF(AP1063="X",100%,0%)</f>
        <v/>
      </c>
      <c r="AR1063" s="25">
        <f>IF(AND(T1063&gt;0,L1063=""),H1063,"")</f>
        <v/>
      </c>
      <c r="AS1063" s="25">
        <f>IF(AND(D1063&gt;0,H1063=0,G1063=""),1,"")</f>
        <v/>
      </c>
      <c r="AT1063" s="25">
        <f>IF(G1063="BLOQ",1,"")</f>
        <v/>
      </c>
      <c r="AU1063" s="25">
        <f>IF(L1063="BLOQ",1,"")</f>
        <v/>
      </c>
      <c r="AV1063" s="25">
        <f>MONTH(F1063)</f>
        <v/>
      </c>
      <c r="AW1063" s="65">
        <f>IF(AP1063="",100%,0%)</f>
        <v/>
      </c>
      <c r="AX1063" s="56" t="n"/>
      <c r="AY1063" s="24">
        <f>IF(M1063=0,"",M1063-$AX$2)</f>
        <v/>
      </c>
      <c r="AZ1063" s="66">
        <f>IF(AND(W1063="",AY1063&gt;0,AY1063&lt;15),1,0)</f>
        <v/>
      </c>
      <c r="BA1063" s="24">
        <f>IF(AND(W1063="",AY1063&gt;0,AY1063&lt;15),T1063,"")</f>
        <v/>
      </c>
      <c r="BB1063" s="87">
        <f>IF(R1063&lt;Q1063,"X","")</f>
        <v/>
      </c>
      <c r="BC1063" s="191" t="inlineStr">
        <is>
          <t>SI</t>
        </is>
      </c>
      <c r="BD1063" s="191" t="inlineStr">
        <is>
          <t>SI</t>
        </is>
      </c>
    </row>
    <row r="1064" ht="15" customHeight="1" s="162">
      <c r="A1064" s="7" t="n">
        <v>1063</v>
      </c>
      <c r="B1064" t="inlineStr">
        <is>
          <t>1351800390000</t>
        </is>
      </c>
      <c r="C1064" t="inlineStr">
        <is>
          <t>T MEMORIA FLASH SD 512MB PROGRAM&amp;CONFIG</t>
        </is>
      </c>
      <c r="D1064" t="inlineStr">
        <is>
          <t>1800108953</t>
        </is>
      </c>
      <c r="E1064" t="inlineStr">
        <is>
          <t>650</t>
        </is>
      </c>
      <c r="F1064" s="163" t="n">
        <v>45463</v>
      </c>
      <c r="G1064" t="inlineStr"/>
      <c r="H1064" t="inlineStr">
        <is>
          <t>4200570504</t>
        </is>
      </c>
      <c r="I1064" t="inlineStr">
        <is>
          <t>10</t>
        </is>
      </c>
      <c r="J1064" s="163" t="n">
        <v>45485</v>
      </c>
      <c r="K1064" s="163" t="n">
        <v>45485</v>
      </c>
      <c r="L1064" t="inlineStr"/>
      <c r="M1064" s="163" t="n">
        <v>45499</v>
      </c>
      <c r="N1064" s="164" t="n">
        <v>45</v>
      </c>
      <c r="O1064" s="164" t="n">
        <v>8</v>
      </c>
      <c r="P1064" t="inlineStr">
        <is>
          <t>Liberado</t>
        </is>
      </c>
      <c r="Q1064" s="165" t="n">
        <v>1</v>
      </c>
      <c r="R1064" s="165" t="n">
        <v>1</v>
      </c>
      <c r="S1064" s="165" t="n">
        <v>1</v>
      </c>
      <c r="T1064" s="165" t="n">
        <v>0</v>
      </c>
      <c r="U1064" s="166" t="n">
        <v>1</v>
      </c>
      <c r="V1064" s="166" t="n">
        <v>0</v>
      </c>
      <c r="W1064" t="inlineStr">
        <is>
          <t>X</t>
        </is>
      </c>
      <c r="X1064" t="inlineStr">
        <is>
          <t>0.00</t>
        </is>
      </c>
      <c r="Y1064" t="inlineStr"/>
      <c r="Z1064" t="inlineStr">
        <is>
          <t>LUJISA, S.A.</t>
        </is>
      </c>
      <c r="AA1064" t="inlineStr">
        <is>
          <t>PHOENIX CONTACT</t>
        </is>
      </c>
      <c r="AB1064" t="inlineStr">
        <is>
          <t>2988146</t>
        </is>
      </c>
      <c r="AC1064" t="inlineStr"/>
      <c r="AD1064" s="164" t="n">
        <v>0</v>
      </c>
      <c r="AE1064" s="185" t="n">
        <v>0</v>
      </c>
      <c r="AG1064" s="167" t="inlineStr">
        <is>
          <t>7218|JA2582_1001</t>
        </is>
      </c>
      <c r="AH1064" s="47">
        <f>IF(M1064=0,"-",M1064-J1064)</f>
        <v/>
      </c>
      <c r="AI1064" s="46">
        <f>IF(AND(S1064=0,M1064&gt;0,L1064=0),IF(AH1064&gt;=120,"VERY HIGH",IF(AH1064&gt;=90,"HIGH",IF(AH1064&gt;=60,"MEDIUM",IF(AH1064&lt;60,"LOW")))),"-")</f>
        <v/>
      </c>
      <c r="AJ1064" s="12" t="n"/>
      <c r="AK1064" s="53">
        <f>IF(AND(W1064="X",M1064&lt;=$AJ$2),"YES","")</f>
        <v/>
      </c>
      <c r="AL1064" s="54">
        <f>IF(AND(W1064="X",M1064&lt;=$AJ$2),S1064,"")</f>
        <v/>
      </c>
      <c r="AM1064" s="35" t="n"/>
      <c r="AN1064" s="35">
        <f>IF(AND(W1064="X",M1064&gt;$AJ$2),S1064,"")</f>
        <v/>
      </c>
      <c r="AO1064" s="35">
        <f>IF(AND(W1064="",M1064&gt;0,$AJ$2&gt;M1064,L1064=""),1,0)</f>
        <v/>
      </c>
      <c r="AP1064" s="35">
        <f>IF(AND(AK1064="YES",W1064="X"),"X","")</f>
        <v/>
      </c>
      <c r="AQ1064" s="55">
        <f>IF(AP1064="X",100%,0%)</f>
        <v/>
      </c>
      <c r="AR1064" s="25">
        <f>IF(AND(T1064&gt;0,L1064=""),H1064,"")</f>
        <v/>
      </c>
      <c r="AS1064" s="25">
        <f>IF(AND(D1064&gt;0,H1064=0,G1064=""),1,"")</f>
        <v/>
      </c>
      <c r="AT1064" s="25">
        <f>IF(G1064="BLOQ",1,"")</f>
        <v/>
      </c>
      <c r="AU1064" s="25">
        <f>IF(L1064="BLOQ",1,"")</f>
        <v/>
      </c>
      <c r="AV1064" s="25">
        <f>MONTH(F1064)</f>
        <v/>
      </c>
      <c r="AW1064" s="65">
        <f>IF(AP1064="",100%,0%)</f>
        <v/>
      </c>
      <c r="AX1064" s="56" t="n"/>
      <c r="AY1064" s="24">
        <f>IF(M1064=0,"",M1064-$AX$2)</f>
        <v/>
      </c>
      <c r="AZ1064" s="66">
        <f>IF(AND(W1064="",AY1064&gt;0,AY1064&lt;15),1,0)</f>
        <v/>
      </c>
      <c r="BA1064" s="24">
        <f>IF(AND(W1064="",AY1064&gt;0,AY1064&lt;15),T1064,"")</f>
        <v/>
      </c>
      <c r="BB1064" s="87">
        <f>IF(R1064&lt;Q1064,"X","")</f>
        <v/>
      </c>
      <c r="BC1064" s="190" t="inlineStr">
        <is>
          <t>NO</t>
        </is>
      </c>
      <c r="BD1064" s="191" t="inlineStr">
        <is>
          <t>SI</t>
        </is>
      </c>
    </row>
    <row r="1065" ht="15" customHeight="1" s="162">
      <c r="A1065" s="7" t="n">
        <v>1064</v>
      </c>
      <c r="B1065" t="inlineStr">
        <is>
          <t>1390800921000</t>
        </is>
      </c>
      <c r="C1065" t="inlineStr">
        <is>
          <t>MODULO MONITOR 1ENTRADA 15-30VDC 93X94X2</t>
        </is>
      </c>
      <c r="D1065" t="inlineStr">
        <is>
          <t>1800108953</t>
        </is>
      </c>
      <c r="E1065" t="inlineStr">
        <is>
          <t>660</t>
        </is>
      </c>
      <c r="F1065" s="163" t="n">
        <v>45463</v>
      </c>
      <c r="G1065" t="inlineStr"/>
      <c r="H1065" t="inlineStr">
        <is>
          <t>4200582054</t>
        </is>
      </c>
      <c r="I1065" t="inlineStr">
        <is>
          <t>40</t>
        </is>
      </c>
      <c r="J1065" s="163" t="n">
        <v>45586</v>
      </c>
      <c r="K1065" s="163" t="n">
        <v>45593</v>
      </c>
      <c r="L1065" t="inlineStr"/>
      <c r="M1065" s="163" t="n">
        <v>45488</v>
      </c>
      <c r="N1065" s="164" t="n">
        <v>95</v>
      </c>
      <c r="O1065" s="164" t="n">
        <v>8</v>
      </c>
      <c r="P1065" t="inlineStr">
        <is>
          <t>Liberado</t>
        </is>
      </c>
      <c r="Q1065" s="165" t="n">
        <v>2</v>
      </c>
      <c r="R1065" s="165" t="n">
        <v>2</v>
      </c>
      <c r="S1065" s="165" t="n">
        <v>2</v>
      </c>
      <c r="T1065" s="165" t="n">
        <v>0</v>
      </c>
      <c r="U1065" s="166" t="n">
        <v>2</v>
      </c>
      <c r="V1065" s="166" t="n">
        <v>0</v>
      </c>
      <c r="W1065" t="inlineStr">
        <is>
          <t>X</t>
        </is>
      </c>
      <c r="X1065" t="inlineStr">
        <is>
          <t>0.00</t>
        </is>
      </c>
      <c r="Y1065" t="inlineStr"/>
      <c r="Z1065" t="inlineStr">
        <is>
          <t>BY DEMES, S.L.</t>
        </is>
      </c>
      <c r="AA1065" t="inlineStr">
        <is>
          <t>NOTIFIER</t>
        </is>
      </c>
      <c r="AB1065" t="inlineStr">
        <is>
          <t>M710</t>
        </is>
      </c>
      <c r="AC1065" t="inlineStr"/>
      <c r="AD1065" s="164" t="n">
        <v>0</v>
      </c>
      <c r="AE1065" s="185" t="n">
        <v>0</v>
      </c>
      <c r="AG1065" s="167" t="inlineStr">
        <is>
          <t>7218|JA2582_1001</t>
        </is>
      </c>
      <c r="AH1065" s="47">
        <f>IF(M1065=0,"-",M1065-J1065)</f>
        <v/>
      </c>
      <c r="AI1065" s="46">
        <f>IF(AND(S1065=0,M1065&gt;0,L1065=0),IF(AH1065&gt;=120,"VERY HIGH",IF(AH1065&gt;=90,"HIGH",IF(AH1065&gt;=60,"MEDIUM",IF(AH1065&lt;60,"LOW")))),"-")</f>
        <v/>
      </c>
      <c r="AJ1065" s="12" t="n"/>
      <c r="AK1065" s="53">
        <f>IF(AND(W1065="X",M1065&lt;=$AJ$2),"YES","")</f>
        <v/>
      </c>
      <c r="AL1065" s="54">
        <f>IF(AND(W1065="X",M1065&lt;=$AJ$2),S1065,"")</f>
        <v/>
      </c>
      <c r="AM1065" s="35" t="n"/>
      <c r="AN1065" s="35">
        <f>IF(AND(W1065="X",M1065&gt;$AJ$2),S1065,"")</f>
        <v/>
      </c>
      <c r="AO1065" s="35">
        <f>IF(AND(W1065="",M1065&gt;0,$AJ$2&gt;M1065,L1065=""),1,0)</f>
        <v/>
      </c>
      <c r="AP1065" s="35">
        <f>IF(AND(AK1065="YES",W1065="X"),"X","")</f>
        <v/>
      </c>
      <c r="AQ1065" s="55">
        <f>IF(AP1065="X",100%,0%)</f>
        <v/>
      </c>
      <c r="AR1065" s="25">
        <f>IF(AND(T1065&gt;0,L1065=""),H1065,"")</f>
        <v/>
      </c>
      <c r="AS1065" s="25">
        <f>IF(AND(D1065&gt;0,H1065=0,G1065=""),1,"")</f>
        <v/>
      </c>
      <c r="AT1065" s="25">
        <f>IF(G1065="BLOQ",1,"")</f>
        <v/>
      </c>
      <c r="AU1065" s="25">
        <f>IF(L1065="BLOQ",1,"")</f>
        <v/>
      </c>
      <c r="AV1065" s="25">
        <f>MONTH(F1065)</f>
        <v/>
      </c>
      <c r="AW1065" s="65">
        <f>IF(AP1065="",100%,0%)</f>
        <v/>
      </c>
      <c r="AX1065" s="56" t="n"/>
      <c r="AY1065" s="24">
        <f>IF(M1065=0,"",M1065-$AX$2)</f>
        <v/>
      </c>
      <c r="AZ1065" s="66">
        <f>IF(AND(W1065="",AY1065&gt;0,AY1065&lt;15),1,0)</f>
        <v/>
      </c>
      <c r="BA1065" s="24">
        <f>IF(AND(W1065="",AY1065&gt;0,AY1065&lt;15),T1065,"")</f>
        <v/>
      </c>
      <c r="BB1065" s="87">
        <f>IF(R1065&lt;Q1065,"X","")</f>
        <v/>
      </c>
      <c r="BC1065" s="191" t="inlineStr">
        <is>
          <t>SI</t>
        </is>
      </c>
      <c r="BD1065" s="191" t="inlineStr">
        <is>
          <t>SI</t>
        </is>
      </c>
    </row>
    <row r="1066" ht="15" customHeight="1" s="162">
      <c r="A1066" s="7" t="n">
        <v>1065</v>
      </c>
      <c r="B1066" t="inlineStr">
        <is>
          <t>1390800921002</t>
        </is>
      </c>
      <c r="C1066" t="inlineStr">
        <is>
          <t>MODULO CONTROL 1SALIDA 15-30VDC 93X94X23</t>
        </is>
      </c>
      <c r="D1066" t="inlineStr">
        <is>
          <t>1800108953</t>
        </is>
      </c>
      <c r="E1066" t="inlineStr">
        <is>
          <t>670</t>
        </is>
      </c>
      <c r="F1066" s="163" t="n">
        <v>45463</v>
      </c>
      <c r="G1066" t="inlineStr"/>
      <c r="H1066" t="inlineStr">
        <is>
          <t>4200582054</t>
        </is>
      </c>
      <c r="I1066" t="inlineStr">
        <is>
          <t>50</t>
        </is>
      </c>
      <c r="J1066" s="163" t="n">
        <v>45586</v>
      </c>
      <c r="K1066" s="163" t="n">
        <v>45593</v>
      </c>
      <c r="L1066" t="inlineStr"/>
      <c r="M1066" s="163" t="n">
        <v>45488</v>
      </c>
      <c r="N1066" s="164" t="n">
        <v>55</v>
      </c>
      <c r="O1066" s="164" t="n">
        <v>8</v>
      </c>
      <c r="P1066" t="inlineStr">
        <is>
          <t>Liberado</t>
        </is>
      </c>
      <c r="Q1066" s="165" t="n">
        <v>1</v>
      </c>
      <c r="R1066" s="165" t="n">
        <v>1</v>
      </c>
      <c r="S1066" s="165" t="n">
        <v>1</v>
      </c>
      <c r="T1066" s="165" t="n">
        <v>0</v>
      </c>
      <c r="U1066" s="166" t="n">
        <v>1</v>
      </c>
      <c r="V1066" s="166" t="n">
        <v>0</v>
      </c>
      <c r="W1066" t="inlineStr">
        <is>
          <t>X</t>
        </is>
      </c>
      <c r="X1066" t="inlineStr">
        <is>
          <t>0.00</t>
        </is>
      </c>
      <c r="Y1066" t="inlineStr"/>
      <c r="Z1066" t="inlineStr">
        <is>
          <t>BY DEMES, S.L.</t>
        </is>
      </c>
      <c r="AA1066" t="inlineStr">
        <is>
          <t>NOTIFIER</t>
        </is>
      </c>
      <c r="AB1066" t="inlineStr">
        <is>
          <t>M701</t>
        </is>
      </c>
      <c r="AC1066" t="inlineStr"/>
      <c r="AD1066" s="164" t="n">
        <v>0</v>
      </c>
      <c r="AE1066" s="185" t="n">
        <v>0</v>
      </c>
      <c r="AG1066" s="167" t="inlineStr">
        <is>
          <t>7218|JA2582_1001</t>
        </is>
      </c>
      <c r="AH1066" s="47">
        <f>IF(M1066=0,"-",M1066-J1066)</f>
        <v/>
      </c>
      <c r="AI1066" s="46">
        <f>IF(AND(S1066=0,M1066&gt;0,L1066=0),IF(AH1066&gt;=120,"VERY HIGH",IF(AH1066&gt;=90,"HIGH",IF(AH1066&gt;=60,"MEDIUM",IF(AH1066&lt;60,"LOW")))),"-")</f>
        <v/>
      </c>
      <c r="AJ1066" s="12" t="n"/>
      <c r="AK1066" s="53">
        <f>IF(AND(W1066="X",M1066&lt;=$AJ$2),"YES","")</f>
        <v/>
      </c>
      <c r="AL1066" s="54">
        <f>IF(AND(W1066="X",M1066&lt;=$AJ$2),S1066,"")</f>
        <v/>
      </c>
      <c r="AM1066" s="35" t="n"/>
      <c r="AN1066" s="35">
        <f>IF(AND(W1066="X",M1066&gt;$AJ$2),S1066,"")</f>
        <v/>
      </c>
      <c r="AO1066" s="35">
        <f>IF(AND(W1066="",M1066&gt;0,$AJ$2&gt;M1066,L1066=""),1,0)</f>
        <v/>
      </c>
      <c r="AP1066" s="35">
        <f>IF(AND(AK1066="YES",W1066="X"),"X","")</f>
        <v/>
      </c>
      <c r="AQ1066" s="55">
        <f>IF(AP1066="X",100%,0%)</f>
        <v/>
      </c>
      <c r="AR1066" s="25">
        <f>IF(AND(T1066&gt;0,L1066=""),H1066,"")</f>
        <v/>
      </c>
      <c r="AS1066" s="25">
        <f>IF(AND(D1066&gt;0,H1066=0,G1066=""),1,"")</f>
        <v/>
      </c>
      <c r="AT1066" s="25">
        <f>IF(G1066="BLOQ",1,"")</f>
        <v/>
      </c>
      <c r="AU1066" s="25">
        <f>IF(L1066="BLOQ",1,"")</f>
        <v/>
      </c>
      <c r="AV1066" s="25">
        <f>MONTH(F1066)</f>
        <v/>
      </c>
      <c r="AW1066" s="65">
        <f>IF(AP1066="",100%,0%)</f>
        <v/>
      </c>
      <c r="AX1066" s="56" t="n"/>
      <c r="AY1066" s="24">
        <f>IF(M1066=0,"",M1066-$AX$2)</f>
        <v/>
      </c>
      <c r="AZ1066" s="66">
        <f>IF(AND(W1066="",AY1066&gt;0,AY1066&lt;15),1,0)</f>
        <v/>
      </c>
      <c r="BA1066" s="24">
        <f>IF(AND(W1066="",AY1066&gt;0,AY1066&lt;15),T1066,"")</f>
        <v/>
      </c>
      <c r="BB1066" s="87">
        <f>IF(R1066&lt;Q1066,"X","")</f>
        <v/>
      </c>
      <c r="BC1066" s="191" t="inlineStr">
        <is>
          <t>SI</t>
        </is>
      </c>
      <c r="BD1066" s="191" t="inlineStr">
        <is>
          <t>SI</t>
        </is>
      </c>
    </row>
    <row r="1067" ht="15" customHeight="1" s="162">
      <c r="A1067" s="7" t="n">
        <v>1066</v>
      </c>
      <c r="B1067" t="inlineStr">
        <is>
          <t>1807901190100</t>
        </is>
      </c>
      <c r="C1067" t="inlineStr">
        <is>
          <t>PROBADOR DETECT HUMOS SOLO A10 AER 150ML</t>
        </is>
      </c>
      <c r="D1067" t="inlineStr">
        <is>
          <t>1800108953</t>
        </is>
      </c>
      <c r="E1067" t="inlineStr">
        <is>
          <t>680</t>
        </is>
      </c>
      <c r="F1067" s="163" t="n">
        <v>45463</v>
      </c>
      <c r="G1067" t="inlineStr"/>
      <c r="H1067" t="inlineStr">
        <is>
          <t>4200571765</t>
        </is>
      </c>
      <c r="I1067" t="inlineStr">
        <is>
          <t>10</t>
        </is>
      </c>
      <c r="J1067" s="163" t="n">
        <v>45496</v>
      </c>
      <c r="K1067" s="163" t="n">
        <v>45497</v>
      </c>
      <c r="L1067" t="inlineStr"/>
      <c r="M1067" s="163" t="n">
        <v>45488</v>
      </c>
      <c r="N1067" s="164" t="n">
        <v>35</v>
      </c>
      <c r="O1067" s="164" t="n">
        <v>8</v>
      </c>
      <c r="P1067" t="inlineStr">
        <is>
          <t>Liberado</t>
        </is>
      </c>
      <c r="Q1067" s="165" t="n">
        <v>1</v>
      </c>
      <c r="R1067" s="165" t="n">
        <v>1</v>
      </c>
      <c r="S1067" s="165" t="n">
        <v>2</v>
      </c>
      <c r="T1067" s="165" t="n">
        <v>0</v>
      </c>
      <c r="U1067" s="166" t="n">
        <v>1</v>
      </c>
      <c r="V1067" s="166" t="n">
        <v>1</v>
      </c>
      <c r="W1067" t="inlineStr">
        <is>
          <t>X</t>
        </is>
      </c>
      <c r="X1067" t="inlineStr">
        <is>
          <t>0.00</t>
        </is>
      </c>
      <c r="Y1067" t="inlineStr"/>
      <c r="Z1067" t="inlineStr">
        <is>
          <t>AMIDATA, S.A.</t>
        </is>
      </c>
      <c r="AA1067" t="inlineStr">
        <is>
          <t>NO CLIMB PRODUCTS LTD</t>
        </is>
      </c>
      <c r="AB1067" t="inlineStr">
        <is>
          <t>SOLO A10-001</t>
        </is>
      </c>
      <c r="AC1067" t="inlineStr"/>
      <c r="AD1067" s="164" t="n">
        <v>0</v>
      </c>
      <c r="AE1067" s="185" t="n">
        <v>0</v>
      </c>
      <c r="AG1067" s="167" t="inlineStr">
        <is>
          <t>7218|JA2582_1001</t>
        </is>
      </c>
      <c r="AH1067" s="47">
        <f>IF(M1067=0,"-",M1067-J1067)</f>
        <v/>
      </c>
      <c r="AI1067" s="46">
        <f>IF(AND(S1067=0,M1067&gt;0,L1067=0),IF(AH1067&gt;=120,"VERY HIGH",IF(AH1067&gt;=90,"HIGH",IF(AH1067&gt;=60,"MEDIUM",IF(AH1067&lt;60,"LOW")))),"-")</f>
        <v/>
      </c>
      <c r="AJ1067" s="12" t="n"/>
      <c r="AK1067" s="53">
        <f>IF(AND(W1067="X",M1067&lt;=$AJ$2),"YES","")</f>
        <v/>
      </c>
      <c r="AL1067" s="54">
        <f>IF(AND(W1067="X",M1067&lt;=$AJ$2),S1067,"")</f>
        <v/>
      </c>
      <c r="AM1067" s="35" t="n"/>
      <c r="AN1067" s="35">
        <f>IF(AND(W1067="X",M1067&gt;$AJ$2),S1067,"")</f>
        <v/>
      </c>
      <c r="AO1067" s="35">
        <f>IF(AND(W1067="",M1067&gt;0,$AJ$2&gt;M1067,L1067=""),1,0)</f>
        <v/>
      </c>
      <c r="AP1067" s="35">
        <f>IF(AND(AK1067="YES",W1067="X"),"X","")</f>
        <v/>
      </c>
      <c r="AQ1067" s="55">
        <f>IF(AP1067="X",100%,0%)</f>
        <v/>
      </c>
      <c r="AR1067" s="25">
        <f>IF(AND(T1067&gt;0,L1067=""),H1067,"")</f>
        <v/>
      </c>
      <c r="AS1067" s="25">
        <f>IF(AND(D1067&gt;0,H1067=0,G1067=""),1,"")</f>
        <v/>
      </c>
      <c r="AT1067" s="25">
        <f>IF(G1067="BLOQ",1,"")</f>
        <v/>
      </c>
      <c r="AU1067" s="25">
        <f>IF(L1067="BLOQ",1,"")</f>
        <v/>
      </c>
      <c r="AV1067" s="25">
        <f>MONTH(F1067)</f>
        <v/>
      </c>
      <c r="AW1067" s="65">
        <f>IF(AP1067="",100%,0%)</f>
        <v/>
      </c>
      <c r="AX1067" s="56" t="n"/>
      <c r="AY1067" s="24">
        <f>IF(M1067=0,"",M1067-$AX$2)</f>
        <v/>
      </c>
      <c r="AZ1067" s="66">
        <f>IF(AND(W1067="",AY1067&gt;0,AY1067&lt;15),1,0)</f>
        <v/>
      </c>
      <c r="BA1067" s="24">
        <f>IF(AND(W1067="",AY1067&gt;0,AY1067&lt;15),T1067,"")</f>
        <v/>
      </c>
      <c r="BB1067" s="87">
        <f>IF(R1067&lt;Q1067,"X","")</f>
        <v/>
      </c>
      <c r="BC1067" s="190" t="inlineStr">
        <is>
          <t>NO</t>
        </is>
      </c>
      <c r="BD1067" s="191" t="inlineStr">
        <is>
          <t>SI</t>
        </is>
      </c>
    </row>
    <row r="1068" ht="15" customHeight="1" s="162">
      <c r="A1068" s="7" t="n">
        <v>1067</v>
      </c>
      <c r="B1068" t="inlineStr">
        <is>
          <t>G1824224106P2</t>
        </is>
      </c>
      <c r="C1068" t="inlineStr">
        <is>
          <t>CLAVIJA DE ENCHUFE AEREA SOCKET AMERICAN</t>
        </is>
      </c>
      <c r="D1068" t="inlineStr">
        <is>
          <t>1800108953</t>
        </is>
      </c>
      <c r="E1068" t="inlineStr">
        <is>
          <t>690</t>
        </is>
      </c>
      <c r="F1068" s="163" t="n">
        <v>45463</v>
      </c>
      <c r="G1068" t="inlineStr"/>
      <c r="H1068" t="inlineStr">
        <is>
          <t>4200571557</t>
        </is>
      </c>
      <c r="I1068" t="inlineStr">
        <is>
          <t>260</t>
        </is>
      </c>
      <c r="J1068" s="163" t="n">
        <v>45492</v>
      </c>
      <c r="K1068" s="163" t="n">
        <v>45497</v>
      </c>
      <c r="L1068" t="inlineStr"/>
      <c r="M1068" s="163" t="n">
        <v>45504</v>
      </c>
      <c r="N1068" s="164" t="n">
        <v>80</v>
      </c>
      <c r="O1068" s="164" t="n">
        <v>8</v>
      </c>
      <c r="P1068" t="inlineStr">
        <is>
          <t>Liberado</t>
        </is>
      </c>
      <c r="Q1068" s="165" t="n">
        <v>10</v>
      </c>
      <c r="R1068" s="165" t="n">
        <v>10</v>
      </c>
      <c r="S1068" s="165" t="n">
        <v>10</v>
      </c>
      <c r="T1068" s="165" t="n">
        <v>0</v>
      </c>
      <c r="U1068" s="166" t="n">
        <v>10</v>
      </c>
      <c r="V1068" s="166" t="n">
        <v>0</v>
      </c>
      <c r="W1068" t="inlineStr">
        <is>
          <t>X</t>
        </is>
      </c>
      <c r="X1068" t="inlineStr">
        <is>
          <t>0.00</t>
        </is>
      </c>
      <c r="Y1068" t="inlineStr"/>
      <c r="Z1068" t="inlineStr">
        <is>
          <t>TELKRON, S.A.</t>
        </is>
      </c>
      <c r="AA1068" t="inlineStr">
        <is>
          <t>RS AMIDATA</t>
        </is>
      </c>
      <c r="AB1068" t="inlineStr">
        <is>
          <t>488-208</t>
        </is>
      </c>
      <c r="AC1068" t="inlineStr"/>
      <c r="AD1068" s="164" t="n">
        <v>0</v>
      </c>
      <c r="AE1068" s="185" t="n">
        <v>0</v>
      </c>
      <c r="AG1068" s="167" t="inlineStr">
        <is>
          <t>7218|JA2582_1001</t>
        </is>
      </c>
      <c r="AH1068" s="47">
        <f>IF(M1068=0,"-",M1068-J1068)</f>
        <v/>
      </c>
      <c r="AI1068" s="46">
        <f>IF(AND(S1068=0,M1068&gt;0,L1068=0),IF(AH1068&gt;=120,"VERY HIGH",IF(AH1068&gt;=90,"HIGH",IF(AH1068&gt;=60,"MEDIUM",IF(AH1068&lt;60,"LOW")))),"-")</f>
        <v/>
      </c>
      <c r="AJ1068" s="12" t="n"/>
      <c r="AK1068" s="53">
        <f>IF(AND(W1068="X",M1068&lt;=$AJ$2),"YES","")</f>
        <v/>
      </c>
      <c r="AL1068" s="54">
        <f>IF(AND(W1068="X",M1068&lt;=$AJ$2),S1068,"")</f>
        <v/>
      </c>
      <c r="AM1068" s="35" t="n"/>
      <c r="AN1068" s="35">
        <f>IF(AND(W1068="X",M1068&gt;$AJ$2),S1068,"")</f>
        <v/>
      </c>
      <c r="AO1068" s="35">
        <f>IF(AND(W1068="",M1068&gt;0,$AJ$2&gt;M1068,L1068=""),1,0)</f>
        <v/>
      </c>
      <c r="AP1068" s="35">
        <f>IF(AND(AK1068="YES",W1068="X"),"X","")</f>
        <v/>
      </c>
      <c r="AQ1068" s="55">
        <f>IF(AP1068="X",100%,0%)</f>
        <v/>
      </c>
      <c r="AR1068" s="25">
        <f>IF(AND(T1068&gt;0,L1068=""),H1068,"")</f>
        <v/>
      </c>
      <c r="AS1068" s="25">
        <f>IF(AND(D1068&gt;0,H1068=0,G1068=""),1,"")</f>
        <v/>
      </c>
      <c r="AT1068" s="25">
        <f>IF(G1068="BLOQ",1,"")</f>
        <v/>
      </c>
      <c r="AU1068" s="25">
        <f>IF(L1068="BLOQ",1,"")</f>
        <v/>
      </c>
      <c r="AV1068" s="25">
        <f>MONTH(F1068)</f>
        <v/>
      </c>
      <c r="AW1068" s="65">
        <f>IF(AP1068="",100%,0%)</f>
        <v/>
      </c>
      <c r="AX1068" s="56" t="n"/>
      <c r="AY1068" s="24">
        <f>IF(M1068=0,"",M1068-$AX$2)</f>
        <v/>
      </c>
      <c r="AZ1068" s="66">
        <f>IF(AND(W1068="",AY1068&gt;0,AY1068&lt;15),1,0)</f>
        <v/>
      </c>
      <c r="BA1068" s="24">
        <f>IF(AND(W1068="",AY1068&gt;0,AY1068&lt;15),T1068,"")</f>
        <v/>
      </c>
      <c r="BB1068" s="87">
        <f>IF(R1068&lt;Q1068,"X","")</f>
        <v/>
      </c>
      <c r="BC1068" s="190" t="inlineStr">
        <is>
          <t>NO</t>
        </is>
      </c>
      <c r="BD1068" s="191" t="inlineStr">
        <is>
          <t>SI</t>
        </is>
      </c>
    </row>
    <row r="1069" ht="15" customHeight="1" s="162">
      <c r="A1069" s="7" t="n">
        <v>1068</v>
      </c>
      <c r="B1069" t="inlineStr">
        <is>
          <t>0918630000000</t>
        </is>
      </c>
      <c r="C1069" t="inlineStr">
        <is>
          <t>CANIF-DIO32 TIPO11A</t>
        </is>
      </c>
      <c r="D1069" t="inlineStr">
        <is>
          <t>1800108957</t>
        </is>
      </c>
      <c r="E1069" t="inlineStr">
        <is>
          <t>10</t>
        </is>
      </c>
      <c r="F1069" s="163" t="n">
        <v>45463</v>
      </c>
      <c r="G1069" t="inlineStr"/>
      <c r="H1069" t="inlineStr">
        <is>
          <t>4200569037</t>
        </is>
      </c>
      <c r="I1069" t="inlineStr">
        <is>
          <t>10</t>
        </is>
      </c>
      <c r="J1069" s="163" t="n">
        <v>45475</v>
      </c>
      <c r="K1069" s="163" t="n">
        <v>45481</v>
      </c>
      <c r="L1069" t="inlineStr"/>
      <c r="M1069" s="163" t="n">
        <v>45519</v>
      </c>
      <c r="N1069" s="164" t="n">
        <v>30</v>
      </c>
      <c r="O1069" s="164" t="n">
        <v>8</v>
      </c>
      <c r="P1069" t="inlineStr">
        <is>
          <t>Liberado</t>
        </is>
      </c>
      <c r="Q1069" s="165" t="n">
        <v>45</v>
      </c>
      <c r="R1069" s="165" t="n">
        <v>45</v>
      </c>
      <c r="S1069" s="165" t="n">
        <v>45</v>
      </c>
      <c r="T1069" s="165" t="n">
        <v>0</v>
      </c>
      <c r="U1069" s="166" t="n">
        <v>45</v>
      </c>
      <c r="V1069" s="166" t="n">
        <v>0</v>
      </c>
      <c r="W1069" t="inlineStr">
        <is>
          <t>X</t>
        </is>
      </c>
      <c r="X1069" t="inlineStr">
        <is>
          <t>0.00</t>
        </is>
      </c>
      <c r="Y1069" t="inlineStr"/>
      <c r="Z1069" t="inlineStr">
        <is>
          <t>ELATE,S.A.</t>
        </is>
      </c>
      <c r="AA1069" t="inlineStr">
        <is>
          <t>INDRA SISTEMAS S.A.</t>
        </is>
      </c>
      <c r="AB1069" t="inlineStr">
        <is>
          <t>0918630000000</t>
        </is>
      </c>
      <c r="AC1069" t="inlineStr"/>
      <c r="AD1069" s="164" t="n">
        <v>0</v>
      </c>
      <c r="AE1069" s="185" t="n">
        <v>0</v>
      </c>
      <c r="AG1069" s="167" t="inlineStr">
        <is>
          <t>7218|JA2586_1001</t>
        </is>
      </c>
      <c r="AH1069" s="47">
        <f>IF(M1069=0,"-",M1069-J1069)</f>
        <v/>
      </c>
      <c r="AI1069" s="46">
        <f>IF(AND(S1069=0,M1069&gt;0,L1069=0),IF(AH1069&gt;=120,"VERY HIGH",IF(AH1069&gt;=90,"HIGH",IF(AH1069&gt;=60,"MEDIUM",IF(AH1069&lt;60,"LOW")))),"-")</f>
        <v/>
      </c>
      <c r="AJ1069" s="12" t="n"/>
      <c r="AK1069" s="53">
        <f>IF(AND(W1069="X",M1069&lt;=$AJ$2),"YES","")</f>
        <v/>
      </c>
      <c r="AL1069" s="54">
        <f>IF(AND(W1069="X",M1069&lt;=$AJ$2),S1069,"")</f>
        <v/>
      </c>
      <c r="AM1069" s="35" t="n"/>
      <c r="AN1069" s="35">
        <f>IF(AND(W1069="X",M1069&gt;$AJ$2),S1069,"")</f>
        <v/>
      </c>
      <c r="AO1069" s="35">
        <f>IF(AND(W1069="",M1069&gt;0,$AJ$2&gt;M1069,L1069=""),1,0)</f>
        <v/>
      </c>
      <c r="AP1069" s="35">
        <f>IF(AND(AK1069="YES",W1069="X"),"X","")</f>
        <v/>
      </c>
      <c r="AQ1069" s="55">
        <f>IF(AP1069="X",100%,0%)</f>
        <v/>
      </c>
      <c r="AR1069" s="25">
        <f>IF(AND(T1069&gt;0,L1069=""),H1069,"")</f>
        <v/>
      </c>
      <c r="AS1069" s="25">
        <f>IF(AND(D1069&gt;0,H1069=0,G1069=""),1,"")</f>
        <v/>
      </c>
      <c r="AT1069" s="25">
        <f>IF(G1069="BLOQ",1,"")</f>
        <v/>
      </c>
      <c r="AU1069" s="25">
        <f>IF(L1069="BLOQ",1,"")</f>
        <v/>
      </c>
      <c r="AV1069" s="25">
        <f>MONTH(F1069)</f>
        <v/>
      </c>
      <c r="AW1069" s="65">
        <f>IF(AP1069="",100%,0%)</f>
        <v/>
      </c>
      <c r="AX1069" s="56" t="n"/>
      <c r="AY1069" s="24">
        <f>IF(M1069=0,"",M1069-$AX$2)</f>
        <v/>
      </c>
      <c r="AZ1069" s="66">
        <f>IF(AND(W1069="",AY1069&gt;0,AY1069&lt;15),1,0)</f>
        <v/>
      </c>
      <c r="BA1069" s="24">
        <f>IF(AND(W1069="",AY1069&gt;0,AY1069&lt;15),T1069,"")</f>
        <v/>
      </c>
      <c r="BB1069" s="87">
        <f>IF(R1069&lt;Q1069,"X","")</f>
        <v/>
      </c>
      <c r="BC1069" s="190" t="inlineStr">
        <is>
          <t>NO</t>
        </is>
      </c>
      <c r="BD1069" s="191" t="inlineStr">
        <is>
          <t>SI</t>
        </is>
      </c>
    </row>
    <row r="1070" ht="15" customHeight="1" s="162">
      <c r="A1070" s="7" t="n">
        <v>1069</v>
      </c>
      <c r="B1070" t="inlineStr">
        <is>
          <t>0918630010000</t>
        </is>
      </c>
      <c r="C1070" t="inlineStr">
        <is>
          <t>CANIF-DIO32_TIPO21A</t>
        </is>
      </c>
      <c r="D1070" t="inlineStr">
        <is>
          <t>1800108957</t>
        </is>
      </c>
      <c r="E1070" t="inlineStr">
        <is>
          <t>20</t>
        </is>
      </c>
      <c r="F1070" s="163" t="n">
        <v>45463</v>
      </c>
      <c r="G1070" t="inlineStr"/>
      <c r="H1070" t="inlineStr">
        <is>
          <t>4200569037</t>
        </is>
      </c>
      <c r="I1070" t="inlineStr">
        <is>
          <t>20</t>
        </is>
      </c>
      <c r="J1070" s="163" t="n">
        <v>45475</v>
      </c>
      <c r="K1070" s="163" t="n">
        <v>45481</v>
      </c>
      <c r="L1070" t="inlineStr"/>
      <c r="M1070" s="163" t="n">
        <v>45519</v>
      </c>
      <c r="N1070" s="164" t="n">
        <v>30</v>
      </c>
      <c r="O1070" s="164" t="n">
        <v>8</v>
      </c>
      <c r="P1070" t="inlineStr">
        <is>
          <t>Liberado</t>
        </is>
      </c>
      <c r="Q1070" s="165" t="n">
        <v>50</v>
      </c>
      <c r="R1070" s="165" t="n">
        <v>50</v>
      </c>
      <c r="S1070" s="165" t="n">
        <v>50</v>
      </c>
      <c r="T1070" s="165" t="n">
        <v>0</v>
      </c>
      <c r="U1070" s="166" t="n">
        <v>50</v>
      </c>
      <c r="V1070" s="166" t="n">
        <v>0</v>
      </c>
      <c r="W1070" t="inlineStr">
        <is>
          <t>X</t>
        </is>
      </c>
      <c r="X1070" t="inlineStr">
        <is>
          <t>0.00</t>
        </is>
      </c>
      <c r="Y1070" t="inlineStr"/>
      <c r="Z1070" t="inlineStr">
        <is>
          <t>ELATE,S.A.</t>
        </is>
      </c>
      <c r="AA1070" t="inlineStr">
        <is>
          <t>INDRA SISTEMAS S.A.</t>
        </is>
      </c>
      <c r="AB1070" t="inlineStr">
        <is>
          <t>0918630010000</t>
        </is>
      </c>
      <c r="AC1070" t="inlineStr"/>
      <c r="AD1070" s="164" t="n">
        <v>0</v>
      </c>
      <c r="AE1070" s="185" t="n">
        <v>0</v>
      </c>
      <c r="AG1070" s="167" t="inlineStr">
        <is>
          <t>7218|JA2586_1001</t>
        </is>
      </c>
      <c r="AH1070" s="47">
        <f>IF(M1070=0,"-",M1070-J1070)</f>
        <v/>
      </c>
      <c r="AI1070" s="46">
        <f>IF(AND(S1070=0,M1070&gt;0,L1070=0),IF(AH1070&gt;=120,"VERY HIGH",IF(AH1070&gt;=90,"HIGH",IF(AH1070&gt;=60,"MEDIUM",IF(AH1070&lt;60,"LOW")))),"-")</f>
        <v/>
      </c>
      <c r="AJ1070" s="12" t="n"/>
      <c r="AK1070" s="53">
        <f>IF(AND(W1070="X",M1070&lt;=$AJ$2),"YES","")</f>
        <v/>
      </c>
      <c r="AL1070" s="54">
        <f>IF(AND(W1070="X",M1070&lt;=$AJ$2),S1070,"")</f>
        <v/>
      </c>
      <c r="AM1070" s="35" t="n"/>
      <c r="AN1070" s="35">
        <f>IF(AND(W1070="X",M1070&gt;$AJ$2),S1070,"")</f>
        <v/>
      </c>
      <c r="AO1070" s="35">
        <f>IF(AND(W1070="",M1070&gt;0,$AJ$2&gt;M1070,L1070=""),1,0)</f>
        <v/>
      </c>
      <c r="AP1070" s="35">
        <f>IF(AND(AK1070="YES",W1070="X"),"X","")</f>
        <v/>
      </c>
      <c r="AQ1070" s="55">
        <f>IF(AP1070="X",100%,0%)</f>
        <v/>
      </c>
      <c r="AR1070" s="25">
        <f>IF(AND(T1070&gt;0,L1070=""),H1070,"")</f>
        <v/>
      </c>
      <c r="AS1070" s="25">
        <f>IF(AND(D1070&gt;0,H1070=0,G1070=""),1,"")</f>
        <v/>
      </c>
      <c r="AT1070" s="25">
        <f>IF(G1070="BLOQ",1,"")</f>
        <v/>
      </c>
      <c r="AU1070" s="25">
        <f>IF(L1070="BLOQ",1,"")</f>
        <v/>
      </c>
      <c r="AV1070" s="25">
        <f>MONTH(F1070)</f>
        <v/>
      </c>
      <c r="AW1070" s="65">
        <f>IF(AP1070="",100%,0%)</f>
        <v/>
      </c>
      <c r="AX1070" s="56" t="n"/>
      <c r="AY1070" s="24">
        <f>IF(M1070=0,"",M1070-$AX$2)</f>
        <v/>
      </c>
      <c r="AZ1070" s="66">
        <f>IF(AND(W1070="",AY1070&gt;0,AY1070&lt;15),1,0)</f>
        <v/>
      </c>
      <c r="BA1070" s="24">
        <f>IF(AND(W1070="",AY1070&gt;0,AY1070&lt;15),T1070,"")</f>
        <v/>
      </c>
      <c r="BB1070" s="87">
        <f>IF(R1070&lt;Q1070,"X","")</f>
        <v/>
      </c>
      <c r="BC1070" s="190" t="inlineStr">
        <is>
          <t>NO</t>
        </is>
      </c>
      <c r="BD1070" s="191" t="inlineStr">
        <is>
          <t>SI</t>
        </is>
      </c>
    </row>
    <row r="1071" ht="15" customHeight="1" s="162">
      <c r="A1071" s="7" t="n">
        <v>1070</v>
      </c>
      <c r="B1071" t="inlineStr">
        <is>
          <t>0972828190100</t>
        </is>
      </c>
      <c r="C1071" t="inlineStr">
        <is>
          <t>RTIO SUBRACK MECH</t>
        </is>
      </c>
      <c r="D1071" t="inlineStr">
        <is>
          <t>1800108957</t>
        </is>
      </c>
      <c r="E1071" t="inlineStr">
        <is>
          <t>30</t>
        </is>
      </c>
      <c r="F1071" s="163" t="n">
        <v>45463</v>
      </c>
      <c r="G1071" t="inlineStr"/>
      <c r="H1071" t="inlineStr">
        <is>
          <t>4200574772</t>
        </is>
      </c>
      <c r="I1071" t="inlineStr">
        <is>
          <t>10</t>
        </is>
      </c>
      <c r="J1071" s="163" t="n">
        <v>45523</v>
      </c>
      <c r="K1071" s="163" t="n">
        <v>45574</v>
      </c>
      <c r="L1071" t="inlineStr"/>
      <c r="M1071" s="163" t="n">
        <v>45623</v>
      </c>
      <c r="N1071" s="164" t="n">
        <v>30</v>
      </c>
      <c r="O1071" s="164" t="n">
        <v>8</v>
      </c>
      <c r="P1071" t="inlineStr">
        <is>
          <t>Liberado</t>
        </is>
      </c>
      <c r="Q1071" s="165" t="n">
        <v>1</v>
      </c>
      <c r="R1071" s="165" t="n">
        <v>1</v>
      </c>
      <c r="S1071" s="165" t="n">
        <v>1</v>
      </c>
      <c r="T1071" s="165" t="n">
        <v>0</v>
      </c>
      <c r="U1071" s="166" t="n">
        <v>1</v>
      </c>
      <c r="V1071" s="166" t="n">
        <v>0</v>
      </c>
      <c r="W1071" t="inlineStr">
        <is>
          <t>X</t>
        </is>
      </c>
      <c r="X1071" t="inlineStr">
        <is>
          <t>0.00</t>
        </is>
      </c>
      <c r="Y1071" t="inlineStr"/>
      <c r="Z1071" t="inlineStr">
        <is>
          <t>ACOM SISTEMAS, S.L.</t>
        </is>
      </c>
      <c r="AA1071" t="inlineStr">
        <is>
          <t>INDRA SISTEMAS S.A.</t>
        </is>
      </c>
      <c r="AB1071" t="inlineStr">
        <is>
          <t>0972828190100</t>
        </is>
      </c>
      <c r="AC1071" t="inlineStr"/>
      <c r="AD1071" s="164" t="n">
        <v>1</v>
      </c>
      <c r="AE1071" s="185" t="n">
        <v>1</v>
      </c>
      <c r="AG1071" s="167" t="inlineStr">
        <is>
          <t>7218|JA2586_1001</t>
        </is>
      </c>
      <c r="AH1071" s="47">
        <f>IF(M1071=0,"-",M1071-J1071)</f>
        <v/>
      </c>
      <c r="AI1071" s="46">
        <f>IF(AND(S1071=0,M1071&gt;0,L1071=0),IF(AH1071&gt;=120,"VERY HIGH",IF(AH1071&gt;=90,"HIGH",IF(AH1071&gt;=60,"MEDIUM",IF(AH1071&lt;60,"LOW")))),"-")</f>
        <v/>
      </c>
      <c r="AJ1071" s="12" t="n"/>
      <c r="AK1071" s="53">
        <f>IF(AND(W1071="X",M1071&lt;=$AJ$2),"YES","")</f>
        <v/>
      </c>
      <c r="AL1071" s="54">
        <f>IF(AND(W1071="X",M1071&lt;=$AJ$2),S1071,"")</f>
        <v/>
      </c>
      <c r="AM1071" s="35" t="n"/>
      <c r="AN1071" s="35">
        <f>IF(AND(W1071="X",M1071&gt;$AJ$2),S1071,"")</f>
        <v/>
      </c>
      <c r="AO1071" s="35">
        <f>IF(AND(W1071="",M1071&gt;0,$AJ$2&gt;M1071,L1071=""),1,0)</f>
        <v/>
      </c>
      <c r="AP1071" s="35">
        <f>IF(AND(AK1071="YES",W1071="X"),"X","")</f>
        <v/>
      </c>
      <c r="AQ1071" s="55">
        <f>IF(AP1071="X",100%,0%)</f>
        <v/>
      </c>
      <c r="AR1071" s="25">
        <f>IF(AND(T1071&gt;0,L1071=""),H1071,"")</f>
        <v/>
      </c>
      <c r="AS1071" s="25">
        <f>IF(AND(D1071&gt;0,H1071=0,G1071=""),1,"")</f>
        <v/>
      </c>
      <c r="AT1071" s="25">
        <f>IF(G1071="BLOQ",1,"")</f>
        <v/>
      </c>
      <c r="AU1071" s="25">
        <f>IF(L1071="BLOQ",1,"")</f>
        <v/>
      </c>
      <c r="AV1071" s="25">
        <f>MONTH(F1071)</f>
        <v/>
      </c>
      <c r="AW1071" s="65">
        <f>IF(AP1071="",100%,0%)</f>
        <v/>
      </c>
      <c r="AX1071" s="56" t="n"/>
      <c r="AY1071" s="24">
        <f>IF(M1071=0,"",M1071-$AX$2)</f>
        <v/>
      </c>
      <c r="AZ1071" s="66">
        <f>IF(AND(W1071="",AY1071&gt;0,AY1071&lt;15),1,0)</f>
        <v/>
      </c>
      <c r="BA1071" s="24">
        <f>IF(AND(W1071="",AY1071&gt;0,AY1071&lt;15),T1071,"")</f>
        <v/>
      </c>
      <c r="BB1071" s="87">
        <f>IF(R1071&lt;Q1071,"X","")</f>
        <v/>
      </c>
      <c r="BC1071" s="190" t="inlineStr">
        <is>
          <t>NO</t>
        </is>
      </c>
      <c r="BD1071" s="191" t="inlineStr">
        <is>
          <t>SI</t>
        </is>
      </c>
    </row>
    <row r="1072" ht="15" customHeight="1" s="162">
      <c r="A1072" s="7" t="n">
        <v>1071</v>
      </c>
      <c r="B1072" t="inlineStr">
        <is>
          <t>0972828203300</t>
        </is>
      </c>
      <c r="C1072" t="inlineStr">
        <is>
          <t>AUDIO MIXER ASSY</t>
        </is>
      </c>
      <c r="D1072" t="inlineStr">
        <is>
          <t>1800108958</t>
        </is>
      </c>
      <c r="E1072" t="inlineStr">
        <is>
          <t>10</t>
        </is>
      </c>
      <c r="F1072" s="163" t="n">
        <v>45463</v>
      </c>
      <c r="G1072" t="inlineStr">
        <is>
          <t>BORR</t>
        </is>
      </c>
      <c r="H1072" t="inlineStr">
        <is>
          <t>4200569494</t>
        </is>
      </c>
      <c r="I1072" t="inlineStr">
        <is>
          <t>20</t>
        </is>
      </c>
      <c r="J1072" s="163" t="n">
        <v>45478</v>
      </c>
      <c r="K1072" s="163" t="n">
        <v>45496</v>
      </c>
      <c r="L1072" t="inlineStr">
        <is>
          <t>BORR</t>
        </is>
      </c>
      <c r="M1072" s="163" t="n">
        <v>45545</v>
      </c>
      <c r="N1072" s="164" t="n">
        <v>30</v>
      </c>
      <c r="O1072" s="164" t="n">
        <v>8</v>
      </c>
      <c r="P1072" t="inlineStr">
        <is>
          <t>Liberado</t>
        </is>
      </c>
      <c r="Q1072" s="165" t="n">
        <v>1</v>
      </c>
      <c r="R1072" s="165" t="n">
        <v>1</v>
      </c>
      <c r="S1072" s="165" t="n">
        <v>0</v>
      </c>
      <c r="T1072" s="165" t="n">
        <v>1</v>
      </c>
      <c r="U1072" s="166" t="n">
        <v>0</v>
      </c>
      <c r="V1072" s="166" t="n">
        <v>0</v>
      </c>
      <c r="W1072" t="inlineStr"/>
      <c r="X1072" t="inlineStr">
        <is>
          <t>689.59</t>
        </is>
      </c>
      <c r="Y1072" t="inlineStr"/>
      <c r="Z1072" t="inlineStr">
        <is>
          <t>AUXITEL, S.L.</t>
        </is>
      </c>
      <c r="AA1072" t="inlineStr">
        <is>
          <t>INDRA SISTEMAS S.A.</t>
        </is>
      </c>
      <c r="AB1072" t="inlineStr">
        <is>
          <t>0972828203300</t>
        </is>
      </c>
      <c r="AC1072" t="inlineStr"/>
      <c r="AD1072" s="164" t="n">
        <v>0</v>
      </c>
      <c r="AE1072" s="185" t="n">
        <v>0</v>
      </c>
      <c r="AG1072" s="167" t="inlineStr">
        <is>
          <t>7218|JA2584_1001</t>
        </is>
      </c>
      <c r="AH1072" s="47">
        <f>IF(M1072=0,"-",M1072-J1072)</f>
        <v/>
      </c>
      <c r="AI1072" s="46">
        <f>IF(AND(S1072=0,M1072&gt;0,L1072=0),IF(AH1072&gt;=120,"VERY HIGH",IF(AH1072&gt;=90,"HIGH",IF(AH1072&gt;=60,"MEDIUM",IF(AH1072&lt;60,"LOW")))),"-")</f>
        <v/>
      </c>
      <c r="AJ1072" s="12" t="n"/>
      <c r="AK1072" s="53">
        <f>IF(AND(W1072="X",M1072&lt;=$AJ$2),"YES","")</f>
        <v/>
      </c>
      <c r="AL1072" s="54">
        <f>IF(AND(W1072="X",M1072&lt;=$AJ$2),S1072,"")</f>
        <v/>
      </c>
      <c r="AM1072" s="35" t="n"/>
      <c r="AN1072" s="35">
        <f>IF(AND(W1072="X",M1072&gt;$AJ$2),S1072,"")</f>
        <v/>
      </c>
      <c r="AO1072" s="35">
        <f>IF(AND(W1072="",M1072&gt;0,$AJ$2&gt;M1072,L1072=""),1,0)</f>
        <v/>
      </c>
      <c r="AP1072" s="35">
        <f>IF(AND(AK1072="YES",W1072="X"),"X","")</f>
        <v/>
      </c>
      <c r="AQ1072" s="55">
        <f>IF(AP1072="X",100%,0%)</f>
        <v/>
      </c>
      <c r="AR1072" s="25">
        <f>IF(AND(T1072&gt;0,L1072=""),H1072,"")</f>
        <v/>
      </c>
      <c r="AS1072" s="25">
        <f>IF(AND(D1072&gt;0,H1072=0,G1072=""),1,"")</f>
        <v/>
      </c>
      <c r="AT1072" s="25">
        <f>IF(G1072="BLOQ",1,"")</f>
        <v/>
      </c>
      <c r="AU1072" s="25">
        <f>IF(L1072="BLOQ",1,"")</f>
        <v/>
      </c>
      <c r="AV1072" s="25">
        <f>MONTH(F1072)</f>
        <v/>
      </c>
      <c r="AW1072" s="65">
        <f>IF(AP1072="",100%,0%)</f>
        <v/>
      </c>
      <c r="AX1072" s="56" t="n"/>
      <c r="AY1072" s="24">
        <f>IF(M1072=0,"",M1072-$AX$2)</f>
        <v/>
      </c>
      <c r="AZ1072" s="66">
        <f>IF(AND(W1072="",AY1072&gt;0,AY1072&lt;15),1,0)</f>
        <v/>
      </c>
      <c r="BA1072" s="24">
        <f>IF(AND(W1072="",AY1072&gt;0,AY1072&lt;15),T1072,"")</f>
        <v/>
      </c>
      <c r="BB1072" s="87">
        <f>IF(R1072&lt;Q1072,"X","")</f>
        <v/>
      </c>
      <c r="BC1072" s="190" t="inlineStr">
        <is>
          <t>NO</t>
        </is>
      </c>
      <c r="BD1072" s="191" t="inlineStr">
        <is>
          <t>SI</t>
        </is>
      </c>
    </row>
    <row r="1073" ht="15" customHeight="1" s="162">
      <c r="A1073" s="7" t="n">
        <v>1072</v>
      </c>
      <c r="B1073" t="inlineStr">
        <is>
          <t>1214205530022</t>
        </is>
      </c>
      <c r="C1073" t="inlineStr">
        <is>
          <t>CNC CIR 23-55S/H PLUG RECT AL ZN/NI R-A</t>
        </is>
      </c>
      <c r="D1073" t="inlineStr">
        <is>
          <t>1800108981</t>
        </is>
      </c>
      <c r="E1073" t="inlineStr">
        <is>
          <t>10</t>
        </is>
      </c>
      <c r="F1073" s="163" t="n">
        <v>45463</v>
      </c>
      <c r="G1073" t="inlineStr"/>
      <c r="H1073" t="inlineStr">
        <is>
          <t>4200569161</t>
        </is>
      </c>
      <c r="I1073" t="inlineStr">
        <is>
          <t>380</t>
        </is>
      </c>
      <c r="J1073" s="163" t="n">
        <v>45475</v>
      </c>
      <c r="K1073" s="163" t="n">
        <v>45477</v>
      </c>
      <c r="L1073" t="inlineStr"/>
      <c r="M1073" s="163" t="n">
        <v>45488</v>
      </c>
      <c r="N1073" s="164" t="n">
        <v>40</v>
      </c>
      <c r="O1073" s="164" t="n">
        <v>8</v>
      </c>
      <c r="P1073" t="inlineStr">
        <is>
          <t>Liberado</t>
        </is>
      </c>
      <c r="Q1073" s="165" t="n">
        <v>2</v>
      </c>
      <c r="R1073" s="165" t="n">
        <v>2</v>
      </c>
      <c r="S1073" s="165" t="n">
        <v>2</v>
      </c>
      <c r="T1073" s="165" t="n">
        <v>0</v>
      </c>
      <c r="U1073" s="166" t="n">
        <v>2</v>
      </c>
      <c r="V1073" s="166" t="n">
        <v>0</v>
      </c>
      <c r="W1073" t="inlineStr">
        <is>
          <t>X</t>
        </is>
      </c>
      <c r="X1073" t="inlineStr">
        <is>
          <t>0.00</t>
        </is>
      </c>
      <c r="Y1073" t="inlineStr"/>
      <c r="Z1073" t="inlineStr">
        <is>
          <t>SUMINISTROS CONECTORES PROF.,SA.</t>
        </is>
      </c>
      <c r="AA1073" t="inlineStr">
        <is>
          <t>MILITARY SPECS.</t>
        </is>
      </c>
      <c r="AB1073" t="inlineStr">
        <is>
          <t>D38999/26ZH55SA</t>
        </is>
      </c>
      <c r="AC1073" t="inlineStr"/>
      <c r="AD1073" s="164" t="n">
        <v>0</v>
      </c>
      <c r="AE1073" s="185" t="n">
        <v>0</v>
      </c>
      <c r="AG1073" s="167" t="inlineStr">
        <is>
          <t>7218|JA2581_1001</t>
        </is>
      </c>
      <c r="AH1073" s="47">
        <f>IF(M1073=0,"-",M1073-J1073)</f>
        <v/>
      </c>
      <c r="AI1073" s="46">
        <f>IF(AND(S1073=0,M1073&gt;0,L1073=0),IF(AH1073&gt;=120,"VERY HIGH",IF(AH1073&gt;=90,"HIGH",IF(AH1073&gt;=60,"MEDIUM",IF(AH1073&lt;60,"LOW")))),"-")</f>
        <v/>
      </c>
      <c r="AJ1073" s="12" t="n"/>
      <c r="AK1073" s="53">
        <f>IF(AND(W1073="X",M1073&lt;=$AJ$2),"YES","")</f>
        <v/>
      </c>
      <c r="AL1073" s="54">
        <f>IF(AND(W1073="X",M1073&lt;=$AJ$2),S1073,"")</f>
        <v/>
      </c>
      <c r="AM1073" s="35" t="n"/>
      <c r="AN1073" s="35">
        <f>IF(AND(W1073="X",M1073&gt;$AJ$2),S1073,"")</f>
        <v/>
      </c>
      <c r="AO1073" s="35">
        <f>IF(AND(W1073="",M1073&gt;0,$AJ$2&gt;M1073,L1073=""),1,0)</f>
        <v/>
      </c>
      <c r="AP1073" s="35">
        <f>IF(AND(AK1073="YES",W1073="X"),"X","")</f>
        <v/>
      </c>
      <c r="AQ1073" s="55">
        <f>IF(AP1073="X",100%,0%)</f>
        <v/>
      </c>
      <c r="AR1073" s="25">
        <f>IF(AND(T1073&gt;0,L1073=""),H1073,"")</f>
        <v/>
      </c>
      <c r="AS1073" s="25">
        <f>IF(AND(D1073&gt;0,H1073=0,G1073=""),1,"")</f>
        <v/>
      </c>
      <c r="AT1073" s="25">
        <f>IF(G1073="BLOQ",1,"")</f>
        <v/>
      </c>
      <c r="AU1073" s="25">
        <f>IF(L1073="BLOQ",1,"")</f>
        <v/>
      </c>
      <c r="AV1073" s="25">
        <f>MONTH(F1073)</f>
        <v/>
      </c>
      <c r="AW1073" s="65">
        <f>IF(AP1073="",100%,0%)</f>
        <v/>
      </c>
      <c r="AX1073" s="56" t="n"/>
      <c r="AY1073" s="24">
        <f>IF(M1073=0,"",M1073-$AX$2)</f>
        <v/>
      </c>
      <c r="AZ1073" s="66">
        <f>IF(AND(W1073="",AY1073&gt;0,AY1073&lt;15),1,0)</f>
        <v/>
      </c>
      <c r="BA1073" s="24">
        <f>IF(AND(W1073="",AY1073&gt;0,AY1073&lt;15),T1073,"")</f>
        <v/>
      </c>
      <c r="BB1073" s="87">
        <f>IF(R1073&lt;Q1073,"X","")</f>
        <v/>
      </c>
      <c r="BC1073" s="190" t="inlineStr">
        <is>
          <t>NO</t>
        </is>
      </c>
      <c r="BD1073" s="191" t="inlineStr">
        <is>
          <t>SI</t>
        </is>
      </c>
    </row>
    <row r="1074" ht="15" customHeight="1" s="162">
      <c r="A1074" s="7" t="n">
        <v>1073</v>
      </c>
      <c r="B1074" t="inlineStr">
        <is>
          <t>1214205530022</t>
        </is>
      </c>
      <c r="C1074" t="inlineStr">
        <is>
          <t>CNC CIR 23-55S/H PLUG RECT AL ZN/NI R-A</t>
        </is>
      </c>
      <c r="D1074" t="inlineStr">
        <is>
          <t>1800108981</t>
        </is>
      </c>
      <c r="E1074" t="inlineStr">
        <is>
          <t>10</t>
        </is>
      </c>
      <c r="F1074" s="163" t="n">
        <v>45463</v>
      </c>
      <c r="G1074" t="inlineStr"/>
      <c r="H1074" t="inlineStr">
        <is>
          <t>4200569022</t>
        </is>
      </c>
      <c r="I1074" t="inlineStr">
        <is>
          <t>440</t>
        </is>
      </c>
      <c r="J1074" s="163" t="n">
        <v>45475</v>
      </c>
      <c r="K1074" s="163" t="inlineStr"/>
      <c r="L1074" t="inlineStr">
        <is>
          <t>BORR</t>
        </is>
      </c>
      <c r="M1074" s="163" t="n">
        <v>45488</v>
      </c>
      <c r="N1074" s="164" t="n">
        <v>40</v>
      </c>
      <c r="O1074" s="164" t="n">
        <v>8</v>
      </c>
      <c r="P1074" t="inlineStr"/>
      <c r="Q1074" s="165" t="n">
        <v>2</v>
      </c>
      <c r="R1074" s="165" t="n">
        <v>2</v>
      </c>
      <c r="S1074" s="165" t="n">
        <v>0</v>
      </c>
      <c r="T1074" s="165" t="n">
        <v>2</v>
      </c>
      <c r="U1074" s="166" t="n">
        <v>0</v>
      </c>
      <c r="V1074" s="166" t="n">
        <v>0</v>
      </c>
      <c r="W1074" t="inlineStr"/>
      <c r="X1074" t="inlineStr">
        <is>
          <t>366.98</t>
        </is>
      </c>
      <c r="Y1074" t="inlineStr"/>
      <c r="Z1074" t="inlineStr">
        <is>
          <t>ICOMPPLUS ELECTRONICS S.L</t>
        </is>
      </c>
      <c r="AA1074" t="inlineStr">
        <is>
          <t>MILITARY SPECS.</t>
        </is>
      </c>
      <c r="AB1074" t="inlineStr">
        <is>
          <t>D38999/26ZH55SA</t>
        </is>
      </c>
      <c r="AC1074" t="inlineStr"/>
      <c r="AD1074" s="164" t="n">
        <v>0</v>
      </c>
      <c r="AE1074" s="185" t="n">
        <v>0</v>
      </c>
      <c r="AG1074" s="167" t="inlineStr">
        <is>
          <t>7218|JA2581_1001</t>
        </is>
      </c>
      <c r="AH1074" s="47">
        <f>IF(M1074=0,"-",M1074-J1074)</f>
        <v/>
      </c>
      <c r="AI1074" s="46">
        <f>IF(AND(S1074=0,M1074&gt;0,L1074=0),IF(AH1074&gt;=120,"VERY HIGH",IF(AH1074&gt;=90,"HIGH",IF(AH1074&gt;=60,"MEDIUM",IF(AH1074&lt;60,"LOW")))),"-")</f>
        <v/>
      </c>
      <c r="AJ1074" s="12" t="n"/>
      <c r="AK1074" s="53">
        <f>IF(AND(W1074="X",M1074&lt;=$AJ$2),"YES","")</f>
        <v/>
      </c>
      <c r="AL1074" s="54">
        <f>IF(AND(W1074="X",M1074&lt;=$AJ$2),S1074,"")</f>
        <v/>
      </c>
      <c r="AM1074" s="35" t="n"/>
      <c r="AN1074" s="35">
        <f>IF(AND(W1074="X",M1074&gt;$AJ$2),S1074,"")</f>
        <v/>
      </c>
      <c r="AO1074" s="35">
        <f>IF(AND(W1074="",M1074&gt;0,$AJ$2&gt;M1074,L1074=""),1,0)</f>
        <v/>
      </c>
      <c r="AP1074" s="35">
        <f>IF(AND(AK1074="YES",W1074="X"),"X","")</f>
        <v/>
      </c>
      <c r="AQ1074" s="55">
        <f>IF(AP1074="X",100%,0%)</f>
        <v/>
      </c>
      <c r="AR1074" s="25">
        <f>IF(AND(T1074&gt;0,L1074=""),H1074,"")</f>
        <v/>
      </c>
      <c r="AS1074" s="25">
        <f>IF(AND(D1074&gt;0,H1074=0,G1074=""),1,"")</f>
        <v/>
      </c>
      <c r="AT1074" s="25">
        <f>IF(G1074="BLOQ",1,"")</f>
        <v/>
      </c>
      <c r="AU1074" s="25">
        <f>IF(L1074="BLOQ",1,"")</f>
        <v/>
      </c>
      <c r="AV1074" s="25">
        <f>MONTH(F1074)</f>
        <v/>
      </c>
      <c r="AW1074" s="65">
        <f>IF(AP1074="",100%,0%)</f>
        <v/>
      </c>
      <c r="AX1074" s="56" t="n"/>
      <c r="AY1074" s="24">
        <f>IF(M1074=0,"",M1074-$AX$2)</f>
        <v/>
      </c>
      <c r="AZ1074" s="66">
        <f>IF(AND(W1074="",AY1074&gt;0,AY1074&lt;15),1,0)</f>
        <v/>
      </c>
      <c r="BA1074" s="24">
        <f>IF(AND(W1074="",AY1074&gt;0,AY1074&lt;15),T1074,"")</f>
        <v/>
      </c>
      <c r="BB1074" s="87">
        <f>IF(R1074&lt;Q1074,"X","")</f>
        <v/>
      </c>
      <c r="BC1074" s="190" t="inlineStr">
        <is>
          <t>NO</t>
        </is>
      </c>
      <c r="BD1074" s="191" t="inlineStr">
        <is>
          <t>SI</t>
        </is>
      </c>
    </row>
    <row r="1075" ht="15" customHeight="1" s="162">
      <c r="A1075" s="7" t="n">
        <v>1074</v>
      </c>
      <c r="B1075" t="inlineStr">
        <is>
          <t>1264611110000</t>
        </is>
      </c>
      <c r="C1075" t="inlineStr">
        <is>
          <t>CONVERT FREQ 220V 45-66HZ 115/200V 400HZ</t>
        </is>
      </c>
      <c r="D1075" t="inlineStr">
        <is>
          <t>1800108985</t>
        </is>
      </c>
      <c r="E1075" t="inlineStr">
        <is>
          <t>10</t>
        </is>
      </c>
      <c r="F1075" s="163" t="n">
        <v>45463</v>
      </c>
      <c r="G1075" t="inlineStr"/>
      <c r="H1075" t="inlineStr">
        <is>
          <t>4200568575</t>
        </is>
      </c>
      <c r="I1075" t="inlineStr">
        <is>
          <t>10</t>
        </is>
      </c>
      <c r="J1075" s="163" t="n">
        <v>45470</v>
      </c>
      <c r="K1075" s="163" t="n">
        <v>45474</v>
      </c>
      <c r="L1075" t="inlineStr"/>
      <c r="M1075" s="163" t="n">
        <v>45496</v>
      </c>
      <c r="N1075" s="164" t="n">
        <v>30</v>
      </c>
      <c r="O1075" s="164" t="n">
        <v>8</v>
      </c>
      <c r="P1075" t="inlineStr">
        <is>
          <t>Liberado</t>
        </is>
      </c>
      <c r="Q1075" s="165" t="n">
        <v>1</v>
      </c>
      <c r="R1075" s="165" t="n">
        <v>1</v>
      </c>
      <c r="S1075" s="165" t="n">
        <v>1</v>
      </c>
      <c r="T1075" s="165" t="n">
        <v>0</v>
      </c>
      <c r="U1075" s="166" t="n">
        <v>1</v>
      </c>
      <c r="V1075" s="166" t="n">
        <v>0</v>
      </c>
      <c r="W1075" t="inlineStr">
        <is>
          <t>X</t>
        </is>
      </c>
      <c r="X1075" t="inlineStr">
        <is>
          <t>0.00</t>
        </is>
      </c>
      <c r="Y1075" t="inlineStr"/>
      <c r="Z1075" t="inlineStr">
        <is>
          <t>ENELEC, S.L.</t>
        </is>
      </c>
      <c r="AA1075" t="inlineStr">
        <is>
          <t>MAGNUS POWER</t>
        </is>
      </c>
      <c r="AB1075" t="inlineStr">
        <is>
          <t>LF3-400</t>
        </is>
      </c>
      <c r="AC1075" t="inlineStr"/>
      <c r="AD1075" s="164" t="n">
        <v>0</v>
      </c>
      <c r="AE1075" s="185" t="n">
        <v>0</v>
      </c>
      <c r="AG1075" s="167" t="inlineStr">
        <is>
          <t>7218|JA2582_1001</t>
        </is>
      </c>
      <c r="AH1075" s="47">
        <f>IF(M1075=0,"-",M1075-J1075)</f>
        <v/>
      </c>
      <c r="AI1075" s="46">
        <f>IF(AND(S1075=0,M1075&gt;0,L1075=0),IF(AH1075&gt;=120,"VERY HIGH",IF(AH1075&gt;=90,"HIGH",IF(AH1075&gt;=60,"MEDIUM",IF(AH1075&lt;60,"LOW")))),"-")</f>
        <v/>
      </c>
      <c r="AJ1075" s="12" t="n"/>
      <c r="AK1075" s="53">
        <f>IF(AND(W1075="X",M1075&lt;=$AJ$2),"YES","")</f>
        <v/>
      </c>
      <c r="AL1075" s="54">
        <f>IF(AND(W1075="X",M1075&lt;=$AJ$2),S1075,"")</f>
        <v/>
      </c>
      <c r="AM1075" s="35" t="n"/>
      <c r="AN1075" s="35">
        <f>IF(AND(W1075="X",M1075&gt;$AJ$2),S1075,"")</f>
        <v/>
      </c>
      <c r="AO1075" s="35">
        <f>IF(AND(W1075="",M1075&gt;0,$AJ$2&gt;M1075,L1075=""),1,0)</f>
        <v/>
      </c>
      <c r="AP1075" s="35">
        <f>IF(AND(AK1075="YES",W1075="X"),"X","")</f>
        <v/>
      </c>
      <c r="AQ1075" s="55">
        <f>IF(AP1075="X",100%,0%)</f>
        <v/>
      </c>
      <c r="AR1075" s="25">
        <f>IF(AND(T1075&gt;0,L1075=""),H1075,"")</f>
        <v/>
      </c>
      <c r="AS1075" s="25">
        <f>IF(AND(D1075&gt;0,H1075=0,G1075=""),1,"")</f>
        <v/>
      </c>
      <c r="AT1075" s="25">
        <f>IF(G1075="BLOQ",1,"")</f>
        <v/>
      </c>
      <c r="AU1075" s="25">
        <f>IF(L1075="BLOQ",1,"")</f>
        <v/>
      </c>
      <c r="AV1075" s="25">
        <f>MONTH(F1075)</f>
        <v/>
      </c>
      <c r="AW1075" s="65">
        <f>IF(AP1075="",100%,0%)</f>
        <v/>
      </c>
      <c r="AX1075" s="56" t="n"/>
      <c r="AY1075" s="24">
        <f>IF(M1075=0,"",M1075-$AX$2)</f>
        <v/>
      </c>
      <c r="AZ1075" s="66">
        <f>IF(AND(W1075="",AY1075&gt;0,AY1075&lt;15),1,0)</f>
        <v/>
      </c>
      <c r="BA1075" s="24">
        <f>IF(AND(W1075="",AY1075&gt;0,AY1075&lt;15),T1075,"")</f>
        <v/>
      </c>
      <c r="BB1075" s="87">
        <f>IF(R1075&lt;Q1075,"X","")</f>
        <v/>
      </c>
      <c r="BC1075" s="191" t="inlineStr">
        <is>
          <t>SI</t>
        </is>
      </c>
      <c r="BD1075" s="191" t="inlineStr">
        <is>
          <t>SI</t>
        </is>
      </c>
    </row>
    <row r="1076" ht="15" customHeight="1" s="162">
      <c r="A1076" s="7" t="n">
        <v>1075</v>
      </c>
      <c r="B1076" t="inlineStr">
        <is>
          <t>1232525308000</t>
        </is>
      </c>
      <c r="C1076" t="inlineStr">
        <is>
          <t>CINT ADH ESPUM ACR VHB 4930P 30MM 33M BL</t>
        </is>
      </c>
      <c r="D1076" t="inlineStr">
        <is>
          <t>1800108986</t>
        </is>
      </c>
      <c r="E1076" t="inlineStr">
        <is>
          <t>10</t>
        </is>
      </c>
      <c r="F1076" s="163" t="n">
        <v>45463</v>
      </c>
      <c r="G1076" t="inlineStr"/>
      <c r="H1076" t="inlineStr">
        <is>
          <t>4200568827</t>
        </is>
      </c>
      <c r="I1076" t="inlineStr">
        <is>
          <t>10</t>
        </is>
      </c>
      <c r="J1076" s="163" t="n">
        <v>45471</v>
      </c>
      <c r="K1076" s="163" t="n">
        <v>45475</v>
      </c>
      <c r="L1076" t="inlineStr"/>
      <c r="M1076" s="163" t="n">
        <v>45488</v>
      </c>
      <c r="N1076" s="164" t="n">
        <v>40</v>
      </c>
      <c r="O1076" s="164" t="n">
        <v>8</v>
      </c>
      <c r="P1076" t="inlineStr">
        <is>
          <t>Liberado</t>
        </is>
      </c>
      <c r="Q1076" s="165" t="n">
        <v>2</v>
      </c>
      <c r="R1076" s="165" t="n">
        <v>1</v>
      </c>
      <c r="S1076" s="165" t="n">
        <v>1</v>
      </c>
      <c r="T1076" s="165" t="n">
        <v>0</v>
      </c>
      <c r="U1076" s="166" t="n">
        <v>1</v>
      </c>
      <c r="V1076" s="166" t="n">
        <v>0</v>
      </c>
      <c r="W1076" t="inlineStr">
        <is>
          <t>X</t>
        </is>
      </c>
      <c r="X1076" t="inlineStr">
        <is>
          <t>0.00</t>
        </is>
      </c>
      <c r="Y1076" t="inlineStr"/>
      <c r="Z1076" t="inlineStr">
        <is>
          <t>ABACO SUYTEC, S.A.U.</t>
        </is>
      </c>
      <c r="AA1076" t="inlineStr">
        <is>
          <t>3M</t>
        </is>
      </c>
      <c r="AB1076" t="inlineStr">
        <is>
          <t>4930P/30MM</t>
        </is>
      </c>
      <c r="AC1076" t="inlineStr"/>
      <c r="AD1076" s="164" t="n">
        <v>0</v>
      </c>
      <c r="AE1076" s="185" t="n">
        <v>0</v>
      </c>
      <c r="AG1076" s="167" t="inlineStr">
        <is>
          <t>7218|JA2578_1001</t>
        </is>
      </c>
      <c r="AH1076" s="47">
        <f>IF(M1076=0,"-",M1076-J1076)</f>
        <v/>
      </c>
      <c r="AI1076" s="46">
        <f>IF(AND(S1076=0,M1076&gt;0,L1076=0),IF(AH1076&gt;=120,"VERY HIGH",IF(AH1076&gt;=90,"HIGH",IF(AH1076&gt;=60,"MEDIUM",IF(AH1076&lt;60,"LOW")))),"-")</f>
        <v/>
      </c>
      <c r="AJ1076" s="12" t="n"/>
      <c r="AK1076" s="53">
        <f>IF(AND(W1076="X",M1076&lt;=$AJ$2),"YES","")</f>
        <v/>
      </c>
      <c r="AL1076" s="54">
        <f>IF(AND(W1076="X",M1076&lt;=$AJ$2),S1076,"")</f>
        <v/>
      </c>
      <c r="AM1076" s="35" t="n"/>
      <c r="AN1076" s="35">
        <f>IF(AND(W1076="X",M1076&gt;$AJ$2),S1076,"")</f>
        <v/>
      </c>
      <c r="AO1076" s="35">
        <f>IF(AND(W1076="",M1076&gt;0,$AJ$2&gt;M1076,L1076=""),1,0)</f>
        <v/>
      </c>
      <c r="AP1076" s="35">
        <f>IF(AND(AK1076="YES",W1076="X"),"X","")</f>
        <v/>
      </c>
      <c r="AQ1076" s="55">
        <f>IF(AP1076="X",100%,0%)</f>
        <v/>
      </c>
      <c r="AR1076" s="25">
        <f>IF(AND(T1076&gt;0,L1076=""),H1076,"")</f>
        <v/>
      </c>
      <c r="AS1076" s="25">
        <f>IF(AND(D1076&gt;0,H1076=0,G1076=""),1,"")</f>
        <v/>
      </c>
      <c r="AT1076" s="25">
        <f>IF(G1076="BLOQ",1,"")</f>
        <v/>
      </c>
      <c r="AU1076" s="25">
        <f>IF(L1076="BLOQ",1,"")</f>
        <v/>
      </c>
      <c r="AV1076" s="25">
        <f>MONTH(F1076)</f>
        <v/>
      </c>
      <c r="AW1076" s="65">
        <f>IF(AP1076="",100%,0%)</f>
        <v/>
      </c>
      <c r="AX1076" s="56" t="n"/>
      <c r="AY1076" s="24">
        <f>IF(M1076=0,"",M1076-$AX$2)</f>
        <v/>
      </c>
      <c r="AZ1076" s="66">
        <f>IF(AND(W1076="",AY1076&gt;0,AY1076&lt;15),1,0)</f>
        <v/>
      </c>
      <c r="BA1076" s="24">
        <f>IF(AND(W1076="",AY1076&gt;0,AY1076&lt;15),T1076,"")</f>
        <v/>
      </c>
      <c r="BB1076" s="87">
        <f>IF(R1076&lt;Q1076,"X","")</f>
        <v/>
      </c>
      <c r="BC1076" s="190" t="inlineStr">
        <is>
          <t>NO</t>
        </is>
      </c>
      <c r="BD1076" s="191" t="inlineStr">
        <is>
          <t>SI</t>
        </is>
      </c>
    </row>
    <row r="1077" ht="15" customHeight="1" s="162">
      <c r="A1077" s="7" t="n">
        <v>1076</v>
      </c>
      <c r="B1077" t="inlineStr">
        <is>
          <t>1509011010190</t>
        </is>
      </c>
      <c r="C1077" t="inlineStr">
        <is>
          <t>TORN PHILIPS M3X10MM C/JUNTA L2615</t>
        </is>
      </c>
      <c r="D1077" t="inlineStr">
        <is>
          <t>1800108986</t>
        </is>
      </c>
      <c r="E1077" t="inlineStr">
        <is>
          <t>30</t>
        </is>
      </c>
      <c r="F1077" s="163" t="n">
        <v>45463</v>
      </c>
      <c r="G1077" t="inlineStr"/>
      <c r="H1077" t="inlineStr">
        <is>
          <t>4200610629</t>
        </is>
      </c>
      <c r="I1077" t="inlineStr">
        <is>
          <t>10</t>
        </is>
      </c>
      <c r="J1077" s="163" t="n">
        <v>45790</v>
      </c>
      <c r="K1077" s="163" t="n">
        <v>45791</v>
      </c>
      <c r="L1077" t="inlineStr"/>
      <c r="M1077" s="163" t="n">
        <v>45807</v>
      </c>
      <c r="N1077" s="164" t="n">
        <v>60</v>
      </c>
      <c r="O1077" s="164" t="n">
        <v>8</v>
      </c>
      <c r="P1077" t="inlineStr">
        <is>
          <t>Liberado</t>
        </is>
      </c>
      <c r="Q1077" s="165" t="n">
        <v>4</v>
      </c>
      <c r="R1077" s="165" t="n">
        <v>625</v>
      </c>
      <c r="S1077" s="165" t="n">
        <v>625</v>
      </c>
      <c r="T1077" s="165" t="n">
        <v>0</v>
      </c>
      <c r="U1077" s="166" t="n">
        <v>625</v>
      </c>
      <c r="V1077" s="166" t="n">
        <v>0</v>
      </c>
      <c r="W1077" t="inlineStr">
        <is>
          <t>X</t>
        </is>
      </c>
      <c r="X1077" t="inlineStr">
        <is>
          <t>0.00</t>
        </is>
      </c>
      <c r="Y1077" t="inlineStr"/>
      <c r="Z1077" t="inlineStr">
        <is>
          <t>GIZA TECHNOLOGIES, INC</t>
        </is>
      </c>
      <c r="AA1077" t="inlineStr">
        <is>
          <t>APM-HEXSEAL</t>
        </is>
      </c>
      <c r="AB1077" t="inlineStr">
        <is>
          <t>RM3X0.5-10MM-L2615</t>
        </is>
      </c>
      <c r="AC1077" t="inlineStr"/>
      <c r="AD1077" s="164" t="n">
        <v>0</v>
      </c>
      <c r="AE1077" s="185" t="n">
        <v>0</v>
      </c>
      <c r="AG1077" s="167" t="inlineStr">
        <is>
          <t>7218|JA2578_1001</t>
        </is>
      </c>
      <c r="AH1077" s="47">
        <f>IF(M1077=0,"-",M1077-J1077)</f>
        <v/>
      </c>
      <c r="AI1077" s="46">
        <f>IF(AND(S1077=0,M1077&gt;0,L1077=0),IF(AH1077&gt;=120,"VERY HIGH",IF(AH1077&gt;=90,"HIGH",IF(AH1077&gt;=60,"MEDIUM",IF(AH1077&lt;60,"LOW")))),"-")</f>
        <v/>
      </c>
      <c r="AJ1077" s="12" t="n"/>
      <c r="AK1077" s="53">
        <f>IF(AND(W1077="X",M1077&lt;=$AJ$2),"YES","")</f>
        <v/>
      </c>
      <c r="AL1077" s="54">
        <f>IF(AND(W1077="X",M1077&lt;=$AJ$2),S1077,"")</f>
        <v/>
      </c>
      <c r="AM1077" s="35" t="n"/>
      <c r="AN1077" s="35">
        <f>IF(AND(W1077="X",M1077&gt;$AJ$2),S1077,"")</f>
        <v/>
      </c>
      <c r="AO1077" s="35">
        <f>IF(AND(W1077="",M1077&gt;0,$AJ$2&gt;M1077,L1077=""),1,0)</f>
        <v/>
      </c>
      <c r="AP1077" s="35">
        <f>IF(AND(AK1077="YES",W1077="X"),"X","")</f>
        <v/>
      </c>
      <c r="AQ1077" s="55">
        <f>IF(AP1077="X",100%,0%)</f>
        <v/>
      </c>
      <c r="AR1077" s="25">
        <f>IF(AND(T1077&gt;0,L1077=""),H1077,"")</f>
        <v/>
      </c>
      <c r="AS1077" s="25">
        <f>IF(AND(D1077&gt;0,H1077=0,G1077=""),1,"")</f>
        <v/>
      </c>
      <c r="AT1077" s="25">
        <f>IF(G1077="BLOQ",1,"")</f>
        <v/>
      </c>
      <c r="AU1077" s="25">
        <f>IF(L1077="BLOQ",1,"")</f>
        <v/>
      </c>
      <c r="AV1077" s="25">
        <f>MONTH(F1077)</f>
        <v/>
      </c>
      <c r="AW1077" s="65">
        <f>IF(AP1077="",100%,0%)</f>
        <v/>
      </c>
      <c r="AX1077" s="56" t="n"/>
      <c r="AY1077" s="24">
        <f>IF(M1077=0,"",M1077-$AX$2)</f>
        <v/>
      </c>
      <c r="AZ1077" s="66">
        <f>IF(AND(W1077="",AY1077&gt;0,AY1077&lt;15),1,0)</f>
        <v/>
      </c>
      <c r="BA1077" s="24">
        <f>IF(AND(W1077="",AY1077&gt;0,AY1077&lt;15),T1077,"")</f>
        <v/>
      </c>
      <c r="BB1077" s="87">
        <f>IF(R1077&lt;Q1077,"X","")</f>
        <v/>
      </c>
      <c r="BC1077" s="190" t="inlineStr">
        <is>
          <t>NO</t>
        </is>
      </c>
      <c r="BD1077" s="191" t="inlineStr">
        <is>
          <t>SI</t>
        </is>
      </c>
    </row>
    <row r="1078" ht="15" customHeight="1" s="162">
      <c r="A1078" s="7" t="n">
        <v>1077</v>
      </c>
      <c r="B1078" t="inlineStr">
        <is>
          <t>1805710000000</t>
        </is>
      </c>
      <c r="C1078" t="inlineStr">
        <is>
          <t>IMPRIMACION 94 AMBAR APROX 6% SOLIDOS</t>
        </is>
      </c>
      <c r="D1078" t="inlineStr">
        <is>
          <t>1800108986</t>
        </is>
      </c>
      <c r="E1078" t="inlineStr">
        <is>
          <t>40</t>
        </is>
      </c>
      <c r="F1078" s="163" t="n">
        <v>45463</v>
      </c>
      <c r="G1078" t="inlineStr"/>
      <c r="H1078" t="inlineStr">
        <is>
          <t>4200562629</t>
        </is>
      </c>
      <c r="I1078" t="inlineStr">
        <is>
          <t>20</t>
        </is>
      </c>
      <c r="J1078" s="163" t="n">
        <v>45425</v>
      </c>
      <c r="K1078" s="163" t="n">
        <v>45475</v>
      </c>
      <c r="L1078" t="inlineStr"/>
      <c r="M1078" s="163" t="n">
        <v>45488</v>
      </c>
      <c r="N1078" s="164" t="n">
        <v>30</v>
      </c>
      <c r="O1078" s="164" t="n">
        <v>8</v>
      </c>
      <c r="P1078" t="inlineStr">
        <is>
          <t>Liberado</t>
        </is>
      </c>
      <c r="Q1078" s="165" t="n">
        <v>3</v>
      </c>
      <c r="R1078" s="165" t="n">
        <v>3</v>
      </c>
      <c r="S1078" s="165" t="n">
        <v>4</v>
      </c>
      <c r="T1078" s="165" t="n">
        <v>0</v>
      </c>
      <c r="U1078" s="166" t="n">
        <v>3</v>
      </c>
      <c r="V1078" s="166" t="n">
        <v>1</v>
      </c>
      <c r="W1078" t="inlineStr">
        <is>
          <t>X</t>
        </is>
      </c>
      <c r="X1078" t="inlineStr">
        <is>
          <t>0.00</t>
        </is>
      </c>
      <c r="Y1078" t="inlineStr"/>
      <c r="Z1078" t="inlineStr">
        <is>
          <t>Technipol Suministros, S.L.</t>
        </is>
      </c>
      <c r="AA1078" t="inlineStr">
        <is>
          <t>3M</t>
        </is>
      </c>
      <c r="AB1078" t="inlineStr">
        <is>
          <t>70-0160-5477-0</t>
        </is>
      </c>
      <c r="AC1078" t="inlineStr"/>
      <c r="AD1078" s="164" t="n">
        <v>0</v>
      </c>
      <c r="AE1078" s="185" t="n">
        <v>0</v>
      </c>
      <c r="AG1078" s="167" t="inlineStr">
        <is>
          <t>7218|JA2578_1001</t>
        </is>
      </c>
      <c r="AH1078" s="47">
        <f>IF(M1078=0,"-",M1078-J1078)</f>
        <v/>
      </c>
      <c r="AI1078" s="46">
        <f>IF(AND(S1078=0,M1078&gt;0,L1078=0),IF(AH1078&gt;=120,"VERY HIGH",IF(AH1078&gt;=90,"HIGH",IF(AH1078&gt;=60,"MEDIUM",IF(AH1078&lt;60,"LOW")))),"-")</f>
        <v/>
      </c>
      <c r="AJ1078" s="12" t="n"/>
      <c r="AK1078" s="53">
        <f>IF(AND(W1078="X",M1078&lt;=$AJ$2),"YES","")</f>
        <v/>
      </c>
      <c r="AL1078" s="54">
        <f>IF(AND(W1078="X",M1078&lt;=$AJ$2),S1078,"")</f>
        <v/>
      </c>
      <c r="AM1078" s="35" t="n"/>
      <c r="AN1078" s="35">
        <f>IF(AND(W1078="X",M1078&gt;$AJ$2),S1078,"")</f>
        <v/>
      </c>
      <c r="AO1078" s="35">
        <f>IF(AND(W1078="",M1078&gt;0,$AJ$2&gt;M1078,L1078=""),1,0)</f>
        <v/>
      </c>
      <c r="AP1078" s="35">
        <f>IF(AND(AK1078="YES",W1078="X"),"X","")</f>
        <v/>
      </c>
      <c r="AQ1078" s="55">
        <f>IF(AP1078="X",100%,0%)</f>
        <v/>
      </c>
      <c r="AR1078" s="25">
        <f>IF(AND(T1078&gt;0,L1078=""),H1078,"")</f>
        <v/>
      </c>
      <c r="AS1078" s="25">
        <f>IF(AND(D1078&gt;0,H1078=0,G1078=""),1,"")</f>
        <v/>
      </c>
      <c r="AT1078" s="25">
        <f>IF(G1078="BLOQ",1,"")</f>
        <v/>
      </c>
      <c r="AU1078" s="25">
        <f>IF(L1078="BLOQ",1,"")</f>
        <v/>
      </c>
      <c r="AV1078" s="25">
        <f>MONTH(F1078)</f>
        <v/>
      </c>
      <c r="AW1078" s="65">
        <f>IF(AP1078="",100%,0%)</f>
        <v/>
      </c>
      <c r="AX1078" s="56" t="n"/>
      <c r="AY1078" s="24">
        <f>IF(M1078=0,"",M1078-$AX$2)</f>
        <v/>
      </c>
      <c r="AZ1078" s="66">
        <f>IF(AND(W1078="",AY1078&gt;0,AY1078&lt;15),1,0)</f>
        <v/>
      </c>
      <c r="BA1078" s="24">
        <f>IF(AND(W1078="",AY1078&gt;0,AY1078&lt;15),T1078,"")</f>
        <v/>
      </c>
      <c r="BB1078" s="87">
        <f>IF(R1078&lt;Q1078,"X","")</f>
        <v/>
      </c>
      <c r="BC1078" s="190" t="inlineStr">
        <is>
          <t>NO</t>
        </is>
      </c>
      <c r="BD1078" s="191" t="inlineStr">
        <is>
          <t>SI</t>
        </is>
      </c>
    </row>
    <row r="1079" ht="15" customHeight="1" s="162">
      <c r="A1079" s="7" t="n">
        <v>1078</v>
      </c>
      <c r="B1079" t="inlineStr">
        <is>
          <t>3210104720300</t>
        </is>
      </c>
      <c r="C1079" t="inlineStr">
        <is>
          <t>LATIGUILLO ETHERNET UTP CAT.6 RJ45 M/M,</t>
        </is>
      </c>
      <c r="D1079" t="inlineStr">
        <is>
          <t>1800108986</t>
        </is>
      </c>
      <c r="E1079" t="inlineStr">
        <is>
          <t>50</t>
        </is>
      </c>
      <c r="F1079" s="163" t="n">
        <v>45463</v>
      </c>
      <c r="G1079" t="inlineStr"/>
      <c r="H1079" t="inlineStr">
        <is>
          <t>4200568809</t>
        </is>
      </c>
      <c r="I1079" t="inlineStr">
        <is>
          <t>10</t>
        </is>
      </c>
      <c r="J1079" s="163" t="n">
        <v>45471</v>
      </c>
      <c r="K1079" s="163" t="n">
        <v>45474</v>
      </c>
      <c r="L1079" t="inlineStr"/>
      <c r="M1079" s="163" t="n">
        <v>45478</v>
      </c>
      <c r="N1079" s="164" t="n">
        <v>30</v>
      </c>
      <c r="O1079" s="164" t="n">
        <v>8</v>
      </c>
      <c r="P1079" t="inlineStr">
        <is>
          <t>Liberado</t>
        </is>
      </c>
      <c r="Q1079" s="165" t="n">
        <v>2</v>
      </c>
      <c r="R1079" s="165" t="n">
        <v>2</v>
      </c>
      <c r="S1079" s="165" t="n">
        <v>2</v>
      </c>
      <c r="T1079" s="165" t="n">
        <v>0</v>
      </c>
      <c r="U1079" s="166" t="n">
        <v>2</v>
      </c>
      <c r="V1079" s="166" t="n">
        <v>0</v>
      </c>
      <c r="W1079" t="inlineStr">
        <is>
          <t>X</t>
        </is>
      </c>
      <c r="X1079" t="inlineStr">
        <is>
          <t>0.00</t>
        </is>
      </c>
      <c r="Y1079" t="inlineStr"/>
      <c r="Z1079" t="inlineStr">
        <is>
          <t>CUBITEL,S.L</t>
        </is>
      </c>
      <c r="AA1079" t="inlineStr">
        <is>
          <t>CUBITEL</t>
        </is>
      </c>
      <c r="AB1079" t="inlineStr">
        <is>
          <t>CBT-CAT6-10M</t>
        </is>
      </c>
      <c r="AC1079" t="inlineStr"/>
      <c r="AD1079" s="164" t="n">
        <v>0</v>
      </c>
      <c r="AE1079" s="185" t="n">
        <v>0</v>
      </c>
      <c r="AG1079" s="167" t="inlineStr">
        <is>
          <t>7218|JA2578_1001</t>
        </is>
      </c>
      <c r="AH1079" s="47">
        <f>IF(M1079=0,"-",M1079-J1079)</f>
        <v/>
      </c>
      <c r="AI1079" s="46">
        <f>IF(AND(S1079=0,M1079&gt;0,L1079=0),IF(AH1079&gt;=120,"VERY HIGH",IF(AH1079&gt;=90,"HIGH",IF(AH1079&gt;=60,"MEDIUM",IF(AH1079&lt;60,"LOW")))),"-")</f>
        <v/>
      </c>
      <c r="AJ1079" s="12" t="n"/>
      <c r="AK1079" s="53">
        <f>IF(AND(W1079="X",M1079&lt;=$AJ$2),"YES","")</f>
        <v/>
      </c>
      <c r="AL1079" s="54">
        <f>IF(AND(W1079="X",M1079&lt;=$AJ$2),S1079,"")</f>
        <v/>
      </c>
      <c r="AM1079" s="35" t="n"/>
      <c r="AN1079" s="35">
        <f>IF(AND(W1079="X",M1079&gt;$AJ$2),S1079,"")</f>
        <v/>
      </c>
      <c r="AO1079" s="35">
        <f>IF(AND(W1079="",M1079&gt;0,$AJ$2&gt;M1079,L1079=""),1,0)</f>
        <v/>
      </c>
      <c r="AP1079" s="35">
        <f>IF(AND(AK1079="YES",W1079="X"),"X","")</f>
        <v/>
      </c>
      <c r="AQ1079" s="55">
        <f>IF(AP1079="X",100%,0%)</f>
        <v/>
      </c>
      <c r="AR1079" s="25">
        <f>IF(AND(T1079&gt;0,L1079=""),H1079,"")</f>
        <v/>
      </c>
      <c r="AS1079" s="25">
        <f>IF(AND(D1079&gt;0,H1079=0,G1079=""),1,"")</f>
        <v/>
      </c>
      <c r="AT1079" s="25">
        <f>IF(G1079="BLOQ",1,"")</f>
        <v/>
      </c>
      <c r="AU1079" s="25">
        <f>IF(L1079="BLOQ",1,"")</f>
        <v/>
      </c>
      <c r="AV1079" s="25">
        <f>MONTH(F1079)</f>
        <v/>
      </c>
      <c r="AW1079" s="65">
        <f>IF(AP1079="",100%,0%)</f>
        <v/>
      </c>
      <c r="AX1079" s="56" t="n"/>
      <c r="AY1079" s="24">
        <f>IF(M1079=0,"",M1079-$AX$2)</f>
        <v/>
      </c>
      <c r="AZ1079" s="66">
        <f>IF(AND(W1079="",AY1079&gt;0,AY1079&lt;15),1,0)</f>
        <v/>
      </c>
      <c r="BA1079" s="24">
        <f>IF(AND(W1079="",AY1079&gt;0,AY1079&lt;15),T1079,"")</f>
        <v/>
      </c>
      <c r="BB1079" s="87">
        <f>IF(R1079&lt;Q1079,"X","")</f>
        <v/>
      </c>
      <c r="BC1079" s="190" t="inlineStr">
        <is>
          <t>NO</t>
        </is>
      </c>
      <c r="BD1079" s="191" t="inlineStr">
        <is>
          <t>SI</t>
        </is>
      </c>
    </row>
    <row r="1080" ht="15" customHeight="1" s="162">
      <c r="A1080" s="7" t="n">
        <v>1079</v>
      </c>
      <c r="B1080" t="inlineStr">
        <is>
          <t>3210104720700</t>
        </is>
      </c>
      <c r="C1080" t="inlineStr">
        <is>
          <t>LATIGUILLO ETHERNET UTP CAT.6 RJ45 M/M,</t>
        </is>
      </c>
      <c r="D1080" t="inlineStr">
        <is>
          <t>1800108986</t>
        </is>
      </c>
      <c r="E1080" t="inlineStr">
        <is>
          <t>60</t>
        </is>
      </c>
      <c r="F1080" s="163" t="n">
        <v>45463</v>
      </c>
      <c r="G1080" t="inlineStr"/>
      <c r="H1080" t="inlineStr">
        <is>
          <t>4200568809</t>
        </is>
      </c>
      <c r="I1080" t="inlineStr">
        <is>
          <t>20</t>
        </is>
      </c>
      <c r="J1080" s="163" t="n">
        <v>45471</v>
      </c>
      <c r="K1080" s="163" t="n">
        <v>45474</v>
      </c>
      <c r="L1080" t="inlineStr"/>
      <c r="M1080" s="163" t="n">
        <v>45478</v>
      </c>
      <c r="N1080" s="164" t="n">
        <v>30</v>
      </c>
      <c r="O1080" s="164" t="n">
        <v>8</v>
      </c>
      <c r="P1080" t="inlineStr">
        <is>
          <t>Liberado</t>
        </is>
      </c>
      <c r="Q1080" s="165" t="n">
        <v>2</v>
      </c>
      <c r="R1080" s="165" t="n">
        <v>2</v>
      </c>
      <c r="S1080" s="165" t="n">
        <v>2</v>
      </c>
      <c r="T1080" s="165" t="n">
        <v>0</v>
      </c>
      <c r="U1080" s="166" t="n">
        <v>2</v>
      </c>
      <c r="V1080" s="166" t="n">
        <v>0</v>
      </c>
      <c r="W1080" t="inlineStr">
        <is>
          <t>X</t>
        </is>
      </c>
      <c r="X1080" t="inlineStr">
        <is>
          <t>0.00</t>
        </is>
      </c>
      <c r="Y1080" t="inlineStr"/>
      <c r="Z1080" t="inlineStr">
        <is>
          <t>CUBITEL,S.L</t>
        </is>
      </c>
      <c r="AA1080" t="inlineStr">
        <is>
          <t>CUBITEL</t>
        </is>
      </c>
      <c r="AB1080" t="inlineStr">
        <is>
          <t>CBT-CAT6-50M</t>
        </is>
      </c>
      <c r="AC1080" t="inlineStr"/>
      <c r="AD1080" s="164" t="n">
        <v>0</v>
      </c>
      <c r="AE1080" s="185" t="n">
        <v>0</v>
      </c>
      <c r="AG1080" s="167" t="inlineStr">
        <is>
          <t>7218|JA2578_1001</t>
        </is>
      </c>
      <c r="AH1080" s="47">
        <f>IF(M1080=0,"-",M1080-J1080)</f>
        <v/>
      </c>
      <c r="AI1080" s="46">
        <f>IF(AND(S1080=0,M1080&gt;0,L1080=0),IF(AH1080&gt;=120,"VERY HIGH",IF(AH1080&gt;=90,"HIGH",IF(AH1080&gt;=60,"MEDIUM",IF(AH1080&lt;60,"LOW")))),"-")</f>
        <v/>
      </c>
      <c r="AJ1080" s="12" t="n"/>
      <c r="AK1080" s="53">
        <f>IF(AND(W1080="X",M1080&lt;=$AJ$2),"YES","")</f>
        <v/>
      </c>
      <c r="AL1080" s="54">
        <f>IF(AND(W1080="X",M1080&lt;=$AJ$2),S1080,"")</f>
        <v/>
      </c>
      <c r="AM1080" s="35" t="n"/>
      <c r="AN1080" s="35">
        <f>IF(AND(W1080="X",M1080&gt;$AJ$2),S1080,"")</f>
        <v/>
      </c>
      <c r="AO1080" s="35">
        <f>IF(AND(W1080="",M1080&gt;0,$AJ$2&gt;M1080,L1080=""),1,0)</f>
        <v/>
      </c>
      <c r="AP1080" s="35">
        <f>IF(AND(AK1080="YES",W1080="X"),"X","")</f>
        <v/>
      </c>
      <c r="AQ1080" s="55">
        <f>IF(AP1080="X",100%,0%)</f>
        <v/>
      </c>
      <c r="AR1080" s="25">
        <f>IF(AND(T1080&gt;0,L1080=""),H1080,"")</f>
        <v/>
      </c>
      <c r="AS1080" s="25">
        <f>IF(AND(D1080&gt;0,H1080=0,G1080=""),1,"")</f>
        <v/>
      </c>
      <c r="AT1080" s="25">
        <f>IF(G1080="BLOQ",1,"")</f>
        <v/>
      </c>
      <c r="AU1080" s="25">
        <f>IF(L1080="BLOQ",1,"")</f>
        <v/>
      </c>
      <c r="AV1080" s="25">
        <f>MONTH(F1080)</f>
        <v/>
      </c>
      <c r="AW1080" s="65">
        <f>IF(AP1080="",100%,0%)</f>
        <v/>
      </c>
      <c r="AX1080" s="56" t="n"/>
      <c r="AY1080" s="24">
        <f>IF(M1080=0,"",M1080-$AX$2)</f>
        <v/>
      </c>
      <c r="AZ1080" s="66">
        <f>IF(AND(W1080="",AY1080&gt;0,AY1080&lt;15),1,0)</f>
        <v/>
      </c>
      <c r="BA1080" s="24">
        <f>IF(AND(W1080="",AY1080&gt;0,AY1080&lt;15),T1080,"")</f>
        <v/>
      </c>
      <c r="BB1080" s="87">
        <f>IF(R1080&lt;Q1080,"X","")</f>
        <v/>
      </c>
      <c r="BC1080" s="190" t="inlineStr">
        <is>
          <t>NO</t>
        </is>
      </c>
      <c r="BD1080" s="191" t="inlineStr">
        <is>
          <t>SI</t>
        </is>
      </c>
    </row>
    <row r="1081" ht="15" customHeight="1" s="162">
      <c r="A1081" s="7" t="n">
        <v>1080</v>
      </c>
      <c r="B1081" t="inlineStr">
        <is>
          <t>3210104721600</t>
        </is>
      </c>
      <c r="C1081" t="inlineStr">
        <is>
          <t>CBL PATCHCORD ETH CAT6 UTP RJ45  8M BL</t>
        </is>
      </c>
      <c r="D1081" t="inlineStr">
        <is>
          <t>1800108986</t>
        </is>
      </c>
      <c r="E1081" t="inlineStr">
        <is>
          <t>70</t>
        </is>
      </c>
      <c r="F1081" s="163" t="n">
        <v>45463</v>
      </c>
      <c r="G1081" t="inlineStr"/>
      <c r="H1081" t="inlineStr">
        <is>
          <t>4200568809</t>
        </is>
      </c>
      <c r="I1081" t="inlineStr">
        <is>
          <t>30</t>
        </is>
      </c>
      <c r="J1081" s="163" t="n">
        <v>45471</v>
      </c>
      <c r="K1081" s="163" t="n">
        <v>45474</v>
      </c>
      <c r="L1081" t="inlineStr"/>
      <c r="M1081" s="163" t="n">
        <v>45478</v>
      </c>
      <c r="N1081" s="164" t="n">
        <v>30</v>
      </c>
      <c r="O1081" s="164" t="n">
        <v>8</v>
      </c>
      <c r="P1081" t="inlineStr">
        <is>
          <t>Liberado</t>
        </is>
      </c>
      <c r="Q1081" s="165" t="n">
        <v>3</v>
      </c>
      <c r="R1081" s="165" t="n">
        <v>3</v>
      </c>
      <c r="S1081" s="165" t="n">
        <v>3</v>
      </c>
      <c r="T1081" s="165" t="n">
        <v>0</v>
      </c>
      <c r="U1081" s="166" t="n">
        <v>3</v>
      </c>
      <c r="V1081" s="166" t="n">
        <v>0</v>
      </c>
      <c r="W1081" t="inlineStr">
        <is>
          <t>X</t>
        </is>
      </c>
      <c r="X1081" t="inlineStr">
        <is>
          <t>0.00</t>
        </is>
      </c>
      <c r="Y1081" t="inlineStr"/>
      <c r="Z1081" t="inlineStr">
        <is>
          <t>CUBITEL,S.L</t>
        </is>
      </c>
      <c r="AA1081" t="inlineStr">
        <is>
          <t>CUBITEL</t>
        </is>
      </c>
      <c r="AB1081" t="inlineStr">
        <is>
          <t>CBT-CAT6-8</t>
        </is>
      </c>
      <c r="AC1081" t="inlineStr"/>
      <c r="AD1081" s="164" t="n">
        <v>0</v>
      </c>
      <c r="AE1081" s="185" t="n">
        <v>0</v>
      </c>
      <c r="AG1081" s="167" t="inlineStr">
        <is>
          <t>7218|JA2578_1001</t>
        </is>
      </c>
      <c r="AH1081" s="47">
        <f>IF(M1081=0,"-",M1081-J1081)</f>
        <v/>
      </c>
      <c r="AI1081" s="46">
        <f>IF(AND(S1081=0,M1081&gt;0,L1081=0),IF(AH1081&gt;=120,"VERY HIGH",IF(AH1081&gt;=90,"HIGH",IF(AH1081&gt;=60,"MEDIUM",IF(AH1081&lt;60,"LOW")))),"-")</f>
        <v/>
      </c>
      <c r="AJ1081" s="12" t="n"/>
      <c r="AK1081" s="53">
        <f>IF(AND(W1081="X",M1081&lt;=$AJ$2),"YES","")</f>
        <v/>
      </c>
      <c r="AL1081" s="54">
        <f>IF(AND(W1081="X",M1081&lt;=$AJ$2),S1081,"")</f>
        <v/>
      </c>
      <c r="AM1081" s="35" t="n"/>
      <c r="AN1081" s="35">
        <f>IF(AND(W1081="X",M1081&gt;$AJ$2),S1081,"")</f>
        <v/>
      </c>
      <c r="AO1081" s="35">
        <f>IF(AND(W1081="",M1081&gt;0,$AJ$2&gt;M1081,L1081=""),1,0)</f>
        <v/>
      </c>
      <c r="AP1081" s="35">
        <f>IF(AND(AK1081="YES",W1081="X"),"X","")</f>
        <v/>
      </c>
      <c r="AQ1081" s="55">
        <f>IF(AP1081="X",100%,0%)</f>
        <v/>
      </c>
      <c r="AR1081" s="25">
        <f>IF(AND(T1081&gt;0,L1081=""),H1081,"")</f>
        <v/>
      </c>
      <c r="AS1081" s="25">
        <f>IF(AND(D1081&gt;0,H1081=0,G1081=""),1,"")</f>
        <v/>
      </c>
      <c r="AT1081" s="25">
        <f>IF(G1081="BLOQ",1,"")</f>
        <v/>
      </c>
      <c r="AU1081" s="25">
        <f>IF(L1081="BLOQ",1,"")</f>
        <v/>
      </c>
      <c r="AV1081" s="25">
        <f>MONTH(F1081)</f>
        <v/>
      </c>
      <c r="AW1081" s="65">
        <f>IF(AP1081="",100%,0%)</f>
        <v/>
      </c>
      <c r="AX1081" s="56" t="n"/>
      <c r="AY1081" s="24">
        <f>IF(M1081=0,"",M1081-$AX$2)</f>
        <v/>
      </c>
      <c r="AZ1081" s="66">
        <f>IF(AND(W1081="",AY1081&gt;0,AY1081&lt;15),1,0)</f>
        <v/>
      </c>
      <c r="BA1081" s="24">
        <f>IF(AND(W1081="",AY1081&gt;0,AY1081&lt;15),T1081,"")</f>
        <v/>
      </c>
      <c r="BB1081" s="87">
        <f>IF(R1081&lt;Q1081,"X","")</f>
        <v/>
      </c>
      <c r="BC1081" s="190" t="inlineStr">
        <is>
          <t>NO</t>
        </is>
      </c>
      <c r="BD1081" s="191" t="inlineStr">
        <is>
          <t>SI</t>
        </is>
      </c>
    </row>
    <row r="1082" ht="15" customHeight="1" s="162">
      <c r="A1082" s="7" t="n">
        <v>1081</v>
      </c>
      <c r="B1082" t="inlineStr">
        <is>
          <t>3210104722200</t>
        </is>
      </c>
      <c r="C1082" t="inlineStr">
        <is>
          <t>CBL PATCHCORD ETH CAT6 UTP RJ45 15M BL</t>
        </is>
      </c>
      <c r="D1082" t="inlineStr">
        <is>
          <t>1800108986</t>
        </is>
      </c>
      <c r="E1082" t="inlineStr">
        <is>
          <t>80</t>
        </is>
      </c>
      <c r="F1082" s="163" t="n">
        <v>45463</v>
      </c>
      <c r="G1082" t="inlineStr"/>
      <c r="H1082" t="inlineStr">
        <is>
          <t>4200568809</t>
        </is>
      </c>
      <c r="I1082" t="inlineStr">
        <is>
          <t>40</t>
        </is>
      </c>
      <c r="J1082" s="163" t="n">
        <v>45471</v>
      </c>
      <c r="K1082" s="163" t="n">
        <v>45474</v>
      </c>
      <c r="L1082" t="inlineStr"/>
      <c r="M1082" s="163" t="n">
        <v>45478</v>
      </c>
      <c r="N1082" s="164" t="n">
        <v>30</v>
      </c>
      <c r="O1082" s="164" t="n">
        <v>8</v>
      </c>
      <c r="P1082" t="inlineStr">
        <is>
          <t>Liberado</t>
        </is>
      </c>
      <c r="Q1082" s="165" t="n">
        <v>1</v>
      </c>
      <c r="R1082" s="165" t="n">
        <v>1</v>
      </c>
      <c r="S1082" s="165" t="n">
        <v>1</v>
      </c>
      <c r="T1082" s="165" t="n">
        <v>0</v>
      </c>
      <c r="U1082" s="166" t="n">
        <v>1</v>
      </c>
      <c r="V1082" s="166" t="n">
        <v>0</v>
      </c>
      <c r="W1082" t="inlineStr">
        <is>
          <t>X</t>
        </is>
      </c>
      <c r="X1082" t="inlineStr">
        <is>
          <t>0.00</t>
        </is>
      </c>
      <c r="Y1082" t="inlineStr"/>
      <c r="Z1082" t="inlineStr">
        <is>
          <t>CUBITEL,S.L</t>
        </is>
      </c>
      <c r="AA1082" t="inlineStr">
        <is>
          <t>CUBITEL</t>
        </is>
      </c>
      <c r="AB1082" t="inlineStr">
        <is>
          <t>CBT-CAT6-15</t>
        </is>
      </c>
      <c r="AC1082" t="inlineStr"/>
      <c r="AD1082" s="164" t="n">
        <v>0</v>
      </c>
      <c r="AE1082" s="185" t="n">
        <v>0</v>
      </c>
      <c r="AG1082" s="167" t="inlineStr">
        <is>
          <t>7218|JA2578_1001</t>
        </is>
      </c>
      <c r="AH1082" s="47">
        <f>IF(M1082=0,"-",M1082-J1082)</f>
        <v/>
      </c>
      <c r="AI1082" s="46">
        <f>IF(AND(S1082=0,M1082&gt;0,L1082=0),IF(AH1082&gt;=120,"VERY HIGH",IF(AH1082&gt;=90,"HIGH",IF(AH1082&gt;=60,"MEDIUM",IF(AH1082&lt;60,"LOW")))),"-")</f>
        <v/>
      </c>
      <c r="AJ1082" s="12" t="n"/>
      <c r="AK1082" s="53">
        <f>IF(AND(W1082="X",M1082&lt;=$AJ$2),"YES","")</f>
        <v/>
      </c>
      <c r="AL1082" s="54">
        <f>IF(AND(W1082="X",M1082&lt;=$AJ$2),S1082,"")</f>
        <v/>
      </c>
      <c r="AM1082" s="35" t="n"/>
      <c r="AN1082" s="35">
        <f>IF(AND(W1082="X",M1082&gt;$AJ$2),S1082,"")</f>
        <v/>
      </c>
      <c r="AO1082" s="35">
        <f>IF(AND(W1082="",M1082&gt;0,$AJ$2&gt;M1082,L1082=""),1,0)</f>
        <v/>
      </c>
      <c r="AP1082" s="35">
        <f>IF(AND(AK1082="YES",W1082="X"),"X","")</f>
        <v/>
      </c>
      <c r="AQ1082" s="55">
        <f>IF(AP1082="X",100%,0%)</f>
        <v/>
      </c>
      <c r="AR1082" s="25">
        <f>IF(AND(T1082&gt;0,L1082=""),H1082,"")</f>
        <v/>
      </c>
      <c r="AS1082" s="25">
        <f>IF(AND(D1082&gt;0,H1082=0,G1082=""),1,"")</f>
        <v/>
      </c>
      <c r="AT1082" s="25">
        <f>IF(G1082="BLOQ",1,"")</f>
        <v/>
      </c>
      <c r="AU1082" s="25">
        <f>IF(L1082="BLOQ",1,"")</f>
        <v/>
      </c>
      <c r="AV1082" s="25">
        <f>MONTH(F1082)</f>
        <v/>
      </c>
      <c r="AW1082" s="65">
        <f>IF(AP1082="",100%,0%)</f>
        <v/>
      </c>
      <c r="AX1082" s="56" t="n"/>
      <c r="AY1082" s="24">
        <f>IF(M1082=0,"",M1082-$AX$2)</f>
        <v/>
      </c>
      <c r="AZ1082" s="66">
        <f>IF(AND(W1082="",AY1082&gt;0,AY1082&lt;15),1,0)</f>
        <v/>
      </c>
      <c r="BA1082" s="24">
        <f>IF(AND(W1082="",AY1082&gt;0,AY1082&lt;15),T1082,"")</f>
        <v/>
      </c>
      <c r="BB1082" s="87">
        <f>IF(R1082&lt;Q1082,"X","")</f>
        <v/>
      </c>
      <c r="BC1082" s="190" t="inlineStr">
        <is>
          <t>NO</t>
        </is>
      </c>
      <c r="BD1082" s="191" t="inlineStr">
        <is>
          <t>SI</t>
        </is>
      </c>
    </row>
    <row r="1083" ht="15" customHeight="1" s="162">
      <c r="A1083" s="7" t="n">
        <v>1082</v>
      </c>
      <c r="B1083" t="inlineStr">
        <is>
          <t>3210104722600</t>
        </is>
      </c>
      <c r="C1083" t="inlineStr">
        <is>
          <t>CBL EQ PATCHCORD ETH RJ-45 LSZH VRD 2M</t>
        </is>
      </c>
      <c r="D1083" t="inlineStr">
        <is>
          <t>1800108986</t>
        </is>
      </c>
      <c r="E1083" t="inlineStr">
        <is>
          <t>90</t>
        </is>
      </c>
      <c r="F1083" s="163" t="n">
        <v>45463</v>
      </c>
      <c r="G1083" t="inlineStr"/>
      <c r="H1083" t="inlineStr">
        <is>
          <t>4200568809</t>
        </is>
      </c>
      <c r="I1083" t="inlineStr">
        <is>
          <t>50</t>
        </is>
      </c>
      <c r="J1083" s="163" t="n">
        <v>45471</v>
      </c>
      <c r="K1083" s="163" t="n">
        <v>45474</v>
      </c>
      <c r="L1083" t="inlineStr"/>
      <c r="M1083" s="163" t="n">
        <v>45478</v>
      </c>
      <c r="N1083" s="164" t="n">
        <v>30</v>
      </c>
      <c r="O1083" s="164" t="n">
        <v>8</v>
      </c>
      <c r="P1083" t="inlineStr">
        <is>
          <t>Liberado</t>
        </is>
      </c>
      <c r="Q1083" s="165" t="n">
        <v>2</v>
      </c>
      <c r="R1083" s="165" t="n">
        <v>2</v>
      </c>
      <c r="S1083" s="165" t="n">
        <v>2</v>
      </c>
      <c r="T1083" s="165" t="n">
        <v>0</v>
      </c>
      <c r="U1083" s="166" t="n">
        <v>2</v>
      </c>
      <c r="V1083" s="166" t="n">
        <v>0</v>
      </c>
      <c r="W1083" t="inlineStr">
        <is>
          <t>X</t>
        </is>
      </c>
      <c r="X1083" t="inlineStr">
        <is>
          <t>0.00</t>
        </is>
      </c>
      <c r="Y1083" t="inlineStr"/>
      <c r="Z1083" t="inlineStr">
        <is>
          <t>CUBITEL,S.L</t>
        </is>
      </c>
      <c r="AA1083" t="inlineStr">
        <is>
          <t>CUBITEL</t>
        </is>
      </c>
      <c r="AB1083" t="inlineStr">
        <is>
          <t>CBT-CAT6VR-2</t>
        </is>
      </c>
      <c r="AC1083" t="inlineStr"/>
      <c r="AD1083" s="164" t="n">
        <v>0</v>
      </c>
      <c r="AE1083" s="185" t="n">
        <v>0</v>
      </c>
      <c r="AG1083" s="167" t="inlineStr">
        <is>
          <t>7218|JA2578_1001</t>
        </is>
      </c>
      <c r="AH1083" s="47">
        <f>IF(M1083=0,"-",M1083-J1083)</f>
        <v/>
      </c>
      <c r="AI1083" s="46">
        <f>IF(AND(S1083=0,M1083&gt;0,L1083=0),IF(AH1083&gt;=120,"VERY HIGH",IF(AH1083&gt;=90,"HIGH",IF(AH1083&gt;=60,"MEDIUM",IF(AH1083&lt;60,"LOW")))),"-")</f>
        <v/>
      </c>
      <c r="AJ1083" s="12" t="n"/>
      <c r="AK1083" s="53">
        <f>IF(AND(W1083="X",M1083&lt;=$AJ$2),"YES","")</f>
        <v/>
      </c>
      <c r="AL1083" s="54">
        <f>IF(AND(W1083="X",M1083&lt;=$AJ$2),S1083,"")</f>
        <v/>
      </c>
      <c r="AM1083" s="35" t="n"/>
      <c r="AN1083" s="35">
        <f>IF(AND(W1083="X",M1083&gt;$AJ$2),S1083,"")</f>
        <v/>
      </c>
      <c r="AO1083" s="35">
        <f>IF(AND(W1083="",M1083&gt;0,$AJ$2&gt;M1083,L1083=""),1,0)</f>
        <v/>
      </c>
      <c r="AP1083" s="35">
        <f>IF(AND(AK1083="YES",W1083="X"),"X","")</f>
        <v/>
      </c>
      <c r="AQ1083" s="55">
        <f>IF(AP1083="X",100%,0%)</f>
        <v/>
      </c>
      <c r="AR1083" s="25">
        <f>IF(AND(T1083&gt;0,L1083=""),H1083,"")</f>
        <v/>
      </c>
      <c r="AS1083" s="25">
        <f>IF(AND(D1083&gt;0,H1083=0,G1083=""),1,"")</f>
        <v/>
      </c>
      <c r="AT1083" s="25">
        <f>IF(G1083="BLOQ",1,"")</f>
        <v/>
      </c>
      <c r="AU1083" s="25">
        <f>IF(L1083="BLOQ",1,"")</f>
        <v/>
      </c>
      <c r="AV1083" s="25">
        <f>MONTH(F1083)</f>
        <v/>
      </c>
      <c r="AW1083" s="65">
        <f>IF(AP1083="",100%,0%)</f>
        <v/>
      </c>
      <c r="AX1083" s="56" t="n"/>
      <c r="AY1083" s="24">
        <f>IF(M1083=0,"",M1083-$AX$2)</f>
        <v/>
      </c>
      <c r="AZ1083" s="66">
        <f>IF(AND(W1083="",AY1083&gt;0,AY1083&lt;15),1,0)</f>
        <v/>
      </c>
      <c r="BA1083" s="24">
        <f>IF(AND(W1083="",AY1083&gt;0,AY1083&lt;15),T1083,"")</f>
        <v/>
      </c>
      <c r="BB1083" s="87">
        <f>IF(R1083&lt;Q1083,"X","")</f>
        <v/>
      </c>
      <c r="BC1083" s="190" t="inlineStr">
        <is>
          <t>NO</t>
        </is>
      </c>
      <c r="BD1083" s="191" t="inlineStr">
        <is>
          <t>SI</t>
        </is>
      </c>
    </row>
    <row r="1084" ht="15" customHeight="1" s="162">
      <c r="A1084" s="7" t="n">
        <v>1083</v>
      </c>
      <c r="B1084" t="inlineStr">
        <is>
          <t>3210104723400</t>
        </is>
      </c>
      <c r="C1084" t="inlineStr">
        <is>
          <t>CBL EQ PATCHCORD CAT7 RJ45 AMP LSZH 50M</t>
        </is>
      </c>
      <c r="D1084" t="inlineStr">
        <is>
          <t>1800108986</t>
        </is>
      </c>
      <c r="E1084" t="inlineStr">
        <is>
          <t>100</t>
        </is>
      </c>
      <c r="F1084" s="163" t="n">
        <v>45463</v>
      </c>
      <c r="G1084" t="inlineStr"/>
      <c r="H1084" t="inlineStr">
        <is>
          <t>4200568809</t>
        </is>
      </c>
      <c r="I1084" t="inlineStr">
        <is>
          <t>60</t>
        </is>
      </c>
      <c r="J1084" s="163" t="n">
        <v>45471</v>
      </c>
      <c r="K1084" s="163" t="n">
        <v>45474</v>
      </c>
      <c r="L1084" t="inlineStr"/>
      <c r="M1084" s="163" t="n">
        <v>45478</v>
      </c>
      <c r="N1084" s="164" t="n">
        <v>30</v>
      </c>
      <c r="O1084" s="164" t="n">
        <v>8</v>
      </c>
      <c r="P1084" t="inlineStr">
        <is>
          <t>Liberado</t>
        </is>
      </c>
      <c r="Q1084" s="165" t="n">
        <v>5</v>
      </c>
      <c r="R1084" s="165" t="n">
        <v>5</v>
      </c>
      <c r="S1084" s="165" t="n">
        <v>5</v>
      </c>
      <c r="T1084" s="165" t="n">
        <v>0</v>
      </c>
      <c r="U1084" s="166" t="n">
        <v>5</v>
      </c>
      <c r="V1084" s="166" t="n">
        <v>0</v>
      </c>
      <c r="W1084" t="inlineStr">
        <is>
          <t>X</t>
        </is>
      </c>
      <c r="X1084" t="inlineStr">
        <is>
          <t>0.00</t>
        </is>
      </c>
      <c r="Y1084" t="inlineStr"/>
      <c r="Z1084" t="inlineStr">
        <is>
          <t>CUBITEL,S.L</t>
        </is>
      </c>
      <c r="AA1084" t="inlineStr">
        <is>
          <t>CUBITEL</t>
        </is>
      </c>
      <c r="AB1084" t="inlineStr">
        <is>
          <t>CBT-CAT7F-50</t>
        </is>
      </c>
      <c r="AC1084" t="inlineStr"/>
      <c r="AD1084" s="164" t="n">
        <v>0</v>
      </c>
      <c r="AE1084" s="185" t="n">
        <v>0</v>
      </c>
      <c r="AG1084" s="167" t="inlineStr">
        <is>
          <t>7218|JA2578_1001</t>
        </is>
      </c>
      <c r="AH1084" s="47">
        <f>IF(M1084=0,"-",M1084-J1084)</f>
        <v/>
      </c>
      <c r="AI1084" s="46">
        <f>IF(AND(S1084=0,M1084&gt;0,L1084=0),IF(AH1084&gt;=120,"VERY HIGH",IF(AH1084&gt;=90,"HIGH",IF(AH1084&gt;=60,"MEDIUM",IF(AH1084&lt;60,"LOW")))),"-")</f>
        <v/>
      </c>
      <c r="AJ1084" s="12" t="n"/>
      <c r="AK1084" s="53">
        <f>IF(AND(W1084="X",M1084&lt;=$AJ$2),"YES","")</f>
        <v/>
      </c>
      <c r="AL1084" s="54">
        <f>IF(AND(W1084="X",M1084&lt;=$AJ$2),S1084,"")</f>
        <v/>
      </c>
      <c r="AM1084" s="35" t="n"/>
      <c r="AN1084" s="35">
        <f>IF(AND(W1084="X",M1084&gt;$AJ$2),S1084,"")</f>
        <v/>
      </c>
      <c r="AO1084" s="35">
        <f>IF(AND(W1084="",M1084&gt;0,$AJ$2&gt;M1084,L1084=""),1,0)</f>
        <v/>
      </c>
      <c r="AP1084" s="35">
        <f>IF(AND(AK1084="YES",W1084="X"),"X","")</f>
        <v/>
      </c>
      <c r="AQ1084" s="55">
        <f>IF(AP1084="X",100%,0%)</f>
        <v/>
      </c>
      <c r="AR1084" s="25">
        <f>IF(AND(T1084&gt;0,L1084=""),H1084,"")</f>
        <v/>
      </c>
      <c r="AS1084" s="25">
        <f>IF(AND(D1084&gt;0,H1084=0,G1084=""),1,"")</f>
        <v/>
      </c>
      <c r="AT1084" s="25">
        <f>IF(G1084="BLOQ",1,"")</f>
        <v/>
      </c>
      <c r="AU1084" s="25">
        <f>IF(L1084="BLOQ",1,"")</f>
        <v/>
      </c>
      <c r="AV1084" s="25">
        <f>MONTH(F1084)</f>
        <v/>
      </c>
      <c r="AW1084" s="65">
        <f>IF(AP1084="",100%,0%)</f>
        <v/>
      </c>
      <c r="AX1084" s="56" t="n"/>
      <c r="AY1084" s="24">
        <f>IF(M1084=0,"",M1084-$AX$2)</f>
        <v/>
      </c>
      <c r="AZ1084" s="66">
        <f>IF(AND(W1084="",AY1084&gt;0,AY1084&lt;15),1,0)</f>
        <v/>
      </c>
      <c r="BA1084" s="24">
        <f>IF(AND(W1084="",AY1084&gt;0,AY1084&lt;15),T1084,"")</f>
        <v/>
      </c>
      <c r="BB1084" s="87">
        <f>IF(R1084&lt;Q1084,"X","")</f>
        <v/>
      </c>
      <c r="BC1084" s="190" t="inlineStr">
        <is>
          <t>NO</t>
        </is>
      </c>
      <c r="BD1084" s="191" t="inlineStr">
        <is>
          <t>SI</t>
        </is>
      </c>
    </row>
    <row r="1085" ht="15" customHeight="1" s="162">
      <c r="A1085" s="7" t="n">
        <v>1084</v>
      </c>
      <c r="B1085" t="inlineStr">
        <is>
          <t>949901050-05</t>
        </is>
      </c>
      <c r="C1085" t="inlineStr">
        <is>
          <t>REGLETA DE TERMINALES MS27212-1-5</t>
        </is>
      </c>
      <c r="D1085" t="inlineStr">
        <is>
          <t>1800108986</t>
        </is>
      </c>
      <c r="E1085" t="inlineStr">
        <is>
          <t>110</t>
        </is>
      </c>
      <c r="F1085" s="163" t="n">
        <v>45463</v>
      </c>
      <c r="G1085" t="inlineStr"/>
      <c r="H1085" t="inlineStr">
        <is>
          <t>4200584548</t>
        </is>
      </c>
      <c r="I1085" t="inlineStr">
        <is>
          <t>20</t>
        </is>
      </c>
      <c r="J1085" s="163" t="n">
        <v>45602</v>
      </c>
      <c r="K1085" s="163" t="n">
        <v>45603</v>
      </c>
      <c r="L1085" t="inlineStr"/>
      <c r="M1085" s="163" t="n">
        <v>45614</v>
      </c>
      <c r="N1085" s="164" t="n">
        <v>80</v>
      </c>
      <c r="O1085" s="164" t="n">
        <v>8</v>
      </c>
      <c r="P1085" t="inlineStr">
        <is>
          <t>Liberado</t>
        </is>
      </c>
      <c r="Q1085" s="165" t="n">
        <v>2</v>
      </c>
      <c r="R1085" s="165" t="n">
        <v>2</v>
      </c>
      <c r="S1085" s="165" t="n">
        <v>2</v>
      </c>
      <c r="T1085" s="165" t="n">
        <v>0</v>
      </c>
      <c r="U1085" s="166" t="n">
        <v>2</v>
      </c>
      <c r="V1085" s="166" t="n">
        <v>0</v>
      </c>
      <c r="W1085" t="inlineStr">
        <is>
          <t>X</t>
        </is>
      </c>
      <c r="X1085" t="inlineStr">
        <is>
          <t>0.00</t>
        </is>
      </c>
      <c r="Y1085" t="inlineStr"/>
      <c r="Z1085" t="inlineStr">
        <is>
          <t>AMALFI TRADING, INC</t>
        </is>
      </c>
      <c r="AA1085" t="inlineStr">
        <is>
          <t>MILITARY STANDARDS</t>
        </is>
      </c>
      <c r="AB1085" t="inlineStr">
        <is>
          <t>MS27212-1-5</t>
        </is>
      </c>
      <c r="AC1085" t="inlineStr"/>
      <c r="AD1085" s="164" t="n">
        <v>0</v>
      </c>
      <c r="AE1085" s="185" t="n">
        <v>0</v>
      </c>
      <c r="AG1085" s="167" t="inlineStr">
        <is>
          <t>7218|JA2578_1001</t>
        </is>
      </c>
      <c r="AH1085" s="47">
        <f>IF(M1085=0,"-",M1085-J1085)</f>
        <v/>
      </c>
      <c r="AI1085" s="46">
        <f>IF(AND(S1085=0,M1085&gt;0,L1085=0),IF(AH1085&gt;=120,"VERY HIGH",IF(AH1085&gt;=90,"HIGH",IF(AH1085&gt;=60,"MEDIUM",IF(AH1085&lt;60,"LOW")))),"-")</f>
        <v/>
      </c>
      <c r="AJ1085" s="12" t="n"/>
      <c r="AK1085" s="53">
        <f>IF(AND(W1085="X",M1085&lt;=$AJ$2),"YES","")</f>
        <v/>
      </c>
      <c r="AL1085" s="54">
        <f>IF(AND(W1085="X",M1085&lt;=$AJ$2),S1085,"")</f>
        <v/>
      </c>
      <c r="AM1085" s="35" t="n"/>
      <c r="AN1085" s="35">
        <f>IF(AND(W1085="X",M1085&gt;$AJ$2),S1085,"")</f>
        <v/>
      </c>
      <c r="AO1085" s="35">
        <f>IF(AND(W1085="",M1085&gt;0,$AJ$2&gt;M1085,L1085=""),1,0)</f>
        <v/>
      </c>
      <c r="AP1085" s="35">
        <f>IF(AND(AK1085="YES",W1085="X"),"X","")</f>
        <v/>
      </c>
      <c r="AQ1085" s="55">
        <f>IF(AP1085="X",100%,0%)</f>
        <v/>
      </c>
      <c r="AR1085" s="25">
        <f>IF(AND(T1085&gt;0,L1085=""),H1085,"")</f>
        <v/>
      </c>
      <c r="AS1085" s="25">
        <f>IF(AND(D1085&gt;0,H1085=0,G1085=""),1,"")</f>
        <v/>
      </c>
      <c r="AT1085" s="25">
        <f>IF(G1085="BLOQ",1,"")</f>
        <v/>
      </c>
      <c r="AU1085" s="25">
        <f>IF(L1085="BLOQ",1,"")</f>
        <v/>
      </c>
      <c r="AV1085" s="25">
        <f>MONTH(F1085)</f>
        <v/>
      </c>
      <c r="AW1085" s="65">
        <f>IF(AP1085="",100%,0%)</f>
        <v/>
      </c>
      <c r="AX1085" s="56" t="n"/>
      <c r="AY1085" s="24">
        <f>IF(M1085=0,"",M1085-$AX$2)</f>
        <v/>
      </c>
      <c r="AZ1085" s="66">
        <f>IF(AND(W1085="",AY1085&gt;0,AY1085&lt;15),1,0)</f>
        <v/>
      </c>
      <c r="BA1085" s="24">
        <f>IF(AND(W1085="",AY1085&gt;0,AY1085&lt;15),T1085,"")</f>
        <v/>
      </c>
      <c r="BB1085" s="87">
        <f>IF(R1085&lt;Q1085,"X","")</f>
        <v/>
      </c>
      <c r="BC1085" s="191" t="inlineStr">
        <is>
          <t>SI</t>
        </is>
      </c>
      <c r="BD1085" s="191" t="inlineStr">
        <is>
          <t>SI</t>
        </is>
      </c>
    </row>
    <row r="1086" ht="15" customHeight="1" s="162">
      <c r="A1086" s="7" t="n">
        <v>1085</v>
      </c>
      <c r="B1086" t="inlineStr">
        <is>
          <t>M151300125LA6</t>
        </is>
      </c>
      <c r="C1086" t="inlineStr">
        <is>
          <t>ARA PLANA P/M3 INOX ISO7089</t>
        </is>
      </c>
      <c r="D1086" t="inlineStr">
        <is>
          <t>1800108986</t>
        </is>
      </c>
      <c r="E1086" t="inlineStr">
        <is>
          <t>120</t>
        </is>
      </c>
      <c r="F1086" s="163" t="n">
        <v>45463</v>
      </c>
      <c r="G1086" t="inlineStr"/>
      <c r="H1086" t="inlineStr">
        <is>
          <t>4200574689</t>
        </is>
      </c>
      <c r="I1086" t="inlineStr">
        <is>
          <t>120</t>
        </is>
      </c>
      <c r="J1086" s="163" t="n">
        <v>45522</v>
      </c>
      <c r="K1086" s="163" t="n">
        <v>45523</v>
      </c>
      <c r="L1086" t="inlineStr"/>
      <c r="M1086" s="163" t="n">
        <v>45540</v>
      </c>
      <c r="N1086" s="164" t="n">
        <v>60</v>
      </c>
      <c r="O1086" s="164" t="n">
        <v>8</v>
      </c>
      <c r="P1086" t="inlineStr">
        <is>
          <t>Liberado</t>
        </is>
      </c>
      <c r="Q1086" s="165" t="n">
        <v>4</v>
      </c>
      <c r="R1086" s="165" t="n">
        <v>4</v>
      </c>
      <c r="S1086" s="165" t="n">
        <v>4</v>
      </c>
      <c r="T1086" s="165" t="n">
        <v>0</v>
      </c>
      <c r="U1086" s="166" t="n">
        <v>4</v>
      </c>
      <c r="V1086" s="166" t="n">
        <v>0</v>
      </c>
      <c r="W1086" t="inlineStr">
        <is>
          <t>X</t>
        </is>
      </c>
      <c r="X1086" t="inlineStr">
        <is>
          <t>0.00</t>
        </is>
      </c>
      <c r="Y1086" t="inlineStr"/>
      <c r="Z1086" t="inlineStr">
        <is>
          <t>ALMACENES DELCA, S.A.</t>
        </is>
      </c>
      <c r="AA1086" t="inlineStr">
        <is>
          <t>ELT</t>
        </is>
      </c>
      <c r="AB1086" t="inlineStr">
        <is>
          <t>M3 DIN 125A A4</t>
        </is>
      </c>
      <c r="AC1086" t="inlineStr"/>
      <c r="AD1086" s="164" t="n">
        <v>0</v>
      </c>
      <c r="AE1086" s="185" t="n">
        <v>0</v>
      </c>
      <c r="AG1086" s="167" t="inlineStr">
        <is>
          <t>7218|JA2578_1001</t>
        </is>
      </c>
      <c r="AH1086" s="47">
        <f>IF(M1086=0,"-",M1086-J1086)</f>
        <v/>
      </c>
      <c r="AI1086" s="46">
        <f>IF(AND(S1086=0,M1086&gt;0,L1086=0),IF(AH1086&gt;=120,"VERY HIGH",IF(AH1086&gt;=90,"HIGH",IF(AH1086&gt;=60,"MEDIUM",IF(AH1086&lt;60,"LOW")))),"-")</f>
        <v/>
      </c>
      <c r="AJ1086" s="12" t="n"/>
      <c r="AK1086" s="53">
        <f>IF(AND(W1086="X",M1086&lt;=$AJ$2),"YES","")</f>
        <v/>
      </c>
      <c r="AL1086" s="54">
        <f>IF(AND(W1086="X",M1086&lt;=$AJ$2),S1086,"")</f>
        <v/>
      </c>
      <c r="AM1086" s="35" t="n"/>
      <c r="AN1086" s="35">
        <f>IF(AND(W1086="X",M1086&gt;$AJ$2),S1086,"")</f>
        <v/>
      </c>
      <c r="AO1086" s="35">
        <f>IF(AND(W1086="",M1086&gt;0,$AJ$2&gt;M1086,L1086=""),1,0)</f>
        <v/>
      </c>
      <c r="AP1086" s="35">
        <f>IF(AND(AK1086="YES",W1086="X"),"X","")</f>
        <v/>
      </c>
      <c r="AQ1086" s="55">
        <f>IF(AP1086="X",100%,0%)</f>
        <v/>
      </c>
      <c r="AR1086" s="25">
        <f>IF(AND(T1086&gt;0,L1086=""),H1086,"")</f>
        <v/>
      </c>
      <c r="AS1086" s="25">
        <f>IF(AND(D1086&gt;0,H1086=0,G1086=""),1,"")</f>
        <v/>
      </c>
      <c r="AT1086" s="25">
        <f>IF(G1086="BLOQ",1,"")</f>
        <v/>
      </c>
      <c r="AU1086" s="25">
        <f>IF(L1086="BLOQ",1,"")</f>
        <v/>
      </c>
      <c r="AV1086" s="25">
        <f>MONTH(F1086)</f>
        <v/>
      </c>
      <c r="AW1086" s="65">
        <f>IF(AP1086="",100%,0%)</f>
        <v/>
      </c>
      <c r="AX1086" s="56" t="n"/>
      <c r="AY1086" s="24">
        <f>IF(M1086=0,"",M1086-$AX$2)</f>
        <v/>
      </c>
      <c r="AZ1086" s="66">
        <f>IF(AND(W1086="",AY1086&gt;0,AY1086&lt;15),1,0)</f>
        <v/>
      </c>
      <c r="BA1086" s="24">
        <f>IF(AND(W1086="",AY1086&gt;0,AY1086&lt;15),T1086,"")</f>
        <v/>
      </c>
      <c r="BB1086" s="87">
        <f>IF(R1086&lt;Q1086,"X","")</f>
        <v/>
      </c>
      <c r="BC1086" s="190" t="inlineStr">
        <is>
          <t>NO</t>
        </is>
      </c>
      <c r="BD1086" s="191" t="inlineStr">
        <is>
          <t>SI</t>
        </is>
      </c>
    </row>
    <row r="1087" ht="15" customHeight="1" s="162">
      <c r="A1087" s="7" t="n">
        <v>1086</v>
      </c>
      <c r="B1087" t="inlineStr">
        <is>
          <t>1229598250100</t>
        </is>
      </c>
      <c r="C1087" t="inlineStr">
        <is>
          <t>CBL EQ DP 1.4-M/M 8K DP PRO P/150 L45.7M</t>
        </is>
      </c>
      <c r="D1087" t="inlineStr">
        <is>
          <t>1800108987</t>
        </is>
      </c>
      <c r="E1087" t="inlineStr">
        <is>
          <t>10</t>
        </is>
      </c>
      <c r="F1087" s="163" t="n">
        <v>45463</v>
      </c>
      <c r="G1087" t="inlineStr"/>
      <c r="H1087" t="inlineStr">
        <is>
          <t>4200569137</t>
        </is>
      </c>
      <c r="I1087" t="inlineStr">
        <is>
          <t>40</t>
        </is>
      </c>
      <c r="J1087" s="163" t="n">
        <v>45475</v>
      </c>
      <c r="K1087" s="163" t="n">
        <v>45478</v>
      </c>
      <c r="L1087" t="inlineStr"/>
      <c r="M1087" s="163" t="n">
        <v>45488</v>
      </c>
      <c r="N1087" s="164" t="n">
        <v>40</v>
      </c>
      <c r="O1087" s="164" t="n">
        <v>8</v>
      </c>
      <c r="P1087" t="inlineStr">
        <is>
          <t>Liberado</t>
        </is>
      </c>
      <c r="Q1087" s="165" t="n">
        <v>6</v>
      </c>
      <c r="R1087" s="165" t="n">
        <v>6</v>
      </c>
      <c r="S1087" s="165" t="n">
        <v>6</v>
      </c>
      <c r="T1087" s="165" t="n">
        <v>0</v>
      </c>
      <c r="U1087" s="166" t="n">
        <v>6</v>
      </c>
      <c r="V1087" s="166" t="n">
        <v>0</v>
      </c>
      <c r="W1087" t="inlineStr">
        <is>
          <t>X</t>
        </is>
      </c>
      <c r="X1087" t="inlineStr">
        <is>
          <t>0.00</t>
        </is>
      </c>
      <c r="Y1087" t="inlineStr"/>
      <c r="Z1087" t="inlineStr">
        <is>
          <t>INGE VIDEO, S.A.</t>
        </is>
      </c>
      <c r="AA1087" t="inlineStr">
        <is>
          <t>EXTRON ELECTRONICS</t>
        </is>
      </c>
      <c r="AB1087" t="inlineStr">
        <is>
          <t>26-727-150</t>
        </is>
      </c>
      <c r="AC1087" t="inlineStr"/>
      <c r="AD1087" s="164" t="n">
        <v>0</v>
      </c>
      <c r="AE1087" s="185" t="n">
        <v>0</v>
      </c>
      <c r="AG1087" s="167" t="inlineStr">
        <is>
          <t>7218|JA2578_1001</t>
        </is>
      </c>
      <c r="AH1087" s="47">
        <f>IF(M1087=0,"-",M1087-J1087)</f>
        <v/>
      </c>
      <c r="AI1087" s="46">
        <f>IF(AND(S1087=0,M1087&gt;0,L1087=0),IF(AH1087&gt;=120,"VERY HIGH",IF(AH1087&gt;=90,"HIGH",IF(AH1087&gt;=60,"MEDIUM",IF(AH1087&lt;60,"LOW")))),"-")</f>
        <v/>
      </c>
      <c r="AJ1087" s="12" t="n"/>
      <c r="AK1087" s="53">
        <f>IF(AND(W1087="X",M1087&lt;=$AJ$2),"YES","")</f>
        <v/>
      </c>
      <c r="AL1087" s="54">
        <f>IF(AND(W1087="X",M1087&lt;=$AJ$2),S1087,"")</f>
        <v/>
      </c>
      <c r="AM1087" s="35" t="n"/>
      <c r="AN1087" s="35">
        <f>IF(AND(W1087="X",M1087&gt;$AJ$2),S1087,"")</f>
        <v/>
      </c>
      <c r="AO1087" s="35">
        <f>IF(AND(W1087="",M1087&gt;0,$AJ$2&gt;M1087,L1087=""),1,0)</f>
        <v/>
      </c>
      <c r="AP1087" s="35">
        <f>IF(AND(AK1087="YES",W1087="X"),"X","")</f>
        <v/>
      </c>
      <c r="AQ1087" s="55">
        <f>IF(AP1087="X",100%,0%)</f>
        <v/>
      </c>
      <c r="AR1087" s="25">
        <f>IF(AND(T1087&gt;0,L1087=""),H1087,"")</f>
        <v/>
      </c>
      <c r="AS1087" s="25">
        <f>IF(AND(D1087&gt;0,H1087=0,G1087=""),1,"")</f>
        <v/>
      </c>
      <c r="AT1087" s="25">
        <f>IF(G1087="BLOQ",1,"")</f>
        <v/>
      </c>
      <c r="AU1087" s="25">
        <f>IF(L1087="BLOQ",1,"")</f>
        <v/>
      </c>
      <c r="AV1087" s="25">
        <f>MONTH(F1087)</f>
        <v/>
      </c>
      <c r="AW1087" s="65">
        <f>IF(AP1087="",100%,0%)</f>
        <v/>
      </c>
      <c r="AX1087" s="56" t="n"/>
      <c r="AY1087" s="24">
        <f>IF(M1087=0,"",M1087-$AX$2)</f>
        <v/>
      </c>
      <c r="AZ1087" s="66">
        <f>IF(AND(W1087="",AY1087&gt;0,AY1087&lt;15),1,0)</f>
        <v/>
      </c>
      <c r="BA1087" s="24">
        <f>IF(AND(W1087="",AY1087&gt;0,AY1087&lt;15),T1087,"")</f>
        <v/>
      </c>
      <c r="BB1087" s="87">
        <f>IF(R1087&lt;Q1087,"X","")</f>
        <v/>
      </c>
      <c r="BC1087" s="190" t="inlineStr">
        <is>
          <t>NO</t>
        </is>
      </c>
      <c r="BD1087" s="191" t="inlineStr">
        <is>
          <t>SI</t>
        </is>
      </c>
    </row>
    <row r="1088" ht="15" customHeight="1" s="162">
      <c r="A1088" s="7" t="n">
        <v>1087</v>
      </c>
      <c r="B1088" t="inlineStr">
        <is>
          <t>1580160080000</t>
        </is>
      </c>
      <c r="C1088" t="inlineStr">
        <is>
          <t>SEPARADOR DE LATON ROSCADO Y TORNILLO PR</t>
        </is>
      </c>
      <c r="D1088" t="inlineStr">
        <is>
          <t>1800108987</t>
        </is>
      </c>
      <c r="E1088" t="inlineStr">
        <is>
          <t>30</t>
        </is>
      </c>
      <c r="F1088" s="163" t="n">
        <v>45463</v>
      </c>
      <c r="G1088" t="inlineStr"/>
      <c r="H1088" t="inlineStr">
        <is>
          <t>4200574693</t>
        </is>
      </c>
      <c r="I1088" t="inlineStr">
        <is>
          <t>70</t>
        </is>
      </c>
      <c r="J1088" s="163" t="n">
        <v>45522</v>
      </c>
      <c r="K1088" s="163" t="n">
        <v>45540</v>
      </c>
      <c r="L1088" t="inlineStr"/>
      <c r="M1088" s="163" t="n">
        <v>45537</v>
      </c>
      <c r="N1088" s="164" t="n">
        <v>42</v>
      </c>
      <c r="O1088" s="164" t="n">
        <v>8</v>
      </c>
      <c r="P1088" t="inlineStr">
        <is>
          <t>Liberado</t>
        </is>
      </c>
      <c r="Q1088" s="165" t="n">
        <v>4</v>
      </c>
      <c r="R1088" s="165" t="n">
        <v>50</v>
      </c>
      <c r="S1088" s="165" t="n">
        <v>50</v>
      </c>
      <c r="T1088" s="165" t="n">
        <v>0</v>
      </c>
      <c r="U1088" s="166" t="n">
        <v>50</v>
      </c>
      <c r="V1088" s="166" t="n">
        <v>0</v>
      </c>
      <c r="W1088" t="inlineStr">
        <is>
          <t>X</t>
        </is>
      </c>
      <c r="X1088" t="inlineStr">
        <is>
          <t>0.00</t>
        </is>
      </c>
      <c r="Y1088" t="inlineStr"/>
      <c r="Z1088" t="inlineStr">
        <is>
          <t>Technipol Suministros, S.L.</t>
        </is>
      </c>
      <c r="AA1088" t="inlineStr">
        <is>
          <t>RS</t>
        </is>
      </c>
      <c r="AB1088" t="inlineStr">
        <is>
          <t>221-162</t>
        </is>
      </c>
      <c r="AC1088" t="inlineStr"/>
      <c r="AD1088" s="164" t="n">
        <v>0</v>
      </c>
      <c r="AE1088" s="185" t="n">
        <v>0</v>
      </c>
      <c r="AG1088" s="167" t="inlineStr">
        <is>
          <t>7218|JA2578_1001</t>
        </is>
      </c>
      <c r="AH1088" s="47">
        <f>IF(M1088=0,"-",M1088-J1088)</f>
        <v/>
      </c>
      <c r="AI1088" s="46">
        <f>IF(AND(S1088=0,M1088&gt;0,L1088=0),IF(AH1088&gt;=120,"VERY HIGH",IF(AH1088&gt;=90,"HIGH",IF(AH1088&gt;=60,"MEDIUM",IF(AH1088&lt;60,"LOW")))),"-")</f>
        <v/>
      </c>
      <c r="AJ1088" s="12" t="n"/>
      <c r="AK1088" s="53">
        <f>IF(AND(W1088="X",M1088&lt;=$AJ$2),"YES","")</f>
        <v/>
      </c>
      <c r="AL1088" s="54">
        <f>IF(AND(W1088="X",M1088&lt;=$AJ$2),S1088,"")</f>
        <v/>
      </c>
      <c r="AM1088" s="35" t="n"/>
      <c r="AN1088" s="35">
        <f>IF(AND(W1088="X",M1088&gt;$AJ$2),S1088,"")</f>
        <v/>
      </c>
      <c r="AO1088" s="35">
        <f>IF(AND(W1088="",M1088&gt;0,$AJ$2&gt;M1088,L1088=""),1,0)</f>
        <v/>
      </c>
      <c r="AP1088" s="35">
        <f>IF(AND(AK1088="YES",W1088="X"),"X","")</f>
        <v/>
      </c>
      <c r="AQ1088" s="55">
        <f>IF(AP1088="X",100%,0%)</f>
        <v/>
      </c>
      <c r="AR1088" s="25">
        <f>IF(AND(T1088&gt;0,L1088=""),H1088,"")</f>
        <v/>
      </c>
      <c r="AS1088" s="25">
        <f>IF(AND(D1088&gt;0,H1088=0,G1088=""),1,"")</f>
        <v/>
      </c>
      <c r="AT1088" s="25">
        <f>IF(G1088="BLOQ",1,"")</f>
        <v/>
      </c>
      <c r="AU1088" s="25">
        <f>IF(L1088="BLOQ",1,"")</f>
        <v/>
      </c>
      <c r="AV1088" s="25">
        <f>MONTH(F1088)</f>
        <v/>
      </c>
      <c r="AW1088" s="65">
        <f>IF(AP1088="",100%,0%)</f>
        <v/>
      </c>
      <c r="AX1088" s="56" t="n"/>
      <c r="AY1088" s="24">
        <f>IF(M1088=0,"",M1088-$AX$2)</f>
        <v/>
      </c>
      <c r="AZ1088" s="66">
        <f>IF(AND(W1088="",AY1088&gt;0,AY1088&lt;15),1,0)</f>
        <v/>
      </c>
      <c r="BA1088" s="24">
        <f>IF(AND(W1088="",AY1088&gt;0,AY1088&lt;15),T1088,"")</f>
        <v/>
      </c>
      <c r="BB1088" s="87">
        <f>IF(R1088&lt;Q1088,"X","")</f>
        <v/>
      </c>
      <c r="BC1088" s="190" t="inlineStr">
        <is>
          <t>NO</t>
        </is>
      </c>
      <c r="BD1088" s="191" t="inlineStr">
        <is>
          <t>SI</t>
        </is>
      </c>
    </row>
    <row r="1089" ht="15" customHeight="1" s="162">
      <c r="A1089" s="7" t="n">
        <v>1088</v>
      </c>
      <c r="B1089" t="inlineStr">
        <is>
          <t>1586690870000</t>
        </is>
      </c>
      <c r="C1089" t="inlineStr">
        <is>
          <t>ABRAZADERA TUBO 50MM HEX-RANURADO INOX</t>
        </is>
      </c>
      <c r="D1089" t="inlineStr">
        <is>
          <t>1800108987</t>
        </is>
      </c>
      <c r="E1089" t="inlineStr">
        <is>
          <t>40</t>
        </is>
      </c>
      <c r="F1089" s="163" t="n">
        <v>45463</v>
      </c>
      <c r="G1089" t="inlineStr"/>
      <c r="H1089" t="inlineStr">
        <is>
          <t>4200574693</t>
        </is>
      </c>
      <c r="I1089" t="inlineStr">
        <is>
          <t>80</t>
        </is>
      </c>
      <c r="J1089" s="163" t="n">
        <v>45522</v>
      </c>
      <c r="K1089" s="163" t="n">
        <v>45540</v>
      </c>
      <c r="L1089" t="inlineStr"/>
      <c r="M1089" s="163" t="n">
        <v>45537</v>
      </c>
      <c r="N1089" s="164" t="n">
        <v>40</v>
      </c>
      <c r="O1089" s="164" t="n">
        <v>8</v>
      </c>
      <c r="P1089" t="inlineStr">
        <is>
          <t>Liberado</t>
        </is>
      </c>
      <c r="Q1089" s="165" t="n">
        <v>5</v>
      </c>
      <c r="R1089" s="165" t="n">
        <v>5</v>
      </c>
      <c r="S1089" s="165" t="n">
        <v>5</v>
      </c>
      <c r="T1089" s="165" t="n">
        <v>0</v>
      </c>
      <c r="U1089" s="166" t="n">
        <v>5</v>
      </c>
      <c r="V1089" s="166" t="n">
        <v>0</v>
      </c>
      <c r="W1089" t="inlineStr">
        <is>
          <t>X</t>
        </is>
      </c>
      <c r="X1089" t="inlineStr">
        <is>
          <t>0.00</t>
        </is>
      </c>
      <c r="Y1089" t="inlineStr"/>
      <c r="Z1089" t="inlineStr">
        <is>
          <t>Technipol Suministros, S.L.</t>
        </is>
      </c>
      <c r="AA1089" t="inlineStr">
        <is>
          <t>JCS HI-TORQUE</t>
        </is>
      </c>
      <c r="AB1089" t="inlineStr">
        <is>
          <t>HTJ50P</t>
        </is>
      </c>
      <c r="AC1089" t="inlineStr"/>
      <c r="AD1089" s="164" t="n">
        <v>0</v>
      </c>
      <c r="AE1089" s="185" t="n">
        <v>0</v>
      </c>
      <c r="AG1089" s="167" t="inlineStr">
        <is>
          <t>7218|JA2578_1001</t>
        </is>
      </c>
      <c r="AH1089" s="47">
        <f>IF(M1089=0,"-",M1089-J1089)</f>
        <v/>
      </c>
      <c r="AI1089" s="46">
        <f>IF(AND(S1089=0,M1089&gt;0,L1089=0),IF(AH1089&gt;=120,"VERY HIGH",IF(AH1089&gt;=90,"HIGH",IF(AH1089&gt;=60,"MEDIUM",IF(AH1089&lt;60,"LOW")))),"-")</f>
        <v/>
      </c>
      <c r="AJ1089" s="12" t="n"/>
      <c r="AK1089" s="53">
        <f>IF(AND(W1089="X",M1089&lt;=$AJ$2),"YES","")</f>
        <v/>
      </c>
      <c r="AL1089" s="54">
        <f>IF(AND(W1089="X",M1089&lt;=$AJ$2),S1089,"")</f>
        <v/>
      </c>
      <c r="AM1089" s="35" t="n"/>
      <c r="AN1089" s="35">
        <f>IF(AND(W1089="X",M1089&gt;$AJ$2),S1089,"")</f>
        <v/>
      </c>
      <c r="AO1089" s="35">
        <f>IF(AND(W1089="",M1089&gt;0,$AJ$2&gt;M1089,L1089=""),1,0)</f>
        <v/>
      </c>
      <c r="AP1089" s="35">
        <f>IF(AND(AK1089="YES",W1089="X"),"X","")</f>
        <v/>
      </c>
      <c r="AQ1089" s="55">
        <f>IF(AP1089="X",100%,0%)</f>
        <v/>
      </c>
      <c r="AR1089" s="25">
        <f>IF(AND(T1089&gt;0,L1089=""),H1089,"")</f>
        <v/>
      </c>
      <c r="AS1089" s="25">
        <f>IF(AND(D1089&gt;0,H1089=0,G1089=""),1,"")</f>
        <v/>
      </c>
      <c r="AT1089" s="25">
        <f>IF(G1089="BLOQ",1,"")</f>
        <v/>
      </c>
      <c r="AU1089" s="25">
        <f>IF(L1089="BLOQ",1,"")</f>
        <v/>
      </c>
      <c r="AV1089" s="25">
        <f>MONTH(F1089)</f>
        <v/>
      </c>
      <c r="AW1089" s="65">
        <f>IF(AP1089="",100%,0%)</f>
        <v/>
      </c>
      <c r="AX1089" s="56" t="n"/>
      <c r="AY1089" s="24">
        <f>IF(M1089=0,"",M1089-$AX$2)</f>
        <v/>
      </c>
      <c r="AZ1089" s="66">
        <f>IF(AND(W1089="",AY1089&gt;0,AY1089&lt;15),1,0)</f>
        <v/>
      </c>
      <c r="BA1089" s="24">
        <f>IF(AND(W1089="",AY1089&gt;0,AY1089&lt;15),T1089,"")</f>
        <v/>
      </c>
      <c r="BB1089" s="87">
        <f>IF(R1089&lt;Q1089,"X","")</f>
        <v/>
      </c>
      <c r="BC1089" s="190" t="inlineStr">
        <is>
          <t>NO</t>
        </is>
      </c>
      <c r="BD1089" s="191" t="inlineStr">
        <is>
          <t>SI</t>
        </is>
      </c>
    </row>
    <row r="1090" ht="15" customHeight="1" s="162">
      <c r="A1090" s="7" t="n">
        <v>1089</v>
      </c>
      <c r="B1090" t="inlineStr">
        <is>
          <t>1750100820000</t>
        </is>
      </c>
      <c r="C1090" t="inlineStr">
        <is>
          <t>TUBO FLEX POLIURETANO DINT=45MM E=1,8MM</t>
        </is>
      </c>
      <c r="D1090" t="inlineStr">
        <is>
          <t>1800108987</t>
        </is>
      </c>
      <c r="E1090" t="inlineStr">
        <is>
          <t>50</t>
        </is>
      </c>
      <c r="F1090" s="163" t="n">
        <v>45463</v>
      </c>
      <c r="G1090" t="inlineStr"/>
      <c r="H1090" t="inlineStr">
        <is>
          <t>4200571726</t>
        </is>
      </c>
      <c r="I1090" t="inlineStr">
        <is>
          <t>20</t>
        </is>
      </c>
      <c r="J1090" s="163" t="n">
        <v>45495</v>
      </c>
      <c r="K1090" s="163" t="n">
        <v>45495</v>
      </c>
      <c r="L1090" t="inlineStr"/>
      <c r="M1090" s="163" t="n">
        <v>45518</v>
      </c>
      <c r="N1090" s="164" t="n">
        <v>42</v>
      </c>
      <c r="O1090" s="164" t="n">
        <v>8</v>
      </c>
      <c r="P1090" t="inlineStr">
        <is>
          <t>Liberado</t>
        </is>
      </c>
      <c r="Q1090" s="165" t="n">
        <v>10</v>
      </c>
      <c r="R1090" s="165" t="n">
        <v>10</v>
      </c>
      <c r="S1090" s="165" t="n">
        <v>10</v>
      </c>
      <c r="T1090" s="165" t="n">
        <v>0</v>
      </c>
      <c r="U1090" s="166" t="n">
        <v>10</v>
      </c>
      <c r="V1090" s="166" t="n">
        <v>0</v>
      </c>
      <c r="W1090" t="inlineStr">
        <is>
          <t>X</t>
        </is>
      </c>
      <c r="X1090" t="inlineStr">
        <is>
          <t>0.00</t>
        </is>
      </c>
      <c r="Y1090" t="inlineStr"/>
      <c r="Z1090" t="inlineStr">
        <is>
          <t>Technipol Suministros, S.L.</t>
        </is>
      </c>
      <c r="AA1090" t="inlineStr">
        <is>
          <t>ESPIROFLEX</t>
        </is>
      </c>
      <c r="AB1090" t="inlineStr">
        <is>
          <t>87100045010</t>
        </is>
      </c>
      <c r="AC1090" t="inlineStr"/>
      <c r="AD1090" s="164" t="n">
        <v>0</v>
      </c>
      <c r="AE1090" s="185" t="n">
        <v>0</v>
      </c>
      <c r="AG1090" s="167" t="inlineStr">
        <is>
          <t>7218|JA2578_1001</t>
        </is>
      </c>
      <c r="AH1090" s="47">
        <f>IF(M1090=0,"-",M1090-J1090)</f>
        <v/>
      </c>
      <c r="AI1090" s="46">
        <f>IF(AND(S1090=0,M1090&gt;0,L1090=0),IF(AH1090&gt;=120,"VERY HIGH",IF(AH1090&gt;=90,"HIGH",IF(AH1090&gt;=60,"MEDIUM",IF(AH1090&lt;60,"LOW")))),"-")</f>
        <v/>
      </c>
      <c r="AJ1090" s="12" t="n"/>
      <c r="AK1090" s="53">
        <f>IF(AND(W1090="X",M1090&lt;=$AJ$2),"YES","")</f>
        <v/>
      </c>
      <c r="AL1090" s="54">
        <f>IF(AND(W1090="X",M1090&lt;=$AJ$2),S1090,"")</f>
        <v/>
      </c>
      <c r="AM1090" s="35" t="n"/>
      <c r="AN1090" s="35">
        <f>IF(AND(W1090="X",M1090&gt;$AJ$2),S1090,"")</f>
        <v/>
      </c>
      <c r="AO1090" s="35">
        <f>IF(AND(W1090="",M1090&gt;0,$AJ$2&gt;M1090,L1090=""),1,0)</f>
        <v/>
      </c>
      <c r="AP1090" s="35">
        <f>IF(AND(AK1090="YES",W1090="X"),"X","")</f>
        <v/>
      </c>
      <c r="AQ1090" s="55">
        <f>IF(AP1090="X",100%,0%)</f>
        <v/>
      </c>
      <c r="AR1090" s="25">
        <f>IF(AND(T1090&gt;0,L1090=""),H1090,"")</f>
        <v/>
      </c>
      <c r="AS1090" s="25">
        <f>IF(AND(D1090&gt;0,H1090=0,G1090=""),1,"")</f>
        <v/>
      </c>
      <c r="AT1090" s="25">
        <f>IF(G1090="BLOQ",1,"")</f>
        <v/>
      </c>
      <c r="AU1090" s="25">
        <f>IF(L1090="BLOQ",1,"")</f>
        <v/>
      </c>
      <c r="AV1090" s="25">
        <f>MONTH(F1090)</f>
        <v/>
      </c>
      <c r="AW1090" s="65">
        <f>IF(AP1090="",100%,0%)</f>
        <v/>
      </c>
      <c r="AX1090" s="56" t="n"/>
      <c r="AY1090" s="24">
        <f>IF(M1090=0,"",M1090-$AX$2)</f>
        <v/>
      </c>
      <c r="AZ1090" s="66">
        <f>IF(AND(W1090="",AY1090&gt;0,AY1090&lt;15),1,0)</f>
        <v/>
      </c>
      <c r="BA1090" s="24">
        <f>IF(AND(W1090="",AY1090&gt;0,AY1090&lt;15),T1090,"")</f>
        <v/>
      </c>
      <c r="BB1090" s="87">
        <f>IF(R1090&lt;Q1090,"X","")</f>
        <v/>
      </c>
      <c r="BC1090" s="190" t="inlineStr">
        <is>
          <t>NO</t>
        </is>
      </c>
      <c r="BD1090" s="191" t="inlineStr">
        <is>
          <t>SI</t>
        </is>
      </c>
    </row>
    <row r="1091" ht="15" customHeight="1" s="162">
      <c r="A1091" s="7" t="n">
        <v>1090</v>
      </c>
      <c r="B1091" t="inlineStr">
        <is>
          <t>1753000990000</t>
        </is>
      </c>
      <c r="C1091" t="inlineStr">
        <is>
          <t>VALV MARIPOSA DN40 WAFER/GG25/304/EPDM</t>
        </is>
      </c>
      <c r="D1091" t="inlineStr">
        <is>
          <t>1800108987</t>
        </is>
      </c>
      <c r="E1091" t="inlineStr">
        <is>
          <t>60</t>
        </is>
      </c>
      <c r="F1091" s="163" t="n">
        <v>45463</v>
      </c>
      <c r="G1091" t="inlineStr"/>
      <c r="H1091" t="inlineStr">
        <is>
          <t>4200568865</t>
        </is>
      </c>
      <c r="I1091" t="inlineStr">
        <is>
          <t>10</t>
        </is>
      </c>
      <c r="J1091" s="163" t="n">
        <v>45474</v>
      </c>
      <c r="K1091" s="163" t="n">
        <v>45477</v>
      </c>
      <c r="L1091" t="inlineStr"/>
      <c r="M1091" s="163" t="n">
        <v>45510</v>
      </c>
      <c r="N1091" s="164" t="n">
        <v>75</v>
      </c>
      <c r="O1091" s="164" t="n">
        <v>8</v>
      </c>
      <c r="P1091" t="inlineStr">
        <is>
          <t>Liberado</t>
        </is>
      </c>
      <c r="Q1091" s="165" t="n">
        <v>1</v>
      </c>
      <c r="R1091" s="165" t="n">
        <v>1</v>
      </c>
      <c r="S1091" s="165" t="n">
        <v>1</v>
      </c>
      <c r="T1091" s="165" t="n">
        <v>0</v>
      </c>
      <c r="U1091" s="166" t="n">
        <v>1</v>
      </c>
      <c r="V1091" s="166" t="n">
        <v>0</v>
      </c>
      <c r="W1091" t="inlineStr">
        <is>
          <t>X</t>
        </is>
      </c>
      <c r="X1091" t="inlineStr">
        <is>
          <t>0.00</t>
        </is>
      </c>
      <c r="Y1091" t="inlineStr"/>
      <c r="Z1091" t="inlineStr">
        <is>
          <t>REBOUND ELECTRONICS (UK) LTD</t>
        </is>
      </c>
      <c r="AA1091" t="inlineStr">
        <is>
          <t>EFFEBI</t>
        </is>
      </c>
      <c r="AB1091" t="inlineStr">
        <is>
          <t>EA2AA THESIS</t>
        </is>
      </c>
      <c r="AC1091" t="inlineStr"/>
      <c r="AD1091" s="164" t="n">
        <v>1</v>
      </c>
      <c r="AE1091" s="185" t="n">
        <v>1</v>
      </c>
      <c r="AG1091" s="167" t="inlineStr">
        <is>
          <t>7218|JA2578_1001</t>
        </is>
      </c>
      <c r="AH1091" s="47">
        <f>IF(M1091=0,"-",M1091-J1091)</f>
        <v/>
      </c>
      <c r="AI1091" s="46">
        <f>IF(AND(S1091=0,M1091&gt;0,L1091=0),IF(AH1091&gt;=120,"VERY HIGH",IF(AH1091&gt;=90,"HIGH",IF(AH1091&gt;=60,"MEDIUM",IF(AH1091&lt;60,"LOW")))),"-")</f>
        <v/>
      </c>
      <c r="AJ1091" s="12" t="n"/>
      <c r="AK1091" s="53">
        <f>IF(AND(W1091="X",M1091&lt;=$AJ$2),"YES","")</f>
        <v/>
      </c>
      <c r="AL1091" s="54">
        <f>IF(AND(W1091="X",M1091&lt;=$AJ$2),S1091,"")</f>
        <v/>
      </c>
      <c r="AM1091" s="35" t="n"/>
      <c r="AN1091" s="35">
        <f>IF(AND(W1091="X",M1091&gt;$AJ$2),S1091,"")</f>
        <v/>
      </c>
      <c r="AO1091" s="35">
        <f>IF(AND(W1091="",M1091&gt;0,$AJ$2&gt;M1091,L1091=""),1,0)</f>
        <v/>
      </c>
      <c r="AP1091" s="35">
        <f>IF(AND(AK1091="YES",W1091="X"),"X","")</f>
        <v/>
      </c>
      <c r="AQ1091" s="55">
        <f>IF(AP1091="X",100%,0%)</f>
        <v/>
      </c>
      <c r="AR1091" s="25">
        <f>IF(AND(T1091&gt;0,L1091=""),H1091,"")</f>
        <v/>
      </c>
      <c r="AS1091" s="25">
        <f>IF(AND(D1091&gt;0,H1091=0,G1091=""),1,"")</f>
        <v/>
      </c>
      <c r="AT1091" s="25">
        <f>IF(G1091="BLOQ",1,"")</f>
        <v/>
      </c>
      <c r="AU1091" s="25">
        <f>IF(L1091="BLOQ",1,"")</f>
        <v/>
      </c>
      <c r="AV1091" s="25">
        <f>MONTH(F1091)</f>
        <v/>
      </c>
      <c r="AW1091" s="65">
        <f>IF(AP1091="",100%,0%)</f>
        <v/>
      </c>
      <c r="AX1091" s="56" t="n"/>
      <c r="AY1091" s="24">
        <f>IF(M1091=0,"",M1091-$AX$2)</f>
        <v/>
      </c>
      <c r="AZ1091" s="66">
        <f>IF(AND(W1091="",AY1091&gt;0,AY1091&lt;15),1,0)</f>
        <v/>
      </c>
      <c r="BA1091" s="24">
        <f>IF(AND(W1091="",AY1091&gt;0,AY1091&lt;15),T1091,"")</f>
        <v/>
      </c>
      <c r="BB1091" s="87">
        <f>IF(R1091&lt;Q1091,"X","")</f>
        <v/>
      </c>
      <c r="BC1091" s="190" t="inlineStr">
        <is>
          <t>NO</t>
        </is>
      </c>
      <c r="BD1091" s="191" t="inlineStr">
        <is>
          <t>SI</t>
        </is>
      </c>
    </row>
    <row r="1092" ht="15" customHeight="1" s="162">
      <c r="A1092" s="7" t="n">
        <v>1091</v>
      </c>
      <c r="B1092" t="inlineStr">
        <is>
          <t>1759990510300</t>
        </is>
      </c>
      <c r="C1092" t="inlineStr">
        <is>
          <t>KIT ACTUADOR P/VALVULA DPS 20-85</t>
        </is>
      </c>
      <c r="D1092" t="inlineStr">
        <is>
          <t>1800108987</t>
        </is>
      </c>
      <c r="E1092" t="inlineStr">
        <is>
          <t>70</t>
        </is>
      </c>
      <c r="F1092" s="163" t="n">
        <v>45463</v>
      </c>
      <c r="G1092" t="inlineStr"/>
      <c r="H1092" t="inlineStr">
        <is>
          <t>4200569611</t>
        </is>
      </c>
      <c r="I1092" t="inlineStr">
        <is>
          <t>20</t>
        </is>
      </c>
      <c r="J1092" s="163" t="n">
        <v>45478</v>
      </c>
      <c r="K1092" s="163" t="n">
        <v>45482</v>
      </c>
      <c r="L1092" t="inlineStr"/>
      <c r="M1092" s="163" t="n">
        <v>45512</v>
      </c>
      <c r="N1092" s="164" t="n">
        <v>65</v>
      </c>
      <c r="O1092" s="164" t="n">
        <v>8</v>
      </c>
      <c r="P1092" t="inlineStr">
        <is>
          <t>Liberado</t>
        </is>
      </c>
      <c r="Q1092" s="165" t="n">
        <v>1</v>
      </c>
      <c r="R1092" s="165" t="n">
        <v>1</v>
      </c>
      <c r="S1092" s="165" t="n">
        <v>1</v>
      </c>
      <c r="T1092" s="165" t="n">
        <v>0</v>
      </c>
      <c r="U1092" s="166" t="n">
        <v>1</v>
      </c>
      <c r="V1092" s="166" t="n">
        <v>0</v>
      </c>
      <c r="W1092" t="inlineStr">
        <is>
          <t>X</t>
        </is>
      </c>
      <c r="X1092" t="inlineStr">
        <is>
          <t>0.00</t>
        </is>
      </c>
      <c r="Y1092" t="inlineStr"/>
      <c r="Z1092" t="inlineStr">
        <is>
          <t>INFORMATICA CALCULO Y TECNICA, S.A.</t>
        </is>
      </c>
      <c r="AA1092" t="inlineStr">
        <is>
          <t>J.J BCN INTEN</t>
        </is>
      </c>
      <c r="AB1092" t="inlineStr">
        <is>
          <t>KIT DPS J4C 20 -85</t>
        </is>
      </c>
      <c r="AC1092" t="inlineStr"/>
      <c r="AD1092" s="164" t="n">
        <v>1</v>
      </c>
      <c r="AE1092" s="185" t="n">
        <v>1</v>
      </c>
      <c r="AG1092" s="167" t="inlineStr">
        <is>
          <t>7218|JA2578_1001</t>
        </is>
      </c>
      <c r="AH1092" s="47">
        <f>IF(M1092=0,"-",M1092-J1092)</f>
        <v/>
      </c>
      <c r="AI1092" s="46">
        <f>IF(AND(S1092=0,M1092&gt;0,L1092=0),IF(AH1092&gt;=120,"VERY HIGH",IF(AH1092&gt;=90,"HIGH",IF(AH1092&gt;=60,"MEDIUM",IF(AH1092&lt;60,"LOW")))),"-")</f>
        <v/>
      </c>
      <c r="AJ1092" s="12" t="n"/>
      <c r="AK1092" s="53">
        <f>IF(AND(W1092="X",M1092&lt;=$AJ$2),"YES","")</f>
        <v/>
      </c>
      <c r="AL1092" s="54">
        <f>IF(AND(W1092="X",M1092&lt;=$AJ$2),S1092,"")</f>
        <v/>
      </c>
      <c r="AM1092" s="35" t="n"/>
      <c r="AN1092" s="35">
        <f>IF(AND(W1092="X",M1092&gt;$AJ$2),S1092,"")</f>
        <v/>
      </c>
      <c r="AO1092" s="35">
        <f>IF(AND(W1092="",M1092&gt;0,$AJ$2&gt;M1092,L1092=""),1,0)</f>
        <v/>
      </c>
      <c r="AP1092" s="35">
        <f>IF(AND(AK1092="YES",W1092="X"),"X","")</f>
        <v/>
      </c>
      <c r="AQ1092" s="55">
        <f>IF(AP1092="X",100%,0%)</f>
        <v/>
      </c>
      <c r="AR1092" s="25">
        <f>IF(AND(T1092&gt;0,L1092=""),H1092,"")</f>
        <v/>
      </c>
      <c r="AS1092" s="25">
        <f>IF(AND(D1092&gt;0,H1092=0,G1092=""),1,"")</f>
        <v/>
      </c>
      <c r="AT1092" s="25">
        <f>IF(G1092="BLOQ",1,"")</f>
        <v/>
      </c>
      <c r="AU1092" s="25">
        <f>IF(L1092="BLOQ",1,"")</f>
        <v/>
      </c>
      <c r="AV1092" s="25">
        <f>MONTH(F1092)</f>
        <v/>
      </c>
      <c r="AW1092" s="65">
        <f>IF(AP1092="",100%,0%)</f>
        <v/>
      </c>
      <c r="AX1092" s="56" t="n"/>
      <c r="AY1092" s="24">
        <f>IF(M1092=0,"",M1092-$AX$2)</f>
        <v/>
      </c>
      <c r="AZ1092" s="66">
        <f>IF(AND(W1092="",AY1092&gt;0,AY1092&lt;15),1,0)</f>
        <v/>
      </c>
      <c r="BA1092" s="24">
        <f>IF(AND(W1092="",AY1092&gt;0,AY1092&lt;15),T1092,"")</f>
        <v/>
      </c>
      <c r="BB1092" s="87">
        <f>IF(R1092&lt;Q1092,"X","")</f>
        <v/>
      </c>
      <c r="BC1092" s="190" t="inlineStr">
        <is>
          <t>NO</t>
        </is>
      </c>
      <c r="BD1092" s="191" t="inlineStr">
        <is>
          <t>SI</t>
        </is>
      </c>
    </row>
    <row r="1093" ht="15" customHeight="1" s="162">
      <c r="A1093" s="7" t="n">
        <v>1092</v>
      </c>
      <c r="B1093" t="inlineStr">
        <is>
          <t>1351710230200</t>
        </is>
      </c>
      <c r="C1093" t="inlineStr">
        <is>
          <t>T. 8XRELES 12V 16A SPCO ETH RJ45 TCP/IP</t>
        </is>
      </c>
      <c r="D1093" t="inlineStr">
        <is>
          <t>1800108988</t>
        </is>
      </c>
      <c r="E1093" t="inlineStr">
        <is>
          <t>10</t>
        </is>
      </c>
      <c r="F1093" s="163" t="n">
        <v>45463</v>
      </c>
      <c r="G1093" t="inlineStr"/>
      <c r="H1093" t="inlineStr">
        <is>
          <t>4200575347</t>
        </is>
      </c>
      <c r="I1093" t="inlineStr">
        <is>
          <t>10</t>
        </is>
      </c>
      <c r="J1093" s="163" t="n">
        <v>45531</v>
      </c>
      <c r="K1093" s="163" t="n">
        <v>45532</v>
      </c>
      <c r="L1093" t="inlineStr"/>
      <c r="M1093" s="163" t="n">
        <v>45539</v>
      </c>
      <c r="N1093" s="164" t="n">
        <v>30</v>
      </c>
      <c r="O1093" s="164" t="n">
        <v>8</v>
      </c>
      <c r="P1093" t="inlineStr">
        <is>
          <t>Liberado</t>
        </is>
      </c>
      <c r="Q1093" s="166" t="n">
        <v>1</v>
      </c>
      <c r="R1093" s="166" t="n">
        <v>1</v>
      </c>
      <c r="S1093" s="166" t="n">
        <v>1</v>
      </c>
      <c r="T1093" s="166" t="n">
        <v>0</v>
      </c>
      <c r="U1093" s="166" t="n">
        <v>1</v>
      </c>
      <c r="V1093" s="166" t="n">
        <v>0</v>
      </c>
      <c r="W1093" t="inlineStr">
        <is>
          <t>X</t>
        </is>
      </c>
      <c r="X1093" t="inlineStr">
        <is>
          <t>0.00</t>
        </is>
      </c>
      <c r="Y1093" t="inlineStr"/>
      <c r="Z1093" t="inlineStr">
        <is>
          <t>INFORSHOP, S.L.</t>
        </is>
      </c>
      <c r="AA1093" t="inlineStr">
        <is>
          <t>DEVANTECH</t>
        </is>
      </c>
      <c r="AB1093" t="inlineStr">
        <is>
          <t>ETH008-B</t>
        </is>
      </c>
      <c r="AC1093" t="inlineStr"/>
      <c r="AD1093" s="164" t="n">
        <v>0</v>
      </c>
      <c r="AE1093" s="185" t="n">
        <v>0</v>
      </c>
      <c r="AG1093" s="167" t="inlineStr">
        <is>
          <t>7218|JA2578_1001</t>
        </is>
      </c>
      <c r="AH1093" s="47">
        <f>IF(M1093=0,"-",M1093-J1093)</f>
        <v/>
      </c>
      <c r="AI1093" s="46">
        <f>IF(AND(S1093=0,M1093&gt;0,L1093=0),IF(AH1093&gt;=120,"VERY HIGH",IF(AH1093&gt;=90,"HIGH",IF(AH1093&gt;=60,"MEDIUM",IF(AH1093&lt;60,"LOW")))),"-")</f>
        <v/>
      </c>
      <c r="AJ1093" s="12" t="n"/>
      <c r="AK1093" s="53">
        <f>IF(AND(W1093="X",M1093&lt;=$AJ$2),"YES","")</f>
        <v/>
      </c>
      <c r="AL1093" s="54">
        <f>IF(AND(W1093="X",M1093&lt;=$AJ$2),S1093,"")</f>
        <v/>
      </c>
      <c r="AM1093" s="35" t="n"/>
      <c r="AN1093" s="35">
        <f>IF(AND(W1093="X",M1093&gt;$AJ$2),S1093,"")</f>
        <v/>
      </c>
      <c r="AO1093" s="35">
        <f>IF(AND(W1093="",M1093&gt;0,$AJ$2&gt;M1093,L1093=""),1,0)</f>
        <v/>
      </c>
      <c r="AP1093" s="35">
        <f>IF(AND(AK1093="YES",W1093="X"),"X","")</f>
        <v/>
      </c>
      <c r="AQ1093" s="55">
        <f>IF(AP1093="X",100%,0%)</f>
        <v/>
      </c>
      <c r="AR1093" s="25">
        <f>IF(AND(T1093&gt;0,L1093=""),H1093,"")</f>
        <v/>
      </c>
      <c r="AS1093" s="25">
        <f>IF(AND(D1093&gt;0,H1093=0,G1093=""),1,"")</f>
        <v/>
      </c>
      <c r="AT1093" s="25">
        <f>IF(G1093="BLOQ",1,"")</f>
        <v/>
      </c>
      <c r="AU1093" s="25">
        <f>IF(L1093="BLOQ",1,"")</f>
        <v/>
      </c>
      <c r="AV1093" s="25">
        <f>MONTH(F1093)</f>
        <v/>
      </c>
      <c r="AW1093" s="65">
        <f>IF(AP1093="",100%,0%)</f>
        <v/>
      </c>
      <c r="AX1093" s="56" t="n"/>
      <c r="AY1093" s="24">
        <f>IF(M1093=0,"",M1093-$AX$2)</f>
        <v/>
      </c>
      <c r="AZ1093" s="66">
        <f>IF(AND(W1093="",AY1093&gt;0,AY1093&lt;15),1,0)</f>
        <v/>
      </c>
      <c r="BA1093" s="24">
        <f>IF(AND(W1093="",AY1093&gt;0,AY1093&lt;15),T1093,"")</f>
        <v/>
      </c>
      <c r="BB1093" s="87">
        <f>IF(R1093&lt;Q1093,"X","")</f>
        <v/>
      </c>
      <c r="BC1093" s="190" t="inlineStr">
        <is>
          <t>NO</t>
        </is>
      </c>
      <c r="BD1093" s="190" t="inlineStr">
        <is>
          <t>NO</t>
        </is>
      </c>
    </row>
    <row r="1094" ht="15" customHeight="1" s="162">
      <c r="A1094" s="7" t="n">
        <v>1093</v>
      </c>
      <c r="B1094" t="inlineStr">
        <is>
          <t>1279990680000</t>
        </is>
      </c>
      <c r="C1094" t="inlineStr">
        <is>
          <t>LUMINACIMETRO MOD. LS-150</t>
        </is>
      </c>
      <c r="D1094" t="inlineStr">
        <is>
          <t>1800108989</t>
        </is>
      </c>
      <c r="E1094" t="inlineStr">
        <is>
          <t>10</t>
        </is>
      </c>
      <c r="F1094" s="163" t="n">
        <v>45463</v>
      </c>
      <c r="G1094" t="inlineStr"/>
      <c r="H1094" t="inlineStr">
        <is>
          <t>4200568610</t>
        </is>
      </c>
      <c r="I1094" t="inlineStr">
        <is>
          <t>10</t>
        </is>
      </c>
      <c r="J1094" s="163" t="n">
        <v>45470</v>
      </c>
      <c r="K1094" s="163" t="n">
        <v>45470</v>
      </c>
      <c r="L1094" t="inlineStr"/>
      <c r="M1094" s="163" t="n">
        <v>45488</v>
      </c>
      <c r="N1094" s="164" t="n">
        <v>30</v>
      </c>
      <c r="O1094" s="164" t="n">
        <v>8</v>
      </c>
      <c r="P1094" t="inlineStr">
        <is>
          <t>Liberado</t>
        </is>
      </c>
      <c r="Q1094" s="165" t="n">
        <v>1</v>
      </c>
      <c r="R1094" s="165" t="n">
        <v>1</v>
      </c>
      <c r="S1094" s="165" t="n">
        <v>1</v>
      </c>
      <c r="T1094" s="165" t="n">
        <v>0</v>
      </c>
      <c r="U1094" s="166" t="n">
        <v>1</v>
      </c>
      <c r="V1094" s="166" t="n">
        <v>0</v>
      </c>
      <c r="W1094" t="inlineStr">
        <is>
          <t>X</t>
        </is>
      </c>
      <c r="X1094" t="inlineStr">
        <is>
          <t>0.00</t>
        </is>
      </c>
      <c r="Y1094" t="inlineStr"/>
      <c r="Z1094" t="inlineStr">
        <is>
          <t>AQUATEKNICA, S.A.</t>
        </is>
      </c>
      <c r="AA1094" t="inlineStr">
        <is>
          <t>KONICA MINOLTA</t>
        </is>
      </c>
      <c r="AB1094" t="inlineStr">
        <is>
          <t>LS-150</t>
        </is>
      </c>
      <c r="AC1094" t="inlineStr"/>
      <c r="AD1094" s="164" t="n">
        <v>0</v>
      </c>
      <c r="AE1094" s="185" t="n">
        <v>0</v>
      </c>
      <c r="AG1094" s="167" t="inlineStr">
        <is>
          <t>7218|JA2578_1001</t>
        </is>
      </c>
      <c r="AH1094" s="47">
        <f>IF(M1094=0,"-",M1094-J1094)</f>
        <v/>
      </c>
      <c r="AI1094" s="46">
        <f>IF(AND(S1094=0,M1094&gt;0,L1094=0),IF(AH1094&gt;=120,"VERY HIGH",IF(AH1094&gt;=90,"HIGH",IF(AH1094&gt;=60,"MEDIUM",IF(AH1094&lt;60,"LOW")))),"-")</f>
        <v/>
      </c>
      <c r="AJ1094" s="12" t="n"/>
      <c r="AK1094" s="53">
        <f>IF(AND(W1094="X",M1094&lt;=$AJ$2),"YES","")</f>
        <v/>
      </c>
      <c r="AL1094" s="54">
        <f>IF(AND(W1094="X",M1094&lt;=$AJ$2),S1094,"")</f>
        <v/>
      </c>
      <c r="AM1094" s="35" t="n"/>
      <c r="AN1094" s="35">
        <f>IF(AND(W1094="X",M1094&gt;$AJ$2),S1094,"")</f>
        <v/>
      </c>
      <c r="AO1094" s="35">
        <f>IF(AND(W1094="",M1094&gt;0,$AJ$2&gt;M1094,L1094=""),1,0)</f>
        <v/>
      </c>
      <c r="AP1094" s="35">
        <f>IF(AND(AK1094="YES",W1094="X"),"X","")</f>
        <v/>
      </c>
      <c r="AQ1094" s="55">
        <f>IF(AP1094="X",100%,0%)</f>
        <v/>
      </c>
      <c r="AR1094" s="25">
        <f>IF(AND(T1094&gt;0,L1094=""),H1094,"")</f>
        <v/>
      </c>
      <c r="AS1094" s="25">
        <f>IF(AND(D1094&gt;0,H1094=0,G1094=""),1,"")</f>
        <v/>
      </c>
      <c r="AT1094" s="25">
        <f>IF(G1094="BLOQ",1,"")</f>
        <v/>
      </c>
      <c r="AU1094" s="25">
        <f>IF(L1094="BLOQ",1,"")</f>
        <v/>
      </c>
      <c r="AV1094" s="25">
        <f>MONTH(F1094)</f>
        <v/>
      </c>
      <c r="AW1094" s="65">
        <f>IF(AP1094="",100%,0%)</f>
        <v/>
      </c>
      <c r="AX1094" s="56" t="n"/>
      <c r="AY1094" s="24">
        <f>IF(M1094=0,"",M1094-$AX$2)</f>
        <v/>
      </c>
      <c r="AZ1094" s="66">
        <f>IF(AND(W1094="",AY1094&gt;0,AY1094&lt;15),1,0)</f>
        <v/>
      </c>
      <c r="BA1094" s="24">
        <f>IF(AND(W1094="",AY1094&gt;0,AY1094&lt;15),T1094,"")</f>
        <v/>
      </c>
      <c r="BB1094" s="87">
        <f>IF(R1094&lt;Q1094,"X","")</f>
        <v/>
      </c>
      <c r="BC1094" s="190" t="inlineStr">
        <is>
          <t>NO</t>
        </is>
      </c>
      <c r="BD1094" s="191" t="inlineStr">
        <is>
          <t>SI</t>
        </is>
      </c>
    </row>
    <row r="1095" ht="15" customHeight="1" s="162">
      <c r="A1095" s="7" t="n">
        <v>1094</v>
      </c>
      <c r="B1095" t="inlineStr">
        <is>
          <t>1533035000001</t>
        </is>
      </c>
      <c r="C1095" t="inlineStr">
        <is>
          <t>TUERCA EX 0,138-32UNC-2B MS35649-264 CRE</t>
        </is>
      </c>
      <c r="D1095" t="inlineStr">
        <is>
          <t>1800108989</t>
        </is>
      </c>
      <c r="E1095" t="inlineStr">
        <is>
          <t>20</t>
        </is>
      </c>
      <c r="F1095" s="163" t="n">
        <v>45463</v>
      </c>
      <c r="G1095" t="inlineStr"/>
      <c r="H1095" t="inlineStr">
        <is>
          <t>4200574691</t>
        </is>
      </c>
      <c r="I1095" t="inlineStr">
        <is>
          <t>30</t>
        </is>
      </c>
      <c r="J1095" s="163" t="n">
        <v>45522</v>
      </c>
      <c r="K1095" s="163" t="n">
        <v>45540</v>
      </c>
      <c r="L1095" t="inlineStr"/>
      <c r="M1095" s="163" t="n">
        <v>45537</v>
      </c>
      <c r="N1095" s="164" t="n">
        <v>30</v>
      </c>
      <c r="O1095" s="164" t="n">
        <v>8</v>
      </c>
      <c r="P1095" t="inlineStr">
        <is>
          <t>Liberado</t>
        </is>
      </c>
      <c r="Q1095" s="165" t="n">
        <v>15</v>
      </c>
      <c r="R1095" s="165" t="n">
        <v>200</v>
      </c>
      <c r="S1095" s="165" t="n">
        <v>200</v>
      </c>
      <c r="T1095" s="165" t="n">
        <v>0</v>
      </c>
      <c r="U1095" s="166" t="n">
        <v>200</v>
      </c>
      <c r="V1095" s="166" t="n">
        <v>0</v>
      </c>
      <c r="W1095" t="inlineStr">
        <is>
          <t>X</t>
        </is>
      </c>
      <c r="X1095" t="inlineStr">
        <is>
          <t>0.00</t>
        </is>
      </c>
      <c r="Y1095" t="inlineStr"/>
      <c r="Z1095" t="inlineStr">
        <is>
          <t>Electro Enterprises New York</t>
        </is>
      </c>
      <c r="AA1095" t="inlineStr">
        <is>
          <t>MILITARY STANDARDS</t>
        </is>
      </c>
      <c r="AB1095" t="inlineStr">
        <is>
          <t>MS35649-264</t>
        </is>
      </c>
      <c r="AC1095" t="inlineStr"/>
      <c r="AD1095" s="164" t="n">
        <v>0</v>
      </c>
      <c r="AE1095" s="185" t="n">
        <v>0</v>
      </c>
      <c r="AG1095" s="167" t="inlineStr">
        <is>
          <t>7218|JA2578_1001</t>
        </is>
      </c>
      <c r="AH1095" s="47">
        <f>IF(M1095=0,"-",M1095-J1095)</f>
        <v/>
      </c>
      <c r="AI1095" s="46">
        <f>IF(AND(S1095=0,M1095&gt;0,L1095=0),IF(AH1095&gt;=120,"VERY HIGH",IF(AH1095&gt;=90,"HIGH",IF(AH1095&gt;=60,"MEDIUM",IF(AH1095&lt;60,"LOW")))),"-")</f>
        <v/>
      </c>
      <c r="AJ1095" s="12" t="n"/>
      <c r="AK1095" s="53">
        <f>IF(AND(W1095="X",M1095&lt;=$AJ$2),"YES","")</f>
        <v/>
      </c>
      <c r="AL1095" s="54">
        <f>IF(AND(W1095="X",M1095&lt;=$AJ$2),S1095,"")</f>
        <v/>
      </c>
      <c r="AM1095" s="35" t="n"/>
      <c r="AN1095" s="35">
        <f>IF(AND(W1095="X",M1095&gt;$AJ$2),S1095,"")</f>
        <v/>
      </c>
      <c r="AO1095" s="35">
        <f>IF(AND(W1095="",M1095&gt;0,$AJ$2&gt;M1095,L1095=""),1,0)</f>
        <v/>
      </c>
      <c r="AP1095" s="35">
        <f>IF(AND(AK1095="YES",W1095="X"),"X","")</f>
        <v/>
      </c>
      <c r="AQ1095" s="55">
        <f>IF(AP1095="X",100%,0%)</f>
        <v/>
      </c>
      <c r="AR1095" s="25">
        <f>IF(AND(T1095&gt;0,L1095=""),H1095,"")</f>
        <v/>
      </c>
      <c r="AS1095" s="25">
        <f>IF(AND(D1095&gt;0,H1095=0,G1095=""),1,"")</f>
        <v/>
      </c>
      <c r="AT1095" s="25">
        <f>IF(G1095="BLOQ",1,"")</f>
        <v/>
      </c>
      <c r="AU1095" s="25">
        <f>IF(L1095="BLOQ",1,"")</f>
        <v/>
      </c>
      <c r="AV1095" s="25">
        <f>MONTH(F1095)</f>
        <v/>
      </c>
      <c r="AW1095" s="65">
        <f>IF(AP1095="",100%,0%)</f>
        <v/>
      </c>
      <c r="AX1095" s="56" t="n"/>
      <c r="AY1095" s="24">
        <f>IF(M1095=0,"",M1095-$AX$2)</f>
        <v/>
      </c>
      <c r="AZ1095" s="66">
        <f>IF(AND(W1095="",AY1095&gt;0,AY1095&lt;15),1,0)</f>
        <v/>
      </c>
      <c r="BA1095" s="24">
        <f>IF(AND(W1095="",AY1095&gt;0,AY1095&lt;15),T1095,"")</f>
        <v/>
      </c>
      <c r="BB1095" s="87">
        <f>IF(R1095&lt;Q1095,"X","")</f>
        <v/>
      </c>
      <c r="BC1095" s="190" t="inlineStr">
        <is>
          <t>NO</t>
        </is>
      </c>
      <c r="BD1095" s="191" t="inlineStr">
        <is>
          <t>SI</t>
        </is>
      </c>
    </row>
    <row r="1096" ht="15" customHeight="1" s="162">
      <c r="A1096" s="7" t="n">
        <v>1095</v>
      </c>
      <c r="B1096" t="inlineStr">
        <is>
          <t>1544336000119</t>
        </is>
      </c>
      <c r="C1096" t="inlineStr">
        <is>
          <t>ARA DENT INT #6 CRES MS35333-72</t>
        </is>
      </c>
      <c r="D1096" t="inlineStr">
        <is>
          <t>1800108989</t>
        </is>
      </c>
      <c r="E1096" t="inlineStr">
        <is>
          <t>30</t>
        </is>
      </c>
      <c r="F1096" s="163" t="n">
        <v>45463</v>
      </c>
      <c r="G1096" t="inlineStr"/>
      <c r="H1096" t="inlineStr">
        <is>
          <t>4200574691</t>
        </is>
      </c>
      <c r="I1096" t="inlineStr">
        <is>
          <t>40</t>
        </is>
      </c>
      <c r="J1096" s="163" t="n">
        <v>45522</v>
      </c>
      <c r="K1096" s="163" t="n">
        <v>45540</v>
      </c>
      <c r="L1096" t="inlineStr"/>
      <c r="M1096" s="163" t="n">
        <v>45537</v>
      </c>
      <c r="N1096" s="164" t="n">
        <v>30</v>
      </c>
      <c r="O1096" s="164" t="n">
        <v>8</v>
      </c>
      <c r="P1096" t="inlineStr">
        <is>
          <t>Liberado</t>
        </is>
      </c>
      <c r="Q1096" s="164" t="n">
        <v>15</v>
      </c>
      <c r="R1096" s="164" t="n">
        <v>250</v>
      </c>
      <c r="S1096" s="164" t="n">
        <v>250</v>
      </c>
      <c r="T1096" s="164" t="n">
        <v>0</v>
      </c>
      <c r="U1096" s="166" t="n">
        <v>250</v>
      </c>
      <c r="V1096" s="166" t="n">
        <v>0</v>
      </c>
      <c r="W1096" t="inlineStr">
        <is>
          <t>X</t>
        </is>
      </c>
      <c r="X1096" t="inlineStr">
        <is>
          <t>0.00</t>
        </is>
      </c>
      <c r="Y1096" t="inlineStr"/>
      <c r="Z1096" t="inlineStr">
        <is>
          <t>Electro Enterprises New York</t>
        </is>
      </c>
      <c r="AA1096" t="inlineStr">
        <is>
          <t>MILITARY SPECS.</t>
        </is>
      </c>
      <c r="AB1096" t="inlineStr">
        <is>
          <t>MS35333-71</t>
        </is>
      </c>
      <c r="AC1096" t="inlineStr"/>
      <c r="AD1096" s="164" t="n">
        <v>0</v>
      </c>
      <c r="AE1096" s="185" t="n">
        <v>0</v>
      </c>
      <c r="AG1096" s="167" t="inlineStr">
        <is>
          <t>7218|JA2578_1001</t>
        </is>
      </c>
      <c r="AH1096" s="47">
        <f>IF(M1096=0,"-",M1096-J1096)</f>
        <v/>
      </c>
      <c r="AI1096" s="46">
        <f>IF(AND(S1096=0,M1096&gt;0,L1096=0),IF(AH1096&gt;=120,"VERY HIGH",IF(AH1096&gt;=90,"HIGH",IF(AH1096&gt;=60,"MEDIUM",IF(AH1096&lt;60,"LOW")))),"-")</f>
        <v/>
      </c>
      <c r="AJ1096" s="12" t="n"/>
      <c r="AK1096" s="53">
        <f>IF(AND(W1096="X",M1096&lt;=$AJ$2),"YES","")</f>
        <v/>
      </c>
      <c r="AL1096" s="54">
        <f>IF(AND(W1096="X",M1096&lt;=$AJ$2),S1096,"")</f>
        <v/>
      </c>
      <c r="AM1096" s="35" t="n"/>
      <c r="AN1096" s="35">
        <f>IF(AND(W1096="X",M1096&gt;$AJ$2),S1096,"")</f>
        <v/>
      </c>
      <c r="AO1096" s="35">
        <f>IF(AND(W1096="",M1096&gt;0,$AJ$2&gt;M1096,L1096=""),1,0)</f>
        <v/>
      </c>
      <c r="AP1096" s="35">
        <f>IF(AND(AK1096="YES",W1096="X"),"X","")</f>
        <v/>
      </c>
      <c r="AQ1096" s="55">
        <f>IF(AP1096="X",100%,0%)</f>
        <v/>
      </c>
      <c r="AR1096" s="25">
        <f>IF(AND(T1096&gt;0,L1096=""),H1096,"")</f>
        <v/>
      </c>
      <c r="AS1096" s="25">
        <f>IF(AND(D1096&gt;0,H1096=0,G1096=""),1,"")</f>
        <v/>
      </c>
      <c r="AT1096" s="25">
        <f>IF(G1096="BLOQ",1,"")</f>
        <v/>
      </c>
      <c r="AU1096" s="25">
        <f>IF(L1096="BLOQ",1,"")</f>
        <v/>
      </c>
      <c r="AV1096" s="25">
        <f>MONTH(F1096)</f>
        <v/>
      </c>
      <c r="AW1096" s="65">
        <f>IF(AP1096="",100%,0%)</f>
        <v/>
      </c>
      <c r="AX1096" s="56" t="n"/>
      <c r="AY1096" s="24">
        <f>IF(M1096=0,"",M1096-$AX$2)</f>
        <v/>
      </c>
      <c r="AZ1096" s="66">
        <f>IF(AND(W1096="",AY1096&gt;0,AY1096&lt;15),1,0)</f>
        <v/>
      </c>
      <c r="BA1096" s="24">
        <f>IF(AND(W1096="",AY1096&gt;0,AY1096&lt;15),T1096,"")</f>
        <v/>
      </c>
      <c r="BB1096" s="87">
        <f>IF(R1096&lt;Q1096,"X","")</f>
        <v/>
      </c>
      <c r="BC1096" s="190" t="inlineStr">
        <is>
          <t>NO</t>
        </is>
      </c>
      <c r="BD1096" s="190" t="inlineStr">
        <is>
          <t>NO</t>
        </is>
      </c>
    </row>
    <row r="1097" ht="15" customHeight="1" s="162">
      <c r="A1097" s="7" t="n">
        <v>1096</v>
      </c>
      <c r="B1097" t="inlineStr">
        <is>
          <t>1546129000001</t>
        </is>
      </c>
      <c r="C1097" t="inlineStr">
        <is>
          <t>ARA PLAN #6 D=0.149X0.375" E=0.032" CRES</t>
        </is>
      </c>
      <c r="D1097" t="inlineStr">
        <is>
          <t>1800108989</t>
        </is>
      </c>
      <c r="E1097" t="inlineStr">
        <is>
          <t>40</t>
        </is>
      </c>
      <c r="F1097" s="163" t="n">
        <v>45463</v>
      </c>
      <c r="G1097" t="inlineStr"/>
      <c r="H1097" t="inlineStr">
        <is>
          <t>4200574690</t>
        </is>
      </c>
      <c r="I1097" t="inlineStr">
        <is>
          <t>30</t>
        </is>
      </c>
      <c r="J1097" s="163" t="n">
        <v>45522</v>
      </c>
      <c r="K1097" s="163" t="n">
        <v>45754</v>
      </c>
      <c r="L1097" t="inlineStr"/>
      <c r="M1097" s="163" t="n">
        <v>45593</v>
      </c>
      <c r="N1097" s="164" t="n">
        <v>60</v>
      </c>
      <c r="O1097" s="164" t="n">
        <v>8</v>
      </c>
      <c r="P1097" t="inlineStr">
        <is>
          <t>Liberado</t>
        </is>
      </c>
      <c r="Q1097" s="165" t="n">
        <v>15</v>
      </c>
      <c r="R1097" s="165" t="n">
        <v>112</v>
      </c>
      <c r="S1097" s="165" t="n">
        <v>112</v>
      </c>
      <c r="T1097" s="165" t="n">
        <v>0</v>
      </c>
      <c r="U1097" s="166" t="n">
        <v>112</v>
      </c>
      <c r="V1097" s="166" t="n">
        <v>0</v>
      </c>
      <c r="W1097" t="inlineStr">
        <is>
          <t>X</t>
        </is>
      </c>
      <c r="X1097" t="inlineStr">
        <is>
          <t>0.00</t>
        </is>
      </c>
      <c r="Y1097" t="inlineStr"/>
      <c r="Z1097" t="inlineStr">
        <is>
          <t>AMF MADRID SL</t>
        </is>
      </c>
      <c r="AA1097" t="inlineStr">
        <is>
          <t>MILITARY STANDARDS</t>
        </is>
      </c>
      <c r="AB1097" t="inlineStr">
        <is>
          <t>AN960C6</t>
        </is>
      </c>
      <c r="AC1097" t="inlineStr"/>
      <c r="AD1097" s="164" t="n">
        <v>1</v>
      </c>
      <c r="AE1097" s="185" t="n">
        <v>1</v>
      </c>
      <c r="AG1097" s="167" t="inlineStr">
        <is>
          <t>7218|JA2578_1001</t>
        </is>
      </c>
      <c r="AH1097" s="47">
        <f>IF(M1097=0,"-",M1097-J1097)</f>
        <v/>
      </c>
      <c r="AI1097" s="46">
        <f>IF(AND(S1097=0,M1097&gt;0,L1097=0),IF(AH1097&gt;=120,"VERY HIGH",IF(AH1097&gt;=90,"HIGH",IF(AH1097&gt;=60,"MEDIUM",IF(AH1097&lt;60,"LOW")))),"-")</f>
        <v/>
      </c>
      <c r="AJ1097" s="12" t="n"/>
      <c r="AK1097" s="53">
        <f>IF(AND(W1097="X",M1097&lt;=$AJ$2),"YES","")</f>
        <v/>
      </c>
      <c r="AL1097" s="54">
        <f>IF(AND(W1097="X",M1097&lt;=$AJ$2),S1097,"")</f>
        <v/>
      </c>
      <c r="AM1097" s="35" t="n"/>
      <c r="AN1097" s="35">
        <f>IF(AND(W1097="X",M1097&gt;$AJ$2),S1097,"")</f>
        <v/>
      </c>
      <c r="AO1097" s="35">
        <f>IF(AND(W1097="",M1097&gt;0,$AJ$2&gt;M1097,L1097=""),1,0)</f>
        <v/>
      </c>
      <c r="AP1097" s="35">
        <f>IF(AND(AK1097="YES",W1097="X"),"X","")</f>
        <v/>
      </c>
      <c r="AQ1097" s="55">
        <f>IF(AP1097="X",100%,0%)</f>
        <v/>
      </c>
      <c r="AR1097" s="25">
        <f>IF(AND(T1097&gt;0,L1097=""),H1097,"")</f>
        <v/>
      </c>
      <c r="AS1097" s="25">
        <f>IF(AND(D1097&gt;0,H1097=0,G1097=""),1,"")</f>
        <v/>
      </c>
      <c r="AT1097" s="25">
        <f>IF(G1097="BLOQ",1,"")</f>
        <v/>
      </c>
      <c r="AU1097" s="25">
        <f>IF(L1097="BLOQ",1,"")</f>
        <v/>
      </c>
      <c r="AV1097" s="25">
        <f>MONTH(F1097)</f>
        <v/>
      </c>
      <c r="AW1097" s="65">
        <f>IF(AP1097="",100%,0%)</f>
        <v/>
      </c>
      <c r="AX1097" s="56" t="n"/>
      <c r="AY1097" s="24">
        <f>IF(M1097=0,"",M1097-$AX$2)</f>
        <v/>
      </c>
      <c r="AZ1097" s="66">
        <f>IF(AND(W1097="",AY1097&gt;0,AY1097&lt;15),1,0)</f>
        <v/>
      </c>
      <c r="BA1097" s="24">
        <f>IF(AND(W1097="",AY1097&gt;0,AY1097&lt;15),T1097,"")</f>
        <v/>
      </c>
      <c r="BB1097" s="87">
        <f>IF(R1097&lt;Q1097,"X","")</f>
        <v/>
      </c>
      <c r="BC1097" s="190" t="inlineStr">
        <is>
          <t>NO</t>
        </is>
      </c>
      <c r="BD1097" s="190" t="inlineStr">
        <is>
          <t>NO</t>
        </is>
      </c>
    </row>
    <row r="1098" ht="15" customHeight="1" s="162">
      <c r="A1098" s="7" t="n">
        <v>1097</v>
      </c>
      <c r="B1098" t="inlineStr">
        <is>
          <t>1807300100000.VO</t>
        </is>
      </c>
      <c r="C1098" t="inlineStr">
        <is>
          <t>LIMP USO GRAL LOCTITE SF7063 AERO 400ML</t>
        </is>
      </c>
      <c r="D1098" t="inlineStr">
        <is>
          <t>1800108989</t>
        </is>
      </c>
      <c r="E1098" t="inlineStr">
        <is>
          <t>50</t>
        </is>
      </c>
      <c r="F1098" s="163" t="n">
        <v>45463</v>
      </c>
      <c r="G1098" t="inlineStr"/>
      <c r="H1098" t="inlineStr">
        <is>
          <t>4200572473</t>
        </is>
      </c>
      <c r="I1098" t="inlineStr">
        <is>
          <t>10</t>
        </is>
      </c>
      <c r="J1098" s="163" t="n">
        <v>45499</v>
      </c>
      <c r="K1098" s="163" t="n">
        <v>45502</v>
      </c>
      <c r="L1098" t="inlineStr"/>
      <c r="M1098" s="163" t="n">
        <v>45509</v>
      </c>
      <c r="N1098" s="164" t="n">
        <v>80</v>
      </c>
      <c r="O1098" s="164" t="n">
        <v>8</v>
      </c>
      <c r="P1098" t="inlineStr">
        <is>
          <t>Liberado</t>
        </is>
      </c>
      <c r="Q1098" s="165" t="n">
        <v>20</v>
      </c>
      <c r="R1098" s="165" t="n">
        <v>20</v>
      </c>
      <c r="S1098" s="165" t="n">
        <v>20</v>
      </c>
      <c r="T1098" s="165" t="n">
        <v>0</v>
      </c>
      <c r="U1098" s="166" t="n">
        <v>20</v>
      </c>
      <c r="V1098" s="166" t="n">
        <v>0</v>
      </c>
      <c r="W1098" t="inlineStr">
        <is>
          <t>X</t>
        </is>
      </c>
      <c r="X1098" t="inlineStr">
        <is>
          <t>0.00</t>
        </is>
      </c>
      <c r="Y1098" t="inlineStr"/>
      <c r="Z1098" t="inlineStr">
        <is>
          <t>Technipol Suministros, S.L.</t>
        </is>
      </c>
      <c r="AA1098" t="inlineStr">
        <is>
          <t>HENKEL CORP.</t>
        </is>
      </c>
      <c r="AB1098" t="inlineStr">
        <is>
          <t>2098813</t>
        </is>
      </c>
      <c r="AC1098" t="inlineStr"/>
      <c r="AD1098" s="164" t="n">
        <v>0</v>
      </c>
      <c r="AE1098" s="185" t="n">
        <v>0</v>
      </c>
      <c r="AG1098" s="167" t="inlineStr">
        <is>
          <t>7218|JA2578_1001</t>
        </is>
      </c>
      <c r="AH1098" s="47">
        <f>IF(M1098=0,"-",M1098-J1098)</f>
        <v/>
      </c>
      <c r="AI1098" s="46">
        <f>IF(AND(S1098=0,M1098&gt;0,L1098=0),IF(AH1098&gt;=120,"VERY HIGH",IF(AH1098&gt;=90,"HIGH",IF(AH1098&gt;=60,"MEDIUM",IF(AH1098&lt;60,"LOW")))),"-")</f>
        <v/>
      </c>
      <c r="AJ1098" s="12" t="n"/>
      <c r="AK1098" s="53">
        <f>IF(AND(W1098="X",M1098&lt;=$AJ$2),"YES","")</f>
        <v/>
      </c>
      <c r="AL1098" s="54">
        <f>IF(AND(W1098="X",M1098&lt;=$AJ$2),S1098,"")</f>
        <v/>
      </c>
      <c r="AM1098" s="35" t="n"/>
      <c r="AN1098" s="35">
        <f>IF(AND(W1098="X",M1098&gt;$AJ$2),S1098,"")</f>
        <v/>
      </c>
      <c r="AO1098" s="35">
        <f>IF(AND(W1098="",M1098&gt;0,$AJ$2&gt;M1098,L1098=""),1,0)</f>
        <v/>
      </c>
      <c r="AP1098" s="35">
        <f>IF(AND(AK1098="YES",W1098="X"),"X","")</f>
        <v/>
      </c>
      <c r="AQ1098" s="55">
        <f>IF(AP1098="X",100%,0%)</f>
        <v/>
      </c>
      <c r="AR1098" s="25">
        <f>IF(AND(T1098&gt;0,L1098=""),H1098,"")</f>
        <v/>
      </c>
      <c r="AS1098" s="25">
        <f>IF(AND(D1098&gt;0,H1098=0,G1098=""),1,"")</f>
        <v/>
      </c>
      <c r="AT1098" s="25">
        <f>IF(G1098="BLOQ",1,"")</f>
        <v/>
      </c>
      <c r="AU1098" s="25">
        <f>IF(L1098="BLOQ",1,"")</f>
        <v/>
      </c>
      <c r="AV1098" s="25">
        <f>MONTH(F1098)</f>
        <v/>
      </c>
      <c r="AW1098" s="65">
        <f>IF(AP1098="",100%,0%)</f>
        <v/>
      </c>
      <c r="AX1098" s="56" t="n"/>
      <c r="AY1098" s="24">
        <f>IF(M1098=0,"",M1098-$AX$2)</f>
        <v/>
      </c>
      <c r="AZ1098" s="66">
        <f>IF(AND(W1098="",AY1098&gt;0,AY1098&lt;15),1,0)</f>
        <v/>
      </c>
      <c r="BA1098" s="24">
        <f>IF(AND(W1098="",AY1098&gt;0,AY1098&lt;15),T1098,"")</f>
        <v/>
      </c>
      <c r="BB1098" s="87">
        <f>IF(R1098&lt;Q1098,"X","")</f>
        <v/>
      </c>
      <c r="BC1098" s="190" t="inlineStr">
        <is>
          <t>NO</t>
        </is>
      </c>
      <c r="BD1098" s="191" t="inlineStr">
        <is>
          <t>SI</t>
        </is>
      </c>
    </row>
    <row r="1099" ht="15" customHeight="1" s="162">
      <c r="A1099" s="7" t="n">
        <v>1098</v>
      </c>
      <c r="B1099" t="inlineStr">
        <is>
          <t>3010200471700</t>
        </is>
      </c>
      <c r="C1099" t="inlineStr">
        <is>
          <t>MOD SERV LAN 8P RS232/422/485</t>
        </is>
      </c>
      <c r="D1099" t="inlineStr">
        <is>
          <t>1800108989</t>
        </is>
      </c>
      <c r="E1099" t="inlineStr">
        <is>
          <t>60</t>
        </is>
      </c>
      <c r="F1099" s="163" t="n">
        <v>45463</v>
      </c>
      <c r="G1099" t="inlineStr"/>
      <c r="H1099" t="inlineStr">
        <is>
          <t>4200569550</t>
        </is>
      </c>
      <c r="I1099" t="inlineStr">
        <is>
          <t>10</t>
        </is>
      </c>
      <c r="J1099" s="163" t="n">
        <v>45478</v>
      </c>
      <c r="K1099" s="163" t="n">
        <v>45478</v>
      </c>
      <c r="L1099" t="inlineStr"/>
      <c r="M1099" s="163" t="n">
        <v>45506</v>
      </c>
      <c r="N1099" s="164" t="n">
        <v>30</v>
      </c>
      <c r="O1099" s="164" t="n">
        <v>8</v>
      </c>
      <c r="P1099" t="inlineStr">
        <is>
          <t>Liberado</t>
        </is>
      </c>
      <c r="Q1099" s="165" t="n">
        <v>1</v>
      </c>
      <c r="R1099" s="165" t="n">
        <v>1</v>
      </c>
      <c r="S1099" s="165" t="n">
        <v>1</v>
      </c>
      <c r="T1099" s="165" t="n">
        <v>0</v>
      </c>
      <c r="U1099" s="166" t="n">
        <v>1</v>
      </c>
      <c r="V1099" s="166" t="n">
        <v>0</v>
      </c>
      <c r="W1099" t="inlineStr">
        <is>
          <t>X</t>
        </is>
      </c>
      <c r="X1099" t="inlineStr">
        <is>
          <t>0.00</t>
        </is>
      </c>
      <c r="Y1099" t="inlineStr"/>
      <c r="Z1099" t="inlineStr">
        <is>
          <t>TEMPEL, S.A.</t>
        </is>
      </c>
      <c r="AA1099" t="inlineStr">
        <is>
          <t>MOXA</t>
        </is>
      </c>
      <c r="AB1099" t="inlineStr">
        <is>
          <t>NPORT 6650-8</t>
        </is>
      </c>
      <c r="AC1099" t="inlineStr"/>
      <c r="AD1099" s="164" t="n">
        <v>0</v>
      </c>
      <c r="AE1099" s="185" t="n">
        <v>0</v>
      </c>
      <c r="AG1099" s="167" t="inlineStr">
        <is>
          <t>7218|JA2578_1001</t>
        </is>
      </c>
      <c r="AH1099" s="47">
        <f>IF(M1099=0,"-",M1099-J1099)</f>
        <v/>
      </c>
      <c r="AI1099" s="46">
        <f>IF(AND(S1099=0,M1099&gt;0,L1099=0),IF(AH1099&gt;=120,"VERY HIGH",IF(AH1099&gt;=90,"HIGH",IF(AH1099&gt;=60,"MEDIUM",IF(AH1099&lt;60,"LOW")))),"-")</f>
        <v/>
      </c>
      <c r="AJ1099" s="12" t="n"/>
      <c r="AK1099" s="53">
        <f>IF(AND(W1099="X",M1099&lt;=$AJ$2),"YES","")</f>
        <v/>
      </c>
      <c r="AL1099" s="54">
        <f>IF(AND(W1099="X",M1099&lt;=$AJ$2),S1099,"")</f>
        <v/>
      </c>
      <c r="AM1099" s="35" t="n"/>
      <c r="AN1099" s="35">
        <f>IF(AND(W1099="X",M1099&gt;$AJ$2),S1099,"")</f>
        <v/>
      </c>
      <c r="AO1099" s="35">
        <f>IF(AND(W1099="",M1099&gt;0,$AJ$2&gt;M1099,L1099=""),1,0)</f>
        <v/>
      </c>
      <c r="AP1099" s="35">
        <f>IF(AND(AK1099="YES",W1099="X"),"X","")</f>
        <v/>
      </c>
      <c r="AQ1099" s="55">
        <f>IF(AP1099="X",100%,0%)</f>
        <v/>
      </c>
      <c r="AR1099" s="25">
        <f>IF(AND(T1099&gt;0,L1099=""),H1099,"")</f>
        <v/>
      </c>
      <c r="AS1099" s="25">
        <f>IF(AND(D1099&gt;0,H1099=0,G1099=""),1,"")</f>
        <v/>
      </c>
      <c r="AT1099" s="25">
        <f>IF(G1099="BLOQ",1,"")</f>
        <v/>
      </c>
      <c r="AU1099" s="25">
        <f>IF(L1099="BLOQ",1,"")</f>
        <v/>
      </c>
      <c r="AV1099" s="25">
        <f>MONTH(F1099)</f>
        <v/>
      </c>
      <c r="AW1099" s="65">
        <f>IF(AP1099="",100%,0%)</f>
        <v/>
      </c>
      <c r="AX1099" s="56" t="n"/>
      <c r="AY1099" s="24">
        <f>IF(M1099=0,"",M1099-$AX$2)</f>
        <v/>
      </c>
      <c r="AZ1099" s="66">
        <f>IF(AND(W1099="",AY1099&gt;0,AY1099&lt;15),1,0)</f>
        <v/>
      </c>
      <c r="BA1099" s="24">
        <f>IF(AND(W1099="",AY1099&gt;0,AY1099&lt;15),T1099,"")</f>
        <v/>
      </c>
      <c r="BB1099" s="87">
        <f>IF(R1099&lt;Q1099,"X","")</f>
        <v/>
      </c>
      <c r="BC1099" s="191" t="inlineStr">
        <is>
          <t>SI</t>
        </is>
      </c>
      <c r="BD1099" s="191" t="inlineStr">
        <is>
          <t>SI</t>
        </is>
      </c>
    </row>
    <row r="1100" ht="15" customHeight="1" s="162">
      <c r="A1100" s="7" t="n">
        <v>1099</v>
      </c>
      <c r="B1100" t="inlineStr">
        <is>
          <t>3140301350000</t>
        </is>
      </c>
      <c r="C1100" t="inlineStr">
        <is>
          <t>PROYECTOR DLP 4K P10 WQXGA 100-240V</t>
        </is>
      </c>
      <c r="D1100" t="inlineStr">
        <is>
          <t>1800108989</t>
        </is>
      </c>
      <c r="E1100" t="inlineStr">
        <is>
          <t>70</t>
        </is>
      </c>
      <c r="F1100" s="163" t="n">
        <v>45463</v>
      </c>
      <c r="G1100" t="inlineStr"/>
      <c r="H1100" t="inlineStr">
        <is>
          <t>4200568673</t>
        </is>
      </c>
      <c r="I1100" t="inlineStr">
        <is>
          <t>20</t>
        </is>
      </c>
      <c r="J1100" s="163" t="n">
        <v>45470</v>
      </c>
      <c r="K1100" s="163" t="n">
        <v>45470</v>
      </c>
      <c r="L1100" t="inlineStr"/>
      <c r="M1100" s="163" t="n">
        <v>45550</v>
      </c>
      <c r="N1100" s="164" t="n">
        <v>40</v>
      </c>
      <c r="O1100" s="164" t="n">
        <v>8</v>
      </c>
      <c r="P1100" t="inlineStr">
        <is>
          <t>Liberado</t>
        </is>
      </c>
      <c r="Q1100" s="165" t="n">
        <v>3</v>
      </c>
      <c r="R1100" s="165" t="n">
        <v>3</v>
      </c>
      <c r="S1100" s="165" t="n">
        <v>3</v>
      </c>
      <c r="T1100" s="165" t="n">
        <v>0</v>
      </c>
      <c r="U1100" s="166" t="n">
        <v>3</v>
      </c>
      <c r="V1100" s="166" t="n">
        <v>0</v>
      </c>
      <c r="W1100" t="inlineStr">
        <is>
          <t>X</t>
        </is>
      </c>
      <c r="X1100" t="inlineStr">
        <is>
          <t>0.00</t>
        </is>
      </c>
      <c r="Y1100" t="inlineStr"/>
      <c r="Z1100" t="inlineStr">
        <is>
          <t>NORXE AS</t>
        </is>
      </c>
      <c r="AA1100" t="inlineStr">
        <is>
          <t>NORXE</t>
        </is>
      </c>
      <c r="AB1100" t="inlineStr">
        <is>
          <t>101-1112</t>
        </is>
      </c>
      <c r="AC1100" t="inlineStr"/>
      <c r="AD1100" s="164" t="n">
        <v>1</v>
      </c>
      <c r="AE1100" s="185" t="n">
        <v>1</v>
      </c>
      <c r="AG1100" s="167" t="inlineStr">
        <is>
          <t>7218|JA2578_1001</t>
        </is>
      </c>
      <c r="AH1100" s="47">
        <f>IF(M1100=0,"-",M1100-J1100)</f>
        <v/>
      </c>
      <c r="AI1100" s="46">
        <f>IF(AND(S1100=0,M1100&gt;0,L1100=0),IF(AH1100&gt;=120,"VERY HIGH",IF(AH1100&gt;=90,"HIGH",IF(AH1100&gt;=60,"MEDIUM",IF(AH1100&lt;60,"LOW")))),"-")</f>
        <v/>
      </c>
      <c r="AJ1100" s="12" t="n"/>
      <c r="AK1100" s="53">
        <f>IF(AND(W1100="X",M1100&lt;=$AJ$2),"YES","")</f>
        <v/>
      </c>
      <c r="AL1100" s="54">
        <f>IF(AND(W1100="X",M1100&lt;=$AJ$2),S1100,"")</f>
        <v/>
      </c>
      <c r="AM1100" s="35" t="n"/>
      <c r="AN1100" s="35">
        <f>IF(AND(W1100="X",M1100&gt;$AJ$2),S1100,"")</f>
        <v/>
      </c>
      <c r="AO1100" s="35">
        <f>IF(AND(W1100="",M1100&gt;0,$AJ$2&gt;M1100,L1100=""),1,0)</f>
        <v/>
      </c>
      <c r="AP1100" s="35">
        <f>IF(AND(AK1100="YES",W1100="X"),"X","")</f>
        <v/>
      </c>
      <c r="AQ1100" s="55">
        <f>IF(AP1100="X",100%,0%)</f>
        <v/>
      </c>
      <c r="AR1100" s="25">
        <f>IF(AND(T1100&gt;0,L1100=""),H1100,"")</f>
        <v/>
      </c>
      <c r="AS1100" s="25">
        <f>IF(AND(D1100&gt;0,H1100=0,G1100=""),1,"")</f>
        <v/>
      </c>
      <c r="AT1100" s="25">
        <f>IF(G1100="BLOQ",1,"")</f>
        <v/>
      </c>
      <c r="AU1100" s="25">
        <f>IF(L1100="BLOQ",1,"")</f>
        <v/>
      </c>
      <c r="AV1100" s="25">
        <f>MONTH(F1100)</f>
        <v/>
      </c>
      <c r="AW1100" s="65">
        <f>IF(AP1100="",100%,0%)</f>
        <v/>
      </c>
      <c r="AX1100" s="56" t="n"/>
      <c r="AY1100" s="24">
        <f>IF(M1100=0,"",M1100-$AX$2)</f>
        <v/>
      </c>
      <c r="AZ1100" s="66">
        <f>IF(AND(W1100="",AY1100&gt;0,AY1100&lt;15),1,0)</f>
        <v/>
      </c>
      <c r="BA1100" s="24">
        <f>IF(AND(W1100="",AY1100&gt;0,AY1100&lt;15),T1100,"")</f>
        <v/>
      </c>
      <c r="BB1100" s="87">
        <f>IF(R1100&lt;Q1100,"X","")</f>
        <v/>
      </c>
      <c r="BC1100" s="191" t="inlineStr">
        <is>
          <t>SI</t>
        </is>
      </c>
      <c r="BD1100" s="191" t="inlineStr">
        <is>
          <t>SI</t>
        </is>
      </c>
    </row>
    <row r="1101" ht="15" customHeight="1" s="162">
      <c r="A1101" s="7" t="n">
        <v>1100</v>
      </c>
      <c r="B1101" t="inlineStr">
        <is>
          <t>3140390474100</t>
        </is>
      </c>
      <c r="C1101" t="inlineStr">
        <is>
          <t>LENS PROYECTOR GRANDE 1.20-1.60:1 WQ</t>
        </is>
      </c>
      <c r="D1101" t="inlineStr">
        <is>
          <t>1800108989</t>
        </is>
      </c>
      <c r="E1101" t="inlineStr">
        <is>
          <t>80</t>
        </is>
      </c>
      <c r="F1101" s="163" t="n">
        <v>45463</v>
      </c>
      <c r="G1101" t="inlineStr"/>
      <c r="H1101" t="inlineStr">
        <is>
          <t>4200568673</t>
        </is>
      </c>
      <c r="I1101" t="inlineStr">
        <is>
          <t>10</t>
        </is>
      </c>
      <c r="J1101" s="163" t="n">
        <v>45470</v>
      </c>
      <c r="K1101" s="163" t="n">
        <v>45470</v>
      </c>
      <c r="L1101" t="inlineStr"/>
      <c r="M1101" s="163" t="n">
        <v>45550</v>
      </c>
      <c r="N1101" s="164" t="n">
        <v>40</v>
      </c>
      <c r="O1101" s="164" t="n">
        <v>8</v>
      </c>
      <c r="P1101" t="inlineStr">
        <is>
          <t>Liberado</t>
        </is>
      </c>
      <c r="Q1101" s="165" t="n">
        <v>3</v>
      </c>
      <c r="R1101" s="165" t="n">
        <v>3</v>
      </c>
      <c r="S1101" s="165" t="n">
        <v>3</v>
      </c>
      <c r="T1101" s="165" t="n">
        <v>0</v>
      </c>
      <c r="U1101" s="166" t="n">
        <v>3</v>
      </c>
      <c r="V1101" s="166" t="n">
        <v>0</v>
      </c>
      <c r="W1101" t="inlineStr">
        <is>
          <t>X</t>
        </is>
      </c>
      <c r="X1101" t="inlineStr">
        <is>
          <t>0.00</t>
        </is>
      </c>
      <c r="Y1101" t="inlineStr"/>
      <c r="Z1101" t="inlineStr">
        <is>
          <t>NORXE AS</t>
        </is>
      </c>
      <c r="AA1101" t="inlineStr">
        <is>
          <t>NORXE</t>
        </is>
      </c>
      <c r="AB1101" t="inlineStr">
        <is>
          <t>N2</t>
        </is>
      </c>
      <c r="AC1101" t="inlineStr"/>
      <c r="AD1101" s="164" t="n">
        <v>0</v>
      </c>
      <c r="AE1101" s="185" t="n">
        <v>0</v>
      </c>
      <c r="AG1101" s="167" t="inlineStr">
        <is>
          <t>7218|JA2578_1001</t>
        </is>
      </c>
      <c r="AH1101" s="47">
        <f>IF(M1101=0,"-",M1101-J1101)</f>
        <v/>
      </c>
      <c r="AI1101" s="46">
        <f>IF(AND(S1101=0,M1101&gt;0,L1101=0),IF(AH1101&gt;=120,"VERY HIGH",IF(AH1101&gt;=90,"HIGH",IF(AH1101&gt;=60,"MEDIUM",IF(AH1101&lt;60,"LOW")))),"-")</f>
        <v/>
      </c>
      <c r="AJ1101" s="12" t="n"/>
      <c r="AK1101" s="53">
        <f>IF(AND(W1101="X",M1101&lt;=$AJ$2),"YES","")</f>
        <v/>
      </c>
      <c r="AL1101" s="54">
        <f>IF(AND(W1101="X",M1101&lt;=$AJ$2),S1101,"")</f>
        <v/>
      </c>
      <c r="AM1101" s="35" t="n"/>
      <c r="AN1101" s="35">
        <f>IF(AND(W1101="X",M1101&gt;$AJ$2),S1101,"")</f>
        <v/>
      </c>
      <c r="AO1101" s="35">
        <f>IF(AND(W1101="",M1101&gt;0,$AJ$2&gt;M1101,L1101=""),1,0)</f>
        <v/>
      </c>
      <c r="AP1101" s="35">
        <f>IF(AND(AK1101="YES",W1101="X"),"X","")</f>
        <v/>
      </c>
      <c r="AQ1101" s="55">
        <f>IF(AP1101="X",100%,0%)</f>
        <v/>
      </c>
      <c r="AR1101" s="25">
        <f>IF(AND(T1101&gt;0,L1101=""),H1101,"")</f>
        <v/>
      </c>
      <c r="AS1101" s="25">
        <f>IF(AND(D1101&gt;0,H1101=0,G1101=""),1,"")</f>
        <v/>
      </c>
      <c r="AT1101" s="25">
        <f>IF(G1101="BLOQ",1,"")</f>
        <v/>
      </c>
      <c r="AU1101" s="25">
        <f>IF(L1101="BLOQ",1,"")</f>
        <v/>
      </c>
      <c r="AV1101" s="25">
        <f>MONTH(F1101)</f>
        <v/>
      </c>
      <c r="AW1101" s="65">
        <f>IF(AP1101="",100%,0%)</f>
        <v/>
      </c>
      <c r="AX1101" s="56" t="n"/>
      <c r="AY1101" s="24">
        <f>IF(M1101=0,"",M1101-$AX$2)</f>
        <v/>
      </c>
      <c r="AZ1101" s="66">
        <f>IF(AND(W1101="",AY1101&gt;0,AY1101&lt;15),1,0)</f>
        <v/>
      </c>
      <c r="BA1101" s="24">
        <f>IF(AND(W1101="",AY1101&gt;0,AY1101&lt;15),T1101,"")</f>
        <v/>
      </c>
      <c r="BB1101" s="87">
        <f>IF(R1101&lt;Q1101,"X","")</f>
        <v/>
      </c>
      <c r="BC1101" s="191" t="inlineStr">
        <is>
          <t>SI</t>
        </is>
      </c>
      <c r="BD1101" s="191" t="inlineStr">
        <is>
          <t>SI</t>
        </is>
      </c>
    </row>
    <row r="1102" ht="15" customHeight="1" s="162">
      <c r="A1102" s="7" t="n">
        <v>1101</v>
      </c>
      <c r="B1102" t="inlineStr">
        <is>
          <t>3170100060400</t>
        </is>
      </c>
      <c r="C1102" t="inlineStr">
        <is>
          <t>SWITCH 8-PUERTOS RJ45 10/100/1000 GB</t>
        </is>
      </c>
      <c r="D1102" t="inlineStr">
        <is>
          <t>1800108989</t>
        </is>
      </c>
      <c r="E1102" t="inlineStr">
        <is>
          <t>90</t>
        </is>
      </c>
      <c r="F1102" s="163" t="n">
        <v>45463</v>
      </c>
      <c r="G1102" t="inlineStr"/>
      <c r="H1102" t="inlineStr">
        <is>
          <t>4200568831</t>
        </is>
      </c>
      <c r="I1102" t="inlineStr">
        <is>
          <t>60</t>
        </is>
      </c>
      <c r="J1102" s="163" t="n">
        <v>45471</v>
      </c>
      <c r="K1102" s="163" t="n">
        <v>45482</v>
      </c>
      <c r="L1102" t="inlineStr">
        <is>
          <t>BORR</t>
        </is>
      </c>
      <c r="M1102" s="163" t="n">
        <v>45488</v>
      </c>
      <c r="N1102" s="164" t="n">
        <v>40</v>
      </c>
      <c r="O1102" s="164" t="n">
        <v>8</v>
      </c>
      <c r="P1102" t="inlineStr">
        <is>
          <t>Liberado</t>
        </is>
      </c>
      <c r="Q1102" s="165" t="n">
        <v>1</v>
      </c>
      <c r="R1102" s="165" t="n">
        <v>1</v>
      </c>
      <c r="S1102" s="165" t="n">
        <v>0</v>
      </c>
      <c r="T1102" s="165" t="n">
        <v>1</v>
      </c>
      <c r="U1102" s="166" t="n">
        <v>0</v>
      </c>
      <c r="V1102" s="166" t="n">
        <v>0</v>
      </c>
      <c r="W1102" t="inlineStr"/>
      <c r="X1102" t="inlineStr">
        <is>
          <t>122.00</t>
        </is>
      </c>
      <c r="Y1102" t="inlineStr"/>
      <c r="Z1102" t="inlineStr">
        <is>
          <t>S-CONNECT SL</t>
        </is>
      </c>
      <c r="AA1102" t="inlineStr">
        <is>
          <t>NETGEAR</t>
        </is>
      </c>
      <c r="AB1102" t="inlineStr">
        <is>
          <t>GS308PP</t>
        </is>
      </c>
      <c r="AC1102" t="inlineStr"/>
      <c r="AD1102" s="164" t="n">
        <v>0</v>
      </c>
      <c r="AE1102" s="185" t="n">
        <v>0</v>
      </c>
      <c r="AG1102" s="167" t="inlineStr">
        <is>
          <t>7218|JA2578_1001</t>
        </is>
      </c>
      <c r="AH1102" s="47">
        <f>IF(M1102=0,"-",M1102-J1102)</f>
        <v/>
      </c>
      <c r="AI1102" s="46">
        <f>IF(AND(S1102=0,M1102&gt;0,L1102=0),IF(AH1102&gt;=120,"VERY HIGH",IF(AH1102&gt;=90,"HIGH",IF(AH1102&gt;=60,"MEDIUM",IF(AH1102&lt;60,"LOW")))),"-")</f>
        <v/>
      </c>
      <c r="AJ1102" s="12" t="n"/>
      <c r="AK1102" s="53">
        <f>IF(AND(W1102="X",M1102&lt;=$AJ$2),"YES","")</f>
        <v/>
      </c>
      <c r="AL1102" s="54">
        <f>IF(AND(W1102="X",M1102&lt;=$AJ$2),S1102,"")</f>
        <v/>
      </c>
      <c r="AM1102" s="35" t="n"/>
      <c r="AN1102" s="35">
        <f>IF(AND(W1102="X",M1102&gt;$AJ$2),S1102,"")</f>
        <v/>
      </c>
      <c r="AO1102" s="35">
        <f>IF(AND(W1102="",M1102&gt;0,$AJ$2&gt;M1102,L1102=""),1,0)</f>
        <v/>
      </c>
      <c r="AP1102" s="35">
        <f>IF(AND(AK1102="YES",W1102="X"),"X","")</f>
        <v/>
      </c>
      <c r="AQ1102" s="55">
        <f>IF(AP1102="X",100%,0%)</f>
        <v/>
      </c>
      <c r="AR1102" s="25">
        <f>IF(AND(T1102&gt;0,L1102=""),H1102,"")</f>
        <v/>
      </c>
      <c r="AS1102" s="25">
        <f>IF(AND(D1102&gt;0,H1102=0,G1102=""),1,"")</f>
        <v/>
      </c>
      <c r="AT1102" s="25">
        <f>IF(G1102="BLOQ",1,"")</f>
        <v/>
      </c>
      <c r="AU1102" s="25">
        <f>IF(L1102="BLOQ",1,"")</f>
        <v/>
      </c>
      <c r="AV1102" s="25">
        <f>MONTH(F1102)</f>
        <v/>
      </c>
      <c r="AW1102" s="65">
        <f>IF(AP1102="",100%,0%)</f>
        <v/>
      </c>
      <c r="AX1102" s="56" t="n"/>
      <c r="AY1102" s="24">
        <f>IF(M1102=0,"",M1102-$AX$2)</f>
        <v/>
      </c>
      <c r="AZ1102" s="66">
        <f>IF(AND(W1102="",AY1102&gt;0,AY1102&lt;15),1,0)</f>
        <v/>
      </c>
      <c r="BA1102" s="24">
        <f>IF(AND(W1102="",AY1102&gt;0,AY1102&lt;15),T1102,"")</f>
        <v/>
      </c>
      <c r="BB1102" s="87">
        <f>IF(R1102&lt;Q1102,"X","")</f>
        <v/>
      </c>
      <c r="BC1102" s="191" t="inlineStr">
        <is>
          <t>SI</t>
        </is>
      </c>
      <c r="BD1102" s="191" t="inlineStr">
        <is>
          <t>SI</t>
        </is>
      </c>
    </row>
    <row r="1103" ht="15" customHeight="1" s="162">
      <c r="A1103" s="7" t="n">
        <v>1102</v>
      </c>
      <c r="B1103" t="inlineStr">
        <is>
          <t>3170100060400</t>
        </is>
      </c>
      <c r="C1103" t="inlineStr">
        <is>
          <t>SWITCH 8-PUERTOS RJ45 10/100/1000 GB</t>
        </is>
      </c>
      <c r="D1103" t="inlineStr">
        <is>
          <t>1800108989</t>
        </is>
      </c>
      <c r="E1103" t="inlineStr">
        <is>
          <t>90</t>
        </is>
      </c>
      <c r="F1103" s="163" t="n">
        <v>45463</v>
      </c>
      <c r="G1103" t="inlineStr"/>
      <c r="H1103" t="inlineStr">
        <is>
          <t>4200569722</t>
        </is>
      </c>
      <c r="I1103" t="inlineStr">
        <is>
          <t>20</t>
        </is>
      </c>
      <c r="J1103" s="163" t="n">
        <v>45481</v>
      </c>
      <c r="K1103" s="163" t="n">
        <v>45482</v>
      </c>
      <c r="L1103" t="inlineStr"/>
      <c r="M1103" s="163" t="n">
        <v>45499</v>
      </c>
      <c r="N1103" s="164" t="n">
        <v>40</v>
      </c>
      <c r="O1103" s="164" t="n">
        <v>8</v>
      </c>
      <c r="P1103" t="inlineStr">
        <is>
          <t>Liberado</t>
        </is>
      </c>
      <c r="Q1103" s="165" t="n">
        <v>1</v>
      </c>
      <c r="R1103" s="165" t="n">
        <v>1</v>
      </c>
      <c r="S1103" s="165" t="n">
        <v>1</v>
      </c>
      <c r="T1103" s="165" t="n">
        <v>0</v>
      </c>
      <c r="U1103" s="166" t="n">
        <v>1</v>
      </c>
      <c r="V1103" s="166" t="n">
        <v>0</v>
      </c>
      <c r="W1103" t="inlineStr">
        <is>
          <t>X</t>
        </is>
      </c>
      <c r="X1103" t="inlineStr">
        <is>
          <t>0.00</t>
        </is>
      </c>
      <c r="Y1103" t="inlineStr"/>
      <c r="Z1103" t="inlineStr">
        <is>
          <t>INFORMATICA CALCULO Y TECNICA, S.A.</t>
        </is>
      </c>
      <c r="AA1103" t="inlineStr">
        <is>
          <t>NETGEAR</t>
        </is>
      </c>
      <c r="AB1103" t="inlineStr">
        <is>
          <t>GS308PP</t>
        </is>
      </c>
      <c r="AC1103" t="inlineStr"/>
      <c r="AD1103" s="164" t="n">
        <v>1</v>
      </c>
      <c r="AE1103" s="185" t="n">
        <v>1</v>
      </c>
      <c r="AG1103" s="167" t="inlineStr">
        <is>
          <t>7218|JA2578_1001</t>
        </is>
      </c>
      <c r="AH1103" s="47">
        <f>IF(M1103=0,"-",M1103-J1103)</f>
        <v/>
      </c>
      <c r="AI1103" s="46">
        <f>IF(AND(S1103=0,M1103&gt;0,L1103=0),IF(AH1103&gt;=120,"VERY HIGH",IF(AH1103&gt;=90,"HIGH",IF(AH1103&gt;=60,"MEDIUM",IF(AH1103&lt;60,"LOW")))),"-")</f>
        <v/>
      </c>
      <c r="AJ1103" s="12" t="n"/>
      <c r="AK1103" s="53">
        <f>IF(AND(W1103="X",M1103&lt;=$AJ$2),"YES","")</f>
        <v/>
      </c>
      <c r="AL1103" s="54">
        <f>IF(AND(W1103="X",M1103&lt;=$AJ$2),S1103,"")</f>
        <v/>
      </c>
      <c r="AM1103" s="35" t="n"/>
      <c r="AN1103" s="35">
        <f>IF(AND(W1103="X",M1103&gt;$AJ$2),S1103,"")</f>
        <v/>
      </c>
      <c r="AO1103" s="35">
        <f>IF(AND(W1103="",M1103&gt;0,$AJ$2&gt;M1103,L1103=""),1,0)</f>
        <v/>
      </c>
      <c r="AP1103" s="35">
        <f>IF(AND(AK1103="YES",W1103="X"),"X","")</f>
        <v/>
      </c>
      <c r="AQ1103" s="55">
        <f>IF(AP1103="X",100%,0%)</f>
        <v/>
      </c>
      <c r="AR1103" s="25">
        <f>IF(AND(T1103&gt;0,L1103=""),H1103,"")</f>
        <v/>
      </c>
      <c r="AS1103" s="25">
        <f>IF(AND(D1103&gt;0,H1103=0,G1103=""),1,"")</f>
        <v/>
      </c>
      <c r="AT1103" s="25">
        <f>IF(G1103="BLOQ",1,"")</f>
        <v/>
      </c>
      <c r="AU1103" s="25">
        <f>IF(L1103="BLOQ",1,"")</f>
        <v/>
      </c>
      <c r="AV1103" s="25">
        <f>MONTH(F1103)</f>
        <v/>
      </c>
      <c r="AW1103" s="65">
        <f>IF(AP1103="",100%,0%)</f>
        <v/>
      </c>
      <c r="AX1103" s="56" t="n"/>
      <c r="AY1103" s="24">
        <f>IF(M1103=0,"",M1103-$AX$2)</f>
        <v/>
      </c>
      <c r="AZ1103" s="66">
        <f>IF(AND(W1103="",AY1103&gt;0,AY1103&lt;15),1,0)</f>
        <v/>
      </c>
      <c r="BA1103" s="24">
        <f>IF(AND(W1103="",AY1103&gt;0,AY1103&lt;15),T1103,"")</f>
        <v/>
      </c>
      <c r="BB1103" s="87">
        <f>IF(R1103&lt;Q1103,"X","")</f>
        <v/>
      </c>
      <c r="BC1103" s="191" t="inlineStr">
        <is>
          <t>SI</t>
        </is>
      </c>
      <c r="BD1103" s="191" t="inlineStr">
        <is>
          <t>SI</t>
        </is>
      </c>
    </row>
    <row r="1104" ht="15" customHeight="1" s="162">
      <c r="A1104" s="7" t="n">
        <v>1103</v>
      </c>
      <c r="B1104" t="inlineStr">
        <is>
          <t>3170103090800</t>
        </is>
      </c>
      <c r="C1104" t="inlineStr">
        <is>
          <t>SWITCH 16P GIGABIT PROSAFE DESKTOP</t>
        </is>
      </c>
      <c r="D1104" t="inlineStr">
        <is>
          <t>1800108989</t>
        </is>
      </c>
      <c r="E1104" t="inlineStr">
        <is>
          <t>100</t>
        </is>
      </c>
      <c r="F1104" s="163" t="n">
        <v>45463</v>
      </c>
      <c r="G1104" t="inlineStr"/>
      <c r="H1104" t="inlineStr">
        <is>
          <t>4200569722</t>
        </is>
      </c>
      <c r="I1104" t="inlineStr">
        <is>
          <t>10</t>
        </is>
      </c>
      <c r="J1104" s="163" t="n">
        <v>45481</v>
      </c>
      <c r="K1104" s="163" t="n">
        <v>45482</v>
      </c>
      <c r="L1104" t="inlineStr"/>
      <c r="M1104" s="163" t="n">
        <v>45499</v>
      </c>
      <c r="N1104" s="164" t="n">
        <v>30</v>
      </c>
      <c r="O1104" s="164" t="n">
        <v>8</v>
      </c>
      <c r="P1104" t="inlineStr">
        <is>
          <t>Liberado</t>
        </is>
      </c>
      <c r="Q1104" s="165" t="n">
        <v>1</v>
      </c>
      <c r="R1104" s="165" t="n">
        <v>1</v>
      </c>
      <c r="S1104" s="165" t="n">
        <v>1</v>
      </c>
      <c r="T1104" s="165" t="n">
        <v>0</v>
      </c>
      <c r="U1104" s="166" t="n">
        <v>1</v>
      </c>
      <c r="V1104" s="166" t="n">
        <v>0</v>
      </c>
      <c r="W1104" t="inlineStr">
        <is>
          <t>X</t>
        </is>
      </c>
      <c r="X1104" t="inlineStr">
        <is>
          <t>0.00</t>
        </is>
      </c>
      <c r="Y1104" t="inlineStr"/>
      <c r="Z1104" t="inlineStr">
        <is>
          <t>INFORMATICA CALCULO Y TECNICA, S.A.</t>
        </is>
      </c>
      <c r="AA1104" t="inlineStr">
        <is>
          <t>NETGEAR</t>
        </is>
      </c>
      <c r="AB1104" t="inlineStr">
        <is>
          <t>GS116</t>
        </is>
      </c>
      <c r="AC1104" t="inlineStr"/>
      <c r="AD1104" s="164" t="n">
        <v>1</v>
      </c>
      <c r="AE1104" s="185" t="n">
        <v>1</v>
      </c>
      <c r="AG1104" s="167" t="inlineStr">
        <is>
          <t>7218|JA2578_1001</t>
        </is>
      </c>
      <c r="AH1104" s="47">
        <f>IF(M1104=0,"-",M1104-J1104)</f>
        <v/>
      </c>
      <c r="AI1104" s="46">
        <f>IF(AND(S1104=0,M1104&gt;0,L1104=0),IF(AH1104&gt;=120,"VERY HIGH",IF(AH1104&gt;=90,"HIGH",IF(AH1104&gt;=60,"MEDIUM",IF(AH1104&lt;60,"LOW")))),"-")</f>
        <v/>
      </c>
      <c r="AJ1104" s="12" t="n"/>
      <c r="AK1104" s="53">
        <f>IF(AND(W1104="X",M1104&lt;=$AJ$2),"YES","")</f>
        <v/>
      </c>
      <c r="AL1104" s="54">
        <f>IF(AND(W1104="X",M1104&lt;=$AJ$2),S1104,"")</f>
        <v/>
      </c>
      <c r="AM1104" s="35" t="n"/>
      <c r="AN1104" s="35">
        <f>IF(AND(W1104="X",M1104&gt;$AJ$2),S1104,"")</f>
        <v/>
      </c>
      <c r="AO1104" s="35">
        <f>IF(AND(W1104="",M1104&gt;0,$AJ$2&gt;M1104,L1104=""),1,0)</f>
        <v/>
      </c>
      <c r="AP1104" s="35">
        <f>IF(AND(AK1104="YES",W1104="X"),"X","")</f>
        <v/>
      </c>
      <c r="AQ1104" s="55">
        <f>IF(AP1104="X",100%,0%)</f>
        <v/>
      </c>
      <c r="AR1104" s="25">
        <f>IF(AND(T1104&gt;0,L1104=""),H1104,"")</f>
        <v/>
      </c>
      <c r="AS1104" s="25">
        <f>IF(AND(D1104&gt;0,H1104=0,G1104=""),1,"")</f>
        <v/>
      </c>
      <c r="AT1104" s="25">
        <f>IF(G1104="BLOQ",1,"")</f>
        <v/>
      </c>
      <c r="AU1104" s="25">
        <f>IF(L1104="BLOQ",1,"")</f>
        <v/>
      </c>
      <c r="AV1104" s="25">
        <f>MONTH(F1104)</f>
        <v/>
      </c>
      <c r="AW1104" s="65">
        <f>IF(AP1104="",100%,0%)</f>
        <v/>
      </c>
      <c r="AX1104" s="56" t="n"/>
      <c r="AY1104" s="24">
        <f>IF(M1104=0,"",M1104-$AX$2)</f>
        <v/>
      </c>
      <c r="AZ1104" s="66">
        <f>IF(AND(W1104="",AY1104&gt;0,AY1104&lt;15),1,0)</f>
        <v/>
      </c>
      <c r="BA1104" s="24">
        <f>IF(AND(W1104="",AY1104&gt;0,AY1104&lt;15),T1104,"")</f>
        <v/>
      </c>
      <c r="BB1104" s="87">
        <f>IF(R1104&lt;Q1104,"X","")</f>
        <v/>
      </c>
      <c r="BC1104" s="191" t="inlineStr">
        <is>
          <t>SI</t>
        </is>
      </c>
      <c r="BD1104" s="191" t="inlineStr">
        <is>
          <t>SI</t>
        </is>
      </c>
    </row>
    <row r="1105" ht="15" customHeight="1" s="162">
      <c r="A1105" s="7" t="n">
        <v>1104</v>
      </c>
      <c r="B1105" t="inlineStr">
        <is>
          <t>1587080790400</t>
        </is>
      </c>
      <c r="C1105" t="inlineStr">
        <is>
          <t>ETIQUETA ADH 35X18MM PE BL BMP71</t>
        </is>
      </c>
      <c r="D1105" t="inlineStr">
        <is>
          <t>1800108998</t>
        </is>
      </c>
      <c r="E1105" t="inlineStr">
        <is>
          <t>10</t>
        </is>
      </c>
      <c r="F1105" s="163" t="n">
        <v>45463</v>
      </c>
      <c r="G1105" t="inlineStr"/>
      <c r="H1105" t="inlineStr">
        <is>
          <t>4200569417</t>
        </is>
      </c>
      <c r="I1105" t="inlineStr">
        <is>
          <t>40</t>
        </is>
      </c>
      <c r="J1105" s="163" t="n">
        <v>45477</v>
      </c>
      <c r="K1105" s="163" t="n">
        <v>45484</v>
      </c>
      <c r="L1105" t="inlineStr"/>
      <c r="M1105" s="163" t="n">
        <v>45488</v>
      </c>
      <c r="N1105" s="164" t="n">
        <v>40</v>
      </c>
      <c r="O1105" s="164" t="n">
        <v>8</v>
      </c>
      <c r="P1105" t="inlineStr">
        <is>
          <t>Liberado</t>
        </is>
      </c>
      <c r="Q1105" s="165" t="n">
        <v>4</v>
      </c>
      <c r="R1105" s="165" t="n">
        <v>4</v>
      </c>
      <c r="S1105" s="165" t="n">
        <v>4</v>
      </c>
      <c r="T1105" s="165" t="n">
        <v>0</v>
      </c>
      <c r="U1105" s="166" t="n">
        <v>4</v>
      </c>
      <c r="V1105" s="166" t="n">
        <v>0</v>
      </c>
      <c r="W1105" t="inlineStr">
        <is>
          <t>X</t>
        </is>
      </c>
      <c r="X1105" t="inlineStr">
        <is>
          <t>0.00</t>
        </is>
      </c>
      <c r="Y1105" t="inlineStr"/>
      <c r="Z1105" t="inlineStr">
        <is>
          <t>MARKABLE SOLUTIONS, S.L.</t>
        </is>
      </c>
      <c r="AA1105" t="inlineStr">
        <is>
          <t>BRADY</t>
        </is>
      </c>
      <c r="AB1105" t="inlineStr">
        <is>
          <t>M71EP-7-7593-SL</t>
        </is>
      </c>
      <c r="AC1105" t="inlineStr"/>
      <c r="AD1105" s="164" t="n">
        <v>0</v>
      </c>
      <c r="AE1105" s="185" t="n">
        <v>0</v>
      </c>
      <c r="AG1105" s="167" t="inlineStr">
        <is>
          <t>7218|JA2581_1001</t>
        </is>
      </c>
      <c r="AH1105" s="47">
        <f>IF(M1105=0,"-",M1105-J1105)</f>
        <v/>
      </c>
      <c r="AI1105" s="46">
        <f>IF(AND(S1105=0,M1105&gt;0,L1105=0),IF(AH1105&gt;=120,"VERY HIGH",IF(AH1105&gt;=90,"HIGH",IF(AH1105&gt;=60,"MEDIUM",IF(AH1105&lt;60,"LOW")))),"-")</f>
        <v/>
      </c>
      <c r="AJ1105" s="12" t="n"/>
      <c r="AK1105" s="53">
        <f>IF(AND(W1105="X",M1105&lt;=$AJ$2),"YES","")</f>
        <v/>
      </c>
      <c r="AL1105" s="54">
        <f>IF(AND(W1105="X",M1105&lt;=$AJ$2),S1105,"")</f>
        <v/>
      </c>
      <c r="AM1105" s="35" t="n"/>
      <c r="AN1105" s="35">
        <f>IF(AND(W1105="X",M1105&gt;$AJ$2),S1105,"")</f>
        <v/>
      </c>
      <c r="AO1105" s="35">
        <f>IF(AND(W1105="",M1105&gt;0,$AJ$2&gt;M1105,L1105=""),1,0)</f>
        <v/>
      </c>
      <c r="AP1105" s="35">
        <f>IF(AND(AK1105="YES",W1105="X"),"X","")</f>
        <v/>
      </c>
      <c r="AQ1105" s="55">
        <f>IF(AP1105="X",100%,0%)</f>
        <v/>
      </c>
      <c r="AR1105" s="25">
        <f>IF(AND(T1105&gt;0,L1105=""),H1105,"")</f>
        <v/>
      </c>
      <c r="AS1105" s="25">
        <f>IF(AND(D1105&gt;0,H1105=0,G1105=""),1,"")</f>
        <v/>
      </c>
      <c r="AT1105" s="25">
        <f>IF(G1105="BLOQ",1,"")</f>
        <v/>
      </c>
      <c r="AU1105" s="25">
        <f>IF(L1105="BLOQ",1,"")</f>
        <v/>
      </c>
      <c r="AV1105" s="25">
        <f>MONTH(F1105)</f>
        <v/>
      </c>
      <c r="AW1105" s="65">
        <f>IF(AP1105="",100%,0%)</f>
        <v/>
      </c>
      <c r="AX1105" s="56" t="n"/>
      <c r="AY1105" s="24">
        <f>IF(M1105=0,"",M1105-$AX$2)</f>
        <v/>
      </c>
      <c r="AZ1105" s="66">
        <f>IF(AND(W1105="",AY1105&gt;0,AY1105&lt;15),1,0)</f>
        <v/>
      </c>
      <c r="BA1105" s="24">
        <f>IF(AND(W1105="",AY1105&gt;0,AY1105&lt;15),T1105,"")</f>
        <v/>
      </c>
      <c r="BB1105" s="87">
        <f>IF(R1105&lt;Q1105,"X","")</f>
        <v/>
      </c>
      <c r="BC1105" s="190" t="inlineStr">
        <is>
          <t>NO</t>
        </is>
      </c>
      <c r="BD1105" s="191" t="inlineStr">
        <is>
          <t>SI</t>
        </is>
      </c>
    </row>
    <row r="1106" ht="15" customHeight="1" s="162">
      <c r="A1106" s="7" t="n">
        <v>1105</v>
      </c>
      <c r="B1106" t="inlineStr">
        <is>
          <t>1587080790700</t>
        </is>
      </c>
      <c r="C1106" t="inlineStr">
        <is>
          <t>ETIQ ADH 27X12,5MM PLATA PE TRASNF TERMI</t>
        </is>
      </c>
      <c r="D1106" t="inlineStr">
        <is>
          <t>1800108998</t>
        </is>
      </c>
      <c r="E1106" t="inlineStr">
        <is>
          <t>20</t>
        </is>
      </c>
      <c r="F1106" s="163" t="n">
        <v>45463</v>
      </c>
      <c r="G1106" t="inlineStr"/>
      <c r="H1106" t="inlineStr">
        <is>
          <t>4200569417</t>
        </is>
      </c>
      <c r="I1106" t="inlineStr">
        <is>
          <t>50</t>
        </is>
      </c>
      <c r="J1106" s="163" t="n">
        <v>45477</v>
      </c>
      <c r="K1106" s="163" t="n">
        <v>45484</v>
      </c>
      <c r="L1106" t="inlineStr"/>
      <c r="M1106" s="163" t="n">
        <v>45488</v>
      </c>
      <c r="N1106" s="164" t="n">
        <v>40</v>
      </c>
      <c r="O1106" s="164" t="n">
        <v>8</v>
      </c>
      <c r="P1106" t="inlineStr">
        <is>
          <t>Liberado</t>
        </is>
      </c>
      <c r="Q1106" s="165" t="n">
        <v>8</v>
      </c>
      <c r="R1106" s="165" t="n">
        <v>8</v>
      </c>
      <c r="S1106" s="165" t="n">
        <v>8</v>
      </c>
      <c r="T1106" s="165" t="n">
        <v>0</v>
      </c>
      <c r="U1106" s="166" t="n">
        <v>8</v>
      </c>
      <c r="V1106" s="166" t="n">
        <v>0</v>
      </c>
      <c r="W1106" t="inlineStr">
        <is>
          <t>X</t>
        </is>
      </c>
      <c r="X1106" t="inlineStr">
        <is>
          <t>0.00</t>
        </is>
      </c>
      <c r="Y1106" t="inlineStr"/>
      <c r="Z1106" t="inlineStr">
        <is>
          <t>MARKABLE SOLUTIONS, S.L.</t>
        </is>
      </c>
      <c r="AA1106" t="inlineStr">
        <is>
          <t>BRADY</t>
        </is>
      </c>
      <c r="AB1106" t="inlineStr">
        <is>
          <t>M71EP-2-7593-SL</t>
        </is>
      </c>
      <c r="AC1106" t="inlineStr"/>
      <c r="AD1106" s="164" t="n">
        <v>0</v>
      </c>
      <c r="AE1106" s="185" t="n">
        <v>0</v>
      </c>
      <c r="AG1106" s="167" t="inlineStr">
        <is>
          <t>7218|JA2581_1001</t>
        </is>
      </c>
      <c r="AH1106" s="47">
        <f>IF(M1106=0,"-",M1106-J1106)</f>
        <v/>
      </c>
      <c r="AI1106" s="46">
        <f>IF(AND(S1106=0,M1106&gt;0,L1106=0),IF(AH1106&gt;=120,"VERY HIGH",IF(AH1106&gt;=90,"HIGH",IF(AH1106&gt;=60,"MEDIUM",IF(AH1106&lt;60,"LOW")))),"-")</f>
        <v/>
      </c>
      <c r="AJ1106" s="12" t="n"/>
      <c r="AK1106" s="53">
        <f>IF(AND(W1106="X",M1106&lt;=$AJ$2),"YES","")</f>
        <v/>
      </c>
      <c r="AL1106" s="54">
        <f>IF(AND(W1106="X",M1106&lt;=$AJ$2),S1106,"")</f>
        <v/>
      </c>
      <c r="AM1106" s="35" t="n"/>
      <c r="AN1106" s="35">
        <f>IF(AND(W1106="X",M1106&gt;$AJ$2),S1106,"")</f>
        <v/>
      </c>
      <c r="AO1106" s="35">
        <f>IF(AND(W1106="",M1106&gt;0,$AJ$2&gt;M1106,L1106=""),1,0)</f>
        <v/>
      </c>
      <c r="AP1106" s="35">
        <f>IF(AND(AK1106="YES",W1106="X"),"X","")</f>
        <v/>
      </c>
      <c r="AQ1106" s="55">
        <f>IF(AP1106="X",100%,0%)</f>
        <v/>
      </c>
      <c r="AR1106" s="25">
        <f>IF(AND(T1106&gt;0,L1106=""),H1106,"")</f>
        <v/>
      </c>
      <c r="AS1106" s="25">
        <f>IF(AND(D1106&gt;0,H1106=0,G1106=""),1,"")</f>
        <v/>
      </c>
      <c r="AT1106" s="25">
        <f>IF(G1106="BLOQ",1,"")</f>
        <v/>
      </c>
      <c r="AU1106" s="25">
        <f>IF(L1106="BLOQ",1,"")</f>
        <v/>
      </c>
      <c r="AV1106" s="25">
        <f>MONTH(F1106)</f>
        <v/>
      </c>
      <c r="AW1106" s="65">
        <f>IF(AP1106="",100%,0%)</f>
        <v/>
      </c>
      <c r="AX1106" s="56" t="n"/>
      <c r="AY1106" s="24">
        <f>IF(M1106=0,"",M1106-$AX$2)</f>
        <v/>
      </c>
      <c r="AZ1106" s="66">
        <f>IF(AND(W1106="",AY1106&gt;0,AY1106&lt;15),1,0)</f>
        <v/>
      </c>
      <c r="BA1106" s="24">
        <f>IF(AND(W1106="",AY1106&gt;0,AY1106&lt;15),T1106,"")</f>
        <v/>
      </c>
      <c r="BB1106" s="87">
        <f>IF(R1106&lt;Q1106,"X","")</f>
        <v/>
      </c>
      <c r="BC1106" s="190" t="inlineStr">
        <is>
          <t>NO</t>
        </is>
      </c>
      <c r="BD1106" s="191" t="inlineStr">
        <is>
          <t>SI</t>
        </is>
      </c>
    </row>
    <row r="1107" ht="15" customHeight="1" s="162">
      <c r="A1107" s="7" t="n">
        <v>1106</v>
      </c>
      <c r="B1107" t="inlineStr">
        <is>
          <t>1587090070000</t>
        </is>
      </c>
      <c r="C1107" t="inlineStr">
        <is>
          <t>ETIQUETA ADH POLIESTER AMARILLA CIL 9300</t>
        </is>
      </c>
      <c r="D1107" t="inlineStr">
        <is>
          <t>1800108998</t>
        </is>
      </c>
      <c r="E1107" t="inlineStr">
        <is>
          <t>30</t>
        </is>
      </c>
      <c r="F1107" s="163" t="n">
        <v>45463</v>
      </c>
      <c r="G1107" t="inlineStr"/>
      <c r="H1107" t="inlineStr">
        <is>
          <t>4200569417</t>
        </is>
      </c>
      <c r="I1107" t="inlineStr">
        <is>
          <t>100</t>
        </is>
      </c>
      <c r="J1107" s="163" t="n">
        <v>45477</v>
      </c>
      <c r="K1107" s="163" t="n">
        <v>45484</v>
      </c>
      <c r="L1107" t="inlineStr"/>
      <c r="M1107" s="163" t="n">
        <v>45488</v>
      </c>
      <c r="N1107" s="164" t="n">
        <v>35</v>
      </c>
      <c r="O1107" s="164" t="n">
        <v>8</v>
      </c>
      <c r="P1107" t="inlineStr">
        <is>
          <t>Liberado</t>
        </is>
      </c>
      <c r="Q1107" s="165" t="n">
        <v>10</v>
      </c>
      <c r="R1107" s="165" t="n">
        <v>10</v>
      </c>
      <c r="S1107" s="165" t="n">
        <v>20</v>
      </c>
      <c r="T1107" s="165" t="n">
        <v>0</v>
      </c>
      <c r="U1107" s="166" t="n">
        <v>10</v>
      </c>
      <c r="V1107" s="166" t="n">
        <v>10</v>
      </c>
      <c r="W1107" t="inlineStr">
        <is>
          <t>X</t>
        </is>
      </c>
      <c r="X1107" t="inlineStr">
        <is>
          <t>0.00</t>
        </is>
      </c>
      <c r="Y1107" t="inlineStr"/>
      <c r="Z1107" t="inlineStr">
        <is>
          <t>MARKABLE SOLUTIONS, S.L.</t>
        </is>
      </c>
      <c r="AA1107" t="inlineStr">
        <is>
          <t>CILS</t>
        </is>
      </c>
      <c r="AB1107" t="inlineStr">
        <is>
          <t>44-LA1786</t>
        </is>
      </c>
      <c r="AC1107" t="inlineStr"/>
      <c r="AD1107" s="164" t="n">
        <v>0</v>
      </c>
      <c r="AE1107" s="185" t="n">
        <v>0</v>
      </c>
      <c r="AG1107" s="167" t="inlineStr">
        <is>
          <t>7218|JA2581_1001</t>
        </is>
      </c>
      <c r="AH1107" s="47">
        <f>IF(M1107=0,"-",M1107-J1107)</f>
        <v/>
      </c>
      <c r="AI1107" s="46">
        <f>IF(AND(S1107=0,M1107&gt;0,L1107=0),IF(AH1107&gt;=120,"VERY HIGH",IF(AH1107&gt;=90,"HIGH",IF(AH1107&gt;=60,"MEDIUM",IF(AH1107&lt;60,"LOW")))),"-")</f>
        <v/>
      </c>
      <c r="AJ1107" s="12" t="n"/>
      <c r="AK1107" s="53">
        <f>IF(AND(W1107="X",M1107&lt;=$AJ$2),"YES","")</f>
        <v/>
      </c>
      <c r="AL1107" s="54">
        <f>IF(AND(W1107="X",M1107&lt;=$AJ$2),S1107,"")</f>
        <v/>
      </c>
      <c r="AM1107" s="35" t="n"/>
      <c r="AN1107" s="35">
        <f>IF(AND(W1107="X",M1107&gt;$AJ$2),S1107,"")</f>
        <v/>
      </c>
      <c r="AO1107" s="35">
        <f>IF(AND(W1107="",M1107&gt;0,$AJ$2&gt;M1107,L1107=""),1,0)</f>
        <v/>
      </c>
      <c r="AP1107" s="35">
        <f>IF(AND(AK1107="YES",W1107="X"),"X","")</f>
        <v/>
      </c>
      <c r="AQ1107" s="55">
        <f>IF(AP1107="X",100%,0%)</f>
        <v/>
      </c>
      <c r="AR1107" s="25">
        <f>IF(AND(T1107&gt;0,L1107=""),H1107,"")</f>
        <v/>
      </c>
      <c r="AS1107" s="25">
        <f>IF(AND(D1107&gt;0,H1107=0,G1107=""),1,"")</f>
        <v/>
      </c>
      <c r="AT1107" s="25">
        <f>IF(G1107="BLOQ",1,"")</f>
        <v/>
      </c>
      <c r="AU1107" s="25">
        <f>IF(L1107="BLOQ",1,"")</f>
        <v/>
      </c>
      <c r="AV1107" s="25">
        <f>MONTH(F1107)</f>
        <v/>
      </c>
      <c r="AW1107" s="65">
        <f>IF(AP1107="",100%,0%)</f>
        <v/>
      </c>
      <c r="AX1107" s="56" t="n"/>
      <c r="AY1107" s="24">
        <f>IF(M1107=0,"",M1107-$AX$2)</f>
        <v/>
      </c>
      <c r="AZ1107" s="66">
        <f>IF(AND(W1107="",AY1107&gt;0,AY1107&lt;15),1,0)</f>
        <v/>
      </c>
      <c r="BA1107" s="24">
        <f>IF(AND(W1107="",AY1107&gt;0,AY1107&lt;15),T1107,"")</f>
        <v/>
      </c>
      <c r="BB1107" s="87">
        <f>IF(R1107&lt;Q1107,"X","")</f>
        <v/>
      </c>
      <c r="BC1107" s="190" t="inlineStr">
        <is>
          <t>NO</t>
        </is>
      </c>
      <c r="BD1107" s="191" t="inlineStr">
        <is>
          <t>SI</t>
        </is>
      </c>
    </row>
    <row r="1108" ht="15" customHeight="1" s="162">
      <c r="A1108" s="7" t="n">
        <v>1107</v>
      </c>
      <c r="B1108" t="inlineStr">
        <is>
          <t>1587090080000</t>
        </is>
      </c>
      <c r="C1108" t="inlineStr">
        <is>
          <t>ETIQUETA ADH POLIESTER METALIZAD CIL9200</t>
        </is>
      </c>
      <c r="D1108" t="inlineStr">
        <is>
          <t>1800108998</t>
        </is>
      </c>
      <c r="E1108" t="inlineStr">
        <is>
          <t>40</t>
        </is>
      </c>
      <c r="F1108" s="163" t="n">
        <v>45463</v>
      </c>
      <c r="G1108" t="inlineStr"/>
      <c r="H1108" t="inlineStr">
        <is>
          <t>4200569417</t>
        </is>
      </c>
      <c r="I1108" t="inlineStr">
        <is>
          <t>110</t>
        </is>
      </c>
      <c r="J1108" s="163" t="n">
        <v>45477</v>
      </c>
      <c r="K1108" s="163" t="n">
        <v>45484</v>
      </c>
      <c r="L1108" t="inlineStr"/>
      <c r="M1108" s="163" t="n">
        <v>45488</v>
      </c>
      <c r="N1108" s="164" t="n">
        <v>42</v>
      </c>
      <c r="O1108" s="164" t="n">
        <v>8</v>
      </c>
      <c r="P1108" t="inlineStr">
        <is>
          <t>Liberado</t>
        </is>
      </c>
      <c r="Q1108" s="165" t="n">
        <v>50</v>
      </c>
      <c r="R1108" s="165" t="n">
        <v>50</v>
      </c>
      <c r="S1108" s="165" t="n">
        <v>100</v>
      </c>
      <c r="T1108" s="165" t="n">
        <v>0</v>
      </c>
      <c r="U1108" s="166" t="n">
        <v>50</v>
      </c>
      <c r="V1108" s="166" t="n">
        <v>50</v>
      </c>
      <c r="W1108" t="inlineStr">
        <is>
          <t>X</t>
        </is>
      </c>
      <c r="X1108" t="inlineStr">
        <is>
          <t>0.00</t>
        </is>
      </c>
      <c r="Y1108" t="inlineStr"/>
      <c r="Z1108" t="inlineStr">
        <is>
          <t>MARKABLE SOLUTIONS, S.L.</t>
        </is>
      </c>
      <c r="AA1108" t="inlineStr">
        <is>
          <t>CILS</t>
        </is>
      </c>
      <c r="AB1108" t="inlineStr">
        <is>
          <t>44-LA1416</t>
        </is>
      </c>
      <c r="AC1108" t="inlineStr"/>
      <c r="AD1108" s="164" t="n">
        <v>0</v>
      </c>
      <c r="AE1108" s="185" t="n">
        <v>0</v>
      </c>
      <c r="AG1108" s="167" t="inlineStr">
        <is>
          <t>7218|JA2581_1001</t>
        </is>
      </c>
      <c r="AH1108" s="47">
        <f>IF(M1108=0,"-",M1108-J1108)</f>
        <v/>
      </c>
      <c r="AI1108" s="46">
        <f>IF(AND(S1108=0,M1108&gt;0,L1108=0),IF(AH1108&gt;=120,"VERY HIGH",IF(AH1108&gt;=90,"HIGH",IF(AH1108&gt;=60,"MEDIUM",IF(AH1108&lt;60,"LOW")))),"-")</f>
        <v/>
      </c>
      <c r="AJ1108" s="12" t="n"/>
      <c r="AK1108" s="53">
        <f>IF(AND(W1108="X",M1108&lt;=$AJ$2),"YES","")</f>
        <v/>
      </c>
      <c r="AL1108" s="54">
        <f>IF(AND(W1108="X",M1108&lt;=$AJ$2),S1108,"")</f>
        <v/>
      </c>
      <c r="AM1108" s="35" t="n"/>
      <c r="AN1108" s="35">
        <f>IF(AND(W1108="X",M1108&gt;$AJ$2),S1108,"")</f>
        <v/>
      </c>
      <c r="AO1108" s="35">
        <f>IF(AND(W1108="",M1108&gt;0,$AJ$2&gt;M1108,L1108=""),1,0)</f>
        <v/>
      </c>
      <c r="AP1108" s="35">
        <f>IF(AND(AK1108="YES",W1108="X"),"X","")</f>
        <v/>
      </c>
      <c r="AQ1108" s="55">
        <f>IF(AP1108="X",100%,0%)</f>
        <v/>
      </c>
      <c r="AR1108" s="25">
        <f>IF(AND(T1108&gt;0,L1108=""),H1108,"")</f>
        <v/>
      </c>
      <c r="AS1108" s="25">
        <f>IF(AND(D1108&gt;0,H1108=0,G1108=""),1,"")</f>
        <v/>
      </c>
      <c r="AT1108" s="25">
        <f>IF(G1108="BLOQ",1,"")</f>
        <v/>
      </c>
      <c r="AU1108" s="25">
        <f>IF(L1108="BLOQ",1,"")</f>
        <v/>
      </c>
      <c r="AV1108" s="25">
        <f>MONTH(F1108)</f>
        <v/>
      </c>
      <c r="AW1108" s="65">
        <f>IF(AP1108="",100%,0%)</f>
        <v/>
      </c>
      <c r="AX1108" s="56" t="n"/>
      <c r="AY1108" s="24">
        <f>IF(M1108=0,"",M1108-$AX$2)</f>
        <v/>
      </c>
      <c r="AZ1108" s="66">
        <f>IF(AND(W1108="",AY1108&gt;0,AY1108&lt;15),1,0)</f>
        <v/>
      </c>
      <c r="BA1108" s="24">
        <f>IF(AND(W1108="",AY1108&gt;0,AY1108&lt;15),T1108,"")</f>
        <v/>
      </c>
      <c r="BB1108" s="87">
        <f>IF(R1108&lt;Q1108,"X","")</f>
        <v/>
      </c>
      <c r="BC1108" s="190" t="inlineStr">
        <is>
          <t>NO</t>
        </is>
      </c>
      <c r="BD1108" s="191" t="inlineStr">
        <is>
          <t>SI</t>
        </is>
      </c>
    </row>
    <row r="1109" ht="15" customHeight="1" s="162">
      <c r="A1109" s="7" t="n">
        <v>1108</v>
      </c>
      <c r="B1109" t="inlineStr">
        <is>
          <t>1130622410200</t>
        </is>
      </c>
      <c r="C1109" t="inlineStr">
        <is>
          <t>MOD RELE SPDT 24VDC 9MA RIF-0-RPT ROHS</t>
        </is>
      </c>
      <c r="D1109" t="inlineStr">
        <is>
          <t>1800109000</t>
        </is>
      </c>
      <c r="E1109" t="inlineStr">
        <is>
          <t>10</t>
        </is>
      </c>
      <c r="F1109" s="163" t="n">
        <v>45463</v>
      </c>
      <c r="G1109" t="inlineStr"/>
      <c r="H1109" t="inlineStr">
        <is>
          <t>4200569375</t>
        </is>
      </c>
      <c r="I1109" t="inlineStr">
        <is>
          <t>20</t>
        </is>
      </c>
      <c r="J1109" s="163" t="n">
        <v>45477</v>
      </c>
      <c r="K1109" s="163" t="n">
        <v>45477</v>
      </c>
      <c r="L1109" t="inlineStr"/>
      <c r="M1109" s="163" t="n">
        <v>45520</v>
      </c>
      <c r="N1109" s="164" t="n">
        <v>40</v>
      </c>
      <c r="O1109" s="164" t="n">
        <v>8</v>
      </c>
      <c r="P1109" t="inlineStr">
        <is>
          <t>Liberado</t>
        </is>
      </c>
      <c r="Q1109" s="165" t="n">
        <v>2</v>
      </c>
      <c r="R1109" s="165" t="n">
        <v>2</v>
      </c>
      <c r="S1109" s="165" t="n">
        <v>2</v>
      </c>
      <c r="T1109" s="165" t="n">
        <v>0</v>
      </c>
      <c r="U1109" s="166" t="n">
        <v>2</v>
      </c>
      <c r="V1109" s="166" t="n">
        <v>0</v>
      </c>
      <c r="W1109" t="inlineStr">
        <is>
          <t>X</t>
        </is>
      </c>
      <c r="X1109" t="inlineStr">
        <is>
          <t>0.00</t>
        </is>
      </c>
      <c r="Y1109" t="inlineStr"/>
      <c r="Z1109" t="inlineStr">
        <is>
          <t>MOUSER ELECTRONICS, INC.</t>
        </is>
      </c>
      <c r="AA1109" t="inlineStr">
        <is>
          <t>PHOENIX CONTACT</t>
        </is>
      </c>
      <c r="AB1109" t="inlineStr">
        <is>
          <t>2903359</t>
        </is>
      </c>
      <c r="AC1109" t="inlineStr"/>
      <c r="AD1109" s="164" t="n">
        <v>0</v>
      </c>
      <c r="AE1109" s="185" t="n">
        <v>0</v>
      </c>
      <c r="AG1109" s="167" t="inlineStr">
        <is>
          <t>7218|JA2578_1001</t>
        </is>
      </c>
      <c r="AH1109" s="47">
        <f>IF(M1109=0,"-",M1109-J1109)</f>
        <v/>
      </c>
      <c r="AI1109" s="46">
        <f>IF(AND(S1109=0,M1109&gt;0,L1109=0),IF(AH1109&gt;=120,"VERY HIGH",IF(AH1109&gt;=90,"HIGH",IF(AH1109&gt;=60,"MEDIUM",IF(AH1109&lt;60,"LOW")))),"-")</f>
        <v/>
      </c>
      <c r="AJ1109" s="12" t="n"/>
      <c r="AK1109" s="53">
        <f>IF(AND(W1109="X",M1109&lt;=$AJ$2),"YES","")</f>
        <v/>
      </c>
      <c r="AL1109" s="54">
        <f>IF(AND(W1109="X",M1109&lt;=$AJ$2),S1109,"")</f>
        <v/>
      </c>
      <c r="AM1109" s="35" t="n"/>
      <c r="AN1109" s="35">
        <f>IF(AND(W1109="X",M1109&gt;$AJ$2),S1109,"")</f>
        <v/>
      </c>
      <c r="AO1109" s="35">
        <f>IF(AND(W1109="",M1109&gt;0,$AJ$2&gt;M1109,L1109=""),1,0)</f>
        <v/>
      </c>
      <c r="AP1109" s="35">
        <f>IF(AND(AK1109="YES",W1109="X"),"X","")</f>
        <v/>
      </c>
      <c r="AQ1109" s="55">
        <f>IF(AP1109="X",100%,0%)</f>
        <v/>
      </c>
      <c r="AR1109" s="25">
        <f>IF(AND(T1109&gt;0,L1109=""),H1109,"")</f>
        <v/>
      </c>
      <c r="AS1109" s="25">
        <f>IF(AND(D1109&gt;0,H1109=0,G1109=""),1,"")</f>
        <v/>
      </c>
      <c r="AT1109" s="25">
        <f>IF(G1109="BLOQ",1,"")</f>
        <v/>
      </c>
      <c r="AU1109" s="25">
        <f>IF(L1109="BLOQ",1,"")</f>
        <v/>
      </c>
      <c r="AV1109" s="25">
        <f>MONTH(F1109)</f>
        <v/>
      </c>
      <c r="AW1109" s="65">
        <f>IF(AP1109="",100%,0%)</f>
        <v/>
      </c>
      <c r="AX1109" s="56" t="n"/>
      <c r="AY1109" s="24">
        <f>IF(M1109=0,"",M1109-$AX$2)</f>
        <v/>
      </c>
      <c r="AZ1109" s="66">
        <f>IF(AND(W1109="",AY1109&gt;0,AY1109&lt;15),1,0)</f>
        <v/>
      </c>
      <c r="BA1109" s="24">
        <f>IF(AND(W1109="",AY1109&gt;0,AY1109&lt;15),T1109,"")</f>
        <v/>
      </c>
      <c r="BB1109" s="87">
        <f>IF(R1109&lt;Q1109,"X","")</f>
        <v/>
      </c>
      <c r="BC1109" s="190" t="inlineStr">
        <is>
          <t>NO</t>
        </is>
      </c>
      <c r="BD1109" s="191" t="inlineStr">
        <is>
          <t>SI</t>
        </is>
      </c>
    </row>
    <row r="1110" ht="15" customHeight="1" s="162">
      <c r="A1110" s="7" t="n">
        <v>1109</v>
      </c>
      <c r="B1110" t="inlineStr">
        <is>
          <t>1204300420400</t>
        </is>
      </c>
      <c r="C1110" t="inlineStr">
        <is>
          <t>CNC CIR M12/4M RECEPT RECT TOR POLIAMADA</t>
        </is>
      </c>
      <c r="D1110" t="inlineStr">
        <is>
          <t>1800109000</t>
        </is>
      </c>
      <c r="E1110" t="inlineStr">
        <is>
          <t>20</t>
        </is>
      </c>
      <c r="F1110" s="163" t="n">
        <v>45463</v>
      </c>
      <c r="G1110" t="inlineStr"/>
      <c r="H1110" t="inlineStr">
        <is>
          <t>4200575495</t>
        </is>
      </c>
      <c r="I1110" t="inlineStr">
        <is>
          <t>400</t>
        </is>
      </c>
      <c r="J1110" s="163" t="n">
        <v>45532</v>
      </c>
      <c r="K1110" s="163" t="n">
        <v>45562</v>
      </c>
      <c r="L1110" t="inlineStr"/>
      <c r="M1110" s="163" t="n">
        <v>45546</v>
      </c>
      <c r="N1110" s="164" t="n">
        <v>40</v>
      </c>
      <c r="O1110" s="164" t="n">
        <v>8</v>
      </c>
      <c r="P1110" t="inlineStr">
        <is>
          <t>Liberado</t>
        </is>
      </c>
      <c r="Q1110" s="165" t="n">
        <v>1</v>
      </c>
      <c r="R1110" s="165" t="n">
        <v>1</v>
      </c>
      <c r="S1110" s="165" t="n">
        <v>1</v>
      </c>
      <c r="T1110" s="165" t="n">
        <v>0</v>
      </c>
      <c r="U1110" s="166" t="n">
        <v>1</v>
      </c>
      <c r="V1110" s="166" t="n">
        <v>0</v>
      </c>
      <c r="W1110" t="inlineStr">
        <is>
          <t>X</t>
        </is>
      </c>
      <c r="X1110" t="inlineStr">
        <is>
          <t>0.00</t>
        </is>
      </c>
      <c r="Y1110" t="inlineStr"/>
      <c r="Z1110" t="inlineStr">
        <is>
          <t>SUMINISTROS CONECTORES PROF.,SA.</t>
        </is>
      </c>
      <c r="AA1110" t="inlineStr">
        <is>
          <t>TE CONNECTIVITY</t>
        </is>
      </c>
      <c r="AB1110" t="inlineStr">
        <is>
          <t>T4111002041-000</t>
        </is>
      </c>
      <c r="AC1110" t="inlineStr"/>
      <c r="AD1110" s="164" t="n">
        <v>0</v>
      </c>
      <c r="AE1110" s="185" t="n">
        <v>0</v>
      </c>
      <c r="AG1110" s="167" t="inlineStr">
        <is>
          <t>7218|JA2578_1001</t>
        </is>
      </c>
      <c r="AH1110" s="47">
        <f>IF(M1110=0,"-",M1110-J1110)</f>
        <v/>
      </c>
      <c r="AI1110" s="46">
        <f>IF(AND(S1110=0,M1110&gt;0,L1110=0),IF(AH1110&gt;=120,"VERY HIGH",IF(AH1110&gt;=90,"HIGH",IF(AH1110&gt;=60,"MEDIUM",IF(AH1110&lt;60,"LOW")))),"-")</f>
        <v/>
      </c>
      <c r="AJ1110" s="12" t="n"/>
      <c r="AK1110" s="53">
        <f>IF(AND(W1110="X",M1110&lt;=$AJ$2),"YES","")</f>
        <v/>
      </c>
      <c r="AL1110" s="54">
        <f>IF(AND(W1110="X",M1110&lt;=$AJ$2),S1110,"")</f>
        <v/>
      </c>
      <c r="AM1110" s="35" t="n"/>
      <c r="AN1110" s="35">
        <f>IF(AND(W1110="X",M1110&gt;$AJ$2),S1110,"")</f>
        <v/>
      </c>
      <c r="AO1110" s="35">
        <f>IF(AND(W1110="",M1110&gt;0,$AJ$2&gt;M1110,L1110=""),1,0)</f>
        <v/>
      </c>
      <c r="AP1110" s="35">
        <f>IF(AND(AK1110="YES",W1110="X"),"X","")</f>
        <v/>
      </c>
      <c r="AQ1110" s="55">
        <f>IF(AP1110="X",100%,0%)</f>
        <v/>
      </c>
      <c r="AR1110" s="25">
        <f>IF(AND(T1110&gt;0,L1110=""),H1110,"")</f>
        <v/>
      </c>
      <c r="AS1110" s="25">
        <f>IF(AND(D1110&gt;0,H1110=0,G1110=""),1,"")</f>
        <v/>
      </c>
      <c r="AT1110" s="25">
        <f>IF(G1110="BLOQ",1,"")</f>
        <v/>
      </c>
      <c r="AU1110" s="25">
        <f>IF(L1110="BLOQ",1,"")</f>
        <v/>
      </c>
      <c r="AV1110" s="25">
        <f>MONTH(F1110)</f>
        <v/>
      </c>
      <c r="AW1110" s="65">
        <f>IF(AP1110="",100%,0%)</f>
        <v/>
      </c>
      <c r="AX1110" s="56" t="n"/>
      <c r="AY1110" s="24">
        <f>IF(M1110=0,"",M1110-$AX$2)</f>
        <v/>
      </c>
      <c r="AZ1110" s="66">
        <f>IF(AND(W1110="",AY1110&gt;0,AY1110&lt;15),1,0)</f>
        <v/>
      </c>
      <c r="BA1110" s="24">
        <f>IF(AND(W1110="",AY1110&gt;0,AY1110&lt;15),T1110,"")</f>
        <v/>
      </c>
      <c r="BB1110" s="87">
        <f>IF(R1110&lt;Q1110,"X","")</f>
        <v/>
      </c>
      <c r="BC1110" s="190" t="inlineStr">
        <is>
          <t>NO</t>
        </is>
      </c>
      <c r="BD1110" s="191" t="inlineStr">
        <is>
          <t>SI</t>
        </is>
      </c>
    </row>
    <row r="1111" ht="15" customHeight="1" s="162">
      <c r="A1111" s="7" t="n">
        <v>1110</v>
      </c>
      <c r="B1111" t="inlineStr">
        <is>
          <t>1208000381500</t>
        </is>
      </c>
      <c r="C1111" t="inlineStr">
        <is>
          <t>CNC ALIMEN IEC C14 3M 250VAC 4.8MM PANEL</t>
        </is>
      </c>
      <c r="D1111" t="inlineStr">
        <is>
          <t>1800109000</t>
        </is>
      </c>
      <c r="E1111" t="inlineStr">
        <is>
          <t>30</t>
        </is>
      </c>
      <c r="F1111" s="163" t="n">
        <v>45463</v>
      </c>
      <c r="G1111" t="inlineStr"/>
      <c r="H1111" t="inlineStr">
        <is>
          <t>4200573125</t>
        </is>
      </c>
      <c r="I1111" t="inlineStr">
        <is>
          <t>160</t>
        </is>
      </c>
      <c r="J1111" s="163" t="n">
        <v>45505</v>
      </c>
      <c r="K1111" s="163" t="n">
        <v>45638</v>
      </c>
      <c r="L1111" t="inlineStr"/>
      <c r="M1111" s="163" t="n">
        <v>45523</v>
      </c>
      <c r="N1111" s="164" t="n">
        <v>90</v>
      </c>
      <c r="O1111" s="164" t="n">
        <v>8</v>
      </c>
      <c r="P1111" t="inlineStr">
        <is>
          <t>Liberado</t>
        </is>
      </c>
      <c r="Q1111" s="165" t="n">
        <v>1</v>
      </c>
      <c r="R1111" s="165" t="n">
        <v>1</v>
      </c>
      <c r="S1111" s="165" t="n">
        <v>1</v>
      </c>
      <c r="T1111" s="165" t="n">
        <v>0</v>
      </c>
      <c r="U1111" s="166" t="n">
        <v>1</v>
      </c>
      <c r="V1111" s="166" t="n">
        <v>0</v>
      </c>
      <c r="W1111" t="inlineStr">
        <is>
          <t>X</t>
        </is>
      </c>
      <c r="X1111" t="inlineStr">
        <is>
          <t>0.00</t>
        </is>
      </c>
      <c r="Y1111" t="inlineStr"/>
      <c r="Z1111" t="inlineStr">
        <is>
          <t>ICOMPPLUS ELECTRONICS S.L</t>
        </is>
      </c>
      <c r="AA1111" t="inlineStr">
        <is>
          <t>SCHURTER</t>
        </is>
      </c>
      <c r="AB1111" t="inlineStr">
        <is>
          <t>6100.3200</t>
        </is>
      </c>
      <c r="AC1111" t="inlineStr"/>
      <c r="AD1111" s="164" t="n">
        <v>1</v>
      </c>
      <c r="AE1111" s="185" t="n">
        <v>1</v>
      </c>
      <c r="AG1111" s="167" t="inlineStr">
        <is>
          <t>7218|JA2578_1001</t>
        </is>
      </c>
      <c r="AH1111" s="47">
        <f>IF(M1111=0,"-",M1111-J1111)</f>
        <v/>
      </c>
      <c r="AI1111" s="46">
        <f>IF(AND(S1111=0,M1111&gt;0,L1111=0),IF(AH1111&gt;=120,"VERY HIGH",IF(AH1111&gt;=90,"HIGH",IF(AH1111&gt;=60,"MEDIUM",IF(AH1111&lt;60,"LOW")))),"-")</f>
        <v/>
      </c>
      <c r="AJ1111" s="12" t="n"/>
      <c r="AK1111" s="53">
        <f>IF(AND(W1111="X",M1111&lt;=$AJ$2),"YES","")</f>
        <v/>
      </c>
      <c r="AL1111" s="54">
        <f>IF(AND(W1111="X",M1111&lt;=$AJ$2),S1111,"")</f>
        <v/>
      </c>
      <c r="AM1111" s="35" t="n"/>
      <c r="AN1111" s="35">
        <f>IF(AND(W1111="X",M1111&gt;$AJ$2),S1111,"")</f>
        <v/>
      </c>
      <c r="AO1111" s="35">
        <f>IF(AND(W1111="",M1111&gt;0,$AJ$2&gt;M1111,L1111=""),1,0)</f>
        <v/>
      </c>
      <c r="AP1111" s="35">
        <f>IF(AND(AK1111="YES",W1111="X"),"X","")</f>
        <v/>
      </c>
      <c r="AQ1111" s="55">
        <f>IF(AP1111="X",100%,0%)</f>
        <v/>
      </c>
      <c r="AR1111" s="25">
        <f>IF(AND(T1111&gt;0,L1111=""),H1111,"")</f>
        <v/>
      </c>
      <c r="AS1111" s="25">
        <f>IF(AND(D1111&gt;0,H1111=0,G1111=""),1,"")</f>
        <v/>
      </c>
      <c r="AT1111" s="25">
        <f>IF(G1111="BLOQ",1,"")</f>
        <v/>
      </c>
      <c r="AU1111" s="25">
        <f>IF(L1111="BLOQ",1,"")</f>
        <v/>
      </c>
      <c r="AV1111" s="25">
        <f>MONTH(F1111)</f>
        <v/>
      </c>
      <c r="AW1111" s="65">
        <f>IF(AP1111="",100%,0%)</f>
        <v/>
      </c>
      <c r="AX1111" s="56" t="n"/>
      <c r="AY1111" s="24">
        <f>IF(M1111=0,"",M1111-$AX$2)</f>
        <v/>
      </c>
      <c r="AZ1111" s="66">
        <f>IF(AND(W1111="",AY1111&gt;0,AY1111&lt;15),1,0)</f>
        <v/>
      </c>
      <c r="BA1111" s="24">
        <f>IF(AND(W1111="",AY1111&gt;0,AY1111&lt;15),T1111,"")</f>
        <v/>
      </c>
      <c r="BB1111" s="87">
        <f>IF(R1111&lt;Q1111,"X","")</f>
        <v/>
      </c>
      <c r="BC1111" s="190" t="inlineStr">
        <is>
          <t>NO</t>
        </is>
      </c>
      <c r="BD1111" s="191" t="inlineStr">
        <is>
          <t>SI</t>
        </is>
      </c>
    </row>
    <row r="1112" ht="15" customHeight="1" s="162">
      <c r="A1112" s="7" t="n">
        <v>1111</v>
      </c>
      <c r="B1112" t="inlineStr">
        <is>
          <t>1208000381700</t>
        </is>
      </c>
      <c r="C1112" t="inlineStr">
        <is>
          <t>CNC ALIM C14/3M IEC320 250V/10A C/CNM 2P</t>
        </is>
      </c>
      <c r="D1112" t="inlineStr">
        <is>
          <t>1800109000</t>
        </is>
      </c>
      <c r="E1112" t="inlineStr">
        <is>
          <t>40</t>
        </is>
      </c>
      <c r="F1112" s="163" t="n">
        <v>45463</v>
      </c>
      <c r="G1112" t="inlineStr"/>
      <c r="H1112" t="inlineStr">
        <is>
          <t>4200569426</t>
        </is>
      </c>
      <c r="I1112" t="inlineStr">
        <is>
          <t>20</t>
        </is>
      </c>
      <c r="J1112" s="163" t="n">
        <v>45477</v>
      </c>
      <c r="K1112" s="163" t="n">
        <v>45478</v>
      </c>
      <c r="L1112" t="inlineStr"/>
      <c r="M1112" s="163" t="n">
        <v>45488</v>
      </c>
      <c r="N1112" s="164" t="n">
        <v>85</v>
      </c>
      <c r="O1112" s="164" t="n">
        <v>8</v>
      </c>
      <c r="P1112" t="inlineStr">
        <is>
          <t>Liberado</t>
        </is>
      </c>
      <c r="Q1112" s="165" t="n">
        <v>1</v>
      </c>
      <c r="R1112" s="165" t="n">
        <v>1</v>
      </c>
      <c r="S1112" s="165" t="n">
        <v>1</v>
      </c>
      <c r="T1112" s="165" t="n">
        <v>0</v>
      </c>
      <c r="U1112" s="166" t="n">
        <v>1</v>
      </c>
      <c r="V1112" s="166" t="n">
        <v>0</v>
      </c>
      <c r="W1112" t="inlineStr">
        <is>
          <t>X</t>
        </is>
      </c>
      <c r="X1112" t="inlineStr">
        <is>
          <t>0.00</t>
        </is>
      </c>
      <c r="Y1112" t="inlineStr"/>
      <c r="Z1112" t="inlineStr">
        <is>
          <t>FARNELL COMPONENTS, S.L.</t>
        </is>
      </c>
      <c r="AA1112" t="inlineStr">
        <is>
          <t>SCHURTER</t>
        </is>
      </c>
      <c r="AB1112" t="inlineStr">
        <is>
          <t>DC11.0001.001</t>
        </is>
      </c>
      <c r="AC1112" t="inlineStr"/>
      <c r="AD1112" s="164" t="n">
        <v>0</v>
      </c>
      <c r="AE1112" s="185" t="n">
        <v>0</v>
      </c>
      <c r="AG1112" s="167" t="inlineStr">
        <is>
          <t>7218|JA2578_1001</t>
        </is>
      </c>
      <c r="AH1112" s="47">
        <f>IF(M1112=0,"-",M1112-J1112)</f>
        <v/>
      </c>
      <c r="AI1112" s="46">
        <f>IF(AND(S1112=0,M1112&gt;0,L1112=0),IF(AH1112&gt;=120,"VERY HIGH",IF(AH1112&gt;=90,"HIGH",IF(AH1112&gt;=60,"MEDIUM",IF(AH1112&lt;60,"LOW")))),"-")</f>
        <v/>
      </c>
      <c r="AJ1112" s="12" t="n"/>
      <c r="AK1112" s="53">
        <f>IF(AND(W1112="X",M1112&lt;=$AJ$2),"YES","")</f>
        <v/>
      </c>
      <c r="AL1112" s="54">
        <f>IF(AND(W1112="X",M1112&lt;=$AJ$2),S1112,"")</f>
        <v/>
      </c>
      <c r="AM1112" s="35" t="n"/>
      <c r="AN1112" s="35">
        <f>IF(AND(W1112="X",M1112&gt;$AJ$2),S1112,"")</f>
        <v/>
      </c>
      <c r="AO1112" s="35">
        <f>IF(AND(W1112="",M1112&gt;0,$AJ$2&gt;M1112,L1112=""),1,0)</f>
        <v/>
      </c>
      <c r="AP1112" s="35">
        <f>IF(AND(AK1112="YES",W1112="X"),"X","")</f>
        <v/>
      </c>
      <c r="AQ1112" s="55">
        <f>IF(AP1112="X",100%,0%)</f>
        <v/>
      </c>
      <c r="AR1112" s="25">
        <f>IF(AND(T1112&gt;0,L1112=""),H1112,"")</f>
        <v/>
      </c>
      <c r="AS1112" s="25">
        <f>IF(AND(D1112&gt;0,H1112=0,G1112=""),1,"")</f>
        <v/>
      </c>
      <c r="AT1112" s="25">
        <f>IF(G1112="BLOQ",1,"")</f>
        <v/>
      </c>
      <c r="AU1112" s="25">
        <f>IF(L1112="BLOQ",1,"")</f>
        <v/>
      </c>
      <c r="AV1112" s="25">
        <f>MONTH(F1112)</f>
        <v/>
      </c>
      <c r="AW1112" s="65">
        <f>IF(AP1112="",100%,0%)</f>
        <v/>
      </c>
      <c r="AX1112" s="56" t="n"/>
      <c r="AY1112" s="24">
        <f>IF(M1112=0,"",M1112-$AX$2)</f>
        <v/>
      </c>
      <c r="AZ1112" s="66">
        <f>IF(AND(W1112="",AY1112&gt;0,AY1112&lt;15),1,0)</f>
        <v/>
      </c>
      <c r="BA1112" s="24">
        <f>IF(AND(W1112="",AY1112&gt;0,AY1112&lt;15),T1112,"")</f>
        <v/>
      </c>
      <c r="BB1112" s="87">
        <f>IF(R1112&lt;Q1112,"X","")</f>
        <v/>
      </c>
      <c r="BC1112" s="190" t="inlineStr">
        <is>
          <t>NO</t>
        </is>
      </c>
      <c r="BD1112" s="191" t="inlineStr">
        <is>
          <t>SI</t>
        </is>
      </c>
    </row>
    <row r="1113" ht="15" customHeight="1" s="162">
      <c r="A1113" s="7" t="n">
        <v>1112</v>
      </c>
      <c r="B1113" t="inlineStr">
        <is>
          <t>1209996806400</t>
        </is>
      </c>
      <c r="C1113" t="inlineStr">
        <is>
          <t>CBL ACTUATOR ROBOTIC 8M FOR STEP MOTOR</t>
        </is>
      </c>
      <c r="D1113" t="inlineStr">
        <is>
          <t>1800109000</t>
        </is>
      </c>
      <c r="E1113" t="inlineStr">
        <is>
          <t>50</t>
        </is>
      </c>
      <c r="F1113" s="163" t="n">
        <v>45463</v>
      </c>
      <c r="G1113" t="inlineStr"/>
      <c r="H1113" t="inlineStr">
        <is>
          <t>4200571614</t>
        </is>
      </c>
      <c r="I1113" t="inlineStr">
        <is>
          <t>30</t>
        </is>
      </c>
      <c r="J1113" s="163" t="n">
        <v>45495</v>
      </c>
      <c r="K1113" s="163" t="n">
        <v>45497</v>
      </c>
      <c r="L1113" t="inlineStr"/>
      <c r="M1113" s="163" t="n">
        <v>45499</v>
      </c>
      <c r="N1113" s="164" t="n">
        <v>75</v>
      </c>
      <c r="O1113" s="164" t="n">
        <v>8</v>
      </c>
      <c r="P1113" t="inlineStr">
        <is>
          <t>Liberado</t>
        </is>
      </c>
      <c r="Q1113" s="165" t="n">
        <v>3</v>
      </c>
      <c r="R1113" s="165" t="n">
        <v>3</v>
      </c>
      <c r="S1113" s="165" t="n">
        <v>3</v>
      </c>
      <c r="T1113" s="165" t="n">
        <v>0</v>
      </c>
      <c r="U1113" s="166" t="n">
        <v>3</v>
      </c>
      <c r="V1113" s="166" t="n">
        <v>0</v>
      </c>
      <c r="W1113" t="inlineStr">
        <is>
          <t>X</t>
        </is>
      </c>
      <c r="X1113" t="inlineStr">
        <is>
          <t>0.00</t>
        </is>
      </c>
      <c r="Y1113" t="inlineStr"/>
      <c r="Z1113" t="inlineStr">
        <is>
          <t>SMC ESPAÑA, S.A.</t>
        </is>
      </c>
      <c r="AA1113" t="inlineStr">
        <is>
          <t>SMC</t>
        </is>
      </c>
      <c r="AB1113" t="inlineStr">
        <is>
          <t>LE-CP-8</t>
        </is>
      </c>
      <c r="AC1113" t="inlineStr"/>
      <c r="AD1113" s="164" t="n">
        <v>0</v>
      </c>
      <c r="AE1113" s="185" t="n">
        <v>0</v>
      </c>
      <c r="AG1113" s="167" t="inlineStr">
        <is>
          <t>7218|JA2578_1001</t>
        </is>
      </c>
      <c r="AH1113" s="47">
        <f>IF(M1113=0,"-",M1113-J1113)</f>
        <v/>
      </c>
      <c r="AI1113" s="46">
        <f>IF(AND(S1113=0,M1113&gt;0,L1113=0),IF(AH1113&gt;=120,"VERY HIGH",IF(AH1113&gt;=90,"HIGH",IF(AH1113&gt;=60,"MEDIUM",IF(AH1113&lt;60,"LOW")))),"-")</f>
        <v/>
      </c>
      <c r="AJ1113" s="12" t="n"/>
      <c r="AK1113" s="53">
        <f>IF(AND(W1113="X",M1113&lt;=$AJ$2),"YES","")</f>
        <v/>
      </c>
      <c r="AL1113" s="54">
        <f>IF(AND(W1113="X",M1113&lt;=$AJ$2),S1113,"")</f>
        <v/>
      </c>
      <c r="AM1113" s="35" t="n"/>
      <c r="AN1113" s="35">
        <f>IF(AND(W1113="X",M1113&gt;$AJ$2),S1113,"")</f>
        <v/>
      </c>
      <c r="AO1113" s="35">
        <f>IF(AND(W1113="",M1113&gt;0,$AJ$2&gt;M1113,L1113=""),1,0)</f>
        <v/>
      </c>
      <c r="AP1113" s="35">
        <f>IF(AND(AK1113="YES",W1113="X"),"X","")</f>
        <v/>
      </c>
      <c r="AQ1113" s="55">
        <f>IF(AP1113="X",100%,0%)</f>
        <v/>
      </c>
      <c r="AR1113" s="25">
        <f>IF(AND(T1113&gt;0,L1113=""),H1113,"")</f>
        <v/>
      </c>
      <c r="AS1113" s="25">
        <f>IF(AND(D1113&gt;0,H1113=0,G1113=""),1,"")</f>
        <v/>
      </c>
      <c r="AT1113" s="25">
        <f>IF(G1113="BLOQ",1,"")</f>
        <v/>
      </c>
      <c r="AU1113" s="25">
        <f>IF(L1113="BLOQ",1,"")</f>
        <v/>
      </c>
      <c r="AV1113" s="25">
        <f>MONTH(F1113)</f>
        <v/>
      </c>
      <c r="AW1113" s="65">
        <f>IF(AP1113="",100%,0%)</f>
        <v/>
      </c>
      <c r="AX1113" s="56" t="n"/>
      <c r="AY1113" s="24">
        <f>IF(M1113=0,"",M1113-$AX$2)</f>
        <v/>
      </c>
      <c r="AZ1113" s="66">
        <f>IF(AND(W1113="",AY1113&gt;0,AY1113&lt;15),1,0)</f>
        <v/>
      </c>
      <c r="BA1113" s="24">
        <f>IF(AND(W1113="",AY1113&gt;0,AY1113&lt;15),T1113,"")</f>
        <v/>
      </c>
      <c r="BB1113" s="87">
        <f>IF(R1113&lt;Q1113,"X","")</f>
        <v/>
      </c>
      <c r="BC1113" s="190" t="inlineStr">
        <is>
          <t>NO</t>
        </is>
      </c>
      <c r="BD1113" s="191" t="inlineStr">
        <is>
          <t>SI</t>
        </is>
      </c>
    </row>
    <row r="1114" ht="15" customHeight="1" s="162">
      <c r="A1114" s="7" t="n">
        <v>1113</v>
      </c>
      <c r="B1114" t="inlineStr">
        <is>
          <t>1214300420500</t>
        </is>
      </c>
      <c r="C1114" t="inlineStr">
        <is>
          <t>CNC CIR M12/4H RECEPT RECT SOLD ZN-NI</t>
        </is>
      </c>
      <c r="D1114" t="inlineStr">
        <is>
          <t>1800109000</t>
        </is>
      </c>
      <c r="E1114" t="inlineStr">
        <is>
          <t>60</t>
        </is>
      </c>
      <c r="F1114" s="163" t="n">
        <v>45463</v>
      </c>
      <c r="G1114" t="inlineStr"/>
      <c r="H1114" t="inlineStr">
        <is>
          <t>4200571560</t>
        </is>
      </c>
      <c r="I1114" t="inlineStr">
        <is>
          <t>10</t>
        </is>
      </c>
      <c r="J1114" s="163" t="n">
        <v>45492</v>
      </c>
      <c r="K1114" s="163" t="n">
        <v>45576</v>
      </c>
      <c r="L1114" t="inlineStr"/>
      <c r="M1114" s="163" t="n">
        <v>45506</v>
      </c>
      <c r="N1114" s="164" t="n">
        <v>40</v>
      </c>
      <c r="O1114" s="164" t="n">
        <v>8</v>
      </c>
      <c r="P1114" t="inlineStr">
        <is>
          <t>Liberado</t>
        </is>
      </c>
      <c r="Q1114" s="165" t="n">
        <v>1</v>
      </c>
      <c r="R1114" s="165" t="n">
        <v>1</v>
      </c>
      <c r="S1114" s="165" t="n">
        <v>1</v>
      </c>
      <c r="T1114" s="165" t="n">
        <v>0</v>
      </c>
      <c r="U1114" s="166" t="n">
        <v>1</v>
      </c>
      <c r="V1114" s="166" t="n">
        <v>0</v>
      </c>
      <c r="W1114" t="inlineStr">
        <is>
          <t>X</t>
        </is>
      </c>
      <c r="X1114" t="inlineStr">
        <is>
          <t>0.00</t>
        </is>
      </c>
      <c r="Y1114" t="inlineStr"/>
      <c r="Z1114" t="inlineStr">
        <is>
          <t>SUMINISTROS CONECTORES PROF.,SA.</t>
        </is>
      </c>
      <c r="AA1114" t="inlineStr">
        <is>
          <t>TE CONNECTIVITY</t>
        </is>
      </c>
      <c r="AB1114" t="inlineStr">
        <is>
          <t>1838891-2</t>
        </is>
      </c>
      <c r="AC1114" t="inlineStr"/>
      <c r="AD1114" s="164" t="n">
        <v>0</v>
      </c>
      <c r="AE1114" s="185" t="n">
        <v>0</v>
      </c>
      <c r="AG1114" s="167" t="inlineStr">
        <is>
          <t>7218|JA2578_1001</t>
        </is>
      </c>
      <c r="AH1114" s="47">
        <f>IF(M1114=0,"-",M1114-J1114)</f>
        <v/>
      </c>
      <c r="AI1114" s="46">
        <f>IF(AND(S1114=0,M1114&gt;0,L1114=0),IF(AH1114&gt;=120,"VERY HIGH",IF(AH1114&gt;=90,"HIGH",IF(AH1114&gt;=60,"MEDIUM",IF(AH1114&lt;60,"LOW")))),"-")</f>
        <v/>
      </c>
      <c r="AJ1114" s="12" t="n"/>
      <c r="AK1114" s="53">
        <f>IF(AND(W1114="X",M1114&lt;=$AJ$2),"YES","")</f>
        <v/>
      </c>
      <c r="AL1114" s="54">
        <f>IF(AND(W1114="X",M1114&lt;=$AJ$2),S1114,"")</f>
        <v/>
      </c>
      <c r="AM1114" s="35" t="n"/>
      <c r="AN1114" s="35">
        <f>IF(AND(W1114="X",M1114&gt;$AJ$2),S1114,"")</f>
        <v/>
      </c>
      <c r="AO1114" s="35">
        <f>IF(AND(W1114="",M1114&gt;0,$AJ$2&gt;M1114,L1114=""),1,0)</f>
        <v/>
      </c>
      <c r="AP1114" s="35">
        <f>IF(AND(AK1114="YES",W1114="X"),"X","")</f>
        <v/>
      </c>
      <c r="AQ1114" s="55">
        <f>IF(AP1114="X",100%,0%)</f>
        <v/>
      </c>
      <c r="AR1114" s="25">
        <f>IF(AND(T1114&gt;0,L1114=""),H1114,"")</f>
        <v/>
      </c>
      <c r="AS1114" s="25">
        <f>IF(AND(D1114&gt;0,H1114=0,G1114=""),1,"")</f>
        <v/>
      </c>
      <c r="AT1114" s="25">
        <f>IF(G1114="BLOQ",1,"")</f>
        <v/>
      </c>
      <c r="AU1114" s="25">
        <f>IF(L1114="BLOQ",1,"")</f>
        <v/>
      </c>
      <c r="AV1114" s="25">
        <f>MONTH(F1114)</f>
        <v/>
      </c>
      <c r="AW1114" s="65">
        <f>IF(AP1114="",100%,0%)</f>
        <v/>
      </c>
      <c r="AX1114" s="56" t="n"/>
      <c r="AY1114" s="24">
        <f>IF(M1114=0,"",M1114-$AX$2)</f>
        <v/>
      </c>
      <c r="AZ1114" s="66">
        <f>IF(AND(W1114="",AY1114&gt;0,AY1114&lt;15),1,0)</f>
        <v/>
      </c>
      <c r="BA1114" s="24">
        <f>IF(AND(W1114="",AY1114&gt;0,AY1114&lt;15),T1114,"")</f>
        <v/>
      </c>
      <c r="BB1114" s="87">
        <f>IF(R1114&lt;Q1114,"X","")</f>
        <v/>
      </c>
      <c r="BC1114" s="190" t="inlineStr">
        <is>
          <t>NO</t>
        </is>
      </c>
      <c r="BD1114" s="191" t="inlineStr">
        <is>
          <t>SI</t>
        </is>
      </c>
    </row>
    <row r="1115" ht="15" customHeight="1" s="162">
      <c r="A1115" s="7" t="n">
        <v>1114</v>
      </c>
      <c r="B1115" t="inlineStr">
        <is>
          <t>1217000100002</t>
        </is>
      </c>
      <c r="C1115" t="inlineStr">
        <is>
          <t>CNC RJ45 1/1H CAT6 RECT APANT ROHS</t>
        </is>
      </c>
      <c r="D1115" t="inlineStr">
        <is>
          <t>1800109000</t>
        </is>
      </c>
      <c r="E1115" t="inlineStr">
        <is>
          <t>70</t>
        </is>
      </c>
      <c r="F1115" s="163" t="n">
        <v>45463</v>
      </c>
      <c r="G1115" t="inlineStr"/>
      <c r="H1115" t="inlineStr">
        <is>
          <t>4200570653</t>
        </is>
      </c>
      <c r="I1115" t="inlineStr">
        <is>
          <t>180</t>
        </is>
      </c>
      <c r="J1115" s="163" t="n">
        <v>45488</v>
      </c>
      <c r="K1115" s="163" t="n">
        <v>45744</v>
      </c>
      <c r="L1115" t="inlineStr"/>
      <c r="M1115" s="163" t="n">
        <v>45500</v>
      </c>
      <c r="N1115" s="164" t="n">
        <v>40</v>
      </c>
      <c r="O1115" s="164" t="n">
        <v>8</v>
      </c>
      <c r="P1115" t="inlineStr">
        <is>
          <t>Liberado</t>
        </is>
      </c>
      <c r="Q1115" s="165" t="n">
        <v>1</v>
      </c>
      <c r="R1115" s="165" t="n">
        <v>1</v>
      </c>
      <c r="S1115" s="165" t="n">
        <v>1</v>
      </c>
      <c r="T1115" s="165" t="n">
        <v>0</v>
      </c>
      <c r="U1115" s="166" t="n">
        <v>1</v>
      </c>
      <c r="V1115" s="166" t="n">
        <v>0</v>
      </c>
      <c r="W1115" t="inlineStr">
        <is>
          <t>X</t>
        </is>
      </c>
      <c r="X1115" t="inlineStr">
        <is>
          <t>0.00</t>
        </is>
      </c>
      <c r="Y1115" t="inlineStr"/>
      <c r="Z1115" t="inlineStr">
        <is>
          <t>TELKRON, S.A.</t>
        </is>
      </c>
      <c r="AA1115" t="inlineStr">
        <is>
          <t>RS PRO</t>
        </is>
      </c>
      <c r="AB1115" t="inlineStr">
        <is>
          <t>175-0145</t>
        </is>
      </c>
      <c r="AC1115" t="inlineStr"/>
      <c r="AD1115" s="164" t="n">
        <v>0</v>
      </c>
      <c r="AE1115" s="185" t="n">
        <v>0</v>
      </c>
      <c r="AG1115" s="167" t="inlineStr">
        <is>
          <t>7218|JA2578_1001</t>
        </is>
      </c>
      <c r="AH1115" s="47">
        <f>IF(M1115=0,"-",M1115-J1115)</f>
        <v/>
      </c>
      <c r="AI1115" s="46">
        <f>IF(AND(S1115=0,M1115&gt;0,L1115=0),IF(AH1115&gt;=120,"VERY HIGH",IF(AH1115&gt;=90,"HIGH",IF(AH1115&gt;=60,"MEDIUM",IF(AH1115&lt;60,"LOW")))),"-")</f>
        <v/>
      </c>
      <c r="AJ1115" s="12" t="n"/>
      <c r="AK1115" s="53">
        <f>IF(AND(W1115="X",M1115&lt;=$AJ$2),"YES","")</f>
        <v/>
      </c>
      <c r="AL1115" s="54">
        <f>IF(AND(W1115="X",M1115&lt;=$AJ$2),S1115,"")</f>
        <v/>
      </c>
      <c r="AM1115" s="35" t="n"/>
      <c r="AN1115" s="35">
        <f>IF(AND(W1115="X",M1115&gt;$AJ$2),S1115,"")</f>
        <v/>
      </c>
      <c r="AO1115" s="35">
        <f>IF(AND(W1115="",M1115&gt;0,$AJ$2&gt;M1115,L1115=""),1,0)</f>
        <v/>
      </c>
      <c r="AP1115" s="35">
        <f>IF(AND(AK1115="YES",W1115="X"),"X","")</f>
        <v/>
      </c>
      <c r="AQ1115" s="55">
        <f>IF(AP1115="X",100%,0%)</f>
        <v/>
      </c>
      <c r="AR1115" s="25">
        <f>IF(AND(T1115&gt;0,L1115=""),H1115,"")</f>
        <v/>
      </c>
      <c r="AS1115" s="25">
        <f>IF(AND(D1115&gt;0,H1115=0,G1115=""),1,"")</f>
        <v/>
      </c>
      <c r="AT1115" s="25">
        <f>IF(G1115="BLOQ",1,"")</f>
        <v/>
      </c>
      <c r="AU1115" s="25">
        <f>IF(L1115="BLOQ",1,"")</f>
        <v/>
      </c>
      <c r="AV1115" s="25">
        <f>MONTH(F1115)</f>
        <v/>
      </c>
      <c r="AW1115" s="65">
        <f>IF(AP1115="",100%,0%)</f>
        <v/>
      </c>
      <c r="AX1115" s="56" t="n"/>
      <c r="AY1115" s="24">
        <f>IF(M1115=0,"",M1115-$AX$2)</f>
        <v/>
      </c>
      <c r="AZ1115" s="66">
        <f>IF(AND(W1115="",AY1115&gt;0,AY1115&lt;15),1,0)</f>
        <v/>
      </c>
      <c r="BA1115" s="24">
        <f>IF(AND(W1115="",AY1115&gt;0,AY1115&lt;15),T1115,"")</f>
        <v/>
      </c>
      <c r="BB1115" s="87">
        <f>IF(R1115&lt;Q1115,"X","")</f>
        <v/>
      </c>
      <c r="BC1115" s="190" t="inlineStr">
        <is>
          <t>NO</t>
        </is>
      </c>
      <c r="BD1115" s="191" t="inlineStr">
        <is>
          <t>SI</t>
        </is>
      </c>
    </row>
    <row r="1116" ht="15" customHeight="1" s="162">
      <c r="A1116" s="7" t="n">
        <v>1115</v>
      </c>
      <c r="B1116" t="inlineStr">
        <is>
          <t>1229513250800</t>
        </is>
      </c>
      <c r="C1116" t="inlineStr">
        <is>
          <t>CBL EQ SENSOR M8-4H/EXT 0.25MM2 GRIS L5M</t>
        </is>
      </c>
      <c r="D1116" t="inlineStr">
        <is>
          <t>1800109000</t>
        </is>
      </c>
      <c r="E1116" t="inlineStr">
        <is>
          <t>80</t>
        </is>
      </c>
      <c r="F1116" s="163" t="n">
        <v>45463</v>
      </c>
      <c r="G1116" t="inlineStr"/>
      <c r="H1116" t="inlineStr">
        <is>
          <t>4200572420</t>
        </is>
      </c>
      <c r="I1116" t="inlineStr">
        <is>
          <t>40</t>
        </is>
      </c>
      <c r="J1116" s="163" t="n">
        <v>45499</v>
      </c>
      <c r="K1116" s="163" t="n">
        <v>45545</v>
      </c>
      <c r="L1116" t="inlineStr"/>
      <c r="M1116" s="163" t="n">
        <v>45513</v>
      </c>
      <c r="N1116" s="164" t="n">
        <v>40</v>
      </c>
      <c r="O1116" s="164" t="n">
        <v>8</v>
      </c>
      <c r="P1116" t="inlineStr">
        <is>
          <t>Liberado</t>
        </is>
      </c>
      <c r="Q1116" s="165" t="n">
        <v>1</v>
      </c>
      <c r="R1116" s="165" t="n">
        <v>1</v>
      </c>
      <c r="S1116" s="165" t="n">
        <v>1</v>
      </c>
      <c r="T1116" s="165" t="n">
        <v>0</v>
      </c>
      <c r="U1116" s="166" t="n">
        <v>1</v>
      </c>
      <c r="V1116" s="166" t="n">
        <v>0</v>
      </c>
      <c r="W1116" t="inlineStr">
        <is>
          <t>X</t>
        </is>
      </c>
      <c r="X1116" t="inlineStr">
        <is>
          <t>0.00</t>
        </is>
      </c>
      <c r="Y1116" t="inlineStr"/>
      <c r="Z1116" t="inlineStr">
        <is>
          <t>SUMINISTROS CONECTORES PROF.,SA.</t>
        </is>
      </c>
      <c r="AA1116" t="inlineStr">
        <is>
          <t>PEPPERL+FUCHS</t>
        </is>
      </c>
      <c r="AB1116" t="inlineStr">
        <is>
          <t>V31-GM-5M-PVC</t>
        </is>
      </c>
      <c r="AC1116" t="inlineStr"/>
      <c r="AD1116" s="164" t="n">
        <v>0</v>
      </c>
      <c r="AE1116" s="185" t="n">
        <v>0</v>
      </c>
      <c r="AG1116" s="167" t="inlineStr">
        <is>
          <t>7218|JA2578_1001</t>
        </is>
      </c>
      <c r="AH1116" s="47">
        <f>IF(M1116=0,"-",M1116-J1116)</f>
        <v/>
      </c>
      <c r="AI1116" s="46">
        <f>IF(AND(S1116=0,M1116&gt;0,L1116=0),IF(AH1116&gt;=120,"VERY HIGH",IF(AH1116&gt;=90,"HIGH",IF(AH1116&gt;=60,"MEDIUM",IF(AH1116&lt;60,"LOW")))),"-")</f>
        <v/>
      </c>
      <c r="AJ1116" s="12" t="n"/>
      <c r="AK1116" s="53">
        <f>IF(AND(W1116="X",M1116&lt;=$AJ$2),"YES","")</f>
        <v/>
      </c>
      <c r="AL1116" s="54">
        <f>IF(AND(W1116="X",M1116&lt;=$AJ$2),S1116,"")</f>
        <v/>
      </c>
      <c r="AM1116" s="35" t="n"/>
      <c r="AN1116" s="35">
        <f>IF(AND(W1116="X",M1116&gt;$AJ$2),S1116,"")</f>
        <v/>
      </c>
      <c r="AO1116" s="35">
        <f>IF(AND(W1116="",M1116&gt;0,$AJ$2&gt;M1116,L1116=""),1,0)</f>
        <v/>
      </c>
      <c r="AP1116" s="35">
        <f>IF(AND(AK1116="YES",W1116="X"),"X","")</f>
        <v/>
      </c>
      <c r="AQ1116" s="55">
        <f>IF(AP1116="X",100%,0%)</f>
        <v/>
      </c>
      <c r="AR1116" s="25">
        <f>IF(AND(T1116&gt;0,L1116=""),H1116,"")</f>
        <v/>
      </c>
      <c r="AS1116" s="25">
        <f>IF(AND(D1116&gt;0,H1116=0,G1116=""),1,"")</f>
        <v/>
      </c>
      <c r="AT1116" s="25">
        <f>IF(G1116="BLOQ",1,"")</f>
        <v/>
      </c>
      <c r="AU1116" s="25">
        <f>IF(L1116="BLOQ",1,"")</f>
        <v/>
      </c>
      <c r="AV1116" s="25">
        <f>MONTH(F1116)</f>
        <v/>
      </c>
      <c r="AW1116" s="65">
        <f>IF(AP1116="",100%,0%)</f>
        <v/>
      </c>
      <c r="AX1116" s="56" t="n"/>
      <c r="AY1116" s="24">
        <f>IF(M1116=0,"",M1116-$AX$2)</f>
        <v/>
      </c>
      <c r="AZ1116" s="66">
        <f>IF(AND(W1116="",AY1116&gt;0,AY1116&lt;15),1,0)</f>
        <v/>
      </c>
      <c r="BA1116" s="24">
        <f>IF(AND(W1116="",AY1116&gt;0,AY1116&lt;15),T1116,"")</f>
        <v/>
      </c>
      <c r="BB1116" s="87">
        <f>IF(R1116&lt;Q1116,"X","")</f>
        <v/>
      </c>
      <c r="BC1116" s="190" t="inlineStr">
        <is>
          <t>NO</t>
        </is>
      </c>
      <c r="BD1116" s="191" t="inlineStr">
        <is>
          <t>SI</t>
        </is>
      </c>
    </row>
    <row r="1117" ht="15" customHeight="1" s="162">
      <c r="A1117" s="7" t="n">
        <v>1116</v>
      </c>
      <c r="B1117" t="inlineStr">
        <is>
          <t>1229599330200</t>
        </is>
      </c>
      <c r="C1117" t="inlineStr">
        <is>
          <t>CBL EQ CONVERSION L300MM P/CONTROL JXC91</t>
        </is>
      </c>
      <c r="D1117" t="inlineStr">
        <is>
          <t>1800109000</t>
        </is>
      </c>
      <c r="E1117" t="inlineStr">
        <is>
          <t>90</t>
        </is>
      </c>
      <c r="F1117" s="163" t="n">
        <v>45463</v>
      </c>
      <c r="G1117" t="inlineStr"/>
      <c r="H1117" t="inlineStr">
        <is>
          <t>4200571614</t>
        </is>
      </c>
      <c r="I1117" t="inlineStr">
        <is>
          <t>40</t>
        </is>
      </c>
      <c r="J1117" s="163" t="n">
        <v>45495</v>
      </c>
      <c r="K1117" s="163" t="n">
        <v>45497</v>
      </c>
      <c r="L1117" t="inlineStr"/>
      <c r="M1117" s="163" t="n">
        <v>45499</v>
      </c>
      <c r="N1117" s="164" t="n">
        <v>75</v>
      </c>
      <c r="O1117" s="164" t="n">
        <v>8</v>
      </c>
      <c r="P1117" t="inlineStr">
        <is>
          <t>Liberado</t>
        </is>
      </c>
      <c r="Q1117" s="165" t="n">
        <v>3</v>
      </c>
      <c r="R1117" s="165" t="n">
        <v>3</v>
      </c>
      <c r="S1117" s="165" t="n">
        <v>3</v>
      </c>
      <c r="T1117" s="165" t="n">
        <v>0</v>
      </c>
      <c r="U1117" s="166" t="n">
        <v>3</v>
      </c>
      <c r="V1117" s="166" t="n">
        <v>0</v>
      </c>
      <c r="W1117" t="inlineStr">
        <is>
          <t>X</t>
        </is>
      </c>
      <c r="X1117" t="inlineStr">
        <is>
          <t>0.00</t>
        </is>
      </c>
      <c r="Y1117" t="inlineStr"/>
      <c r="Z1117" t="inlineStr">
        <is>
          <t>SMC ESPAÑA, S.A.</t>
        </is>
      </c>
      <c r="AA1117" t="inlineStr">
        <is>
          <t>SMC</t>
        </is>
      </c>
      <c r="AB1117" t="inlineStr">
        <is>
          <t>P5062-5</t>
        </is>
      </c>
      <c r="AC1117" t="inlineStr"/>
      <c r="AD1117" s="164" t="n">
        <v>0</v>
      </c>
      <c r="AE1117" s="185" t="n">
        <v>0</v>
      </c>
      <c r="AG1117" s="167" t="inlineStr">
        <is>
          <t>7218|JA2578_1001</t>
        </is>
      </c>
      <c r="AH1117" s="47">
        <f>IF(M1117=0,"-",M1117-J1117)</f>
        <v/>
      </c>
      <c r="AI1117" s="46">
        <f>IF(AND(S1117=0,M1117&gt;0,L1117=0),IF(AH1117&gt;=120,"VERY HIGH",IF(AH1117&gt;=90,"HIGH",IF(AH1117&gt;=60,"MEDIUM",IF(AH1117&lt;60,"LOW")))),"-")</f>
        <v/>
      </c>
      <c r="AJ1117" s="12" t="n"/>
      <c r="AK1117" s="53">
        <f>IF(AND(W1117="X",M1117&lt;=$AJ$2),"YES","")</f>
        <v/>
      </c>
      <c r="AL1117" s="54">
        <f>IF(AND(W1117="X",M1117&lt;=$AJ$2),S1117,"")</f>
        <v/>
      </c>
      <c r="AM1117" s="35" t="n"/>
      <c r="AN1117" s="35">
        <f>IF(AND(W1117="X",M1117&gt;$AJ$2),S1117,"")</f>
        <v/>
      </c>
      <c r="AO1117" s="35">
        <f>IF(AND(W1117="",M1117&gt;0,$AJ$2&gt;M1117,L1117=""),1,0)</f>
        <v/>
      </c>
      <c r="AP1117" s="35">
        <f>IF(AND(AK1117="YES",W1117="X"),"X","")</f>
        <v/>
      </c>
      <c r="AQ1117" s="55">
        <f>IF(AP1117="X",100%,0%)</f>
        <v/>
      </c>
      <c r="AR1117" s="25">
        <f>IF(AND(T1117&gt;0,L1117=""),H1117,"")</f>
        <v/>
      </c>
      <c r="AS1117" s="25">
        <f>IF(AND(D1117&gt;0,H1117=0,G1117=""),1,"")</f>
        <v/>
      </c>
      <c r="AT1117" s="25">
        <f>IF(G1117="BLOQ",1,"")</f>
        <v/>
      </c>
      <c r="AU1117" s="25">
        <f>IF(L1117="BLOQ",1,"")</f>
        <v/>
      </c>
      <c r="AV1117" s="25">
        <f>MONTH(F1117)</f>
        <v/>
      </c>
      <c r="AW1117" s="65">
        <f>IF(AP1117="",100%,0%)</f>
        <v/>
      </c>
      <c r="AX1117" s="56" t="n"/>
      <c r="AY1117" s="24">
        <f>IF(M1117=0,"",M1117-$AX$2)</f>
        <v/>
      </c>
      <c r="AZ1117" s="66">
        <f>IF(AND(W1117="",AY1117&gt;0,AY1117&lt;15),1,0)</f>
        <v/>
      </c>
      <c r="BA1117" s="24">
        <f>IF(AND(W1117="",AY1117&gt;0,AY1117&lt;15),T1117,"")</f>
        <v/>
      </c>
      <c r="BB1117" s="87">
        <f>IF(R1117&lt;Q1117,"X","")</f>
        <v/>
      </c>
      <c r="BC1117" s="190" t="inlineStr">
        <is>
          <t>NO</t>
        </is>
      </c>
      <c r="BD1117" s="191" t="inlineStr">
        <is>
          <t>SI</t>
        </is>
      </c>
    </row>
    <row r="1118" ht="15" customHeight="1" s="162">
      <c r="A1118" s="7" t="n">
        <v>1117</v>
      </c>
      <c r="B1118" t="inlineStr">
        <is>
          <t>1237000289001</t>
        </is>
      </c>
      <c r="C1118" t="inlineStr">
        <is>
          <t>BORNE DE PASO GRIS  2,5MM2 0,08/4MM2</t>
        </is>
      </c>
      <c r="D1118" t="inlineStr">
        <is>
          <t>1800109000</t>
        </is>
      </c>
      <c r="E1118" t="inlineStr">
        <is>
          <t>100</t>
        </is>
      </c>
      <c r="F1118" s="163" t="n">
        <v>45463</v>
      </c>
      <c r="G1118" t="inlineStr"/>
      <c r="H1118" t="inlineStr">
        <is>
          <t>4200569375</t>
        </is>
      </c>
      <c r="I1118" t="inlineStr">
        <is>
          <t>30</t>
        </is>
      </c>
      <c r="J1118" s="163" t="n">
        <v>45477</v>
      </c>
      <c r="K1118" s="163" t="n">
        <v>45477</v>
      </c>
      <c r="L1118" t="inlineStr"/>
      <c r="M1118" s="163" t="n">
        <v>45488</v>
      </c>
      <c r="N1118" s="164" t="n">
        <v>110</v>
      </c>
      <c r="O1118" s="164" t="n">
        <v>8</v>
      </c>
      <c r="P1118" t="inlineStr">
        <is>
          <t>Liberado</t>
        </is>
      </c>
      <c r="Q1118" s="165" t="n">
        <v>3</v>
      </c>
      <c r="R1118" s="165" t="n">
        <v>3</v>
      </c>
      <c r="S1118" s="165" t="n">
        <v>3</v>
      </c>
      <c r="T1118" s="165" t="n">
        <v>0</v>
      </c>
      <c r="U1118" s="166" t="n">
        <v>3</v>
      </c>
      <c r="V1118" s="166" t="n">
        <v>0</v>
      </c>
      <c r="W1118" t="inlineStr">
        <is>
          <t>X</t>
        </is>
      </c>
      <c r="X1118" t="inlineStr">
        <is>
          <t>0.00</t>
        </is>
      </c>
      <c r="Y1118" t="inlineStr"/>
      <c r="Z1118" t="inlineStr">
        <is>
          <t>MOUSER ELECTRONICS, INC.</t>
        </is>
      </c>
      <c r="AA1118" t="inlineStr">
        <is>
          <t>PHOENIX CONTACT</t>
        </is>
      </c>
      <c r="AB1118" t="inlineStr">
        <is>
          <t>3031306</t>
        </is>
      </c>
      <c r="AC1118" t="inlineStr"/>
      <c r="AD1118" s="164" t="n">
        <v>0</v>
      </c>
      <c r="AE1118" s="185" t="n">
        <v>0</v>
      </c>
      <c r="AG1118" s="167" t="inlineStr">
        <is>
          <t>7218|JA2578_1001</t>
        </is>
      </c>
      <c r="AH1118" s="47">
        <f>IF(M1118=0,"-",M1118-J1118)</f>
        <v/>
      </c>
      <c r="AI1118" s="46">
        <f>IF(AND(S1118=0,M1118&gt;0,L1118=0),IF(AH1118&gt;=120,"VERY HIGH",IF(AH1118&gt;=90,"HIGH",IF(AH1118&gt;=60,"MEDIUM",IF(AH1118&lt;60,"LOW")))),"-")</f>
        <v/>
      </c>
      <c r="AJ1118" s="12" t="n"/>
      <c r="AK1118" s="53">
        <f>IF(AND(W1118="X",M1118&lt;=$AJ$2),"YES","")</f>
        <v/>
      </c>
      <c r="AL1118" s="54">
        <f>IF(AND(W1118="X",M1118&lt;=$AJ$2),S1118,"")</f>
        <v/>
      </c>
      <c r="AM1118" s="35" t="n"/>
      <c r="AN1118" s="35">
        <f>IF(AND(W1118="X",M1118&gt;$AJ$2),S1118,"")</f>
        <v/>
      </c>
      <c r="AO1118" s="35">
        <f>IF(AND(W1118="",M1118&gt;0,$AJ$2&gt;M1118,L1118=""),1,0)</f>
        <v/>
      </c>
      <c r="AP1118" s="35">
        <f>IF(AND(AK1118="YES",W1118="X"),"X","")</f>
        <v/>
      </c>
      <c r="AQ1118" s="55">
        <f>IF(AP1118="X",100%,0%)</f>
        <v/>
      </c>
      <c r="AR1118" s="25">
        <f>IF(AND(T1118&gt;0,L1118=""),H1118,"")</f>
        <v/>
      </c>
      <c r="AS1118" s="25">
        <f>IF(AND(D1118&gt;0,H1118=0,G1118=""),1,"")</f>
        <v/>
      </c>
      <c r="AT1118" s="25">
        <f>IF(G1118="BLOQ",1,"")</f>
        <v/>
      </c>
      <c r="AU1118" s="25">
        <f>IF(L1118="BLOQ",1,"")</f>
        <v/>
      </c>
      <c r="AV1118" s="25">
        <f>MONTH(F1118)</f>
        <v/>
      </c>
      <c r="AW1118" s="65">
        <f>IF(AP1118="",100%,0%)</f>
        <v/>
      </c>
      <c r="AX1118" s="56" t="n"/>
      <c r="AY1118" s="24">
        <f>IF(M1118=0,"",M1118-$AX$2)</f>
        <v/>
      </c>
      <c r="AZ1118" s="66">
        <f>IF(AND(W1118="",AY1118&gt;0,AY1118&lt;15),1,0)</f>
        <v/>
      </c>
      <c r="BA1118" s="24">
        <f>IF(AND(W1118="",AY1118&gt;0,AY1118&lt;15),T1118,"")</f>
        <v/>
      </c>
      <c r="BB1118" s="87">
        <f>IF(R1118&lt;Q1118,"X","")</f>
        <v/>
      </c>
      <c r="BC1118" s="190" t="inlineStr">
        <is>
          <t>NO</t>
        </is>
      </c>
      <c r="BD1118" s="191" t="inlineStr">
        <is>
          <t>SI</t>
        </is>
      </c>
    </row>
    <row r="1119" ht="15" customHeight="1" s="162">
      <c r="A1119" s="7" t="n">
        <v>1118</v>
      </c>
      <c r="B1119" t="inlineStr">
        <is>
          <t>1240100630300</t>
        </is>
      </c>
      <c r="C1119" t="inlineStr">
        <is>
          <t>CONTROLADOR SERVO 24V 64P LEFS16R C150MM</t>
        </is>
      </c>
      <c r="D1119" t="inlineStr">
        <is>
          <t>1800109000</t>
        </is>
      </c>
      <c r="E1119" t="inlineStr">
        <is>
          <t>110</t>
        </is>
      </c>
      <c r="F1119" s="163" t="n">
        <v>45463</v>
      </c>
      <c r="G1119" t="inlineStr"/>
      <c r="H1119" t="inlineStr">
        <is>
          <t>4200568513</t>
        </is>
      </c>
      <c r="I1119" t="inlineStr">
        <is>
          <t>10</t>
        </is>
      </c>
      <c r="J1119" s="163" t="n">
        <v>45470</v>
      </c>
      <c r="K1119" s="163" t="n">
        <v>45470</v>
      </c>
      <c r="L1119" t="inlineStr"/>
      <c r="M1119" s="163" t="n">
        <v>45491</v>
      </c>
      <c r="N1119" s="164" t="n">
        <v>40</v>
      </c>
      <c r="O1119" s="164" t="n">
        <v>8</v>
      </c>
      <c r="P1119" t="inlineStr">
        <is>
          <t>Liberado</t>
        </is>
      </c>
      <c r="Q1119" s="165" t="n">
        <v>3</v>
      </c>
      <c r="R1119" s="165" t="n">
        <v>3</v>
      </c>
      <c r="S1119" s="165" t="n">
        <v>3</v>
      </c>
      <c r="T1119" s="165" t="n">
        <v>0</v>
      </c>
      <c r="U1119" s="166" t="n">
        <v>3</v>
      </c>
      <c r="V1119" s="166" t="n">
        <v>0</v>
      </c>
      <c r="W1119" t="inlineStr">
        <is>
          <t>X</t>
        </is>
      </c>
      <c r="X1119" t="inlineStr">
        <is>
          <t>0.00</t>
        </is>
      </c>
      <c r="Y1119" t="inlineStr"/>
      <c r="Z1119" t="inlineStr">
        <is>
          <t>SMC ESPAÑA, S.A.</t>
        </is>
      </c>
      <c r="AA1119" t="inlineStr">
        <is>
          <t>SMC</t>
        </is>
      </c>
      <c r="AB1119" t="inlineStr">
        <is>
          <t>JXC617-LEFS16RB-150-XZ34</t>
        </is>
      </c>
      <c r="AC1119" t="inlineStr"/>
      <c r="AD1119" s="164" t="n">
        <v>0</v>
      </c>
      <c r="AE1119" s="185" t="n">
        <v>0</v>
      </c>
      <c r="AG1119" s="167" t="inlineStr">
        <is>
          <t>7218|JA2578_1001</t>
        </is>
      </c>
      <c r="AH1119" s="47">
        <f>IF(M1119=0,"-",M1119-J1119)</f>
        <v/>
      </c>
      <c r="AI1119" s="46">
        <f>IF(AND(S1119=0,M1119&gt;0,L1119=0),IF(AH1119&gt;=120,"VERY HIGH",IF(AH1119&gt;=90,"HIGH",IF(AH1119&gt;=60,"MEDIUM",IF(AH1119&lt;60,"LOW")))),"-")</f>
        <v/>
      </c>
      <c r="AJ1119" s="12" t="n"/>
      <c r="AK1119" s="53">
        <f>IF(AND(W1119="X",M1119&lt;=$AJ$2),"YES","")</f>
        <v/>
      </c>
      <c r="AL1119" s="54">
        <f>IF(AND(W1119="X",M1119&lt;=$AJ$2),S1119,"")</f>
        <v/>
      </c>
      <c r="AM1119" s="35" t="n"/>
      <c r="AN1119" s="35">
        <f>IF(AND(W1119="X",M1119&gt;$AJ$2),S1119,"")</f>
        <v/>
      </c>
      <c r="AO1119" s="35">
        <f>IF(AND(W1119="",M1119&gt;0,$AJ$2&gt;M1119,L1119=""),1,0)</f>
        <v/>
      </c>
      <c r="AP1119" s="35">
        <f>IF(AND(AK1119="YES",W1119="X"),"X","")</f>
        <v/>
      </c>
      <c r="AQ1119" s="55">
        <f>IF(AP1119="X",100%,0%)</f>
        <v/>
      </c>
      <c r="AR1119" s="25">
        <f>IF(AND(T1119&gt;0,L1119=""),H1119,"")</f>
        <v/>
      </c>
      <c r="AS1119" s="25">
        <f>IF(AND(D1119&gt;0,H1119=0,G1119=""),1,"")</f>
        <v/>
      </c>
      <c r="AT1119" s="25">
        <f>IF(G1119="BLOQ",1,"")</f>
        <v/>
      </c>
      <c r="AU1119" s="25">
        <f>IF(L1119="BLOQ",1,"")</f>
        <v/>
      </c>
      <c r="AV1119" s="25">
        <f>MONTH(F1119)</f>
        <v/>
      </c>
      <c r="AW1119" s="65">
        <f>IF(AP1119="",100%,0%)</f>
        <v/>
      </c>
      <c r="AX1119" s="56" t="n"/>
      <c r="AY1119" s="24">
        <f>IF(M1119=0,"",M1119-$AX$2)</f>
        <v/>
      </c>
      <c r="AZ1119" s="66">
        <f>IF(AND(W1119="",AY1119&gt;0,AY1119&lt;15),1,0)</f>
        <v/>
      </c>
      <c r="BA1119" s="24">
        <f>IF(AND(W1119="",AY1119&gt;0,AY1119&lt;15),T1119,"")</f>
        <v/>
      </c>
      <c r="BB1119" s="87">
        <f>IF(R1119&lt;Q1119,"X","")</f>
        <v/>
      </c>
      <c r="BC1119" s="191" t="inlineStr">
        <is>
          <t>SI</t>
        </is>
      </c>
      <c r="BD1119" s="191" t="inlineStr">
        <is>
          <t>SI</t>
        </is>
      </c>
    </row>
    <row r="1120" ht="15" customHeight="1" s="162">
      <c r="A1120" s="7" t="n">
        <v>1119</v>
      </c>
      <c r="B1120" t="inlineStr">
        <is>
          <t>1241300250900</t>
        </is>
      </c>
      <c r="C1120" t="inlineStr">
        <is>
          <t>ACTUADOR ELECTRICO 150MM MOTOR DER 24VDC</t>
        </is>
      </c>
      <c r="D1120" t="inlineStr">
        <is>
          <t>1800109000</t>
        </is>
      </c>
      <c r="E1120" t="inlineStr">
        <is>
          <t>120</t>
        </is>
      </c>
      <c r="F1120" s="163" t="n">
        <v>45463</v>
      </c>
      <c r="G1120" t="inlineStr"/>
      <c r="H1120" t="inlineStr">
        <is>
          <t>4200568513</t>
        </is>
      </c>
      <c r="I1120" t="inlineStr">
        <is>
          <t>20</t>
        </is>
      </c>
      <c r="J1120" s="163" t="n">
        <v>45470</v>
      </c>
      <c r="K1120" s="163" t="n">
        <v>45470</v>
      </c>
      <c r="L1120" t="inlineStr"/>
      <c r="M1120" s="163" t="n">
        <v>45491</v>
      </c>
      <c r="N1120" s="164" t="n">
        <v>40</v>
      </c>
      <c r="O1120" s="164" t="n">
        <v>8</v>
      </c>
      <c r="P1120" t="inlineStr">
        <is>
          <t>Liberado</t>
        </is>
      </c>
      <c r="Q1120" s="165" t="n">
        <v>3</v>
      </c>
      <c r="R1120" s="165" t="n">
        <v>3</v>
      </c>
      <c r="S1120" s="165" t="n">
        <v>3</v>
      </c>
      <c r="T1120" s="165" t="n">
        <v>0</v>
      </c>
      <c r="U1120" s="166" t="n">
        <v>3</v>
      </c>
      <c r="V1120" s="166" t="n">
        <v>0</v>
      </c>
      <c r="W1120" t="inlineStr">
        <is>
          <t>X</t>
        </is>
      </c>
      <c r="X1120" t="inlineStr">
        <is>
          <t>0.00</t>
        </is>
      </c>
      <c r="Y1120" t="inlineStr"/>
      <c r="Z1120" t="inlineStr">
        <is>
          <t>SMC ESPAÑA, S.A.</t>
        </is>
      </c>
      <c r="AA1120" t="inlineStr">
        <is>
          <t>SMC</t>
        </is>
      </c>
      <c r="AB1120" t="inlineStr">
        <is>
          <t>LEFS16RB-150</t>
        </is>
      </c>
      <c r="AC1120" t="inlineStr"/>
      <c r="AD1120" s="164" t="n">
        <v>0</v>
      </c>
      <c r="AE1120" s="185" t="n">
        <v>0</v>
      </c>
      <c r="AG1120" s="167" t="inlineStr">
        <is>
          <t>7218|JA2578_1001</t>
        </is>
      </c>
      <c r="AH1120" s="47">
        <f>IF(M1120=0,"-",M1120-J1120)</f>
        <v/>
      </c>
      <c r="AI1120" s="46">
        <f>IF(AND(S1120=0,M1120&gt;0,L1120=0),IF(AH1120&gt;=120,"VERY HIGH",IF(AH1120&gt;=90,"HIGH",IF(AH1120&gt;=60,"MEDIUM",IF(AH1120&lt;60,"LOW")))),"-")</f>
        <v/>
      </c>
      <c r="AJ1120" s="12" t="n"/>
      <c r="AK1120" s="53">
        <f>IF(AND(W1120="X",M1120&lt;=$AJ$2),"YES","")</f>
        <v/>
      </c>
      <c r="AL1120" s="54">
        <f>IF(AND(W1120="X",M1120&lt;=$AJ$2),S1120,"")</f>
        <v/>
      </c>
      <c r="AM1120" s="35" t="n"/>
      <c r="AN1120" s="35">
        <f>IF(AND(W1120="X",M1120&gt;$AJ$2),S1120,"")</f>
        <v/>
      </c>
      <c r="AO1120" s="35">
        <f>IF(AND(W1120="",M1120&gt;0,$AJ$2&gt;M1120,L1120=""),1,0)</f>
        <v/>
      </c>
      <c r="AP1120" s="35">
        <f>IF(AND(AK1120="YES",W1120="X"),"X","")</f>
        <v/>
      </c>
      <c r="AQ1120" s="55">
        <f>IF(AP1120="X",100%,0%)</f>
        <v/>
      </c>
      <c r="AR1120" s="25">
        <f>IF(AND(T1120&gt;0,L1120=""),H1120,"")</f>
        <v/>
      </c>
      <c r="AS1120" s="25">
        <f>IF(AND(D1120&gt;0,H1120=0,G1120=""),1,"")</f>
        <v/>
      </c>
      <c r="AT1120" s="25">
        <f>IF(G1120="BLOQ",1,"")</f>
        <v/>
      </c>
      <c r="AU1120" s="25">
        <f>IF(L1120="BLOQ",1,"")</f>
        <v/>
      </c>
      <c r="AV1120" s="25">
        <f>MONTH(F1120)</f>
        <v/>
      </c>
      <c r="AW1120" s="65">
        <f>IF(AP1120="",100%,0%)</f>
        <v/>
      </c>
      <c r="AX1120" s="56" t="n"/>
      <c r="AY1120" s="24">
        <f>IF(M1120=0,"",M1120-$AX$2)</f>
        <v/>
      </c>
      <c r="AZ1120" s="66">
        <f>IF(AND(W1120="",AY1120&gt;0,AY1120&lt;15),1,0)</f>
        <v/>
      </c>
      <c r="BA1120" s="24">
        <f>IF(AND(W1120="",AY1120&gt;0,AY1120&lt;15),T1120,"")</f>
        <v/>
      </c>
      <c r="BB1120" s="87">
        <f>IF(R1120&lt;Q1120,"X","")</f>
        <v/>
      </c>
      <c r="BC1120" s="191" t="inlineStr">
        <is>
          <t>SI</t>
        </is>
      </c>
      <c r="BD1120" s="191" t="inlineStr">
        <is>
          <t>SI</t>
        </is>
      </c>
    </row>
    <row r="1121" ht="15" customHeight="1" s="162">
      <c r="A1121" s="7" t="n">
        <v>1120</v>
      </c>
      <c r="B1121" t="inlineStr">
        <is>
          <t>1263511140101</t>
        </is>
      </c>
      <c r="C1121" t="inlineStr">
        <is>
          <t>FA CNM 100-240V/24VDC 5/6A 120W P-BOOST</t>
        </is>
      </c>
      <c r="D1121" t="inlineStr">
        <is>
          <t>1800109000</t>
        </is>
      </c>
      <c r="E1121" t="inlineStr">
        <is>
          <t>130</t>
        </is>
      </c>
      <c r="F1121" s="163" t="n">
        <v>45463</v>
      </c>
      <c r="G1121" t="inlineStr"/>
      <c r="H1121" t="inlineStr">
        <is>
          <t>4200568104</t>
        </is>
      </c>
      <c r="I1121" t="inlineStr">
        <is>
          <t>10</t>
        </is>
      </c>
      <c r="J1121" s="163" t="n">
        <v>45464</v>
      </c>
      <c r="K1121" s="163" t="n">
        <v>45464</v>
      </c>
      <c r="L1121" t="inlineStr"/>
      <c r="M1121" s="163" t="n">
        <v>45488</v>
      </c>
      <c r="N1121" s="164" t="n">
        <v>45</v>
      </c>
      <c r="O1121" s="164" t="n">
        <v>8</v>
      </c>
      <c r="P1121" t="inlineStr">
        <is>
          <t>Liberado</t>
        </is>
      </c>
      <c r="Q1121" s="165" t="n">
        <v>1</v>
      </c>
      <c r="R1121" s="165" t="n">
        <v>1</v>
      </c>
      <c r="S1121" s="165" t="n">
        <v>1</v>
      </c>
      <c r="T1121" s="165" t="n">
        <v>0</v>
      </c>
      <c r="U1121" s="166" t="n">
        <v>1</v>
      </c>
      <c r="V1121" s="166" t="n">
        <v>0</v>
      </c>
      <c r="W1121" t="inlineStr">
        <is>
          <t>X</t>
        </is>
      </c>
      <c r="X1121" t="inlineStr">
        <is>
          <t>0.00</t>
        </is>
      </c>
      <c r="Y1121" t="inlineStr"/>
      <c r="Z1121" t="inlineStr">
        <is>
          <t>GITEC CONTROL, S.L.</t>
        </is>
      </c>
      <c r="AA1121" t="inlineStr">
        <is>
          <t>OMRON CORPORATION</t>
        </is>
      </c>
      <c r="AB1121" t="inlineStr">
        <is>
          <t>S8VK-G12024</t>
        </is>
      </c>
      <c r="AC1121" t="inlineStr"/>
      <c r="AD1121" s="164" t="n">
        <v>0</v>
      </c>
      <c r="AE1121" s="185" t="n">
        <v>0</v>
      </c>
      <c r="AG1121" s="167" t="inlineStr">
        <is>
          <t>7218|JA2578_1001</t>
        </is>
      </c>
      <c r="AH1121" s="47">
        <f>IF(M1121=0,"-",M1121-J1121)</f>
        <v/>
      </c>
      <c r="AI1121" s="46">
        <f>IF(AND(S1121=0,M1121&gt;0,L1121=0),IF(AH1121&gt;=120,"VERY HIGH",IF(AH1121&gt;=90,"HIGH",IF(AH1121&gt;=60,"MEDIUM",IF(AH1121&lt;60,"LOW")))),"-")</f>
        <v/>
      </c>
      <c r="AJ1121" s="12" t="n"/>
      <c r="AK1121" s="53">
        <f>IF(AND(W1121="X",M1121&lt;=$AJ$2),"YES","")</f>
        <v/>
      </c>
      <c r="AL1121" s="54">
        <f>IF(AND(W1121="X",M1121&lt;=$AJ$2),S1121,"")</f>
        <v/>
      </c>
      <c r="AM1121" s="35" t="n"/>
      <c r="AN1121" s="35">
        <f>IF(AND(W1121="X",M1121&gt;$AJ$2),S1121,"")</f>
        <v/>
      </c>
      <c r="AO1121" s="35">
        <f>IF(AND(W1121="",M1121&gt;0,$AJ$2&gt;M1121,L1121=""),1,0)</f>
        <v/>
      </c>
      <c r="AP1121" s="35">
        <f>IF(AND(AK1121="YES",W1121="X"),"X","")</f>
        <v/>
      </c>
      <c r="AQ1121" s="55">
        <f>IF(AP1121="X",100%,0%)</f>
        <v/>
      </c>
      <c r="AR1121" s="25">
        <f>IF(AND(T1121&gt;0,L1121=""),H1121,"")</f>
        <v/>
      </c>
      <c r="AS1121" s="25">
        <f>IF(AND(D1121&gt;0,H1121=0,G1121=""),1,"")</f>
        <v/>
      </c>
      <c r="AT1121" s="25">
        <f>IF(G1121="BLOQ",1,"")</f>
        <v/>
      </c>
      <c r="AU1121" s="25">
        <f>IF(L1121="BLOQ",1,"")</f>
        <v/>
      </c>
      <c r="AV1121" s="25">
        <f>MONTH(F1121)</f>
        <v/>
      </c>
      <c r="AW1121" s="65">
        <f>IF(AP1121="",100%,0%)</f>
        <v/>
      </c>
      <c r="AX1121" s="56" t="n"/>
      <c r="AY1121" s="24">
        <f>IF(M1121=0,"",M1121-$AX$2)</f>
        <v/>
      </c>
      <c r="AZ1121" s="66">
        <f>IF(AND(W1121="",AY1121&gt;0,AY1121&lt;15),1,0)</f>
        <v/>
      </c>
      <c r="BA1121" s="24">
        <f>IF(AND(W1121="",AY1121&gt;0,AY1121&lt;15),T1121,"")</f>
        <v/>
      </c>
      <c r="BB1121" s="87">
        <f>IF(R1121&lt;Q1121,"X","")</f>
        <v/>
      </c>
      <c r="BC1121" s="190" t="inlineStr">
        <is>
          <t>NO</t>
        </is>
      </c>
      <c r="BD1121" s="191" t="inlineStr">
        <is>
          <t>SI</t>
        </is>
      </c>
    </row>
    <row r="1122" ht="15" customHeight="1" s="162">
      <c r="A1122" s="7" t="n">
        <v>1121</v>
      </c>
      <c r="B1122" t="inlineStr">
        <is>
          <t>1289900000001</t>
        </is>
      </c>
      <c r="C1122" t="inlineStr">
        <is>
          <t>SENSOR ULTRASONICO EEPROM 18-30VCC 50MA</t>
        </is>
      </c>
      <c r="D1122" t="inlineStr">
        <is>
          <t>1800109000</t>
        </is>
      </c>
      <c r="E1122" t="inlineStr">
        <is>
          <t>140</t>
        </is>
      </c>
      <c r="F1122" s="163" t="n">
        <v>45463</v>
      </c>
      <c r="G1122" t="inlineStr"/>
      <c r="H1122" t="inlineStr">
        <is>
          <t>4200575347</t>
        </is>
      </c>
      <c r="I1122" t="inlineStr">
        <is>
          <t>30</t>
        </is>
      </c>
      <c r="J1122" s="163" t="n">
        <v>45531</v>
      </c>
      <c r="K1122" s="163" t="n">
        <v>45532</v>
      </c>
      <c r="L1122" t="inlineStr"/>
      <c r="M1122" s="163" t="n">
        <v>45548</v>
      </c>
      <c r="N1122" s="164" t="n">
        <v>70</v>
      </c>
      <c r="O1122" s="164" t="n">
        <v>8</v>
      </c>
      <c r="P1122" t="inlineStr">
        <is>
          <t>Liberado</t>
        </is>
      </c>
      <c r="Q1122" s="165" t="n">
        <v>1</v>
      </c>
      <c r="R1122" s="165" t="n">
        <v>1</v>
      </c>
      <c r="S1122" s="165" t="n">
        <v>1</v>
      </c>
      <c r="T1122" s="165" t="n">
        <v>0</v>
      </c>
      <c r="U1122" s="166" t="n">
        <v>1</v>
      </c>
      <c r="V1122" s="166" t="n">
        <v>0</v>
      </c>
      <c r="W1122" t="inlineStr">
        <is>
          <t>X</t>
        </is>
      </c>
      <c r="X1122" t="inlineStr">
        <is>
          <t>0.00</t>
        </is>
      </c>
      <c r="Y1122" t="inlineStr"/>
      <c r="Z1122" t="inlineStr">
        <is>
          <t>INFORSHOP, S.L.</t>
        </is>
      </c>
      <c r="AA1122" t="inlineStr">
        <is>
          <t>PEPPERL+FUCHS</t>
        </is>
      </c>
      <c r="AB1122" t="inlineStr">
        <is>
          <t>UC400-F77-IU-IO-V31</t>
        </is>
      </c>
      <c r="AC1122" t="inlineStr"/>
      <c r="AD1122" s="164" t="n">
        <v>1</v>
      </c>
      <c r="AE1122" s="185" t="n">
        <v>0</v>
      </c>
      <c r="AG1122" s="167" t="inlineStr">
        <is>
          <t>7218|JA2578_1001</t>
        </is>
      </c>
      <c r="AH1122" s="47">
        <f>IF(M1122=0,"-",M1122-J1122)</f>
        <v/>
      </c>
      <c r="AI1122" s="46">
        <f>IF(AND(S1122=0,M1122&gt;0,L1122=0),IF(AH1122&gt;=120,"VERY HIGH",IF(AH1122&gt;=90,"HIGH",IF(AH1122&gt;=60,"MEDIUM",IF(AH1122&lt;60,"LOW")))),"-")</f>
        <v/>
      </c>
      <c r="AJ1122" s="12" t="n"/>
      <c r="AK1122" s="53">
        <f>IF(AND(W1122="X",M1122&lt;=$AJ$2),"YES","")</f>
        <v/>
      </c>
      <c r="AL1122" s="54">
        <f>IF(AND(W1122="X",M1122&lt;=$AJ$2),S1122,"")</f>
        <v/>
      </c>
      <c r="AM1122" s="35" t="n"/>
      <c r="AN1122" s="35">
        <f>IF(AND(W1122="X",M1122&gt;$AJ$2),S1122,"")</f>
        <v/>
      </c>
      <c r="AO1122" s="35">
        <f>IF(AND(W1122="",M1122&gt;0,$AJ$2&gt;M1122,L1122=""),1,0)</f>
        <v/>
      </c>
      <c r="AP1122" s="35">
        <f>IF(AND(AK1122="YES",W1122="X"),"X","")</f>
        <v/>
      </c>
      <c r="AQ1122" s="55">
        <f>IF(AP1122="X",100%,0%)</f>
        <v/>
      </c>
      <c r="AR1122" s="25">
        <f>IF(AND(T1122&gt;0,L1122=""),H1122,"")</f>
        <v/>
      </c>
      <c r="AS1122" s="25">
        <f>IF(AND(D1122&gt;0,H1122=0,G1122=""),1,"")</f>
        <v/>
      </c>
      <c r="AT1122" s="25">
        <f>IF(G1122="BLOQ",1,"")</f>
        <v/>
      </c>
      <c r="AU1122" s="25">
        <f>IF(L1122="BLOQ",1,"")</f>
        <v/>
      </c>
      <c r="AV1122" s="25">
        <f>MONTH(F1122)</f>
        <v/>
      </c>
      <c r="AW1122" s="65">
        <f>IF(AP1122="",100%,0%)</f>
        <v/>
      </c>
      <c r="AX1122" s="56" t="n"/>
      <c r="AY1122" s="24">
        <f>IF(M1122=0,"",M1122-$AX$2)</f>
        <v/>
      </c>
      <c r="AZ1122" s="66">
        <f>IF(AND(W1122="",AY1122&gt;0,AY1122&lt;15),1,0)</f>
        <v/>
      </c>
      <c r="BA1122" s="24">
        <f>IF(AND(W1122="",AY1122&gt;0,AY1122&lt;15),T1122,"")</f>
        <v/>
      </c>
      <c r="BB1122" s="87">
        <f>IF(R1122&lt;Q1122,"X","")</f>
        <v/>
      </c>
      <c r="BC1122" s="191" t="inlineStr">
        <is>
          <t>SI</t>
        </is>
      </c>
      <c r="BD1122" s="191" t="inlineStr">
        <is>
          <t>SI</t>
        </is>
      </c>
    </row>
    <row r="1123" ht="15" customHeight="1" s="162">
      <c r="A1123" s="7" t="n">
        <v>1122</v>
      </c>
      <c r="B1123" t="inlineStr">
        <is>
          <t>1309006400000</t>
        </is>
      </c>
      <c r="C1123" t="inlineStr">
        <is>
          <t>MOD COM CPU ETH S7-1200 230V PROFINET</t>
        </is>
      </c>
      <c r="D1123" t="inlineStr">
        <is>
          <t>1800109000</t>
        </is>
      </c>
      <c r="E1123" t="inlineStr">
        <is>
          <t>150</t>
        </is>
      </c>
      <c r="F1123" s="163" t="n">
        <v>45463</v>
      </c>
      <c r="G1123" t="inlineStr"/>
      <c r="H1123" t="inlineStr">
        <is>
          <t>4200571839</t>
        </is>
      </c>
      <c r="I1123" t="inlineStr">
        <is>
          <t>40</t>
        </is>
      </c>
      <c r="J1123" s="163" t="n">
        <v>45496</v>
      </c>
      <c r="K1123" s="163" t="n">
        <v>45496</v>
      </c>
      <c r="L1123" t="inlineStr"/>
      <c r="M1123" s="163" t="n">
        <v>45523</v>
      </c>
      <c r="N1123" s="164" t="n">
        <v>60</v>
      </c>
      <c r="O1123" s="164" t="n">
        <v>8</v>
      </c>
      <c r="P1123" t="inlineStr">
        <is>
          <t>Liberado</t>
        </is>
      </c>
      <c r="Q1123" s="165" t="n">
        <v>1</v>
      </c>
      <c r="R1123" s="165" t="n">
        <v>1</v>
      </c>
      <c r="S1123" s="165" t="n">
        <v>1</v>
      </c>
      <c r="T1123" s="165" t="n">
        <v>0</v>
      </c>
      <c r="U1123" s="166" t="n">
        <v>1</v>
      </c>
      <c r="V1123" s="166" t="n">
        <v>0</v>
      </c>
      <c r="W1123" t="inlineStr">
        <is>
          <t>X</t>
        </is>
      </c>
      <c r="X1123" t="inlineStr">
        <is>
          <t>0.00</t>
        </is>
      </c>
      <c r="Y1123" t="inlineStr"/>
      <c r="Z1123" t="inlineStr">
        <is>
          <t>INFORMATICA CALCULO Y TECNICA, S.A.</t>
        </is>
      </c>
      <c r="AA1123" t="inlineStr">
        <is>
          <t>SIEMENS</t>
        </is>
      </c>
      <c r="AB1123" t="inlineStr">
        <is>
          <t>6ES7215-1BG40-0XB0</t>
        </is>
      </c>
      <c r="AC1123" t="inlineStr"/>
      <c r="AD1123" s="164" t="n">
        <v>0</v>
      </c>
      <c r="AE1123" s="185" t="n">
        <v>0</v>
      </c>
      <c r="AG1123" s="167" t="inlineStr">
        <is>
          <t>7218|JA2578_1001</t>
        </is>
      </c>
      <c r="AH1123" s="47">
        <f>IF(M1123=0,"-",M1123-J1123)</f>
        <v/>
      </c>
      <c r="AI1123" s="46">
        <f>IF(AND(S1123=0,M1123&gt;0,L1123=0),IF(AH1123&gt;=120,"VERY HIGH",IF(AH1123&gt;=90,"HIGH",IF(AH1123&gt;=60,"MEDIUM",IF(AH1123&lt;60,"LOW")))),"-")</f>
        <v/>
      </c>
      <c r="AJ1123" s="12" t="n"/>
      <c r="AK1123" s="53">
        <f>IF(AND(W1123="X",M1123&lt;=$AJ$2),"YES","")</f>
        <v/>
      </c>
      <c r="AL1123" s="54">
        <f>IF(AND(W1123="X",M1123&lt;=$AJ$2),S1123,"")</f>
        <v/>
      </c>
      <c r="AM1123" s="35" t="n"/>
      <c r="AN1123" s="35">
        <f>IF(AND(W1123="X",M1123&gt;$AJ$2),S1123,"")</f>
        <v/>
      </c>
      <c r="AO1123" s="35">
        <f>IF(AND(W1123="",M1123&gt;0,$AJ$2&gt;M1123,L1123=""),1,0)</f>
        <v/>
      </c>
      <c r="AP1123" s="35">
        <f>IF(AND(AK1123="YES",W1123="X"),"X","")</f>
        <v/>
      </c>
      <c r="AQ1123" s="55">
        <f>IF(AP1123="X",100%,0%)</f>
        <v/>
      </c>
      <c r="AR1123" s="25">
        <f>IF(AND(T1123&gt;0,L1123=""),H1123,"")</f>
        <v/>
      </c>
      <c r="AS1123" s="25">
        <f>IF(AND(D1123&gt;0,H1123=0,G1123=""),1,"")</f>
        <v/>
      </c>
      <c r="AT1123" s="25">
        <f>IF(G1123="BLOQ",1,"")</f>
        <v/>
      </c>
      <c r="AU1123" s="25">
        <f>IF(L1123="BLOQ",1,"")</f>
        <v/>
      </c>
      <c r="AV1123" s="25">
        <f>MONTH(F1123)</f>
        <v/>
      </c>
      <c r="AW1123" s="65">
        <f>IF(AP1123="",100%,0%)</f>
        <v/>
      </c>
      <c r="AX1123" s="56" t="n"/>
      <c r="AY1123" s="24">
        <f>IF(M1123=0,"",M1123-$AX$2)</f>
        <v/>
      </c>
      <c r="AZ1123" s="66">
        <f>IF(AND(W1123="",AY1123&gt;0,AY1123&lt;15),1,0)</f>
        <v/>
      </c>
      <c r="BA1123" s="24">
        <f>IF(AND(W1123="",AY1123&gt;0,AY1123&lt;15),T1123,"")</f>
        <v/>
      </c>
      <c r="BB1123" s="87">
        <f>IF(R1123&lt;Q1123,"X","")</f>
        <v/>
      </c>
      <c r="BC1123" s="190" t="inlineStr">
        <is>
          <t>NO</t>
        </is>
      </c>
      <c r="BD1123" s="191" t="inlineStr">
        <is>
          <t>SI</t>
        </is>
      </c>
    </row>
    <row r="1124" ht="15" customHeight="1" s="162">
      <c r="A1124" s="7" t="n">
        <v>1123</v>
      </c>
      <c r="B1124" t="inlineStr">
        <is>
          <t>1309006400100</t>
        </is>
      </c>
      <c r="C1124" t="inlineStr">
        <is>
          <t>MOD COM E/S PLC 4IN ANALOG 24V SIMATIC</t>
        </is>
      </c>
      <c r="D1124" t="inlineStr">
        <is>
          <t>1800109000</t>
        </is>
      </c>
      <c r="E1124" t="inlineStr">
        <is>
          <t>160</t>
        </is>
      </c>
      <c r="F1124" s="163" t="n">
        <v>45463</v>
      </c>
      <c r="G1124" t="inlineStr"/>
      <c r="H1124" t="inlineStr">
        <is>
          <t>4200571839</t>
        </is>
      </c>
      <c r="I1124" t="inlineStr">
        <is>
          <t>50</t>
        </is>
      </c>
      <c r="J1124" s="163" t="n">
        <v>45496</v>
      </c>
      <c r="K1124" s="163" t="n">
        <v>45496</v>
      </c>
      <c r="L1124" t="inlineStr"/>
      <c r="M1124" s="163" t="n">
        <v>45523</v>
      </c>
      <c r="N1124" s="164" t="n">
        <v>40</v>
      </c>
      <c r="O1124" s="164" t="n">
        <v>8</v>
      </c>
      <c r="P1124" t="inlineStr">
        <is>
          <t>Liberado</t>
        </is>
      </c>
      <c r="Q1124" s="165" t="n">
        <v>1</v>
      </c>
      <c r="R1124" s="165" t="n">
        <v>1</v>
      </c>
      <c r="S1124" s="165" t="n">
        <v>1</v>
      </c>
      <c r="T1124" s="165" t="n">
        <v>0</v>
      </c>
      <c r="U1124" s="166" t="n">
        <v>1</v>
      </c>
      <c r="V1124" s="166" t="n">
        <v>0</v>
      </c>
      <c r="W1124" t="inlineStr">
        <is>
          <t>X</t>
        </is>
      </c>
      <c r="X1124" t="inlineStr">
        <is>
          <t>0.00</t>
        </is>
      </c>
      <c r="Y1124" t="inlineStr"/>
      <c r="Z1124" t="inlineStr">
        <is>
          <t>INFORMATICA CALCULO Y TECNICA, S.A.</t>
        </is>
      </c>
      <c r="AA1124" t="inlineStr">
        <is>
          <t>SIEMENS</t>
        </is>
      </c>
      <c r="AB1124" t="inlineStr">
        <is>
          <t>6ES7234-4HE32-0XB0</t>
        </is>
      </c>
      <c r="AC1124" t="inlineStr"/>
      <c r="AD1124" s="164" t="n">
        <v>0</v>
      </c>
      <c r="AE1124" s="185" t="n">
        <v>0</v>
      </c>
      <c r="AG1124" s="167" t="inlineStr">
        <is>
          <t>7218|JA2578_1001</t>
        </is>
      </c>
      <c r="AH1124" s="47">
        <f>IF(M1124=0,"-",M1124-J1124)</f>
        <v/>
      </c>
      <c r="AI1124" s="46">
        <f>IF(AND(S1124=0,M1124&gt;0,L1124=0),IF(AH1124&gt;=120,"VERY HIGH",IF(AH1124&gt;=90,"HIGH",IF(AH1124&gt;=60,"MEDIUM",IF(AH1124&lt;60,"LOW")))),"-")</f>
        <v/>
      </c>
      <c r="AJ1124" s="12" t="n"/>
      <c r="AK1124" s="53">
        <f>IF(AND(W1124="X",M1124&lt;=$AJ$2),"YES","")</f>
        <v/>
      </c>
      <c r="AL1124" s="54">
        <f>IF(AND(W1124="X",M1124&lt;=$AJ$2),S1124,"")</f>
        <v/>
      </c>
      <c r="AM1124" s="35" t="n"/>
      <c r="AN1124" s="35">
        <f>IF(AND(W1124="X",M1124&gt;$AJ$2),S1124,"")</f>
        <v/>
      </c>
      <c r="AO1124" s="35">
        <f>IF(AND(W1124="",M1124&gt;0,$AJ$2&gt;M1124,L1124=""),1,0)</f>
        <v/>
      </c>
      <c r="AP1124" s="35">
        <f>IF(AND(AK1124="YES",W1124="X"),"X","")</f>
        <v/>
      </c>
      <c r="AQ1124" s="55">
        <f>IF(AP1124="X",100%,0%)</f>
        <v/>
      </c>
      <c r="AR1124" s="25">
        <f>IF(AND(T1124&gt;0,L1124=""),H1124,"")</f>
        <v/>
      </c>
      <c r="AS1124" s="25">
        <f>IF(AND(D1124&gt;0,H1124=0,G1124=""),1,"")</f>
        <v/>
      </c>
      <c r="AT1124" s="25">
        <f>IF(G1124="BLOQ",1,"")</f>
        <v/>
      </c>
      <c r="AU1124" s="25">
        <f>IF(L1124="BLOQ",1,"")</f>
        <v/>
      </c>
      <c r="AV1124" s="25">
        <f>MONTH(F1124)</f>
        <v/>
      </c>
      <c r="AW1124" s="65">
        <f>IF(AP1124="",100%,0%)</f>
        <v/>
      </c>
      <c r="AX1124" s="56" t="n"/>
      <c r="AY1124" s="24">
        <f>IF(M1124=0,"",M1124-$AX$2)</f>
        <v/>
      </c>
      <c r="AZ1124" s="66">
        <f>IF(AND(W1124="",AY1124&gt;0,AY1124&lt;15),1,0)</f>
        <v/>
      </c>
      <c r="BA1124" s="24">
        <f>IF(AND(W1124="",AY1124&gt;0,AY1124&lt;15),T1124,"")</f>
        <v/>
      </c>
      <c r="BB1124" s="87">
        <f>IF(R1124&lt;Q1124,"X","")</f>
        <v/>
      </c>
      <c r="BC1124" s="190" t="inlineStr">
        <is>
          <t>NO</t>
        </is>
      </c>
      <c r="BD1124" s="191" t="inlineStr">
        <is>
          <t>SI</t>
        </is>
      </c>
    </row>
    <row r="1125" ht="15" customHeight="1" s="162">
      <c r="A1125" s="7" t="n">
        <v>1124</v>
      </c>
      <c r="B1125" t="inlineStr">
        <is>
          <t>1309006400200</t>
        </is>
      </c>
      <c r="C1125" t="inlineStr">
        <is>
          <t>MOD COM E/S PLC 2IN DIGI 5V SIMATIC</t>
        </is>
      </c>
      <c r="D1125" t="inlineStr">
        <is>
          <t>1800109000</t>
        </is>
      </c>
      <c r="E1125" t="inlineStr">
        <is>
          <t>170</t>
        </is>
      </c>
      <c r="F1125" s="163" t="n">
        <v>45463</v>
      </c>
      <c r="G1125" t="inlineStr"/>
      <c r="H1125" t="inlineStr">
        <is>
          <t>4200571839</t>
        </is>
      </c>
      <c r="I1125" t="inlineStr">
        <is>
          <t>60</t>
        </is>
      </c>
      <c r="J1125" s="163" t="n">
        <v>45496</v>
      </c>
      <c r="K1125" s="163" t="n">
        <v>45496</v>
      </c>
      <c r="L1125" t="inlineStr"/>
      <c r="M1125" s="163" t="n">
        <v>45523</v>
      </c>
      <c r="N1125" s="164" t="n">
        <v>40</v>
      </c>
      <c r="O1125" s="164" t="n">
        <v>8</v>
      </c>
      <c r="P1125" t="inlineStr">
        <is>
          <t>Liberado</t>
        </is>
      </c>
      <c r="Q1125" s="165" t="n">
        <v>1</v>
      </c>
      <c r="R1125" s="165" t="n">
        <v>1</v>
      </c>
      <c r="S1125" s="165" t="n">
        <v>1</v>
      </c>
      <c r="T1125" s="165" t="n">
        <v>0</v>
      </c>
      <c r="U1125" s="166" t="n">
        <v>1</v>
      </c>
      <c r="V1125" s="166" t="n">
        <v>0</v>
      </c>
      <c r="W1125" t="inlineStr">
        <is>
          <t>X</t>
        </is>
      </c>
      <c r="X1125" t="inlineStr">
        <is>
          <t>0.00</t>
        </is>
      </c>
      <c r="Y1125" t="inlineStr"/>
      <c r="Z1125" t="inlineStr">
        <is>
          <t>INFORMATICA CALCULO Y TECNICA, S.A.</t>
        </is>
      </c>
      <c r="AA1125" t="inlineStr">
        <is>
          <t>SIEMENS</t>
        </is>
      </c>
      <c r="AB1125" t="inlineStr">
        <is>
          <t>6ES7223-3AD30-0XB0</t>
        </is>
      </c>
      <c r="AC1125" t="inlineStr"/>
      <c r="AD1125" s="164" t="n">
        <v>0</v>
      </c>
      <c r="AE1125" s="185" t="n">
        <v>0</v>
      </c>
      <c r="AG1125" s="167" t="inlineStr">
        <is>
          <t>7218|JA2578_1001</t>
        </is>
      </c>
      <c r="AH1125" s="47">
        <f>IF(M1125=0,"-",M1125-J1125)</f>
        <v/>
      </c>
      <c r="AI1125" s="46">
        <f>IF(AND(S1125=0,M1125&gt;0,L1125=0),IF(AH1125&gt;=120,"VERY HIGH",IF(AH1125&gt;=90,"HIGH",IF(AH1125&gt;=60,"MEDIUM",IF(AH1125&lt;60,"LOW")))),"-")</f>
        <v/>
      </c>
      <c r="AJ1125" s="12" t="n"/>
      <c r="AK1125" s="53">
        <f>IF(AND(W1125="X",M1125&lt;=$AJ$2),"YES","")</f>
        <v/>
      </c>
      <c r="AL1125" s="54">
        <f>IF(AND(W1125="X",M1125&lt;=$AJ$2),S1125,"")</f>
        <v/>
      </c>
      <c r="AM1125" s="35" t="n"/>
      <c r="AN1125" s="35">
        <f>IF(AND(W1125="X",M1125&gt;$AJ$2),S1125,"")</f>
        <v/>
      </c>
      <c r="AO1125" s="35">
        <f>IF(AND(W1125="",M1125&gt;0,$AJ$2&gt;M1125,L1125=""),1,0)</f>
        <v/>
      </c>
      <c r="AP1125" s="35">
        <f>IF(AND(AK1125="YES",W1125="X"),"X","")</f>
        <v/>
      </c>
      <c r="AQ1125" s="55">
        <f>IF(AP1125="X",100%,0%)</f>
        <v/>
      </c>
      <c r="AR1125" s="25">
        <f>IF(AND(T1125&gt;0,L1125=""),H1125,"")</f>
        <v/>
      </c>
      <c r="AS1125" s="25">
        <f>IF(AND(D1125&gt;0,H1125=0,G1125=""),1,"")</f>
        <v/>
      </c>
      <c r="AT1125" s="25">
        <f>IF(G1125="BLOQ",1,"")</f>
        <v/>
      </c>
      <c r="AU1125" s="25">
        <f>IF(L1125="BLOQ",1,"")</f>
        <v/>
      </c>
      <c r="AV1125" s="25">
        <f>MONTH(F1125)</f>
        <v/>
      </c>
      <c r="AW1125" s="65">
        <f>IF(AP1125="",100%,0%)</f>
        <v/>
      </c>
      <c r="AX1125" s="56" t="n"/>
      <c r="AY1125" s="24">
        <f>IF(M1125=0,"",M1125-$AX$2)</f>
        <v/>
      </c>
      <c r="AZ1125" s="66">
        <f>IF(AND(W1125="",AY1125&gt;0,AY1125&lt;15),1,0)</f>
        <v/>
      </c>
      <c r="BA1125" s="24">
        <f>IF(AND(W1125="",AY1125&gt;0,AY1125&lt;15),T1125,"")</f>
        <v/>
      </c>
      <c r="BB1125" s="87">
        <f>IF(R1125&lt;Q1125,"X","")</f>
        <v/>
      </c>
      <c r="BC1125" s="190" t="inlineStr">
        <is>
          <t>NO</t>
        </is>
      </c>
      <c r="BD1125" s="191" t="inlineStr">
        <is>
          <t>SI</t>
        </is>
      </c>
    </row>
    <row r="1126" ht="15" customHeight="1" s="162">
      <c r="A1126" s="7" t="n">
        <v>1125</v>
      </c>
      <c r="B1126" t="inlineStr">
        <is>
          <t>1549011000790</t>
        </is>
      </c>
      <c r="C1126" t="inlineStr">
        <is>
          <t>ARANDELA GROWER M3 INOX A4</t>
        </is>
      </c>
      <c r="D1126" t="inlineStr">
        <is>
          <t>1800109000</t>
        </is>
      </c>
      <c r="E1126" t="inlineStr">
        <is>
          <t>180</t>
        </is>
      </c>
      <c r="F1126" s="163" t="n">
        <v>45463</v>
      </c>
      <c r="G1126" t="inlineStr"/>
      <c r="H1126" t="inlineStr">
        <is>
          <t>4200574693</t>
        </is>
      </c>
      <c r="I1126" t="inlineStr">
        <is>
          <t>90</t>
        </is>
      </c>
      <c r="J1126" s="163" t="n">
        <v>45522</v>
      </c>
      <c r="K1126" s="163" t="n">
        <v>45540</v>
      </c>
      <c r="L1126" t="inlineStr"/>
      <c r="M1126" s="163" t="n">
        <v>45537</v>
      </c>
      <c r="N1126" s="164" t="n">
        <v>45</v>
      </c>
      <c r="O1126" s="164" t="n">
        <v>8</v>
      </c>
      <c r="P1126" t="inlineStr">
        <is>
          <t>Liberado</t>
        </is>
      </c>
      <c r="Q1126" s="165" t="n">
        <v>4</v>
      </c>
      <c r="R1126" s="165" t="n">
        <v>100</v>
      </c>
      <c r="S1126" s="165" t="n">
        <v>100</v>
      </c>
      <c r="T1126" s="165" t="n">
        <v>0</v>
      </c>
      <c r="U1126" s="166" t="n">
        <v>100</v>
      </c>
      <c r="V1126" s="166" t="n">
        <v>0</v>
      </c>
      <c r="W1126" t="inlineStr">
        <is>
          <t>X</t>
        </is>
      </c>
      <c r="X1126" t="inlineStr">
        <is>
          <t>0.00</t>
        </is>
      </c>
      <c r="Y1126" t="inlineStr"/>
      <c r="Z1126" t="inlineStr">
        <is>
          <t>Technipol Suministros, S.L.</t>
        </is>
      </c>
      <c r="AA1126" t="inlineStr">
        <is>
          <t>RS PRO</t>
        </is>
      </c>
      <c r="AB1126" t="inlineStr">
        <is>
          <t>189-686</t>
        </is>
      </c>
      <c r="AC1126" t="inlineStr"/>
      <c r="AD1126" s="164" t="n">
        <v>0</v>
      </c>
      <c r="AE1126" s="185" t="n">
        <v>0</v>
      </c>
      <c r="AG1126" s="167" t="inlineStr">
        <is>
          <t>7218|JA2578_1001</t>
        </is>
      </c>
      <c r="AH1126" s="47">
        <f>IF(M1126=0,"-",M1126-J1126)</f>
        <v/>
      </c>
      <c r="AI1126" s="46">
        <f>IF(AND(S1126=0,M1126&gt;0,L1126=0),IF(AH1126&gt;=120,"VERY HIGH",IF(AH1126&gt;=90,"HIGH",IF(AH1126&gt;=60,"MEDIUM",IF(AH1126&lt;60,"LOW")))),"-")</f>
        <v/>
      </c>
      <c r="AJ1126" s="12" t="n"/>
      <c r="AK1126" s="53">
        <f>IF(AND(W1126="X",M1126&lt;=$AJ$2),"YES","")</f>
        <v/>
      </c>
      <c r="AL1126" s="54">
        <f>IF(AND(W1126="X",M1126&lt;=$AJ$2),S1126,"")</f>
        <v/>
      </c>
      <c r="AM1126" s="35" t="n"/>
      <c r="AN1126" s="35">
        <f>IF(AND(W1126="X",M1126&gt;$AJ$2),S1126,"")</f>
        <v/>
      </c>
      <c r="AO1126" s="35">
        <f>IF(AND(W1126="",M1126&gt;0,$AJ$2&gt;M1126,L1126=""),1,0)</f>
        <v/>
      </c>
      <c r="AP1126" s="35">
        <f>IF(AND(AK1126="YES",W1126="X"),"X","")</f>
        <v/>
      </c>
      <c r="AQ1126" s="55">
        <f>IF(AP1126="X",100%,0%)</f>
        <v/>
      </c>
      <c r="AR1126" s="25">
        <f>IF(AND(T1126&gt;0,L1126=""),H1126,"")</f>
        <v/>
      </c>
      <c r="AS1126" s="25">
        <f>IF(AND(D1126&gt;0,H1126=0,G1126=""),1,"")</f>
        <v/>
      </c>
      <c r="AT1126" s="25">
        <f>IF(G1126="BLOQ",1,"")</f>
        <v/>
      </c>
      <c r="AU1126" s="25">
        <f>IF(L1126="BLOQ",1,"")</f>
        <v/>
      </c>
      <c r="AV1126" s="25">
        <f>MONTH(F1126)</f>
        <v/>
      </c>
      <c r="AW1126" s="65">
        <f>IF(AP1126="",100%,0%)</f>
        <v/>
      </c>
      <c r="AX1126" s="56" t="n"/>
      <c r="AY1126" s="24">
        <f>IF(M1126=0,"",M1126-$AX$2)</f>
        <v/>
      </c>
      <c r="AZ1126" s="66">
        <f>IF(AND(W1126="",AY1126&gt;0,AY1126&lt;15),1,0)</f>
        <v/>
      </c>
      <c r="BA1126" s="24">
        <f>IF(AND(W1126="",AY1126&gt;0,AY1126&lt;15),T1126,"")</f>
        <v/>
      </c>
      <c r="BB1126" s="87">
        <f>IF(R1126&lt;Q1126,"X","")</f>
        <v/>
      </c>
      <c r="BC1126" s="190" t="inlineStr">
        <is>
          <t>NO</t>
        </is>
      </c>
      <c r="BD1126" s="191" t="inlineStr">
        <is>
          <t>SI</t>
        </is>
      </c>
    </row>
    <row r="1127" ht="15" customHeight="1" s="162">
      <c r="A1127" s="7" t="n">
        <v>1126</v>
      </c>
      <c r="B1127" t="inlineStr">
        <is>
          <t>1759990311000</t>
        </is>
      </c>
      <c r="C1127" t="inlineStr">
        <is>
          <t>BRIDA DN-40 C/ESP P/MANG 45M/M AC</t>
        </is>
      </c>
      <c r="D1127" t="inlineStr">
        <is>
          <t>1800109000</t>
        </is>
      </c>
      <c r="E1127" t="inlineStr">
        <is>
          <t>190</t>
        </is>
      </c>
      <c r="F1127" s="163" t="n">
        <v>45463</v>
      </c>
      <c r="G1127" t="inlineStr"/>
      <c r="H1127" t="inlineStr">
        <is>
          <t>4200568635</t>
        </is>
      </c>
      <c r="I1127" t="inlineStr">
        <is>
          <t>10</t>
        </is>
      </c>
      <c r="J1127" s="163" t="n">
        <v>45470</v>
      </c>
      <c r="K1127" s="163" t="n">
        <v>45477</v>
      </c>
      <c r="L1127" t="inlineStr"/>
      <c r="M1127" s="163" t="n">
        <v>45503</v>
      </c>
      <c r="N1127" s="164" t="n">
        <v>55</v>
      </c>
      <c r="O1127" s="164" t="n">
        <v>8</v>
      </c>
      <c r="P1127" t="inlineStr">
        <is>
          <t>Liberado</t>
        </is>
      </c>
      <c r="Q1127" s="165" t="n">
        <v>2</v>
      </c>
      <c r="R1127" s="165" t="n">
        <v>2</v>
      </c>
      <c r="S1127" s="165" t="n">
        <v>2</v>
      </c>
      <c r="T1127" s="165" t="n">
        <v>0</v>
      </c>
      <c r="U1127" s="166" t="n">
        <v>2</v>
      </c>
      <c r="V1127" s="166" t="n">
        <v>0</v>
      </c>
      <c r="W1127" t="inlineStr">
        <is>
          <t>X</t>
        </is>
      </c>
      <c r="X1127" t="inlineStr">
        <is>
          <t>0.00</t>
        </is>
      </c>
      <c r="Y1127" t="inlineStr"/>
      <c r="Z1127" t="inlineStr">
        <is>
          <t>VOSS SA</t>
        </is>
      </c>
      <c r="AA1127" t="inlineStr">
        <is>
          <t>PORTAS EURORAPID</t>
        </is>
      </c>
      <c r="AB1127" t="inlineStr">
        <is>
          <t>145040045</t>
        </is>
      </c>
      <c r="AC1127" t="inlineStr"/>
      <c r="AD1127" s="164" t="n">
        <v>1</v>
      </c>
      <c r="AE1127" s="185" t="n">
        <v>1</v>
      </c>
      <c r="AG1127" s="167" t="inlineStr">
        <is>
          <t>7218|JA2578_1001</t>
        </is>
      </c>
      <c r="AH1127" s="47">
        <f>IF(M1127=0,"-",M1127-J1127)</f>
        <v/>
      </c>
      <c r="AI1127" s="46">
        <f>IF(AND(S1127=0,M1127&gt;0,L1127=0),IF(AH1127&gt;=120,"VERY HIGH",IF(AH1127&gt;=90,"HIGH",IF(AH1127&gt;=60,"MEDIUM",IF(AH1127&lt;60,"LOW")))),"-")</f>
        <v/>
      </c>
      <c r="AJ1127" s="12" t="n"/>
      <c r="AK1127" s="53">
        <f>IF(AND(W1127="X",M1127&lt;=$AJ$2),"YES","")</f>
        <v/>
      </c>
      <c r="AL1127" s="54">
        <f>IF(AND(W1127="X",M1127&lt;=$AJ$2),S1127,"")</f>
        <v/>
      </c>
      <c r="AM1127" s="35" t="n"/>
      <c r="AN1127" s="35">
        <f>IF(AND(W1127="X",M1127&gt;$AJ$2),S1127,"")</f>
        <v/>
      </c>
      <c r="AO1127" s="35">
        <f>IF(AND(W1127="",M1127&gt;0,$AJ$2&gt;M1127,L1127=""),1,0)</f>
        <v/>
      </c>
      <c r="AP1127" s="35">
        <f>IF(AND(AK1127="YES",W1127="X"),"X","")</f>
        <v/>
      </c>
      <c r="AQ1127" s="55">
        <f>IF(AP1127="X",100%,0%)</f>
        <v/>
      </c>
      <c r="AR1127" s="25">
        <f>IF(AND(T1127&gt;0,L1127=""),H1127,"")</f>
        <v/>
      </c>
      <c r="AS1127" s="25">
        <f>IF(AND(D1127&gt;0,H1127=0,G1127=""),1,"")</f>
        <v/>
      </c>
      <c r="AT1127" s="25">
        <f>IF(G1127="BLOQ",1,"")</f>
        <v/>
      </c>
      <c r="AU1127" s="25">
        <f>IF(L1127="BLOQ",1,"")</f>
        <v/>
      </c>
      <c r="AV1127" s="25">
        <f>MONTH(F1127)</f>
        <v/>
      </c>
      <c r="AW1127" s="65">
        <f>IF(AP1127="",100%,0%)</f>
        <v/>
      </c>
      <c r="AX1127" s="56" t="n"/>
      <c r="AY1127" s="24">
        <f>IF(M1127=0,"",M1127-$AX$2)</f>
        <v/>
      </c>
      <c r="AZ1127" s="66">
        <f>IF(AND(W1127="",AY1127&gt;0,AY1127&lt;15),1,0)</f>
        <v/>
      </c>
      <c r="BA1127" s="24">
        <f>IF(AND(W1127="",AY1127&gt;0,AY1127&lt;15),T1127,"")</f>
        <v/>
      </c>
      <c r="BB1127" s="87">
        <f>IF(R1127&lt;Q1127,"X","")</f>
        <v/>
      </c>
      <c r="BC1127" s="190" t="inlineStr">
        <is>
          <t>NO</t>
        </is>
      </c>
      <c r="BD1127" s="191" t="inlineStr">
        <is>
          <t>SI</t>
        </is>
      </c>
    </row>
    <row r="1128" ht="15" customHeight="1" s="162">
      <c r="A1128" s="7" t="n">
        <v>1127</v>
      </c>
      <c r="B1128" t="inlineStr">
        <is>
          <t>3210300120200</t>
        </is>
      </c>
      <c r="C1128" t="inlineStr">
        <is>
          <t>F.A EQ INTER 36W 50/60HZ 12VDC 2A</t>
        </is>
      </c>
      <c r="D1128" t="inlineStr">
        <is>
          <t>1800109000</t>
        </is>
      </c>
      <c r="E1128" t="inlineStr">
        <is>
          <t>200</t>
        </is>
      </c>
      <c r="F1128" s="163" t="n">
        <v>45463</v>
      </c>
      <c r="G1128" t="inlineStr"/>
      <c r="H1128" t="inlineStr">
        <is>
          <t>4200575349</t>
        </is>
      </c>
      <c r="I1128" t="inlineStr">
        <is>
          <t>10</t>
        </is>
      </c>
      <c r="J1128" s="163" t="n">
        <v>45531</v>
      </c>
      <c r="K1128" s="163" t="n">
        <v>45532</v>
      </c>
      <c r="L1128" t="inlineStr"/>
      <c r="M1128" s="163" t="n">
        <v>45539</v>
      </c>
      <c r="N1128" s="164" t="n">
        <v>40</v>
      </c>
      <c r="O1128" s="164" t="n">
        <v>8</v>
      </c>
      <c r="P1128" t="inlineStr">
        <is>
          <t>Liberado</t>
        </is>
      </c>
      <c r="Q1128" s="165" t="n">
        <v>1</v>
      </c>
      <c r="R1128" s="165" t="n">
        <v>1</v>
      </c>
      <c r="S1128" s="165" t="n">
        <v>1</v>
      </c>
      <c r="T1128" s="165" t="n">
        <v>0</v>
      </c>
      <c r="U1128" s="166" t="n">
        <v>0</v>
      </c>
      <c r="V1128" s="166" t="n">
        <v>0</v>
      </c>
      <c r="W1128" t="inlineStr">
        <is>
          <t>X</t>
        </is>
      </c>
      <c r="X1128" t="inlineStr">
        <is>
          <t>0.00</t>
        </is>
      </c>
      <c r="Y1128" t="inlineStr"/>
      <c r="Z1128" t="inlineStr">
        <is>
          <t>Technipol Suministros, S.L.</t>
        </is>
      </c>
      <c r="AA1128" t="inlineStr">
        <is>
          <t>POWERPAX</t>
        </is>
      </c>
      <c r="AB1128" t="inlineStr">
        <is>
          <t>SW4047D</t>
        </is>
      </c>
      <c r="AC1128" t="inlineStr"/>
      <c r="AD1128" s="164" t="n">
        <v>0</v>
      </c>
      <c r="AE1128" s="185" t="n">
        <v>0</v>
      </c>
      <c r="AG1128" s="167" t="inlineStr">
        <is>
          <t>7218|JA2578_1001</t>
        </is>
      </c>
      <c r="AH1128" s="47">
        <f>IF(M1128=0,"-",M1128-J1128)</f>
        <v/>
      </c>
      <c r="AI1128" s="46">
        <f>IF(AND(S1128=0,M1128&gt;0,L1128=0),IF(AH1128&gt;=120,"VERY HIGH",IF(AH1128&gt;=90,"HIGH",IF(AH1128&gt;=60,"MEDIUM",IF(AH1128&lt;60,"LOW")))),"-")</f>
        <v/>
      </c>
      <c r="AJ1128" s="12" t="n"/>
      <c r="AK1128" s="53">
        <f>IF(AND(W1128="X",M1128&lt;=$AJ$2),"YES","")</f>
        <v/>
      </c>
      <c r="AL1128" s="54">
        <f>IF(AND(W1128="X",M1128&lt;=$AJ$2),S1128,"")</f>
        <v/>
      </c>
      <c r="AM1128" s="35" t="n"/>
      <c r="AN1128" s="35">
        <f>IF(AND(W1128="X",M1128&gt;$AJ$2),S1128,"")</f>
        <v/>
      </c>
      <c r="AO1128" s="35">
        <f>IF(AND(W1128="",M1128&gt;0,$AJ$2&gt;M1128,L1128=""),1,0)</f>
        <v/>
      </c>
      <c r="AP1128" s="35">
        <f>IF(AND(AK1128="YES",W1128="X"),"X","")</f>
        <v/>
      </c>
      <c r="AQ1128" s="55">
        <f>IF(AP1128="X",100%,0%)</f>
        <v/>
      </c>
      <c r="AR1128" s="25">
        <f>IF(AND(T1128&gt;0,L1128=""),H1128,"")</f>
        <v/>
      </c>
      <c r="AS1128" s="25">
        <f>IF(AND(D1128&gt;0,H1128=0,G1128=""),1,"")</f>
        <v/>
      </c>
      <c r="AT1128" s="25">
        <f>IF(G1128="BLOQ",1,"")</f>
        <v/>
      </c>
      <c r="AU1128" s="25">
        <f>IF(L1128="BLOQ",1,"")</f>
        <v/>
      </c>
      <c r="AV1128" s="25">
        <f>MONTH(F1128)</f>
        <v/>
      </c>
      <c r="AW1128" s="65">
        <f>IF(AP1128="",100%,0%)</f>
        <v/>
      </c>
      <c r="AX1128" s="56" t="n"/>
      <c r="AY1128" s="24">
        <f>IF(M1128=0,"",M1128-$AX$2)</f>
        <v/>
      </c>
      <c r="AZ1128" s="66">
        <f>IF(AND(W1128="",AY1128&gt;0,AY1128&lt;15),1,0)</f>
        <v/>
      </c>
      <c r="BA1128" s="24">
        <f>IF(AND(W1128="",AY1128&gt;0,AY1128&lt;15),T1128,"")</f>
        <v/>
      </c>
      <c r="BB1128" s="87">
        <f>IF(R1128&lt;Q1128,"X","")</f>
        <v/>
      </c>
      <c r="BC1128" s="190" t="inlineStr">
        <is>
          <t>NO</t>
        </is>
      </c>
      <c r="BD1128" s="191" t="inlineStr">
        <is>
          <t>SI</t>
        </is>
      </c>
    </row>
    <row r="1129" ht="15" customHeight="1" s="162">
      <c r="A1129" s="7" t="n">
        <v>1128</v>
      </c>
      <c r="B1129" t="inlineStr">
        <is>
          <t>1232525506100</t>
        </is>
      </c>
      <c r="C1129" t="inlineStr">
        <is>
          <t>CINTA AMERICANA ADH A50MM G0.18MM PE NEG</t>
        </is>
      </c>
      <c r="D1129" t="inlineStr">
        <is>
          <t>1800109003</t>
        </is>
      </c>
      <c r="E1129" t="inlineStr">
        <is>
          <t>10</t>
        </is>
      </c>
      <c r="F1129" s="163" t="n">
        <v>45463</v>
      </c>
      <c r="G1129" t="inlineStr"/>
      <c r="H1129" t="inlineStr">
        <is>
          <t>4200569248</t>
        </is>
      </c>
      <c r="I1129" t="inlineStr">
        <is>
          <t>10</t>
        </is>
      </c>
      <c r="J1129" s="163" t="n">
        <v>45476</v>
      </c>
      <c r="K1129" s="163" t="n">
        <v>45478</v>
      </c>
      <c r="L1129" t="inlineStr"/>
      <c r="M1129" s="163" t="n">
        <v>45723</v>
      </c>
      <c r="N1129" s="164" t="n">
        <v>85</v>
      </c>
      <c r="O1129" s="164" t="n">
        <v>8</v>
      </c>
      <c r="P1129" t="inlineStr">
        <is>
          <t>Liberado</t>
        </is>
      </c>
      <c r="Q1129" s="165" t="n">
        <v>2</v>
      </c>
      <c r="R1129" s="165" t="n">
        <v>1200</v>
      </c>
      <c r="S1129" s="165" t="n">
        <v>2400</v>
      </c>
      <c r="T1129" s="165" t="n">
        <v>0</v>
      </c>
      <c r="U1129" s="166" t="n">
        <v>1200</v>
      </c>
      <c r="V1129" s="166" t="n">
        <v>1200</v>
      </c>
      <c r="W1129" t="inlineStr">
        <is>
          <t>X</t>
        </is>
      </c>
      <c r="X1129" t="inlineStr">
        <is>
          <t>0.00</t>
        </is>
      </c>
      <c r="Y1129" t="inlineStr"/>
      <c r="Z1129" t="inlineStr">
        <is>
          <t>COMERCIAL DE INDUSTRIA Y</t>
        </is>
      </c>
      <c r="AA1129" t="inlineStr">
        <is>
          <t>TESA</t>
        </is>
      </c>
      <c r="AB1129" t="inlineStr">
        <is>
          <t>4615 BLACK</t>
        </is>
      </c>
      <c r="AC1129" t="inlineStr"/>
      <c r="AD1129" s="164" t="n">
        <v>2</v>
      </c>
      <c r="AE1129" s="185" t="n">
        <v>1</v>
      </c>
      <c r="AG1129" s="167" t="inlineStr">
        <is>
          <t>7218|JA2578_1001</t>
        </is>
      </c>
      <c r="AH1129" s="47">
        <f>IF(M1129=0,"-",M1129-J1129)</f>
        <v/>
      </c>
      <c r="AI1129" s="46">
        <f>IF(AND(S1129=0,M1129&gt;0,L1129=0),IF(AH1129&gt;=120,"VERY HIGH",IF(AH1129&gt;=90,"HIGH",IF(AH1129&gt;=60,"MEDIUM",IF(AH1129&lt;60,"LOW")))),"-")</f>
        <v/>
      </c>
      <c r="AJ1129" s="12" t="n"/>
      <c r="AK1129" s="53">
        <f>IF(AND(W1129="X",M1129&lt;=$AJ$2),"YES","")</f>
        <v/>
      </c>
      <c r="AL1129" s="54">
        <f>IF(AND(W1129="X",M1129&lt;=$AJ$2),S1129,"")</f>
        <v/>
      </c>
      <c r="AM1129" s="35" t="n"/>
      <c r="AN1129" s="35">
        <f>IF(AND(W1129="X",M1129&gt;$AJ$2),S1129,"")</f>
        <v/>
      </c>
      <c r="AO1129" s="35">
        <f>IF(AND(W1129="",M1129&gt;0,$AJ$2&gt;M1129,L1129=""),1,0)</f>
        <v/>
      </c>
      <c r="AP1129" s="35">
        <f>IF(AND(AK1129="YES",W1129="X"),"X","")</f>
        <v/>
      </c>
      <c r="AQ1129" s="55">
        <f>IF(AP1129="X",100%,0%)</f>
        <v/>
      </c>
      <c r="AR1129" s="25">
        <f>IF(AND(T1129&gt;0,L1129=""),H1129,"")</f>
        <v/>
      </c>
      <c r="AS1129" s="25">
        <f>IF(AND(D1129&gt;0,H1129=0,G1129=""),1,"")</f>
        <v/>
      </c>
      <c r="AT1129" s="25">
        <f>IF(G1129="BLOQ",1,"")</f>
        <v/>
      </c>
      <c r="AU1129" s="25">
        <f>IF(L1129="BLOQ",1,"")</f>
        <v/>
      </c>
      <c r="AV1129" s="25">
        <f>MONTH(F1129)</f>
        <v/>
      </c>
      <c r="AW1129" s="65">
        <f>IF(AP1129="",100%,0%)</f>
        <v/>
      </c>
      <c r="AX1129" s="56" t="n"/>
      <c r="AY1129" s="24">
        <f>IF(M1129=0,"",M1129-$AX$2)</f>
        <v/>
      </c>
      <c r="AZ1129" s="66">
        <f>IF(AND(W1129="",AY1129&gt;0,AY1129&lt;15),1,0)</f>
        <v/>
      </c>
      <c r="BA1129" s="24">
        <f>IF(AND(W1129="",AY1129&gt;0,AY1129&lt;15),T1129,"")</f>
        <v/>
      </c>
      <c r="BB1129" s="87">
        <f>IF(R1129&lt;Q1129,"X","")</f>
        <v/>
      </c>
      <c r="BC1129" s="190" t="inlineStr">
        <is>
          <t>NO</t>
        </is>
      </c>
      <c r="BD1129" s="191" t="inlineStr">
        <is>
          <t>SI</t>
        </is>
      </c>
    </row>
    <row r="1130" ht="15" customHeight="1" s="162">
      <c r="A1130" s="7" t="n">
        <v>1129</v>
      </c>
      <c r="B1130" t="inlineStr">
        <is>
          <t>1263511005000</t>
        </is>
      </c>
      <c r="C1130" t="inlineStr">
        <is>
          <t>F.A. CONM 120-375VAC/24V 21A 504W ROHS</t>
        </is>
      </c>
      <c r="D1130" t="inlineStr">
        <is>
          <t>1800109003</t>
        </is>
      </c>
      <c r="E1130" t="inlineStr">
        <is>
          <t>20</t>
        </is>
      </c>
      <c r="F1130" s="163" t="n">
        <v>45463</v>
      </c>
      <c r="G1130" t="inlineStr"/>
      <c r="H1130" t="inlineStr">
        <is>
          <t>4200568117</t>
        </is>
      </c>
      <c r="I1130" t="inlineStr">
        <is>
          <t>10</t>
        </is>
      </c>
      <c r="J1130" s="163" t="n">
        <v>45464</v>
      </c>
      <c r="K1130" s="163" t="n">
        <v>45464</v>
      </c>
      <c r="L1130" t="inlineStr"/>
      <c r="M1130" s="163" t="n">
        <v>45488</v>
      </c>
      <c r="N1130" s="164" t="n">
        <v>40</v>
      </c>
      <c r="O1130" s="164" t="n">
        <v>8</v>
      </c>
      <c r="P1130" t="inlineStr">
        <is>
          <t>Liberado</t>
        </is>
      </c>
      <c r="Q1130" s="165" t="n">
        <v>1</v>
      </c>
      <c r="R1130" s="165" t="n">
        <v>1</v>
      </c>
      <c r="S1130" s="165" t="n">
        <v>1</v>
      </c>
      <c r="T1130" s="165" t="n">
        <v>0</v>
      </c>
      <c r="U1130" s="166" t="n">
        <v>1</v>
      </c>
      <c r="V1130" s="166" t="n">
        <v>0</v>
      </c>
      <c r="W1130" t="inlineStr">
        <is>
          <t>X</t>
        </is>
      </c>
      <c r="X1130" t="inlineStr">
        <is>
          <t>0.00</t>
        </is>
      </c>
      <c r="Y1130" t="inlineStr"/>
      <c r="Z1130" t="inlineStr">
        <is>
          <t>ICOMPPLUS ELECTRONICS S.L</t>
        </is>
      </c>
      <c r="AA1130" t="inlineStr">
        <is>
          <t>TDK-LAMBDA CORP</t>
        </is>
      </c>
      <c r="AB1130" t="inlineStr">
        <is>
          <t>GWS500-24</t>
        </is>
      </c>
      <c r="AC1130" t="inlineStr"/>
      <c r="AD1130" s="164" t="n">
        <v>0</v>
      </c>
      <c r="AE1130" s="185" t="n">
        <v>0</v>
      </c>
      <c r="AG1130" s="167" t="inlineStr">
        <is>
          <t>7218|JA2578_1001</t>
        </is>
      </c>
      <c r="AH1130" s="47">
        <f>IF(M1130=0,"-",M1130-J1130)</f>
        <v/>
      </c>
      <c r="AI1130" s="46">
        <f>IF(AND(S1130=0,M1130&gt;0,L1130=0),IF(AH1130&gt;=120,"VERY HIGH",IF(AH1130&gt;=90,"HIGH",IF(AH1130&gt;=60,"MEDIUM",IF(AH1130&lt;60,"LOW")))),"-")</f>
        <v/>
      </c>
      <c r="AJ1130" s="12" t="n"/>
      <c r="AK1130" s="53">
        <f>IF(AND(W1130="X",M1130&lt;=$AJ$2),"YES","")</f>
        <v/>
      </c>
      <c r="AL1130" s="54">
        <f>IF(AND(W1130="X",M1130&lt;=$AJ$2),S1130,"")</f>
        <v/>
      </c>
      <c r="AM1130" s="35" t="n"/>
      <c r="AN1130" s="35">
        <f>IF(AND(W1130="X",M1130&gt;$AJ$2),S1130,"")</f>
        <v/>
      </c>
      <c r="AO1130" s="35">
        <f>IF(AND(W1130="",M1130&gt;0,$AJ$2&gt;M1130,L1130=""),1,0)</f>
        <v/>
      </c>
      <c r="AP1130" s="35">
        <f>IF(AND(AK1130="YES",W1130="X"),"X","")</f>
        <v/>
      </c>
      <c r="AQ1130" s="55">
        <f>IF(AP1130="X",100%,0%)</f>
        <v/>
      </c>
      <c r="AR1130" s="25">
        <f>IF(AND(T1130&gt;0,L1130=""),H1130,"")</f>
        <v/>
      </c>
      <c r="AS1130" s="25">
        <f>IF(AND(D1130&gt;0,H1130=0,G1130=""),1,"")</f>
        <v/>
      </c>
      <c r="AT1130" s="25">
        <f>IF(G1130="BLOQ",1,"")</f>
        <v/>
      </c>
      <c r="AU1130" s="25">
        <f>IF(L1130="BLOQ",1,"")</f>
        <v/>
      </c>
      <c r="AV1130" s="25">
        <f>MONTH(F1130)</f>
        <v/>
      </c>
      <c r="AW1130" s="65">
        <f>IF(AP1130="",100%,0%)</f>
        <v/>
      </c>
      <c r="AX1130" s="56" t="n"/>
      <c r="AY1130" s="24">
        <f>IF(M1130=0,"",M1130-$AX$2)</f>
        <v/>
      </c>
      <c r="AZ1130" s="66">
        <f>IF(AND(W1130="",AY1130&gt;0,AY1130&lt;15),1,0)</f>
        <v/>
      </c>
      <c r="BA1130" s="24">
        <f>IF(AND(W1130="",AY1130&gt;0,AY1130&lt;15),T1130,"")</f>
        <v/>
      </c>
      <c r="BB1130" s="87">
        <f>IF(R1130&lt;Q1130,"X","")</f>
        <v/>
      </c>
      <c r="BC1130" s="190" t="inlineStr">
        <is>
          <t>NO</t>
        </is>
      </c>
      <c r="BD1130" s="191" t="inlineStr">
        <is>
          <t>SI</t>
        </is>
      </c>
    </row>
    <row r="1131" ht="15" customHeight="1" s="162">
      <c r="A1131" s="7" t="n">
        <v>1130</v>
      </c>
      <c r="B1131" t="inlineStr">
        <is>
          <t>1312600040400</t>
        </is>
      </c>
      <c r="C1131" t="inlineStr">
        <is>
          <t>PANTALLA RETROPROYECCION 6306X2305MM AER</t>
        </is>
      </c>
      <c r="D1131" t="inlineStr">
        <is>
          <t>1800109003</t>
        </is>
      </c>
      <c r="E1131" t="inlineStr">
        <is>
          <t>30</t>
        </is>
      </c>
      <c r="F1131" s="163" t="n">
        <v>45463</v>
      </c>
      <c r="G1131" t="inlineStr"/>
      <c r="H1131" t="inlineStr">
        <is>
          <t>4200559664</t>
        </is>
      </c>
      <c r="I1131" t="inlineStr">
        <is>
          <t>20</t>
        </is>
      </c>
      <c r="J1131" s="163" t="n">
        <v>45399</v>
      </c>
      <c r="K1131" s="163" t="n">
        <v>45497</v>
      </c>
      <c r="L1131" t="inlineStr"/>
      <c r="M1131" s="163" t="n">
        <v>45533</v>
      </c>
      <c r="N1131" s="164" t="n">
        <v>64</v>
      </c>
      <c r="O1131" s="164" t="n">
        <v>8</v>
      </c>
      <c r="P1131" t="inlineStr">
        <is>
          <t>Liberado</t>
        </is>
      </c>
      <c r="Q1131" s="165" t="n">
        <v>1</v>
      </c>
      <c r="R1131" s="165" t="n">
        <v>4</v>
      </c>
      <c r="S1131" s="165" t="n">
        <v>5</v>
      </c>
      <c r="T1131" s="165" t="n">
        <v>0</v>
      </c>
      <c r="U1131" s="166" t="n">
        <v>4</v>
      </c>
      <c r="V1131" s="166" t="n">
        <v>1</v>
      </c>
      <c r="W1131" t="inlineStr">
        <is>
          <t>X</t>
        </is>
      </c>
      <c r="X1131" t="inlineStr">
        <is>
          <t>0.00</t>
        </is>
      </c>
      <c r="Y1131" t="inlineStr"/>
      <c r="Z1131" t="inlineStr">
        <is>
          <t>TECCO, S.L.</t>
        </is>
      </c>
      <c r="AA1131" t="inlineStr">
        <is>
          <t>STEWART FILMSCREEN C</t>
        </is>
      </c>
      <c r="AB1131" t="inlineStr">
        <is>
          <t>CUTM2249CAV10</t>
        </is>
      </c>
      <c r="AC1131" t="inlineStr"/>
      <c r="AD1131" s="164" t="n">
        <v>0</v>
      </c>
      <c r="AE1131" s="185" t="n">
        <v>0</v>
      </c>
      <c r="AG1131" s="167" t="inlineStr">
        <is>
          <t>7218|JA2578_1001</t>
        </is>
      </c>
      <c r="AH1131" s="47">
        <f>IF(M1131=0,"-",M1131-J1131)</f>
        <v/>
      </c>
      <c r="AI1131" s="46">
        <f>IF(AND(S1131=0,M1131&gt;0,L1131=0),IF(AH1131&gt;=120,"VERY HIGH",IF(AH1131&gt;=90,"HIGH",IF(AH1131&gt;=60,"MEDIUM",IF(AH1131&lt;60,"LOW")))),"-")</f>
        <v/>
      </c>
      <c r="AJ1131" s="12" t="n"/>
      <c r="AK1131" s="53">
        <f>IF(AND(W1131="X",M1131&lt;=$AJ$2),"YES","")</f>
        <v/>
      </c>
      <c r="AL1131" s="54">
        <f>IF(AND(W1131="X",M1131&lt;=$AJ$2),S1131,"")</f>
        <v/>
      </c>
      <c r="AM1131" s="35" t="n"/>
      <c r="AN1131" s="35">
        <f>IF(AND(W1131="X",M1131&gt;$AJ$2),S1131,"")</f>
        <v/>
      </c>
      <c r="AO1131" s="35">
        <f>IF(AND(W1131="",M1131&gt;0,$AJ$2&gt;M1131,L1131=""),1,0)</f>
        <v/>
      </c>
      <c r="AP1131" s="35">
        <f>IF(AND(AK1131="YES",W1131="X"),"X","")</f>
        <v/>
      </c>
      <c r="AQ1131" s="55">
        <f>IF(AP1131="X",100%,0%)</f>
        <v/>
      </c>
      <c r="AR1131" s="25">
        <f>IF(AND(T1131&gt;0,L1131=""),H1131,"")</f>
        <v/>
      </c>
      <c r="AS1131" s="25">
        <f>IF(AND(D1131&gt;0,H1131=0,G1131=""),1,"")</f>
        <v/>
      </c>
      <c r="AT1131" s="25">
        <f>IF(G1131="BLOQ",1,"")</f>
        <v/>
      </c>
      <c r="AU1131" s="25">
        <f>IF(L1131="BLOQ",1,"")</f>
        <v/>
      </c>
      <c r="AV1131" s="25">
        <f>MONTH(F1131)</f>
        <v/>
      </c>
      <c r="AW1131" s="65">
        <f>IF(AP1131="",100%,0%)</f>
        <v/>
      </c>
      <c r="AX1131" s="56" t="n"/>
      <c r="AY1131" s="24">
        <f>IF(M1131=0,"",M1131-$AX$2)</f>
        <v/>
      </c>
      <c r="AZ1131" s="66">
        <f>IF(AND(W1131="",AY1131&gt;0,AY1131&lt;15),1,0)</f>
        <v/>
      </c>
      <c r="BA1131" s="24">
        <f>IF(AND(W1131="",AY1131&gt;0,AY1131&lt;15),T1131,"")</f>
        <v/>
      </c>
      <c r="BB1131" s="87">
        <f>IF(R1131&lt;Q1131,"X","")</f>
        <v/>
      </c>
      <c r="BC1131" s="190" t="inlineStr">
        <is>
          <t>NO</t>
        </is>
      </c>
      <c r="BD1131" s="191" t="inlineStr">
        <is>
          <t>SI</t>
        </is>
      </c>
    </row>
    <row r="1132" ht="15" customHeight="1" s="162">
      <c r="A1132" s="7" t="n">
        <v>1131</v>
      </c>
      <c r="B1132" t="inlineStr">
        <is>
          <t>1800600900000</t>
        </is>
      </c>
      <c r="C1132" t="inlineStr">
        <is>
          <t>ADHESIVO CONTACTO TEROKAL 2444</t>
        </is>
      </c>
      <c r="D1132" t="inlineStr">
        <is>
          <t>1800109003</t>
        </is>
      </c>
      <c r="E1132" t="inlineStr">
        <is>
          <t>40</t>
        </is>
      </c>
      <c r="F1132" s="163" t="n">
        <v>45463</v>
      </c>
      <c r="G1132" t="inlineStr"/>
      <c r="H1132" t="inlineStr">
        <is>
          <t>4200572976</t>
        </is>
      </c>
      <c r="I1132" t="inlineStr">
        <is>
          <t>10</t>
        </is>
      </c>
      <c r="J1132" s="163" t="n">
        <v>45504</v>
      </c>
      <c r="K1132" s="163" t="n">
        <v>45504</v>
      </c>
      <c r="L1132" t="inlineStr"/>
      <c r="M1132" s="163" t="n">
        <v>45520</v>
      </c>
      <c r="N1132" s="164" t="n">
        <v>90</v>
      </c>
      <c r="O1132" s="164" t="n">
        <v>8</v>
      </c>
      <c r="P1132" t="inlineStr">
        <is>
          <t>Liberado</t>
        </is>
      </c>
      <c r="Q1132" s="165" t="n">
        <v>1</v>
      </c>
      <c r="R1132" s="165" t="n">
        <v>1</v>
      </c>
      <c r="S1132" s="165" t="n">
        <v>2</v>
      </c>
      <c r="T1132" s="165" t="n">
        <v>0</v>
      </c>
      <c r="U1132" s="166" t="n">
        <v>1</v>
      </c>
      <c r="V1132" s="166" t="n">
        <v>1</v>
      </c>
      <c r="W1132" t="inlineStr">
        <is>
          <t>X</t>
        </is>
      </c>
      <c r="X1132" t="inlineStr">
        <is>
          <t>0.00</t>
        </is>
      </c>
      <c r="Y1132" t="inlineStr"/>
      <c r="Z1132" t="inlineStr">
        <is>
          <t>Technipol Suministros, S.L.</t>
        </is>
      </c>
      <c r="AA1132" t="inlineStr">
        <is>
          <t>HENKEL CORP.</t>
        </is>
      </c>
      <c r="AB1132" t="inlineStr">
        <is>
          <t>238403</t>
        </is>
      </c>
      <c r="AC1132" t="inlineStr"/>
      <c r="AD1132" s="164" t="n">
        <v>0</v>
      </c>
      <c r="AE1132" s="185" t="n">
        <v>0</v>
      </c>
      <c r="AG1132" s="167" t="inlineStr">
        <is>
          <t>7218|JA2578_1001</t>
        </is>
      </c>
      <c r="AH1132" s="47">
        <f>IF(M1132=0,"-",M1132-J1132)</f>
        <v/>
      </c>
      <c r="AI1132" s="46">
        <f>IF(AND(S1132=0,M1132&gt;0,L1132=0),IF(AH1132&gt;=120,"VERY HIGH",IF(AH1132&gt;=90,"HIGH",IF(AH1132&gt;=60,"MEDIUM",IF(AH1132&lt;60,"LOW")))),"-")</f>
        <v/>
      </c>
      <c r="AJ1132" s="12" t="n"/>
      <c r="AK1132" s="53">
        <f>IF(AND(W1132="X",M1132&lt;=$AJ$2),"YES","")</f>
        <v/>
      </c>
      <c r="AL1132" s="54">
        <f>IF(AND(W1132="X",M1132&lt;=$AJ$2),S1132,"")</f>
        <v/>
      </c>
      <c r="AM1132" s="35" t="n"/>
      <c r="AN1132" s="35">
        <f>IF(AND(W1132="X",M1132&gt;$AJ$2),S1132,"")</f>
        <v/>
      </c>
      <c r="AO1132" s="35">
        <f>IF(AND(W1132="",M1132&gt;0,$AJ$2&gt;M1132,L1132=""),1,0)</f>
        <v/>
      </c>
      <c r="AP1132" s="35">
        <f>IF(AND(AK1132="YES",W1132="X"),"X","")</f>
        <v/>
      </c>
      <c r="AQ1132" s="55">
        <f>IF(AP1132="X",100%,0%)</f>
        <v/>
      </c>
      <c r="AR1132" s="25">
        <f>IF(AND(T1132&gt;0,L1132=""),H1132,"")</f>
        <v/>
      </c>
      <c r="AS1132" s="25">
        <f>IF(AND(D1132&gt;0,H1132=0,G1132=""),1,"")</f>
        <v/>
      </c>
      <c r="AT1132" s="25">
        <f>IF(G1132="BLOQ",1,"")</f>
        <v/>
      </c>
      <c r="AU1132" s="25">
        <f>IF(L1132="BLOQ",1,"")</f>
        <v/>
      </c>
      <c r="AV1132" s="25">
        <f>MONTH(F1132)</f>
        <v/>
      </c>
      <c r="AW1132" s="65">
        <f>IF(AP1132="",100%,0%)</f>
        <v/>
      </c>
      <c r="AX1132" s="56" t="n"/>
      <c r="AY1132" s="24">
        <f>IF(M1132=0,"",M1132-$AX$2)</f>
        <v/>
      </c>
      <c r="AZ1132" s="66">
        <f>IF(AND(W1132="",AY1132&gt;0,AY1132&lt;15),1,0)</f>
        <v/>
      </c>
      <c r="BA1132" s="24">
        <f>IF(AND(W1132="",AY1132&gt;0,AY1132&lt;15),T1132,"")</f>
        <v/>
      </c>
      <c r="BB1132" s="87">
        <f>IF(R1132&lt;Q1132,"X","")</f>
        <v/>
      </c>
      <c r="BC1132" s="190" t="inlineStr">
        <is>
          <t>NO</t>
        </is>
      </c>
      <c r="BD1132" s="191" t="inlineStr">
        <is>
          <t>SI</t>
        </is>
      </c>
    </row>
    <row r="1133" ht="15" customHeight="1" s="162">
      <c r="A1133" s="7" t="n">
        <v>1132</v>
      </c>
      <c r="B1133" t="inlineStr">
        <is>
          <t>1807990092800</t>
        </is>
      </c>
      <c r="C1133" t="inlineStr">
        <is>
          <t>PIEZA RECORTADA ADH GANCHO 25X25MM NEGRO</t>
        </is>
      </c>
      <c r="D1133" t="inlineStr">
        <is>
          <t>1800109003</t>
        </is>
      </c>
      <c r="E1133" t="inlineStr">
        <is>
          <t>50</t>
        </is>
      </c>
      <c r="F1133" s="163" t="n">
        <v>45463</v>
      </c>
      <c r="G1133" t="inlineStr"/>
      <c r="H1133" t="inlineStr">
        <is>
          <t>4200569312</t>
        </is>
      </c>
      <c r="I1133" t="inlineStr">
        <is>
          <t>10</t>
        </is>
      </c>
      <c r="J1133" s="163" t="n">
        <v>45476</v>
      </c>
      <c r="K1133" s="163" t="n">
        <v>45480</v>
      </c>
      <c r="L1133" t="inlineStr"/>
      <c r="M1133" s="163" t="n">
        <v>45488</v>
      </c>
      <c r="N1133" s="164" t="n">
        <v>61</v>
      </c>
      <c r="O1133" s="164" t="n">
        <v>8</v>
      </c>
      <c r="P1133" t="inlineStr">
        <is>
          <t>Liberado</t>
        </is>
      </c>
      <c r="Q1133" s="165" t="n">
        <v>5</v>
      </c>
      <c r="R1133" s="165" t="n">
        <v>5</v>
      </c>
      <c r="S1133" s="165" t="n">
        <v>5</v>
      </c>
      <c r="T1133" s="165" t="n">
        <v>0</v>
      </c>
      <c r="U1133" s="166" t="n">
        <v>5</v>
      </c>
      <c r="V1133" s="166" t="n">
        <v>0</v>
      </c>
      <c r="W1133" t="inlineStr">
        <is>
          <t>X</t>
        </is>
      </c>
      <c r="X1133" t="inlineStr">
        <is>
          <t>0.00</t>
        </is>
      </c>
      <c r="Y1133" t="inlineStr"/>
      <c r="Z1133" t="inlineStr">
        <is>
          <t>FERRETERIA FERAYU SL</t>
        </is>
      </c>
      <c r="AA1133" t="inlineStr">
        <is>
          <t>VELCRO</t>
        </is>
      </c>
      <c r="AB1133" t="inlineStr">
        <is>
          <t>EB51025330118476</t>
        </is>
      </c>
      <c r="AC1133" t="inlineStr"/>
      <c r="AD1133" s="164" t="n">
        <v>0</v>
      </c>
      <c r="AE1133" s="185" t="n">
        <v>0</v>
      </c>
      <c r="AG1133" s="167" t="inlineStr">
        <is>
          <t>7218|JA2578_1001</t>
        </is>
      </c>
      <c r="AH1133" s="47">
        <f>IF(M1133=0,"-",M1133-J1133)</f>
        <v/>
      </c>
      <c r="AI1133" s="46">
        <f>IF(AND(S1133=0,M1133&gt;0,L1133=0),IF(AH1133&gt;=120,"VERY HIGH",IF(AH1133&gt;=90,"HIGH",IF(AH1133&gt;=60,"MEDIUM",IF(AH1133&lt;60,"LOW")))),"-")</f>
        <v/>
      </c>
      <c r="AJ1133" s="12" t="n"/>
      <c r="AK1133" s="53">
        <f>IF(AND(W1133="X",M1133&lt;=$AJ$2),"YES","")</f>
        <v/>
      </c>
      <c r="AL1133" s="54">
        <f>IF(AND(W1133="X",M1133&lt;=$AJ$2),S1133,"")</f>
        <v/>
      </c>
      <c r="AM1133" s="35" t="n"/>
      <c r="AN1133" s="35">
        <f>IF(AND(W1133="X",M1133&gt;$AJ$2),S1133,"")</f>
        <v/>
      </c>
      <c r="AO1133" s="35">
        <f>IF(AND(W1133="",M1133&gt;0,$AJ$2&gt;M1133,L1133=""),1,0)</f>
        <v/>
      </c>
      <c r="AP1133" s="35">
        <f>IF(AND(AK1133="YES",W1133="X"),"X","")</f>
        <v/>
      </c>
      <c r="AQ1133" s="55">
        <f>IF(AP1133="X",100%,0%)</f>
        <v/>
      </c>
      <c r="AR1133" s="25">
        <f>IF(AND(T1133&gt;0,L1133=""),H1133,"")</f>
        <v/>
      </c>
      <c r="AS1133" s="25">
        <f>IF(AND(D1133&gt;0,H1133=0,G1133=""),1,"")</f>
        <v/>
      </c>
      <c r="AT1133" s="25">
        <f>IF(G1133="BLOQ",1,"")</f>
        <v/>
      </c>
      <c r="AU1133" s="25">
        <f>IF(L1133="BLOQ",1,"")</f>
        <v/>
      </c>
      <c r="AV1133" s="25">
        <f>MONTH(F1133)</f>
        <v/>
      </c>
      <c r="AW1133" s="65">
        <f>IF(AP1133="",100%,0%)</f>
        <v/>
      </c>
      <c r="AX1133" s="56" t="n"/>
      <c r="AY1133" s="24">
        <f>IF(M1133=0,"",M1133-$AX$2)</f>
        <v/>
      </c>
      <c r="AZ1133" s="66">
        <f>IF(AND(W1133="",AY1133&gt;0,AY1133&lt;15),1,0)</f>
        <v/>
      </c>
      <c r="BA1133" s="24">
        <f>IF(AND(W1133="",AY1133&gt;0,AY1133&lt;15),T1133,"")</f>
        <v/>
      </c>
      <c r="BB1133" s="87">
        <f>IF(R1133&lt;Q1133,"X","")</f>
        <v/>
      </c>
      <c r="BC1133" s="190" t="inlineStr">
        <is>
          <t>NO</t>
        </is>
      </c>
      <c r="BD1133" s="191" t="inlineStr">
        <is>
          <t>SI</t>
        </is>
      </c>
    </row>
    <row r="1134" ht="15" customHeight="1" s="162">
      <c r="A1134" s="7" t="n">
        <v>1133</v>
      </c>
      <c r="B1134" t="inlineStr">
        <is>
          <t>7279902590000</t>
        </is>
      </c>
      <c r="C1134" t="inlineStr">
        <is>
          <t>TEODOLITO DIGITAL 30X PREC 2" LASER 100M</t>
        </is>
      </c>
      <c r="D1134" t="inlineStr">
        <is>
          <t>1800109003</t>
        </is>
      </c>
      <c r="E1134" t="inlineStr">
        <is>
          <t>60</t>
        </is>
      </c>
      <c r="F1134" s="163" t="n">
        <v>45463</v>
      </c>
      <c r="G1134" t="inlineStr"/>
      <c r="H1134" t="inlineStr">
        <is>
          <t>4200569553</t>
        </is>
      </c>
      <c r="I1134" t="inlineStr">
        <is>
          <t>10</t>
        </is>
      </c>
      <c r="J1134" s="163" t="n">
        <v>45478</v>
      </c>
      <c r="K1134" s="163" t="n">
        <v>45478</v>
      </c>
      <c r="L1134" t="inlineStr"/>
      <c r="M1134" s="163" t="n">
        <v>45488</v>
      </c>
      <c r="N1134" s="164" t="n">
        <v>30</v>
      </c>
      <c r="O1134" s="164" t="n">
        <v>8</v>
      </c>
      <c r="P1134" t="inlineStr">
        <is>
          <t>Liberado</t>
        </is>
      </c>
      <c r="Q1134" s="165" t="n">
        <v>1</v>
      </c>
      <c r="R1134" s="165" t="n">
        <v>1</v>
      </c>
      <c r="S1134" s="165" t="n">
        <v>1</v>
      </c>
      <c r="T1134" s="165" t="n">
        <v>0</v>
      </c>
      <c r="U1134" s="166" t="n">
        <v>1</v>
      </c>
      <c r="V1134" s="166" t="n">
        <v>0</v>
      </c>
      <c r="W1134" t="inlineStr">
        <is>
          <t>X</t>
        </is>
      </c>
      <c r="X1134" t="inlineStr">
        <is>
          <t>0.00</t>
        </is>
      </c>
      <c r="Y1134" t="inlineStr"/>
      <c r="Z1134" t="inlineStr">
        <is>
          <t>GIS IBERICA, S.L.</t>
        </is>
      </c>
      <c r="AA1134" t="inlineStr">
        <is>
          <t>TSINGTAO</t>
        </is>
      </c>
      <c r="AB1134" t="inlineStr">
        <is>
          <t>DE2A-L</t>
        </is>
      </c>
      <c r="AC1134" t="inlineStr"/>
      <c r="AD1134" s="164" t="n">
        <v>0</v>
      </c>
      <c r="AE1134" s="185" t="n">
        <v>0</v>
      </c>
      <c r="AG1134" s="167" t="inlineStr">
        <is>
          <t>7218|JA2578_1001</t>
        </is>
      </c>
      <c r="AH1134" s="47">
        <f>IF(M1134=0,"-",M1134-J1134)</f>
        <v/>
      </c>
      <c r="AI1134" s="46">
        <f>IF(AND(S1134=0,M1134&gt;0,L1134=0),IF(AH1134&gt;=120,"VERY HIGH",IF(AH1134&gt;=90,"HIGH",IF(AH1134&gt;=60,"MEDIUM",IF(AH1134&lt;60,"LOW")))),"-")</f>
        <v/>
      </c>
      <c r="AJ1134" s="12" t="n"/>
      <c r="AK1134" s="53">
        <f>IF(AND(W1134="X",M1134&lt;=$AJ$2),"YES","")</f>
        <v/>
      </c>
      <c r="AL1134" s="54">
        <f>IF(AND(W1134="X",M1134&lt;=$AJ$2),S1134,"")</f>
        <v/>
      </c>
      <c r="AM1134" s="35" t="n"/>
      <c r="AN1134" s="35">
        <f>IF(AND(W1134="X",M1134&gt;$AJ$2),S1134,"")</f>
        <v/>
      </c>
      <c r="AO1134" s="35">
        <f>IF(AND(W1134="",M1134&gt;0,$AJ$2&gt;M1134,L1134=""),1,0)</f>
        <v/>
      </c>
      <c r="AP1134" s="35">
        <f>IF(AND(AK1134="YES",W1134="X"),"X","")</f>
        <v/>
      </c>
      <c r="AQ1134" s="55">
        <f>IF(AP1134="X",100%,0%)</f>
        <v/>
      </c>
      <c r="AR1134" s="25">
        <f>IF(AND(T1134&gt;0,L1134=""),H1134,"")</f>
        <v/>
      </c>
      <c r="AS1134" s="25">
        <f>IF(AND(D1134&gt;0,H1134=0,G1134=""),1,"")</f>
        <v/>
      </c>
      <c r="AT1134" s="25">
        <f>IF(G1134="BLOQ",1,"")</f>
        <v/>
      </c>
      <c r="AU1134" s="25">
        <f>IF(L1134="BLOQ",1,"")</f>
        <v/>
      </c>
      <c r="AV1134" s="25">
        <f>MONTH(F1134)</f>
        <v/>
      </c>
      <c r="AW1134" s="65">
        <f>IF(AP1134="",100%,0%)</f>
        <v/>
      </c>
      <c r="AX1134" s="56" t="n"/>
      <c r="AY1134" s="24">
        <f>IF(M1134=0,"",M1134-$AX$2)</f>
        <v/>
      </c>
      <c r="AZ1134" s="66">
        <f>IF(AND(W1134="",AY1134&gt;0,AY1134&lt;15),1,0)</f>
        <v/>
      </c>
      <c r="BA1134" s="24">
        <f>IF(AND(W1134="",AY1134&gt;0,AY1134&lt;15),T1134,"")</f>
        <v/>
      </c>
      <c r="BB1134" s="87">
        <f>IF(R1134&lt;Q1134,"X","")</f>
        <v/>
      </c>
      <c r="BC1134" s="190" t="inlineStr">
        <is>
          <t>NO</t>
        </is>
      </c>
      <c r="BD1134" s="191" t="inlineStr">
        <is>
          <t>SI</t>
        </is>
      </c>
    </row>
    <row r="1135" ht="15" customHeight="1" s="162">
      <c r="A1135" s="7" t="n">
        <v>1134</v>
      </c>
      <c r="B1135" t="inlineStr">
        <is>
          <t>1390705440000</t>
        </is>
      </c>
      <c r="C1135" t="inlineStr">
        <is>
          <t>CAMARA CALIBRA GIGE FISHEYE 165X165 FOV</t>
        </is>
      </c>
      <c r="D1135" t="inlineStr">
        <is>
          <t>1800109004</t>
        </is>
      </c>
      <c r="E1135" t="inlineStr">
        <is>
          <t>10</t>
        </is>
      </c>
      <c r="F1135" s="163" t="n">
        <v>45463</v>
      </c>
      <c r="G1135" t="inlineStr"/>
      <c r="H1135" t="inlineStr">
        <is>
          <t>4200568259</t>
        </is>
      </c>
      <c r="I1135" t="inlineStr">
        <is>
          <t>10</t>
        </is>
      </c>
      <c r="J1135" s="163" t="n">
        <v>45467</v>
      </c>
      <c r="K1135" s="163" t="n">
        <v>45469</v>
      </c>
      <c r="L1135" t="inlineStr"/>
      <c r="M1135" s="163" t="n">
        <v>45488</v>
      </c>
      <c r="N1135" s="164" t="n">
        <v>40</v>
      </c>
      <c r="O1135" s="164" t="n">
        <v>8</v>
      </c>
      <c r="P1135" t="inlineStr">
        <is>
          <t>Liberado</t>
        </is>
      </c>
      <c r="Q1135" s="165" t="n">
        <v>2</v>
      </c>
      <c r="R1135" s="165" t="n">
        <v>2</v>
      </c>
      <c r="S1135" s="165" t="n">
        <v>2</v>
      </c>
      <c r="T1135" s="165" t="n">
        <v>0</v>
      </c>
      <c r="U1135" s="166" t="n">
        <v>2</v>
      </c>
      <c r="V1135" s="166" t="n">
        <v>0</v>
      </c>
      <c r="W1135" t="inlineStr">
        <is>
          <t>X</t>
        </is>
      </c>
      <c r="X1135" t="inlineStr">
        <is>
          <t>0.00</t>
        </is>
      </c>
      <c r="Y1135" t="inlineStr"/>
      <c r="Z1135" t="inlineStr">
        <is>
          <t>ST ENGINEERING ANTYCIP  SAS</t>
        </is>
      </c>
      <c r="AA1135" t="inlineStr">
        <is>
          <t>ST ENGINEERING</t>
        </is>
      </c>
      <c r="AB1135" t="inlineStr">
        <is>
          <t>GIGE CALIBRATION CAM/GA/SU/202207-070VB</t>
        </is>
      </c>
      <c r="AC1135" t="inlineStr"/>
      <c r="AD1135" s="164" t="n">
        <v>0</v>
      </c>
      <c r="AE1135" s="185" t="n">
        <v>0</v>
      </c>
      <c r="AG1135" s="167" t="inlineStr">
        <is>
          <t>7218|JA2578_1001</t>
        </is>
      </c>
      <c r="AH1135" s="47">
        <f>IF(M1135=0,"-",M1135-J1135)</f>
        <v/>
      </c>
      <c r="AI1135" s="46">
        <f>IF(AND(S1135=0,M1135&gt;0,L1135=0),IF(AH1135&gt;=120,"VERY HIGH",IF(AH1135&gt;=90,"HIGH",IF(AH1135&gt;=60,"MEDIUM",IF(AH1135&lt;60,"LOW")))),"-")</f>
        <v/>
      </c>
      <c r="AJ1135" s="12" t="n"/>
      <c r="AK1135" s="53">
        <f>IF(AND(W1135="X",M1135&lt;=$AJ$2),"YES","")</f>
        <v/>
      </c>
      <c r="AL1135" s="54">
        <f>IF(AND(W1135="X",M1135&lt;=$AJ$2),S1135,"")</f>
        <v/>
      </c>
      <c r="AM1135" s="35" t="n"/>
      <c r="AN1135" s="35">
        <f>IF(AND(W1135="X",M1135&gt;$AJ$2),S1135,"")</f>
        <v/>
      </c>
      <c r="AO1135" s="35">
        <f>IF(AND(W1135="",M1135&gt;0,$AJ$2&gt;M1135,L1135=""),1,0)</f>
        <v/>
      </c>
      <c r="AP1135" s="35">
        <f>IF(AND(AK1135="YES",W1135="X"),"X","")</f>
        <v/>
      </c>
      <c r="AQ1135" s="55">
        <f>IF(AP1135="X",100%,0%)</f>
        <v/>
      </c>
      <c r="AR1135" s="25">
        <f>IF(AND(T1135&gt;0,L1135=""),H1135,"")</f>
        <v/>
      </c>
      <c r="AS1135" s="25">
        <f>IF(AND(D1135&gt;0,H1135=0,G1135=""),1,"")</f>
        <v/>
      </c>
      <c r="AT1135" s="25">
        <f>IF(G1135="BLOQ",1,"")</f>
        <v/>
      </c>
      <c r="AU1135" s="25">
        <f>IF(L1135="BLOQ",1,"")</f>
        <v/>
      </c>
      <c r="AV1135" s="25">
        <f>MONTH(F1135)</f>
        <v/>
      </c>
      <c r="AW1135" s="65">
        <f>IF(AP1135="",100%,0%)</f>
        <v/>
      </c>
      <c r="AX1135" s="56" t="n"/>
      <c r="AY1135" s="24">
        <f>IF(M1135=0,"",M1135-$AX$2)</f>
        <v/>
      </c>
      <c r="AZ1135" s="66">
        <f>IF(AND(W1135="",AY1135&gt;0,AY1135&lt;15),1,0)</f>
        <v/>
      </c>
      <c r="BA1135" s="24">
        <f>IF(AND(W1135="",AY1135&gt;0,AY1135&lt;15),T1135,"")</f>
        <v/>
      </c>
      <c r="BB1135" s="87">
        <f>IF(R1135&lt;Q1135,"X","")</f>
        <v/>
      </c>
      <c r="BC1135" s="191" t="inlineStr">
        <is>
          <t>SI</t>
        </is>
      </c>
      <c r="BD1135" s="191" t="inlineStr">
        <is>
          <t>SI</t>
        </is>
      </c>
    </row>
    <row r="1136" ht="15" customHeight="1" s="162">
      <c r="A1136" s="7" t="n">
        <v>1135</v>
      </c>
      <c r="B1136" t="inlineStr">
        <is>
          <t>1390705449000</t>
        </is>
      </c>
      <c r="C1136" t="inlineStr">
        <is>
          <t>SERVICIO SOPORT/MANT 1AÑO OBLIGATORIO</t>
        </is>
      </c>
      <c r="D1136" t="inlineStr">
        <is>
          <t>1800109004</t>
        </is>
      </c>
      <c r="E1136" t="inlineStr">
        <is>
          <t>20</t>
        </is>
      </c>
      <c r="F1136" s="163" t="n">
        <v>45463</v>
      </c>
      <c r="G1136" t="inlineStr"/>
      <c r="H1136" t="inlineStr">
        <is>
          <t>4200568259</t>
        </is>
      </c>
      <c r="I1136" t="inlineStr">
        <is>
          <t>20</t>
        </is>
      </c>
      <c r="J1136" s="163" t="n">
        <v>45467</v>
      </c>
      <c r="K1136" s="163" t="n">
        <v>45469</v>
      </c>
      <c r="L1136" t="inlineStr"/>
      <c r="M1136" s="163" t="n">
        <v>45488</v>
      </c>
      <c r="N1136" s="164" t="n">
        <v>40</v>
      </c>
      <c r="O1136" s="164" t="n">
        <v>8</v>
      </c>
      <c r="P1136" t="inlineStr">
        <is>
          <t>Liberado</t>
        </is>
      </c>
      <c r="Q1136" s="165" t="n">
        <v>1</v>
      </c>
      <c r="R1136" s="165" t="n">
        <v>1</v>
      </c>
      <c r="S1136" s="165" t="n">
        <v>1</v>
      </c>
      <c r="T1136" s="165" t="n">
        <v>0</v>
      </c>
      <c r="U1136" s="166" t="n">
        <v>1</v>
      </c>
      <c r="V1136" s="166" t="n">
        <v>0</v>
      </c>
      <c r="W1136" t="inlineStr">
        <is>
          <t>X</t>
        </is>
      </c>
      <c r="X1136" t="inlineStr">
        <is>
          <t>0.00</t>
        </is>
      </c>
      <c r="Y1136" t="inlineStr"/>
      <c r="Z1136" t="inlineStr">
        <is>
          <t>ST ENGINEERING ANTYCIP  SAS</t>
        </is>
      </c>
      <c r="AA1136" t="inlineStr">
        <is>
          <t>ST ENGINEERING</t>
        </is>
      </c>
      <c r="AB1136" t="inlineStr">
        <is>
          <t>1YR SUPPORT AND MAINT/GA/SU/202207-070VB</t>
        </is>
      </c>
      <c r="AC1136" t="inlineStr"/>
      <c r="AD1136" s="164" t="n">
        <v>0</v>
      </c>
      <c r="AE1136" s="185" t="n">
        <v>0</v>
      </c>
      <c r="AG1136" s="167" t="inlineStr">
        <is>
          <t>7218|JA2578_1001</t>
        </is>
      </c>
      <c r="AH1136" s="47">
        <f>IF(M1136=0,"-",M1136-J1136)</f>
        <v/>
      </c>
      <c r="AI1136" s="46">
        <f>IF(AND(S1136=0,M1136&gt;0,L1136=0),IF(AH1136&gt;=120,"VERY HIGH",IF(AH1136&gt;=90,"HIGH",IF(AH1136&gt;=60,"MEDIUM",IF(AH1136&lt;60,"LOW")))),"-")</f>
        <v/>
      </c>
      <c r="AJ1136" s="12" t="n"/>
      <c r="AK1136" s="53">
        <f>IF(AND(W1136="X",M1136&lt;=$AJ$2),"YES","")</f>
        <v/>
      </c>
      <c r="AL1136" s="54">
        <f>IF(AND(W1136="X",M1136&lt;=$AJ$2),S1136,"")</f>
        <v/>
      </c>
      <c r="AM1136" s="35" t="n"/>
      <c r="AN1136" s="35">
        <f>IF(AND(W1136="X",M1136&gt;$AJ$2),S1136,"")</f>
        <v/>
      </c>
      <c r="AO1136" s="35">
        <f>IF(AND(W1136="",M1136&gt;0,$AJ$2&gt;M1136,L1136=""),1,0)</f>
        <v/>
      </c>
      <c r="AP1136" s="35">
        <f>IF(AND(AK1136="YES",W1136="X"),"X","")</f>
        <v/>
      </c>
      <c r="AQ1136" s="55">
        <f>IF(AP1136="X",100%,0%)</f>
        <v/>
      </c>
      <c r="AR1136" s="25">
        <f>IF(AND(T1136&gt;0,L1136=""),H1136,"")</f>
        <v/>
      </c>
      <c r="AS1136" s="25">
        <f>IF(AND(D1136&gt;0,H1136=0,G1136=""),1,"")</f>
        <v/>
      </c>
      <c r="AT1136" s="25">
        <f>IF(G1136="BLOQ",1,"")</f>
        <v/>
      </c>
      <c r="AU1136" s="25">
        <f>IF(L1136="BLOQ",1,"")</f>
        <v/>
      </c>
      <c r="AV1136" s="25">
        <f>MONTH(F1136)</f>
        <v/>
      </c>
      <c r="AW1136" s="65">
        <f>IF(AP1136="",100%,0%)</f>
        <v/>
      </c>
      <c r="AX1136" s="56" t="n"/>
      <c r="AY1136" s="24">
        <f>IF(M1136=0,"",M1136-$AX$2)</f>
        <v/>
      </c>
      <c r="AZ1136" s="66">
        <f>IF(AND(W1136="",AY1136&gt;0,AY1136&lt;15),1,0)</f>
        <v/>
      </c>
      <c r="BA1136" s="24">
        <f>IF(AND(W1136="",AY1136&gt;0,AY1136&lt;15),T1136,"")</f>
        <v/>
      </c>
      <c r="BB1136" s="87">
        <f>IF(R1136&lt;Q1136,"X","")</f>
        <v/>
      </c>
      <c r="BC1136" s="190" t="inlineStr">
        <is>
          <t>NO</t>
        </is>
      </c>
      <c r="BD1136" s="191" t="inlineStr">
        <is>
          <t>SI</t>
        </is>
      </c>
    </row>
    <row r="1137" ht="15" customHeight="1" s="162">
      <c r="A1137" s="7" t="n">
        <v>1136</v>
      </c>
      <c r="B1137" t="inlineStr">
        <is>
          <t>3166092900000</t>
        </is>
      </c>
      <c r="C1137" t="inlineStr">
        <is>
          <t>LIC SW SIMULADOR SCALABLE DISP MANAGER</t>
        </is>
      </c>
      <c r="D1137" t="inlineStr">
        <is>
          <t>1800109004</t>
        </is>
      </c>
      <c r="E1137" t="inlineStr">
        <is>
          <t>30</t>
        </is>
      </c>
      <c r="F1137" s="163" t="n">
        <v>45463</v>
      </c>
      <c r="G1137" t="inlineStr"/>
      <c r="H1137" t="inlineStr">
        <is>
          <t>4200568259</t>
        </is>
      </c>
      <c r="I1137" t="inlineStr">
        <is>
          <t>30</t>
        </is>
      </c>
      <c r="J1137" s="163" t="n">
        <v>45467</v>
      </c>
      <c r="K1137" s="163" t="n">
        <v>45469</v>
      </c>
      <c r="L1137" t="inlineStr"/>
      <c r="M1137" s="163" t="n">
        <v>45488</v>
      </c>
      <c r="N1137" s="164" t="n">
        <v>60</v>
      </c>
      <c r="O1137" s="164" t="n">
        <v>8</v>
      </c>
      <c r="P1137" t="inlineStr">
        <is>
          <t>Liberado</t>
        </is>
      </c>
      <c r="Q1137" s="165" t="n">
        <v>3</v>
      </c>
      <c r="R1137" s="165" t="n">
        <v>3</v>
      </c>
      <c r="S1137" s="165" t="n">
        <v>3</v>
      </c>
      <c r="T1137" s="165" t="n">
        <v>0</v>
      </c>
      <c r="U1137" s="166" t="n">
        <v>3</v>
      </c>
      <c r="V1137" s="166" t="n">
        <v>0</v>
      </c>
      <c r="W1137" t="inlineStr">
        <is>
          <t>X</t>
        </is>
      </c>
      <c r="X1137" t="inlineStr">
        <is>
          <t>0.00</t>
        </is>
      </c>
      <c r="Y1137" t="inlineStr"/>
      <c r="Z1137" t="inlineStr">
        <is>
          <t>ST ENGINEERING ANTYCIP  SAS</t>
        </is>
      </c>
      <c r="AA1137" t="inlineStr">
        <is>
          <t>ST ENGINEERING</t>
        </is>
      </c>
      <c r="AB1137" t="inlineStr">
        <is>
          <t>SCALABLE DISP MANAGER/GA/SU/202207-070VB</t>
        </is>
      </c>
      <c r="AC1137" t="inlineStr"/>
      <c r="AD1137" s="164" t="n">
        <v>0</v>
      </c>
      <c r="AE1137" s="185" t="n">
        <v>0</v>
      </c>
      <c r="AG1137" s="167" t="inlineStr">
        <is>
          <t>7218|JA2578_1001</t>
        </is>
      </c>
      <c r="AH1137" s="47">
        <f>IF(M1137=0,"-",M1137-J1137)</f>
        <v/>
      </c>
      <c r="AI1137" s="46">
        <f>IF(AND(S1137=0,M1137&gt;0,L1137=0),IF(AH1137&gt;=120,"VERY HIGH",IF(AH1137&gt;=90,"HIGH",IF(AH1137&gt;=60,"MEDIUM",IF(AH1137&lt;60,"LOW")))),"-")</f>
        <v/>
      </c>
      <c r="AJ1137" s="12" t="n"/>
      <c r="AK1137" s="53">
        <f>IF(AND(W1137="X",M1137&lt;=$AJ$2),"YES","")</f>
        <v/>
      </c>
      <c r="AL1137" s="54">
        <f>IF(AND(W1137="X",M1137&lt;=$AJ$2),S1137,"")</f>
        <v/>
      </c>
      <c r="AM1137" s="35" t="n"/>
      <c r="AN1137" s="35">
        <f>IF(AND(W1137="X",M1137&gt;$AJ$2),S1137,"")</f>
        <v/>
      </c>
      <c r="AO1137" s="35">
        <f>IF(AND(W1137="",M1137&gt;0,$AJ$2&gt;M1137,L1137=""),1,0)</f>
        <v/>
      </c>
      <c r="AP1137" s="35">
        <f>IF(AND(AK1137="YES",W1137="X"),"X","")</f>
        <v/>
      </c>
      <c r="AQ1137" s="55">
        <f>IF(AP1137="X",100%,0%)</f>
        <v/>
      </c>
      <c r="AR1137" s="25">
        <f>IF(AND(T1137&gt;0,L1137=""),H1137,"")</f>
        <v/>
      </c>
      <c r="AS1137" s="25">
        <f>IF(AND(D1137&gt;0,H1137=0,G1137=""),1,"")</f>
        <v/>
      </c>
      <c r="AT1137" s="25">
        <f>IF(G1137="BLOQ",1,"")</f>
        <v/>
      </c>
      <c r="AU1137" s="25">
        <f>IF(L1137="BLOQ",1,"")</f>
        <v/>
      </c>
      <c r="AV1137" s="25">
        <f>MONTH(F1137)</f>
        <v/>
      </c>
      <c r="AW1137" s="65">
        <f>IF(AP1137="",100%,0%)</f>
        <v/>
      </c>
      <c r="AX1137" s="56" t="n"/>
      <c r="AY1137" s="24">
        <f>IF(M1137=0,"",M1137-$AX$2)</f>
        <v/>
      </c>
      <c r="AZ1137" s="66">
        <f>IF(AND(W1137="",AY1137&gt;0,AY1137&lt;15),1,0)</f>
        <v/>
      </c>
      <c r="BA1137" s="24">
        <f>IF(AND(W1137="",AY1137&gt;0,AY1137&lt;15),T1137,"")</f>
        <v/>
      </c>
      <c r="BB1137" s="87">
        <f>IF(R1137&lt;Q1137,"X","")</f>
        <v/>
      </c>
      <c r="BC1137" s="190" t="inlineStr">
        <is>
          <t>NO</t>
        </is>
      </c>
      <c r="BD1137" s="191" t="inlineStr">
        <is>
          <t>SI</t>
        </is>
      </c>
    </row>
    <row r="1138" ht="15" customHeight="1" s="162">
      <c r="A1138" s="7" t="n">
        <v>1137</v>
      </c>
      <c r="B1138" t="inlineStr">
        <is>
          <t>3210500130300</t>
        </is>
      </c>
      <c r="C1138" t="inlineStr">
        <is>
          <t>USB MEMORIA</t>
        </is>
      </c>
      <c r="D1138" t="inlineStr">
        <is>
          <t>1800109004</t>
        </is>
      </c>
      <c r="E1138" t="inlineStr">
        <is>
          <t>40</t>
        </is>
      </c>
      <c r="F1138" s="163" t="n">
        <v>45463</v>
      </c>
      <c r="G1138" t="inlineStr"/>
      <c r="H1138" t="inlineStr">
        <is>
          <t>4200568259</t>
        </is>
      </c>
      <c r="I1138" t="inlineStr">
        <is>
          <t>40</t>
        </is>
      </c>
      <c r="J1138" s="163" t="n">
        <v>45467</v>
      </c>
      <c r="K1138" s="163" t="n">
        <v>45469</v>
      </c>
      <c r="L1138" t="inlineStr"/>
      <c r="M1138" s="163" t="n">
        <v>45488</v>
      </c>
      <c r="N1138" s="164" t="n">
        <v>40</v>
      </c>
      <c r="O1138" s="164" t="n">
        <v>8</v>
      </c>
      <c r="P1138" t="inlineStr">
        <is>
          <t>Liberado</t>
        </is>
      </c>
      <c r="Q1138" s="165" t="n">
        <v>1</v>
      </c>
      <c r="R1138" s="165" t="n">
        <v>1</v>
      </c>
      <c r="S1138" s="165" t="n">
        <v>1</v>
      </c>
      <c r="T1138" s="165" t="n">
        <v>0</v>
      </c>
      <c r="U1138" s="166" t="n">
        <v>1</v>
      </c>
      <c r="V1138" s="166" t="n">
        <v>0</v>
      </c>
      <c r="W1138" t="inlineStr">
        <is>
          <t>X</t>
        </is>
      </c>
      <c r="X1138" t="inlineStr">
        <is>
          <t>0.00</t>
        </is>
      </c>
      <c r="Y1138" t="inlineStr"/>
      <c r="Z1138" t="inlineStr">
        <is>
          <t>ST ENGINEERING ANTYCIP  SAS</t>
        </is>
      </c>
      <c r="AA1138" t="inlineStr">
        <is>
          <t>ANTYCIP</t>
        </is>
      </c>
      <c r="AB1138" t="inlineStr">
        <is>
          <t>SDINDRA</t>
        </is>
      </c>
      <c r="AC1138" t="inlineStr"/>
      <c r="AD1138" s="164" t="n">
        <v>0</v>
      </c>
      <c r="AE1138" s="185" t="n">
        <v>0</v>
      </c>
      <c r="AG1138" s="167" t="inlineStr">
        <is>
          <t>7218|JA2578_1001</t>
        </is>
      </c>
      <c r="AH1138" s="47">
        <f>IF(M1138=0,"-",M1138-J1138)</f>
        <v/>
      </c>
      <c r="AI1138" s="46">
        <f>IF(AND(S1138=0,M1138&gt;0,L1138=0),IF(AH1138&gt;=120,"VERY HIGH",IF(AH1138&gt;=90,"HIGH",IF(AH1138&gt;=60,"MEDIUM",IF(AH1138&lt;60,"LOW")))),"-")</f>
        <v/>
      </c>
      <c r="AJ1138" s="12" t="n"/>
      <c r="AK1138" s="53">
        <f>IF(AND(W1138="X",M1138&lt;=$AJ$2),"YES","")</f>
        <v/>
      </c>
      <c r="AL1138" s="54">
        <f>IF(AND(W1138="X",M1138&lt;=$AJ$2),S1138,"")</f>
        <v/>
      </c>
      <c r="AM1138" s="35" t="n"/>
      <c r="AN1138" s="35">
        <f>IF(AND(W1138="X",M1138&gt;$AJ$2),S1138,"")</f>
        <v/>
      </c>
      <c r="AO1138" s="35">
        <f>IF(AND(W1138="",M1138&gt;0,$AJ$2&gt;M1138,L1138=""),1,0)</f>
        <v/>
      </c>
      <c r="AP1138" s="35">
        <f>IF(AND(AK1138="YES",W1138="X"),"X","")</f>
        <v/>
      </c>
      <c r="AQ1138" s="55">
        <f>IF(AP1138="X",100%,0%)</f>
        <v/>
      </c>
      <c r="AR1138" s="25">
        <f>IF(AND(T1138&gt;0,L1138=""),H1138,"")</f>
        <v/>
      </c>
      <c r="AS1138" s="25">
        <f>IF(AND(D1138&gt;0,H1138=0,G1138=""),1,"")</f>
        <v/>
      </c>
      <c r="AT1138" s="25">
        <f>IF(G1138="BLOQ",1,"")</f>
        <v/>
      </c>
      <c r="AU1138" s="25">
        <f>IF(L1138="BLOQ",1,"")</f>
        <v/>
      </c>
      <c r="AV1138" s="25">
        <f>MONTH(F1138)</f>
        <v/>
      </c>
      <c r="AW1138" s="65">
        <f>IF(AP1138="",100%,0%)</f>
        <v/>
      </c>
      <c r="AX1138" s="56" t="n"/>
      <c r="AY1138" s="24">
        <f>IF(M1138=0,"",M1138-$AX$2)</f>
        <v/>
      </c>
      <c r="AZ1138" s="66">
        <f>IF(AND(W1138="",AY1138&gt;0,AY1138&lt;15),1,0)</f>
        <v/>
      </c>
      <c r="BA1138" s="24">
        <f>IF(AND(W1138="",AY1138&gt;0,AY1138&lt;15),T1138,"")</f>
        <v/>
      </c>
      <c r="BB1138" s="87">
        <f>IF(R1138&lt;Q1138,"X","")</f>
        <v/>
      </c>
      <c r="BC1138" s="190" t="inlineStr">
        <is>
          <t>NO</t>
        </is>
      </c>
      <c r="BD1138" s="191" t="inlineStr">
        <is>
          <t>SI</t>
        </is>
      </c>
    </row>
    <row r="1139" ht="15" customHeight="1" s="162">
      <c r="A1139" s="7" t="n">
        <v>1138</v>
      </c>
      <c r="B1139" t="inlineStr">
        <is>
          <t>1390705610100</t>
        </is>
      </c>
      <c r="C1139" t="inlineStr">
        <is>
          <t>FILTROS BLENDING OPTICO INACSYS 45</t>
        </is>
      </c>
      <c r="D1139" t="inlineStr">
        <is>
          <t>1800109005</t>
        </is>
      </c>
      <c r="E1139" t="inlineStr">
        <is>
          <t>10</t>
        </is>
      </c>
      <c r="F1139" s="163" t="n">
        <v>45463</v>
      </c>
      <c r="G1139" t="inlineStr"/>
      <c r="H1139" t="inlineStr">
        <is>
          <t>4200577920</t>
        </is>
      </c>
      <c r="I1139" t="inlineStr">
        <is>
          <t>10</t>
        </is>
      </c>
      <c r="J1139" s="163" t="n">
        <v>45554</v>
      </c>
      <c r="K1139" s="163" t="n">
        <v>45554</v>
      </c>
      <c r="L1139" t="inlineStr"/>
      <c r="M1139" s="163" t="n">
        <v>45565</v>
      </c>
      <c r="N1139" s="164" t="n">
        <v>70</v>
      </c>
      <c r="O1139" s="164" t="n">
        <v>8</v>
      </c>
      <c r="P1139" t="inlineStr">
        <is>
          <t>Liberado</t>
        </is>
      </c>
      <c r="Q1139" s="165" t="n">
        <v>1</v>
      </c>
      <c r="R1139" s="165" t="n">
        <v>5</v>
      </c>
      <c r="S1139" s="165" t="n">
        <v>5</v>
      </c>
      <c r="T1139" s="165" t="n">
        <v>0</v>
      </c>
      <c r="U1139" s="166" t="n">
        <v>5</v>
      </c>
      <c r="V1139" s="166" t="n">
        <v>0</v>
      </c>
      <c r="W1139" t="inlineStr">
        <is>
          <t>X</t>
        </is>
      </c>
      <c r="X1139" t="inlineStr">
        <is>
          <t>0.00</t>
        </is>
      </c>
      <c r="Y1139" t="inlineStr"/>
      <c r="Z1139" t="inlineStr">
        <is>
          <t>TALLERES XUQUER, SL</t>
        </is>
      </c>
      <c r="AA1139" t="inlineStr">
        <is>
          <t>TALLERES XUQUER</t>
        </is>
      </c>
      <c r="AB1139" t="inlineStr">
        <is>
          <t>29116</t>
        </is>
      </c>
      <c r="AC1139" t="inlineStr"/>
      <c r="AD1139" s="164" t="n">
        <v>0</v>
      </c>
      <c r="AE1139" s="185" t="n">
        <v>0</v>
      </c>
      <c r="AG1139" s="167" t="inlineStr">
        <is>
          <t>7218|JA2578_1001</t>
        </is>
      </c>
      <c r="AH1139" s="47">
        <f>IF(M1139=0,"-",M1139-J1139)</f>
        <v/>
      </c>
      <c r="AI1139" s="46">
        <f>IF(AND(S1139=0,M1139&gt;0,L1139=0),IF(AH1139&gt;=120,"VERY HIGH",IF(AH1139&gt;=90,"HIGH",IF(AH1139&gt;=60,"MEDIUM",IF(AH1139&lt;60,"LOW")))),"-")</f>
        <v/>
      </c>
      <c r="AJ1139" s="12" t="n"/>
      <c r="AK1139" s="53">
        <f>IF(AND(W1139="X",M1139&lt;=$AJ$2),"YES","")</f>
        <v/>
      </c>
      <c r="AL1139" s="54">
        <f>IF(AND(W1139="X",M1139&lt;=$AJ$2),S1139,"")</f>
        <v/>
      </c>
      <c r="AM1139" s="35" t="n"/>
      <c r="AN1139" s="35">
        <f>IF(AND(W1139="X",M1139&gt;$AJ$2),S1139,"")</f>
        <v/>
      </c>
      <c r="AO1139" s="35">
        <f>IF(AND(W1139="",M1139&gt;0,$AJ$2&gt;M1139,L1139=""),1,0)</f>
        <v/>
      </c>
      <c r="AP1139" s="35">
        <f>IF(AND(AK1139="YES",W1139="X"),"X","")</f>
        <v/>
      </c>
      <c r="AQ1139" s="55">
        <f>IF(AP1139="X",100%,0%)</f>
        <v/>
      </c>
      <c r="AR1139" s="25">
        <f>IF(AND(T1139&gt;0,L1139=""),H1139,"")</f>
        <v/>
      </c>
      <c r="AS1139" s="25">
        <f>IF(AND(D1139&gt;0,H1139=0,G1139=""),1,"")</f>
        <v/>
      </c>
      <c r="AT1139" s="25">
        <f>IF(G1139="BLOQ",1,"")</f>
        <v/>
      </c>
      <c r="AU1139" s="25">
        <f>IF(L1139="BLOQ",1,"")</f>
        <v/>
      </c>
      <c r="AV1139" s="25">
        <f>MONTH(F1139)</f>
        <v/>
      </c>
      <c r="AW1139" s="65">
        <f>IF(AP1139="",100%,0%)</f>
        <v/>
      </c>
      <c r="AX1139" s="56" t="n"/>
      <c r="AY1139" s="24">
        <f>IF(M1139=0,"",M1139-$AX$2)</f>
        <v/>
      </c>
      <c r="AZ1139" s="66">
        <f>IF(AND(W1139="",AY1139&gt;0,AY1139&lt;15),1,0)</f>
        <v/>
      </c>
      <c r="BA1139" s="24">
        <f>IF(AND(W1139="",AY1139&gt;0,AY1139&lt;15),T1139,"")</f>
        <v/>
      </c>
      <c r="BB1139" s="87">
        <f>IF(R1139&lt;Q1139,"X","")</f>
        <v/>
      </c>
      <c r="BC1139" s="190" t="inlineStr">
        <is>
          <t>NO</t>
        </is>
      </c>
      <c r="BD1139" s="191" t="inlineStr">
        <is>
          <t>SI</t>
        </is>
      </c>
    </row>
    <row r="1140" ht="15" customHeight="1" s="162">
      <c r="A1140" s="7" t="n">
        <v>1139</v>
      </c>
      <c r="B1140" t="inlineStr">
        <is>
          <t>1702003980000</t>
        </is>
      </c>
      <c r="C1140" t="inlineStr">
        <is>
          <t>CAJA CONTROL VACIO S/OF</t>
        </is>
      </c>
      <c r="D1140" t="inlineStr">
        <is>
          <t>1800109005</t>
        </is>
      </c>
      <c r="E1140" t="inlineStr">
        <is>
          <t>20</t>
        </is>
      </c>
      <c r="F1140" s="163" t="n">
        <v>45463</v>
      </c>
      <c r="G1140" t="inlineStr"/>
      <c r="H1140" t="inlineStr">
        <is>
          <t>4200577920</t>
        </is>
      </c>
      <c r="I1140" t="inlineStr">
        <is>
          <t>20</t>
        </is>
      </c>
      <c r="J1140" s="163" t="n">
        <v>45554</v>
      </c>
      <c r="K1140" s="163" t="n">
        <v>45554</v>
      </c>
      <c r="L1140" t="inlineStr"/>
      <c r="M1140" s="163" t="n">
        <v>45565</v>
      </c>
      <c r="N1140" s="164" t="n">
        <v>40</v>
      </c>
      <c r="O1140" s="164" t="n">
        <v>8</v>
      </c>
      <c r="P1140" t="inlineStr">
        <is>
          <t>Liberado</t>
        </is>
      </c>
      <c r="Q1140" s="165" t="n">
        <v>1</v>
      </c>
      <c r="R1140" s="165" t="n">
        <v>1</v>
      </c>
      <c r="S1140" s="165" t="n">
        <v>1</v>
      </c>
      <c r="T1140" s="165" t="n">
        <v>0</v>
      </c>
      <c r="U1140" s="166" t="n">
        <v>1</v>
      </c>
      <c r="V1140" s="166" t="n">
        <v>0</v>
      </c>
      <c r="W1140" t="inlineStr">
        <is>
          <t>X</t>
        </is>
      </c>
      <c r="X1140" t="inlineStr">
        <is>
          <t>0.00</t>
        </is>
      </c>
      <c r="Y1140" t="inlineStr"/>
      <c r="Z1140" t="inlineStr">
        <is>
          <t>TALLERES XUQUER, SL</t>
        </is>
      </c>
      <c r="AA1140" t="inlineStr">
        <is>
          <t>XUQUER</t>
        </is>
      </c>
      <c r="AB1140" t="inlineStr">
        <is>
          <t>22651</t>
        </is>
      </c>
      <c r="AC1140" t="inlineStr"/>
      <c r="AD1140" s="164" t="n">
        <v>0</v>
      </c>
      <c r="AE1140" s="185" t="n">
        <v>0</v>
      </c>
      <c r="AG1140" s="167" t="inlineStr">
        <is>
          <t>7218|JA2578_1001</t>
        </is>
      </c>
      <c r="AH1140" s="47">
        <f>IF(M1140=0,"-",M1140-J1140)</f>
        <v/>
      </c>
      <c r="AI1140" s="46">
        <f>IF(AND(S1140=0,M1140&gt;0,L1140=0),IF(AH1140&gt;=120,"VERY HIGH",IF(AH1140&gt;=90,"HIGH",IF(AH1140&gt;=60,"MEDIUM",IF(AH1140&lt;60,"LOW")))),"-")</f>
        <v/>
      </c>
      <c r="AJ1140" s="12" t="n"/>
      <c r="AK1140" s="53">
        <f>IF(AND(W1140="X",M1140&lt;=$AJ$2),"YES","")</f>
        <v/>
      </c>
      <c r="AL1140" s="54">
        <f>IF(AND(W1140="X",M1140&lt;=$AJ$2),S1140,"")</f>
        <v/>
      </c>
      <c r="AM1140" s="35" t="n"/>
      <c r="AN1140" s="35">
        <f>IF(AND(W1140="X",M1140&gt;$AJ$2),S1140,"")</f>
        <v/>
      </c>
      <c r="AO1140" s="35">
        <f>IF(AND(W1140="",M1140&gt;0,$AJ$2&gt;M1140,L1140=""),1,0)</f>
        <v/>
      </c>
      <c r="AP1140" s="35">
        <f>IF(AND(AK1140="YES",W1140="X"),"X","")</f>
        <v/>
      </c>
      <c r="AQ1140" s="55">
        <f>IF(AP1140="X",100%,0%)</f>
        <v/>
      </c>
      <c r="AR1140" s="25">
        <f>IF(AND(T1140&gt;0,L1140=""),H1140,"")</f>
        <v/>
      </c>
      <c r="AS1140" s="25">
        <f>IF(AND(D1140&gt;0,H1140=0,G1140=""),1,"")</f>
        <v/>
      </c>
      <c r="AT1140" s="25">
        <f>IF(G1140="BLOQ",1,"")</f>
        <v/>
      </c>
      <c r="AU1140" s="25">
        <f>IF(L1140="BLOQ",1,"")</f>
        <v/>
      </c>
      <c r="AV1140" s="25">
        <f>MONTH(F1140)</f>
        <v/>
      </c>
      <c r="AW1140" s="65">
        <f>IF(AP1140="",100%,0%)</f>
        <v/>
      </c>
      <c r="AX1140" s="56" t="n"/>
      <c r="AY1140" s="24">
        <f>IF(M1140=0,"",M1140-$AX$2)</f>
        <v/>
      </c>
      <c r="AZ1140" s="66">
        <f>IF(AND(W1140="",AY1140&gt;0,AY1140&lt;15),1,0)</f>
        <v/>
      </c>
      <c r="BA1140" s="24">
        <f>IF(AND(W1140="",AY1140&gt;0,AY1140&lt;15),T1140,"")</f>
        <v/>
      </c>
      <c r="BB1140" s="87">
        <f>IF(R1140&lt;Q1140,"X","")</f>
        <v/>
      </c>
      <c r="BC1140" s="190" t="inlineStr">
        <is>
          <t>NO</t>
        </is>
      </c>
      <c r="BD1140" s="191" t="inlineStr">
        <is>
          <t>SI</t>
        </is>
      </c>
    </row>
    <row r="1141" ht="15" customHeight="1" s="162">
      <c r="A1141" s="7" t="n">
        <v>1140</v>
      </c>
      <c r="B1141" t="inlineStr">
        <is>
          <t>1219000691400</t>
        </is>
      </c>
      <c r="C1141" t="inlineStr">
        <is>
          <t>CAJA PORTACONTACTOS 6H RECT 2,54MM P/POS</t>
        </is>
      </c>
      <c r="D1141" t="inlineStr">
        <is>
          <t>1800109443</t>
        </is>
      </c>
      <c r="E1141" t="inlineStr">
        <is>
          <t>10</t>
        </is>
      </c>
      <c r="F1141" s="163" t="n">
        <v>45473</v>
      </c>
      <c r="G1141" t="inlineStr"/>
      <c r="H1141" t="inlineStr">
        <is>
          <t>4200574946</t>
        </is>
      </c>
      <c r="I1141" t="inlineStr">
        <is>
          <t>30</t>
        </is>
      </c>
      <c r="J1141" s="163" t="n">
        <v>45525</v>
      </c>
      <c r="K1141" s="163" t="n">
        <v>45530</v>
      </c>
      <c r="L1141" t="inlineStr"/>
      <c r="M1141" s="163" t="n">
        <v>45532</v>
      </c>
      <c r="N1141" s="164" t="n">
        <v>80</v>
      </c>
      <c r="O1141" s="164" t="n">
        <v>8</v>
      </c>
      <c r="P1141" t="inlineStr">
        <is>
          <t>Liberado</t>
        </is>
      </c>
      <c r="Q1141" s="165" t="n">
        <v>8</v>
      </c>
      <c r="R1141" s="165" t="n">
        <v>8</v>
      </c>
      <c r="S1141" s="165" t="n">
        <v>16</v>
      </c>
      <c r="T1141" s="165" t="n">
        <v>0</v>
      </c>
      <c r="U1141" s="166" t="n">
        <v>8</v>
      </c>
      <c r="V1141" s="166" t="n">
        <v>8</v>
      </c>
      <c r="W1141" t="inlineStr">
        <is>
          <t>X</t>
        </is>
      </c>
      <c r="X1141" t="inlineStr">
        <is>
          <t>0.00</t>
        </is>
      </c>
      <c r="Y1141" t="inlineStr"/>
      <c r="Z1141" t="inlineStr">
        <is>
          <t>ARISTOS INDUSTRIAL, S.L.U.</t>
        </is>
      </c>
      <c r="AA1141" t="inlineStr">
        <is>
          <t>ARISTON</t>
        </is>
      </c>
      <c r="AB1141" t="inlineStr">
        <is>
          <t>CO 3406</t>
        </is>
      </c>
      <c r="AC1141" t="inlineStr"/>
      <c r="AD1141" s="164" t="n">
        <v>0</v>
      </c>
      <c r="AE1141" s="185" t="n">
        <v>0</v>
      </c>
      <c r="AG1141" s="167" t="inlineStr">
        <is>
          <t>7218|JA2581_1001</t>
        </is>
      </c>
      <c r="AH1141" s="47">
        <f>IF(M1141=0,"-",M1141-J1141)</f>
        <v/>
      </c>
      <c r="AI1141" s="46">
        <f>IF(AND(S1141=0,M1141&gt;0,L1141=0),IF(AH1141&gt;=120,"VERY HIGH",IF(AH1141&gt;=90,"HIGH",IF(AH1141&gt;=60,"MEDIUM",IF(AH1141&lt;60,"LOW")))),"-")</f>
        <v/>
      </c>
      <c r="AJ1141" s="12" t="n"/>
      <c r="AK1141" s="53">
        <f>IF(AND(W1141="X",M1141&lt;=$AJ$2),"YES","")</f>
        <v/>
      </c>
      <c r="AL1141" s="54">
        <f>IF(AND(W1141="X",M1141&lt;=$AJ$2),S1141,"")</f>
        <v/>
      </c>
      <c r="AM1141" s="35" t="n"/>
      <c r="AN1141" s="35">
        <f>IF(AND(W1141="X",M1141&gt;$AJ$2),S1141,"")</f>
        <v/>
      </c>
      <c r="AO1141" s="35">
        <f>IF(AND(W1141="",M1141&gt;0,$AJ$2&gt;M1141,L1141=""),1,0)</f>
        <v/>
      </c>
      <c r="AP1141" s="35">
        <f>IF(AND(AK1141="YES",W1141="X"),"X","")</f>
        <v/>
      </c>
      <c r="AQ1141" s="55">
        <f>IF(AP1141="X",100%,0%)</f>
        <v/>
      </c>
      <c r="AR1141" s="25">
        <f>IF(AND(T1141&gt;0,L1141=""),H1141,"")</f>
        <v/>
      </c>
      <c r="AS1141" s="25">
        <f>IF(AND(D1141&gt;0,H1141=0,G1141=""),1,"")</f>
        <v/>
      </c>
      <c r="AT1141" s="25">
        <f>IF(G1141="BLOQ",1,"")</f>
        <v/>
      </c>
      <c r="AU1141" s="25">
        <f>IF(L1141="BLOQ",1,"")</f>
        <v/>
      </c>
      <c r="AV1141" s="25">
        <f>MONTH(F1141)</f>
        <v/>
      </c>
      <c r="AW1141" s="65">
        <f>IF(AP1141="",100%,0%)</f>
        <v/>
      </c>
      <c r="AX1141" s="56" t="n"/>
      <c r="AY1141" s="24">
        <f>IF(M1141=0,"",M1141-$AX$2)</f>
        <v/>
      </c>
      <c r="AZ1141" s="66">
        <f>IF(AND(W1141="",AY1141&gt;0,AY1141&lt;15),1,0)</f>
        <v/>
      </c>
      <c r="BA1141" s="24">
        <f>IF(AND(W1141="",AY1141&gt;0,AY1141&lt;15),T1141,"")</f>
        <v/>
      </c>
      <c r="BB1141" s="87">
        <f>IF(R1141&lt;Q1141,"X","")</f>
        <v/>
      </c>
      <c r="BC1141" s="190" t="inlineStr">
        <is>
          <t>NO</t>
        </is>
      </c>
      <c r="BD1141" s="191" t="inlineStr">
        <is>
          <t>SI</t>
        </is>
      </c>
    </row>
    <row r="1142" ht="15" customHeight="1" s="162">
      <c r="A1142" s="7" t="n">
        <v>1141</v>
      </c>
      <c r="B1142" t="inlineStr">
        <is>
          <t>1149900090500</t>
        </is>
      </c>
      <c r="C1142" t="inlineStr">
        <is>
          <t>CABEZA PILOTO D=22MM PLASTIC BLANCO</t>
        </is>
      </c>
      <c r="D1142" t="inlineStr">
        <is>
          <t>1800109444</t>
        </is>
      </c>
      <c r="E1142" t="inlineStr">
        <is>
          <t>10</t>
        </is>
      </c>
      <c r="F1142" s="163" t="n">
        <v>45473</v>
      </c>
      <c r="G1142" t="inlineStr"/>
      <c r="H1142" t="inlineStr">
        <is>
          <t>4200569888</t>
        </is>
      </c>
      <c r="I1142" t="inlineStr">
        <is>
          <t>40</t>
        </is>
      </c>
      <c r="J1142" s="163" t="n">
        <v>45482</v>
      </c>
      <c r="K1142" s="163" t="n">
        <v>45483</v>
      </c>
      <c r="L1142" t="inlineStr"/>
      <c r="M1142" s="163" t="n">
        <v>45490</v>
      </c>
      <c r="N1142" s="164" t="n">
        <v>40</v>
      </c>
      <c r="O1142" s="164" t="n">
        <v>8</v>
      </c>
      <c r="P1142" t="inlineStr">
        <is>
          <t>Liberado</t>
        </is>
      </c>
      <c r="Q1142" s="165" t="n">
        <v>1</v>
      </c>
      <c r="R1142" s="165" t="n">
        <v>1</v>
      </c>
      <c r="S1142" s="165" t="n">
        <v>1</v>
      </c>
      <c r="T1142" s="165" t="n">
        <v>0</v>
      </c>
      <c r="U1142" s="166" t="n">
        <v>1</v>
      </c>
      <c r="V1142" s="166" t="n">
        <v>0</v>
      </c>
      <c r="W1142" t="inlineStr">
        <is>
          <t>X</t>
        </is>
      </c>
      <c r="X1142" t="inlineStr">
        <is>
          <t>0.00</t>
        </is>
      </c>
      <c r="Y1142" t="inlineStr"/>
      <c r="Z1142" t="inlineStr">
        <is>
          <t>LUJISA, S.A.</t>
        </is>
      </c>
      <c r="AA1142" t="inlineStr">
        <is>
          <t>SCHNEIDER ELECTRIC</t>
        </is>
      </c>
      <c r="AB1142" t="inlineStr">
        <is>
          <t>ZB5AV01</t>
        </is>
      </c>
      <c r="AC1142" t="inlineStr"/>
      <c r="AD1142" s="164" t="n">
        <v>0</v>
      </c>
      <c r="AE1142" s="185" t="n">
        <v>0</v>
      </c>
      <c r="AG1142" s="167" t="inlineStr">
        <is>
          <t>7218|JA2612_1001</t>
        </is>
      </c>
      <c r="AH1142" s="47">
        <f>IF(M1142=0,"-",M1142-J1142)</f>
        <v/>
      </c>
      <c r="AI1142" s="46">
        <f>IF(AND(S1142=0,M1142&gt;0,L1142=0),IF(AH1142&gt;=120,"VERY HIGH",IF(AH1142&gt;=90,"HIGH",IF(AH1142&gt;=60,"MEDIUM",IF(AH1142&lt;60,"LOW")))),"-")</f>
        <v/>
      </c>
      <c r="AJ1142" s="12" t="n"/>
      <c r="AK1142" s="53">
        <f>IF(AND(W1142="X",M1142&lt;=$AJ$2),"YES","")</f>
        <v/>
      </c>
      <c r="AL1142" s="54">
        <f>IF(AND(W1142="X",M1142&lt;=$AJ$2),S1142,"")</f>
        <v/>
      </c>
      <c r="AM1142" s="35" t="n"/>
      <c r="AN1142" s="35">
        <f>IF(AND(W1142="X",M1142&gt;$AJ$2),S1142,"")</f>
        <v/>
      </c>
      <c r="AO1142" s="35">
        <f>IF(AND(W1142="",M1142&gt;0,$AJ$2&gt;M1142,L1142=""),1,0)</f>
        <v/>
      </c>
      <c r="AP1142" s="35">
        <f>IF(AND(AK1142="YES",W1142="X"),"X","")</f>
        <v/>
      </c>
      <c r="AQ1142" s="55">
        <f>IF(AP1142="X",100%,0%)</f>
        <v/>
      </c>
      <c r="AR1142" s="25">
        <f>IF(AND(T1142&gt;0,L1142=""),H1142,"")</f>
        <v/>
      </c>
      <c r="AS1142" s="25">
        <f>IF(AND(D1142&gt;0,H1142=0,G1142=""),1,"")</f>
        <v/>
      </c>
      <c r="AT1142" s="25">
        <f>IF(G1142="BLOQ",1,"")</f>
        <v/>
      </c>
      <c r="AU1142" s="25">
        <f>IF(L1142="BLOQ",1,"")</f>
        <v/>
      </c>
      <c r="AV1142" s="25">
        <f>MONTH(F1142)</f>
        <v/>
      </c>
      <c r="AW1142" s="65">
        <f>IF(AP1142="",100%,0%)</f>
        <v/>
      </c>
      <c r="AX1142" s="56" t="n"/>
      <c r="AY1142" s="24">
        <f>IF(M1142=0,"",M1142-$AX$2)</f>
        <v/>
      </c>
      <c r="AZ1142" s="66">
        <f>IF(AND(W1142="",AY1142&gt;0,AY1142&lt;15),1,0)</f>
        <v/>
      </c>
      <c r="BA1142" s="24">
        <f>IF(AND(W1142="",AY1142&gt;0,AY1142&lt;15),T1142,"")</f>
        <v/>
      </c>
      <c r="BB1142" s="87">
        <f>IF(R1142&lt;Q1142,"X","")</f>
        <v/>
      </c>
      <c r="BC1142" s="190" t="inlineStr">
        <is>
          <t>NO</t>
        </is>
      </c>
      <c r="BD1142" s="191" t="inlineStr">
        <is>
          <t>SI</t>
        </is>
      </c>
    </row>
    <row r="1143" ht="15" customHeight="1" s="162">
      <c r="A1143" s="7" t="n">
        <v>1142</v>
      </c>
      <c r="B1143" t="inlineStr">
        <is>
          <t>0972828200000</t>
        </is>
      </c>
      <c r="C1143" t="inlineStr">
        <is>
          <t>SMOKE DETEC TEMP SENSOR AND AACC ASSY</t>
        </is>
      </c>
      <c r="D1143" t="inlineStr">
        <is>
          <t>1800109445</t>
        </is>
      </c>
      <c r="E1143" t="inlineStr">
        <is>
          <t>10</t>
        </is>
      </c>
      <c r="F1143" s="163" t="n">
        <v>45473</v>
      </c>
      <c r="G1143" t="inlineStr"/>
      <c r="H1143" t="inlineStr">
        <is>
          <t>4200571121</t>
        </is>
      </c>
      <c r="I1143" t="inlineStr">
        <is>
          <t>10</t>
        </is>
      </c>
      <c r="J1143" s="163" t="n">
        <v>45490</v>
      </c>
      <c r="K1143" s="163" t="n">
        <v>45490</v>
      </c>
      <c r="L1143" t="inlineStr"/>
      <c r="M1143" s="163" t="n">
        <v>45596</v>
      </c>
      <c r="N1143" s="164" t="n">
        <v>30</v>
      </c>
      <c r="O1143" s="164" t="n">
        <v>8</v>
      </c>
      <c r="P1143" t="inlineStr">
        <is>
          <t>Liberado</t>
        </is>
      </c>
      <c r="Q1143" s="165" t="n">
        <v>1</v>
      </c>
      <c r="R1143" s="165" t="n">
        <v>1</v>
      </c>
      <c r="S1143" s="165" t="n">
        <v>1</v>
      </c>
      <c r="T1143" s="165" t="n">
        <v>0</v>
      </c>
      <c r="U1143" s="166" t="n">
        <v>1</v>
      </c>
      <c r="V1143" s="166" t="n">
        <v>0</v>
      </c>
      <c r="W1143" t="inlineStr">
        <is>
          <t>X</t>
        </is>
      </c>
      <c r="X1143" t="inlineStr">
        <is>
          <t>0.00</t>
        </is>
      </c>
      <c r="Y1143" t="inlineStr"/>
      <c r="Z1143" t="inlineStr">
        <is>
          <t>AUXITEL, S.L.</t>
        </is>
      </c>
      <c r="AA1143" t="inlineStr">
        <is>
          <t>INDRA SISTEMAS S.A.</t>
        </is>
      </c>
      <c r="AB1143" t="inlineStr">
        <is>
          <t>0972828200000</t>
        </is>
      </c>
      <c r="AC1143" t="inlineStr"/>
      <c r="AD1143" s="164" t="n">
        <v>1</v>
      </c>
      <c r="AE1143" s="185" t="n">
        <v>0</v>
      </c>
      <c r="AG1143" s="167" t="inlineStr">
        <is>
          <t>7218|JA2582_1001</t>
        </is>
      </c>
      <c r="AH1143" s="47">
        <f>IF(M1143=0,"-",M1143-J1143)</f>
        <v/>
      </c>
      <c r="AI1143" s="46">
        <f>IF(AND(S1143=0,M1143&gt;0,L1143=0),IF(AH1143&gt;=120,"VERY HIGH",IF(AH1143&gt;=90,"HIGH",IF(AH1143&gt;=60,"MEDIUM",IF(AH1143&lt;60,"LOW")))),"-")</f>
        <v/>
      </c>
      <c r="AJ1143" s="12" t="n"/>
      <c r="AK1143" s="53">
        <f>IF(AND(W1143="X",M1143&lt;=$AJ$2),"YES","")</f>
        <v/>
      </c>
      <c r="AL1143" s="54">
        <f>IF(AND(W1143="X",M1143&lt;=$AJ$2),S1143,"")</f>
        <v/>
      </c>
      <c r="AM1143" s="35" t="n"/>
      <c r="AN1143" s="35">
        <f>IF(AND(W1143="X",M1143&gt;$AJ$2),S1143,"")</f>
        <v/>
      </c>
      <c r="AO1143" s="35">
        <f>IF(AND(W1143="",M1143&gt;0,$AJ$2&gt;M1143,L1143=""),1,0)</f>
        <v/>
      </c>
      <c r="AP1143" s="35">
        <f>IF(AND(AK1143="YES",W1143="X"),"X","")</f>
        <v/>
      </c>
      <c r="AQ1143" s="55">
        <f>IF(AP1143="X",100%,0%)</f>
        <v/>
      </c>
      <c r="AR1143" s="25">
        <f>IF(AND(T1143&gt;0,L1143=""),H1143,"")</f>
        <v/>
      </c>
      <c r="AS1143" s="25">
        <f>IF(AND(D1143&gt;0,H1143=0,G1143=""),1,"")</f>
        <v/>
      </c>
      <c r="AT1143" s="25">
        <f>IF(G1143="BLOQ",1,"")</f>
        <v/>
      </c>
      <c r="AU1143" s="25">
        <f>IF(L1143="BLOQ",1,"")</f>
        <v/>
      </c>
      <c r="AV1143" s="25">
        <f>MONTH(F1143)</f>
        <v/>
      </c>
      <c r="AW1143" s="65">
        <f>IF(AP1143="",100%,0%)</f>
        <v/>
      </c>
      <c r="AX1143" s="56" t="n"/>
      <c r="AY1143" s="24">
        <f>IF(M1143=0,"",M1143-$AX$2)</f>
        <v/>
      </c>
      <c r="AZ1143" s="66">
        <f>IF(AND(W1143="",AY1143&gt;0,AY1143&lt;15),1,0)</f>
        <v/>
      </c>
      <c r="BA1143" s="24">
        <f>IF(AND(W1143="",AY1143&gt;0,AY1143&lt;15),T1143,"")</f>
        <v/>
      </c>
      <c r="BB1143" s="87">
        <f>IF(R1143&lt;Q1143,"X","")</f>
        <v/>
      </c>
      <c r="BC1143" s="190" t="inlineStr">
        <is>
          <t>NO</t>
        </is>
      </c>
      <c r="BD1143" s="191" t="inlineStr">
        <is>
          <t>SI</t>
        </is>
      </c>
    </row>
    <row r="1144" ht="15" customHeight="1" s="162">
      <c r="A1144" s="7" t="n">
        <v>1143</v>
      </c>
      <c r="B1144" t="inlineStr">
        <is>
          <t>0972885290100</t>
        </is>
      </c>
      <c r="C1144" t="inlineStr">
        <is>
          <t>SOPORTE CAMARA</t>
        </is>
      </c>
      <c r="D1144" t="inlineStr">
        <is>
          <t>1800109446</t>
        </is>
      </c>
      <c r="E1144" t="inlineStr">
        <is>
          <t>10</t>
        </is>
      </c>
      <c r="F1144" s="163" t="n">
        <v>45473</v>
      </c>
      <c r="G1144" t="inlineStr"/>
      <c r="H1144" t="inlineStr">
        <is>
          <t>4200570620</t>
        </is>
      </c>
      <c r="I1144" t="inlineStr">
        <is>
          <t>10</t>
        </is>
      </c>
      <c r="J1144" s="163" t="n">
        <v>45488</v>
      </c>
      <c r="K1144" s="163" t="n">
        <v>45496</v>
      </c>
      <c r="L1144" t="inlineStr"/>
      <c r="M1144" s="163" t="n">
        <v>45511</v>
      </c>
      <c r="N1144" s="164" t="n">
        <v>30</v>
      </c>
      <c r="O1144" s="164" t="n">
        <v>8</v>
      </c>
      <c r="P1144" t="inlineStr">
        <is>
          <t>Liberado</t>
        </is>
      </c>
      <c r="Q1144" s="165" t="n">
        <v>2</v>
      </c>
      <c r="R1144" s="165" t="n">
        <v>2</v>
      </c>
      <c r="S1144" s="165" t="n">
        <v>2</v>
      </c>
      <c r="T1144" s="165" t="n">
        <v>0</v>
      </c>
      <c r="U1144" s="166" t="n">
        <v>2</v>
      </c>
      <c r="V1144" s="166" t="n">
        <v>0</v>
      </c>
      <c r="W1144" t="inlineStr">
        <is>
          <t>X</t>
        </is>
      </c>
      <c r="X1144" t="inlineStr">
        <is>
          <t>0.00</t>
        </is>
      </c>
      <c r="Y1144" t="inlineStr"/>
      <c r="Z1144" t="inlineStr">
        <is>
          <t>TALLERES XUQUER, SL</t>
        </is>
      </c>
      <c r="AA1144" t="inlineStr">
        <is>
          <t>INDRA SISTEMAS S.A.</t>
        </is>
      </c>
      <c r="AB1144" t="inlineStr">
        <is>
          <t>0972885290100</t>
        </is>
      </c>
      <c r="AC1144" t="inlineStr"/>
      <c r="AD1144" s="164" t="n">
        <v>0</v>
      </c>
      <c r="AE1144" s="185" t="n">
        <v>0</v>
      </c>
      <c r="AG1144" s="167" t="inlineStr">
        <is>
          <t>7218|JA2578_1001</t>
        </is>
      </c>
      <c r="AH1144" s="47">
        <f>IF(M1144=0,"-",M1144-J1144)</f>
        <v/>
      </c>
      <c r="AI1144" s="46">
        <f>IF(AND(S1144=0,M1144&gt;0,L1144=0),IF(AH1144&gt;=120,"VERY HIGH",IF(AH1144&gt;=90,"HIGH",IF(AH1144&gt;=60,"MEDIUM",IF(AH1144&lt;60,"LOW")))),"-")</f>
        <v/>
      </c>
      <c r="AJ1144" s="12" t="n"/>
      <c r="AK1144" s="53">
        <f>IF(AND(W1144="X",M1144&lt;=$AJ$2),"YES","")</f>
        <v/>
      </c>
      <c r="AL1144" s="54">
        <f>IF(AND(W1144="X",M1144&lt;=$AJ$2),S1144,"")</f>
        <v/>
      </c>
      <c r="AM1144" s="35" t="n"/>
      <c r="AN1144" s="35">
        <f>IF(AND(W1144="X",M1144&gt;$AJ$2),S1144,"")</f>
        <v/>
      </c>
      <c r="AO1144" s="35">
        <f>IF(AND(W1144="",M1144&gt;0,$AJ$2&gt;M1144,L1144=""),1,0)</f>
        <v/>
      </c>
      <c r="AP1144" s="35">
        <f>IF(AND(AK1144="YES",W1144="X"),"X","")</f>
        <v/>
      </c>
      <c r="AQ1144" s="55">
        <f>IF(AP1144="X",100%,0%)</f>
        <v/>
      </c>
      <c r="AR1144" s="25">
        <f>IF(AND(T1144&gt;0,L1144=""),H1144,"")</f>
        <v/>
      </c>
      <c r="AS1144" s="25">
        <f>IF(AND(D1144&gt;0,H1144=0,G1144=""),1,"")</f>
        <v/>
      </c>
      <c r="AT1144" s="25">
        <f>IF(G1144="BLOQ",1,"")</f>
        <v/>
      </c>
      <c r="AU1144" s="25">
        <f>IF(L1144="BLOQ",1,"")</f>
        <v/>
      </c>
      <c r="AV1144" s="25">
        <f>MONTH(F1144)</f>
        <v/>
      </c>
      <c r="AW1144" s="65">
        <f>IF(AP1144="",100%,0%)</f>
        <v/>
      </c>
      <c r="AX1144" s="56" t="n"/>
      <c r="AY1144" s="24">
        <f>IF(M1144=0,"",M1144-$AX$2)</f>
        <v/>
      </c>
      <c r="AZ1144" s="66">
        <f>IF(AND(W1144="",AY1144&gt;0,AY1144&lt;15),1,0)</f>
        <v/>
      </c>
      <c r="BA1144" s="24">
        <f>IF(AND(W1144="",AY1144&gt;0,AY1144&lt;15),T1144,"")</f>
        <v/>
      </c>
      <c r="BB1144" s="87">
        <f>IF(R1144&lt;Q1144,"X","")</f>
        <v/>
      </c>
      <c r="BC1144" s="190" t="inlineStr">
        <is>
          <t>NO</t>
        </is>
      </c>
      <c r="BD1144" s="191" t="inlineStr">
        <is>
          <t>SI</t>
        </is>
      </c>
    </row>
    <row r="1145" ht="15" customHeight="1" s="162">
      <c r="A1145" s="7" t="n">
        <v>1144</v>
      </c>
      <c r="B1145" t="inlineStr">
        <is>
          <t>1229590956500</t>
        </is>
      </c>
      <c r="C1145" t="inlineStr">
        <is>
          <t>CBL EQ ETH RJ45/M-M UTP LSZH VERD L300MM</t>
        </is>
      </c>
      <c r="D1145" t="inlineStr">
        <is>
          <t>1800109447</t>
        </is>
      </c>
      <c r="E1145" t="inlineStr">
        <is>
          <t>10</t>
        </is>
      </c>
      <c r="F1145" s="163" t="n">
        <v>45473</v>
      </c>
      <c r="G1145" t="inlineStr"/>
      <c r="H1145" t="inlineStr">
        <is>
          <t>4200572714</t>
        </is>
      </c>
      <c r="I1145" t="inlineStr">
        <is>
          <t>120</t>
        </is>
      </c>
      <c r="J1145" s="163" t="n">
        <v>45502</v>
      </c>
      <c r="K1145" s="163" t="n">
        <v>45504</v>
      </c>
      <c r="L1145" t="inlineStr"/>
      <c r="M1145" s="163" t="n">
        <v>45506</v>
      </c>
      <c r="N1145" s="164" t="n">
        <v>40</v>
      </c>
      <c r="O1145" s="164" t="n">
        <v>8</v>
      </c>
      <c r="P1145" t="inlineStr">
        <is>
          <t>Liberado</t>
        </is>
      </c>
      <c r="Q1145" s="165" t="n">
        <v>1</v>
      </c>
      <c r="R1145" s="165" t="n">
        <v>1</v>
      </c>
      <c r="S1145" s="165" t="n">
        <v>1</v>
      </c>
      <c r="T1145" s="165" t="n">
        <v>0</v>
      </c>
      <c r="U1145" s="166" t="n">
        <v>1</v>
      </c>
      <c r="V1145" s="166" t="n">
        <v>0</v>
      </c>
      <c r="W1145" t="inlineStr">
        <is>
          <t>X</t>
        </is>
      </c>
      <c r="X1145" t="inlineStr">
        <is>
          <t>0.00</t>
        </is>
      </c>
      <c r="Y1145" t="inlineStr"/>
      <c r="Z1145" t="inlineStr">
        <is>
          <t>INFORMATICA CALCULO Y TECNICA, S.A.</t>
        </is>
      </c>
      <c r="AA1145" t="inlineStr">
        <is>
          <t>ROLINE</t>
        </is>
      </c>
      <c r="AB1145" t="inlineStr">
        <is>
          <t>21.15.3931-100</t>
        </is>
      </c>
      <c r="AC1145" t="inlineStr"/>
      <c r="AD1145" s="164" t="n">
        <v>1</v>
      </c>
      <c r="AE1145" s="185" t="n">
        <v>1</v>
      </c>
      <c r="AG1145" s="167" t="inlineStr">
        <is>
          <t>7218|JA2578_1001</t>
        </is>
      </c>
      <c r="AH1145" s="47">
        <f>IF(M1145=0,"-",M1145-J1145)</f>
        <v/>
      </c>
      <c r="AI1145" s="46">
        <f>IF(AND(S1145=0,M1145&gt;0,L1145=0),IF(AH1145&gt;=120,"VERY HIGH",IF(AH1145&gt;=90,"HIGH",IF(AH1145&gt;=60,"MEDIUM",IF(AH1145&lt;60,"LOW")))),"-")</f>
        <v/>
      </c>
      <c r="AJ1145" s="12" t="n"/>
      <c r="AK1145" s="53">
        <f>IF(AND(W1145="X",M1145&lt;=$AJ$2),"YES","")</f>
        <v/>
      </c>
      <c r="AL1145" s="54">
        <f>IF(AND(W1145="X",M1145&lt;=$AJ$2),S1145,"")</f>
        <v/>
      </c>
      <c r="AM1145" s="35" t="n"/>
      <c r="AN1145" s="35">
        <f>IF(AND(W1145="X",M1145&gt;$AJ$2),S1145,"")</f>
        <v/>
      </c>
      <c r="AO1145" s="35">
        <f>IF(AND(W1145="",M1145&gt;0,$AJ$2&gt;M1145,L1145=""),1,0)</f>
        <v/>
      </c>
      <c r="AP1145" s="35">
        <f>IF(AND(AK1145="YES",W1145="X"),"X","")</f>
        <v/>
      </c>
      <c r="AQ1145" s="55">
        <f>IF(AP1145="X",100%,0%)</f>
        <v/>
      </c>
      <c r="AR1145" s="25">
        <f>IF(AND(T1145&gt;0,L1145=""),H1145,"")</f>
        <v/>
      </c>
      <c r="AS1145" s="25">
        <f>IF(AND(D1145&gt;0,H1145=0,G1145=""),1,"")</f>
        <v/>
      </c>
      <c r="AT1145" s="25">
        <f>IF(G1145="BLOQ",1,"")</f>
        <v/>
      </c>
      <c r="AU1145" s="25">
        <f>IF(L1145="BLOQ",1,"")</f>
        <v/>
      </c>
      <c r="AV1145" s="25">
        <f>MONTH(F1145)</f>
        <v/>
      </c>
      <c r="AW1145" s="65">
        <f>IF(AP1145="",100%,0%)</f>
        <v/>
      </c>
      <c r="AX1145" s="56" t="n"/>
      <c r="AY1145" s="24">
        <f>IF(M1145=0,"",M1145-$AX$2)</f>
        <v/>
      </c>
      <c r="AZ1145" s="66">
        <f>IF(AND(W1145="",AY1145&gt;0,AY1145&lt;15),1,0)</f>
        <v/>
      </c>
      <c r="BA1145" s="24">
        <f>IF(AND(W1145="",AY1145&gt;0,AY1145&lt;15),T1145,"")</f>
        <v/>
      </c>
      <c r="BB1145" s="87">
        <f>IF(R1145&lt;Q1145,"X","")</f>
        <v/>
      </c>
      <c r="BC1145" s="190" t="inlineStr">
        <is>
          <t>NO</t>
        </is>
      </c>
      <c r="BD1145" s="191" t="inlineStr">
        <is>
          <t>SI</t>
        </is>
      </c>
    </row>
    <row r="1146" ht="15" customHeight="1" s="162">
      <c r="A1146" s="7" t="n">
        <v>1145</v>
      </c>
      <c r="B1146" t="inlineStr">
        <is>
          <t>1706090904000</t>
        </is>
      </c>
      <c r="C1146" t="inlineStr">
        <is>
          <t>RAIL DIN PERF 755X35X7.5MM AC/GALV PLATA</t>
        </is>
      </c>
      <c r="D1146" t="inlineStr">
        <is>
          <t>1800109448</t>
        </is>
      </c>
      <c r="E1146" t="inlineStr">
        <is>
          <t>10</t>
        </is>
      </c>
      <c r="F1146" s="163" t="n">
        <v>45473</v>
      </c>
      <c r="G1146" t="inlineStr"/>
      <c r="H1146" t="inlineStr">
        <is>
          <t>4200571961</t>
        </is>
      </c>
      <c r="I1146" t="inlineStr">
        <is>
          <t>20</t>
        </is>
      </c>
      <c r="J1146" s="163" t="n">
        <v>45496</v>
      </c>
      <c r="K1146" s="163" t="n">
        <v>45497</v>
      </c>
      <c r="L1146" t="inlineStr"/>
      <c r="M1146" s="163" t="n">
        <v>45512</v>
      </c>
      <c r="N1146" s="164" t="n">
        <v>40</v>
      </c>
      <c r="O1146" s="164" t="n">
        <v>8</v>
      </c>
      <c r="P1146" t="inlineStr">
        <is>
          <t>Liberado</t>
        </is>
      </c>
      <c r="Q1146" s="165" t="n">
        <v>1</v>
      </c>
      <c r="R1146" s="165" t="n">
        <v>10</v>
      </c>
      <c r="S1146" s="165" t="n">
        <v>10</v>
      </c>
      <c r="T1146" s="165" t="n">
        <v>0</v>
      </c>
      <c r="U1146" s="166" t="n">
        <v>10</v>
      </c>
      <c r="V1146" s="166" t="n">
        <v>0</v>
      </c>
      <c r="W1146" t="inlineStr">
        <is>
          <t>X</t>
        </is>
      </c>
      <c r="X1146" t="inlineStr">
        <is>
          <t>0.00</t>
        </is>
      </c>
      <c r="Y1146" t="inlineStr"/>
      <c r="Z1146" t="inlineStr">
        <is>
          <t>LUJISA, S.A.</t>
        </is>
      </c>
      <c r="AA1146" t="inlineStr">
        <is>
          <t>PHOENIX CONTACT</t>
        </is>
      </c>
      <c r="AB1146" t="inlineStr">
        <is>
          <t>1207640</t>
        </is>
      </c>
      <c r="AC1146" t="inlineStr"/>
      <c r="AD1146" s="164" t="n">
        <v>0</v>
      </c>
      <c r="AE1146" s="185" t="n">
        <v>0</v>
      </c>
      <c r="AG1146" s="167" t="inlineStr">
        <is>
          <t>7218|JA2578_1001</t>
        </is>
      </c>
      <c r="AH1146" s="47">
        <f>IF(M1146=0,"-",M1146-J1146)</f>
        <v/>
      </c>
      <c r="AI1146" s="46">
        <f>IF(AND(S1146=0,M1146&gt;0,L1146=0),IF(AH1146&gt;=120,"VERY HIGH",IF(AH1146&gt;=90,"HIGH",IF(AH1146&gt;=60,"MEDIUM",IF(AH1146&lt;60,"LOW")))),"-")</f>
        <v/>
      </c>
      <c r="AJ1146" s="12" t="n"/>
      <c r="AK1146" s="53">
        <f>IF(AND(W1146="X",M1146&lt;=$AJ$2),"YES","")</f>
        <v/>
      </c>
      <c r="AL1146" s="54">
        <f>IF(AND(W1146="X",M1146&lt;=$AJ$2),S1146,"")</f>
        <v/>
      </c>
      <c r="AM1146" s="35" t="n"/>
      <c r="AN1146" s="35">
        <f>IF(AND(W1146="X",M1146&gt;$AJ$2),S1146,"")</f>
        <v/>
      </c>
      <c r="AO1146" s="35">
        <f>IF(AND(W1146="",M1146&gt;0,$AJ$2&gt;M1146,L1146=""),1,0)</f>
        <v/>
      </c>
      <c r="AP1146" s="35">
        <f>IF(AND(AK1146="YES",W1146="X"),"X","")</f>
        <v/>
      </c>
      <c r="AQ1146" s="55">
        <f>IF(AP1146="X",100%,0%)</f>
        <v/>
      </c>
      <c r="AR1146" s="25">
        <f>IF(AND(T1146&gt;0,L1146=""),H1146,"")</f>
        <v/>
      </c>
      <c r="AS1146" s="25">
        <f>IF(AND(D1146&gt;0,H1146=0,G1146=""),1,"")</f>
        <v/>
      </c>
      <c r="AT1146" s="25">
        <f>IF(G1146="BLOQ",1,"")</f>
        <v/>
      </c>
      <c r="AU1146" s="25">
        <f>IF(L1146="BLOQ",1,"")</f>
        <v/>
      </c>
      <c r="AV1146" s="25">
        <f>MONTH(F1146)</f>
        <v/>
      </c>
      <c r="AW1146" s="65">
        <f>IF(AP1146="",100%,0%)</f>
        <v/>
      </c>
      <c r="AX1146" s="56" t="n"/>
      <c r="AY1146" s="24">
        <f>IF(M1146=0,"",M1146-$AX$2)</f>
        <v/>
      </c>
      <c r="AZ1146" s="66">
        <f>IF(AND(W1146="",AY1146&gt;0,AY1146&lt;15),1,0)</f>
        <v/>
      </c>
      <c r="BA1146" s="24">
        <f>IF(AND(W1146="",AY1146&gt;0,AY1146&lt;15),T1146,"")</f>
        <v/>
      </c>
      <c r="BB1146" s="87">
        <f>IF(R1146&lt;Q1146,"X","")</f>
        <v/>
      </c>
      <c r="BC1146" s="190" t="inlineStr">
        <is>
          <t>NO</t>
        </is>
      </c>
      <c r="BD1146" s="191" t="inlineStr">
        <is>
          <t>SI</t>
        </is>
      </c>
    </row>
    <row r="1147" ht="15" customHeight="1" s="162">
      <c r="A1147" s="7" t="n">
        <v>1146</v>
      </c>
      <c r="B1147" t="inlineStr">
        <is>
          <t>1520520120012</t>
        </is>
      </c>
      <c r="C1147" t="inlineStr">
        <is>
          <t>VARILLA ROSC M12X120 AC GEOMET 500 DIN91</t>
        </is>
      </c>
      <c r="D1147" t="inlineStr">
        <is>
          <t>1800109449</t>
        </is>
      </c>
      <c r="E1147" t="inlineStr">
        <is>
          <t>10</t>
        </is>
      </c>
      <c r="F1147" s="163" t="n">
        <v>45473</v>
      </c>
      <c r="G1147" t="inlineStr"/>
      <c r="H1147" t="inlineStr">
        <is>
          <t>4200576908</t>
        </is>
      </c>
      <c r="I1147" t="inlineStr">
        <is>
          <t>10</t>
        </is>
      </c>
      <c r="J1147" s="163" t="n">
        <v>45546</v>
      </c>
      <c r="K1147" s="163" t="n">
        <v>45546</v>
      </c>
      <c r="L1147" t="inlineStr"/>
      <c r="M1147" s="163" t="n">
        <v>45569</v>
      </c>
      <c r="N1147" s="164" t="n">
        <v>40</v>
      </c>
      <c r="O1147" s="164" t="n">
        <v>8</v>
      </c>
      <c r="P1147" t="inlineStr">
        <is>
          <t>Liberado</t>
        </is>
      </c>
      <c r="Q1147" s="165" t="n">
        <v>4</v>
      </c>
      <c r="R1147" s="165" t="n">
        <v>100</v>
      </c>
      <c r="S1147" s="165" t="n">
        <v>100</v>
      </c>
      <c r="T1147" s="165" t="n">
        <v>0</v>
      </c>
      <c r="U1147" s="166" t="n">
        <v>100</v>
      </c>
      <c r="V1147" s="166" t="n">
        <v>0</v>
      </c>
      <c r="W1147" t="inlineStr">
        <is>
          <t>X</t>
        </is>
      </c>
      <c r="X1147" t="inlineStr">
        <is>
          <t>0.00</t>
        </is>
      </c>
      <c r="Y1147" t="inlineStr"/>
      <c r="Z1147" t="inlineStr">
        <is>
          <t>ALMACENES DELCA, S.A.</t>
        </is>
      </c>
      <c r="AA1147" t="inlineStr">
        <is>
          <t>DIN</t>
        </is>
      </c>
      <c r="AB1147" t="inlineStr">
        <is>
          <t>DIN913-M12X120-AC-12,9-GEOMET B500</t>
        </is>
      </c>
      <c r="AC1147" t="inlineStr"/>
      <c r="AD1147" s="164" t="n">
        <v>0</v>
      </c>
      <c r="AE1147" s="185" t="n">
        <v>0</v>
      </c>
      <c r="AG1147" s="167" t="inlineStr">
        <is>
          <t>7218|JA2578_1001</t>
        </is>
      </c>
      <c r="AH1147" s="47">
        <f>IF(M1147=0,"-",M1147-J1147)</f>
        <v/>
      </c>
      <c r="AI1147" s="46">
        <f>IF(AND(S1147=0,M1147&gt;0,L1147=0),IF(AH1147&gt;=120,"VERY HIGH",IF(AH1147&gt;=90,"HIGH",IF(AH1147&gt;=60,"MEDIUM",IF(AH1147&lt;60,"LOW")))),"-")</f>
        <v/>
      </c>
      <c r="AJ1147" s="12" t="n"/>
      <c r="AK1147" s="53">
        <f>IF(AND(W1147="X",M1147&lt;=$AJ$2),"YES","")</f>
        <v/>
      </c>
      <c r="AL1147" s="54">
        <f>IF(AND(W1147="X",M1147&lt;=$AJ$2),S1147,"")</f>
        <v/>
      </c>
      <c r="AM1147" s="35" t="n"/>
      <c r="AN1147" s="35">
        <f>IF(AND(W1147="X",M1147&gt;$AJ$2),S1147,"")</f>
        <v/>
      </c>
      <c r="AO1147" s="35">
        <f>IF(AND(W1147="",M1147&gt;0,$AJ$2&gt;M1147,L1147=""),1,0)</f>
        <v/>
      </c>
      <c r="AP1147" s="35">
        <f>IF(AND(AK1147="YES",W1147="X"),"X","")</f>
        <v/>
      </c>
      <c r="AQ1147" s="55">
        <f>IF(AP1147="X",100%,0%)</f>
        <v/>
      </c>
      <c r="AR1147" s="25">
        <f>IF(AND(T1147&gt;0,L1147=""),H1147,"")</f>
        <v/>
      </c>
      <c r="AS1147" s="25">
        <f>IF(AND(D1147&gt;0,H1147=0,G1147=""),1,"")</f>
        <v/>
      </c>
      <c r="AT1147" s="25">
        <f>IF(G1147="BLOQ",1,"")</f>
        <v/>
      </c>
      <c r="AU1147" s="25">
        <f>IF(L1147="BLOQ",1,"")</f>
        <v/>
      </c>
      <c r="AV1147" s="25">
        <f>MONTH(F1147)</f>
        <v/>
      </c>
      <c r="AW1147" s="65">
        <f>IF(AP1147="",100%,0%)</f>
        <v/>
      </c>
      <c r="AX1147" s="56" t="n"/>
      <c r="AY1147" s="24">
        <f>IF(M1147=0,"",M1147-$AX$2)</f>
        <v/>
      </c>
      <c r="AZ1147" s="66">
        <f>IF(AND(W1147="",AY1147&gt;0,AY1147&lt;15),1,0)</f>
        <v/>
      </c>
      <c r="BA1147" s="24">
        <f>IF(AND(W1147="",AY1147&gt;0,AY1147&lt;15),T1147,"")</f>
        <v/>
      </c>
      <c r="BB1147" s="87">
        <f>IF(R1147&lt;Q1147,"X","")</f>
        <v/>
      </c>
      <c r="BC1147" s="190" t="inlineStr">
        <is>
          <t>NO</t>
        </is>
      </c>
      <c r="BD1147" s="191" t="inlineStr">
        <is>
          <t>SI</t>
        </is>
      </c>
    </row>
    <row r="1148" ht="15" customHeight="1" s="162">
      <c r="A1148" s="7" t="n">
        <v>1147</v>
      </c>
      <c r="B1148" t="inlineStr">
        <is>
          <t>1540220000102</t>
        </is>
      </c>
      <c r="C1148" t="inlineStr">
        <is>
          <t>ARA GROWER M12 DIN127 INOX A4-70</t>
        </is>
      </c>
      <c r="D1148" t="inlineStr">
        <is>
          <t>1800109449</t>
        </is>
      </c>
      <c r="E1148" t="inlineStr">
        <is>
          <t>20</t>
        </is>
      </c>
      <c r="F1148" s="163" t="n">
        <v>45473</v>
      </c>
      <c r="G1148" t="inlineStr"/>
      <c r="H1148" t="inlineStr">
        <is>
          <t>4200572571</t>
        </is>
      </c>
      <c r="I1148" t="inlineStr">
        <is>
          <t>30</t>
        </is>
      </c>
      <c r="J1148" s="163" t="n">
        <v>45502</v>
      </c>
      <c r="K1148" s="163" t="n">
        <v>45666</v>
      </c>
      <c r="L1148" t="inlineStr"/>
      <c r="M1148" s="163" t="n">
        <v>45510</v>
      </c>
      <c r="N1148" s="164" t="n">
        <v>40</v>
      </c>
      <c r="O1148" s="164" t="n">
        <v>8</v>
      </c>
      <c r="P1148" t="inlineStr">
        <is>
          <t>Liberado</t>
        </is>
      </c>
      <c r="Q1148" s="165" t="n">
        <v>8</v>
      </c>
      <c r="R1148" s="165" t="n">
        <v>500</v>
      </c>
      <c r="S1148" s="165" t="n">
        <v>500</v>
      </c>
      <c r="T1148" s="165" t="n">
        <v>0</v>
      </c>
      <c r="U1148" s="166" t="n">
        <v>500</v>
      </c>
      <c r="V1148" s="166" t="n">
        <v>0</v>
      </c>
      <c r="W1148" t="inlineStr">
        <is>
          <t>X</t>
        </is>
      </c>
      <c r="X1148" t="inlineStr">
        <is>
          <t>0.00</t>
        </is>
      </c>
      <c r="Y1148" t="inlineStr"/>
      <c r="Z1148" t="inlineStr">
        <is>
          <t>INOX IBERICA, S.A.</t>
        </is>
      </c>
      <c r="AA1148" t="inlineStr">
        <is>
          <t>DIN</t>
        </is>
      </c>
      <c r="AB1148" t="inlineStr">
        <is>
          <t>DIN127-M12-INOX-A4-70</t>
        </is>
      </c>
      <c r="AC1148" t="inlineStr"/>
      <c r="AD1148" s="164" t="n">
        <v>1</v>
      </c>
      <c r="AE1148" s="185" t="n">
        <v>1</v>
      </c>
      <c r="AG1148" s="167" t="inlineStr">
        <is>
          <t>7218|JA2578_1001</t>
        </is>
      </c>
      <c r="AH1148" s="47">
        <f>IF(M1148=0,"-",M1148-J1148)</f>
        <v/>
      </c>
      <c r="AI1148" s="46">
        <f>IF(AND(S1148=0,M1148&gt;0,L1148=0),IF(AH1148&gt;=120,"VERY HIGH",IF(AH1148&gt;=90,"HIGH",IF(AH1148&gt;=60,"MEDIUM",IF(AH1148&lt;60,"LOW")))),"-")</f>
        <v/>
      </c>
      <c r="AJ1148" s="12" t="n"/>
      <c r="AK1148" s="53">
        <f>IF(AND(W1148="X",M1148&lt;=$AJ$2),"YES","")</f>
        <v/>
      </c>
      <c r="AL1148" s="54">
        <f>IF(AND(W1148="X",M1148&lt;=$AJ$2),S1148,"")</f>
        <v/>
      </c>
      <c r="AM1148" s="35" t="n"/>
      <c r="AN1148" s="35">
        <f>IF(AND(W1148="X",M1148&gt;$AJ$2),S1148,"")</f>
        <v/>
      </c>
      <c r="AO1148" s="35">
        <f>IF(AND(W1148="",M1148&gt;0,$AJ$2&gt;M1148,L1148=""),1,0)</f>
        <v/>
      </c>
      <c r="AP1148" s="35">
        <f>IF(AND(AK1148="YES",W1148="X"),"X","")</f>
        <v/>
      </c>
      <c r="AQ1148" s="55">
        <f>IF(AP1148="X",100%,0%)</f>
        <v/>
      </c>
      <c r="AR1148" s="25">
        <f>IF(AND(T1148&gt;0,L1148=""),H1148,"")</f>
        <v/>
      </c>
      <c r="AS1148" s="25">
        <f>IF(AND(D1148&gt;0,H1148=0,G1148=""),1,"")</f>
        <v/>
      </c>
      <c r="AT1148" s="25">
        <f>IF(G1148="BLOQ",1,"")</f>
        <v/>
      </c>
      <c r="AU1148" s="25">
        <f>IF(L1148="BLOQ",1,"")</f>
        <v/>
      </c>
      <c r="AV1148" s="25">
        <f>MONTH(F1148)</f>
        <v/>
      </c>
      <c r="AW1148" s="65">
        <f>IF(AP1148="",100%,0%)</f>
        <v/>
      </c>
      <c r="AX1148" s="56" t="n"/>
      <c r="AY1148" s="24">
        <f>IF(M1148=0,"",M1148-$AX$2)</f>
        <v/>
      </c>
      <c r="AZ1148" s="66">
        <f>IF(AND(W1148="",AY1148&gt;0,AY1148&lt;15),1,0)</f>
        <v/>
      </c>
      <c r="BA1148" s="24">
        <f>IF(AND(W1148="",AY1148&gt;0,AY1148&lt;15),T1148,"")</f>
        <v/>
      </c>
      <c r="BB1148" s="87">
        <f>IF(R1148&lt;Q1148,"X","")</f>
        <v/>
      </c>
      <c r="BC1148" s="190" t="inlineStr">
        <is>
          <t>NO</t>
        </is>
      </c>
      <c r="BD1148" s="191" t="inlineStr">
        <is>
          <t>SI</t>
        </is>
      </c>
    </row>
    <row r="1149" ht="15" customHeight="1" s="162">
      <c r="A1149" s="7" t="n">
        <v>1148</v>
      </c>
      <c r="B1149" t="inlineStr">
        <is>
          <t>0124880013500</t>
        </is>
      </c>
      <c r="C1149" t="inlineStr">
        <is>
          <t>VARILLA ROSCADA M6X40</t>
        </is>
      </c>
      <c r="D1149" t="inlineStr">
        <is>
          <t>1800109450</t>
        </is>
      </c>
      <c r="E1149" t="inlineStr">
        <is>
          <t>10</t>
        </is>
      </c>
      <c r="F1149" s="163" t="n">
        <v>45473</v>
      </c>
      <c r="G1149" t="inlineStr"/>
      <c r="H1149" t="inlineStr">
        <is>
          <t>4200570042</t>
        </is>
      </c>
      <c r="I1149" t="inlineStr">
        <is>
          <t>30</t>
        </is>
      </c>
      <c r="J1149" s="163" t="n">
        <v>45483</v>
      </c>
      <c r="K1149" s="163" t="n">
        <v>45484</v>
      </c>
      <c r="L1149" t="inlineStr"/>
      <c r="M1149" s="163" t="n">
        <v>45555</v>
      </c>
      <c r="N1149" s="164" t="n">
        <v>1</v>
      </c>
      <c r="O1149" s="164" t="n">
        <v>8</v>
      </c>
      <c r="P1149" t="inlineStr">
        <is>
          <t>Liberado</t>
        </is>
      </c>
      <c r="Q1149" s="165" t="n">
        <v>4</v>
      </c>
      <c r="R1149" s="165" t="n">
        <v>4</v>
      </c>
      <c r="S1149" s="165" t="n">
        <v>4</v>
      </c>
      <c r="T1149" s="165" t="n">
        <v>0</v>
      </c>
      <c r="U1149" s="166" t="n">
        <v>4</v>
      </c>
      <c r="V1149" s="166" t="n">
        <v>0</v>
      </c>
      <c r="W1149" t="inlineStr">
        <is>
          <t>X</t>
        </is>
      </c>
      <c r="X1149" t="inlineStr">
        <is>
          <t>0.00</t>
        </is>
      </c>
      <c r="Y1149" t="inlineStr"/>
      <c r="Z1149" t="inlineStr">
        <is>
          <t>ELGAMA DE MECANIZADOS SA</t>
        </is>
      </c>
      <c r="AA1149" t="inlineStr">
        <is>
          <t>INDRA SISTEMAS S.A.</t>
        </is>
      </c>
      <c r="AB1149" t="inlineStr">
        <is>
          <t>0124880013500</t>
        </is>
      </c>
      <c r="AC1149" t="inlineStr"/>
      <c r="AD1149" s="164" t="n">
        <v>2</v>
      </c>
      <c r="AE1149" s="185" t="n">
        <v>1</v>
      </c>
      <c r="AG1149" s="167" t="inlineStr">
        <is>
          <t>7218|JA2578_1001</t>
        </is>
      </c>
      <c r="AH1149" s="47">
        <f>IF(M1149=0,"-",M1149-J1149)</f>
        <v/>
      </c>
      <c r="AI1149" s="46">
        <f>IF(AND(S1149=0,M1149&gt;0,L1149=0),IF(AH1149&gt;=120,"VERY HIGH",IF(AH1149&gt;=90,"HIGH",IF(AH1149&gt;=60,"MEDIUM",IF(AH1149&lt;60,"LOW")))),"-")</f>
        <v/>
      </c>
      <c r="AJ1149" s="12" t="n"/>
      <c r="AK1149" s="53">
        <f>IF(AND(W1149="X",M1149&lt;=$AJ$2),"YES","")</f>
        <v/>
      </c>
      <c r="AL1149" s="54">
        <f>IF(AND(W1149="X",M1149&lt;=$AJ$2),S1149,"")</f>
        <v/>
      </c>
      <c r="AM1149" s="35" t="n"/>
      <c r="AN1149" s="35">
        <f>IF(AND(W1149="X",M1149&gt;$AJ$2),S1149,"")</f>
        <v/>
      </c>
      <c r="AO1149" s="35">
        <f>IF(AND(W1149="",M1149&gt;0,$AJ$2&gt;M1149,L1149=""),1,0)</f>
        <v/>
      </c>
      <c r="AP1149" s="35">
        <f>IF(AND(AK1149="YES",W1149="X"),"X","")</f>
        <v/>
      </c>
      <c r="AQ1149" s="55">
        <f>IF(AP1149="X",100%,0%)</f>
        <v/>
      </c>
      <c r="AR1149" s="25">
        <f>IF(AND(T1149&gt;0,L1149=""),H1149,"")</f>
        <v/>
      </c>
      <c r="AS1149" s="25">
        <f>IF(AND(D1149&gt;0,H1149=0,G1149=""),1,"")</f>
        <v/>
      </c>
      <c r="AT1149" s="25">
        <f>IF(G1149="BLOQ",1,"")</f>
        <v/>
      </c>
      <c r="AU1149" s="25">
        <f>IF(L1149="BLOQ",1,"")</f>
        <v/>
      </c>
      <c r="AV1149" s="25">
        <f>MONTH(F1149)</f>
        <v/>
      </c>
      <c r="AW1149" s="65">
        <f>IF(AP1149="",100%,0%)</f>
        <v/>
      </c>
      <c r="AX1149" s="56" t="n"/>
      <c r="AY1149" s="24">
        <f>IF(M1149=0,"",M1149-$AX$2)</f>
        <v/>
      </c>
      <c r="AZ1149" s="66">
        <f>IF(AND(W1149="",AY1149&gt;0,AY1149&lt;15),1,0)</f>
        <v/>
      </c>
      <c r="BA1149" s="24">
        <f>IF(AND(W1149="",AY1149&gt;0,AY1149&lt;15),T1149,"")</f>
        <v/>
      </c>
      <c r="BB1149" s="87">
        <f>IF(R1149&lt;Q1149,"X","")</f>
        <v/>
      </c>
      <c r="BC1149" s="190" t="inlineStr">
        <is>
          <t>NO</t>
        </is>
      </c>
      <c r="BD1149" s="191" t="inlineStr">
        <is>
          <t>SI</t>
        </is>
      </c>
    </row>
    <row r="1150" ht="15" customHeight="1" s="162">
      <c r="A1150" s="7" t="n">
        <v>1149</v>
      </c>
      <c r="B1150" t="inlineStr">
        <is>
          <t>1209090010320</t>
        </is>
      </c>
      <c r="C1150" t="inlineStr">
        <is>
          <t>PUENTE REGLETA TERM 10P MS25226-2-10</t>
        </is>
      </c>
      <c r="D1150" t="inlineStr">
        <is>
          <t>1800109451</t>
        </is>
      </c>
      <c r="E1150" t="inlineStr">
        <is>
          <t>10</t>
        </is>
      </c>
      <c r="F1150" s="163" t="n">
        <v>45473</v>
      </c>
      <c r="G1150" t="inlineStr"/>
      <c r="H1150" t="inlineStr">
        <is>
          <t>4200592966</t>
        </is>
      </c>
      <c r="I1150" t="inlineStr">
        <is>
          <t>20</t>
        </is>
      </c>
      <c r="J1150" s="163" t="n">
        <v>45671</v>
      </c>
      <c r="K1150" s="163" t="n">
        <v>45674</v>
      </c>
      <c r="L1150" t="inlineStr"/>
      <c r="M1150" s="163" t="n">
        <v>45681</v>
      </c>
      <c r="N1150" s="164" t="n">
        <v>56</v>
      </c>
      <c r="O1150" s="164" t="n">
        <v>0</v>
      </c>
      <c r="P1150" t="inlineStr">
        <is>
          <t>Liberado</t>
        </is>
      </c>
      <c r="Q1150" s="165" t="n">
        <v>1</v>
      </c>
      <c r="R1150" s="165" t="n">
        <v>2</v>
      </c>
      <c r="S1150" s="165" t="n">
        <v>2</v>
      </c>
      <c r="T1150" s="165" t="n">
        <v>0</v>
      </c>
      <c r="U1150" s="166" t="n">
        <v>2</v>
      </c>
      <c r="V1150" s="166" t="n">
        <v>0</v>
      </c>
      <c r="W1150" t="inlineStr">
        <is>
          <t>X</t>
        </is>
      </c>
      <c r="X1150" t="inlineStr">
        <is>
          <t>0.00</t>
        </is>
      </c>
      <c r="Y1150" t="inlineStr"/>
      <c r="Z1150" t="inlineStr">
        <is>
          <t>INFORMATICA CALCULO Y TECNICA, S.A.</t>
        </is>
      </c>
      <c r="AA1150" t="inlineStr">
        <is>
          <t>MILITARY STANDARDS</t>
        </is>
      </c>
      <c r="AB1150" t="inlineStr">
        <is>
          <t>MS25226-2-10</t>
        </is>
      </c>
      <c r="AC1150" t="inlineStr"/>
      <c r="AD1150" s="164" t="n">
        <v>1</v>
      </c>
      <c r="AE1150" s="185" t="n">
        <v>1</v>
      </c>
      <c r="AG1150" s="167" t="inlineStr">
        <is>
          <t>7218|JA2578_1001</t>
        </is>
      </c>
      <c r="AH1150" s="47">
        <f>IF(M1150=0,"-",M1150-J1150)</f>
        <v/>
      </c>
      <c r="AI1150" s="46">
        <f>IF(AND(S1150=0,M1150&gt;0,L1150=0),IF(AH1150&gt;=120,"VERY HIGH",IF(AH1150&gt;=90,"HIGH",IF(AH1150&gt;=60,"MEDIUM",IF(AH1150&lt;60,"LOW")))),"-")</f>
        <v/>
      </c>
      <c r="AJ1150" s="12" t="n"/>
      <c r="AK1150" s="53">
        <f>IF(AND(W1150="X",M1150&lt;=$AJ$2),"YES","")</f>
        <v/>
      </c>
      <c r="AL1150" s="54">
        <f>IF(AND(W1150="X",M1150&lt;=$AJ$2),S1150,"")</f>
        <v/>
      </c>
      <c r="AM1150" s="35" t="n"/>
      <c r="AN1150" s="35">
        <f>IF(AND(W1150="X",M1150&gt;$AJ$2),S1150,"")</f>
        <v/>
      </c>
      <c r="AO1150" s="35">
        <f>IF(AND(W1150="",M1150&gt;0,$AJ$2&gt;M1150,L1150=""),1,0)</f>
        <v/>
      </c>
      <c r="AP1150" s="35">
        <f>IF(AND(AK1150="YES",W1150="X"),"X","")</f>
        <v/>
      </c>
      <c r="AQ1150" s="55">
        <f>IF(AP1150="X",100%,0%)</f>
        <v/>
      </c>
      <c r="AR1150" s="25">
        <f>IF(AND(T1150&gt;0,L1150=""),H1150,"")</f>
        <v/>
      </c>
      <c r="AS1150" s="25">
        <f>IF(AND(D1150&gt;0,H1150=0,G1150=""),1,"")</f>
        <v/>
      </c>
      <c r="AT1150" s="25">
        <f>IF(G1150="BLOQ",1,"")</f>
        <v/>
      </c>
      <c r="AU1150" s="25">
        <f>IF(L1150="BLOQ",1,"")</f>
        <v/>
      </c>
      <c r="AV1150" s="25">
        <f>MONTH(F1150)</f>
        <v/>
      </c>
      <c r="AW1150" s="65">
        <f>IF(AP1150="",100%,0%)</f>
        <v/>
      </c>
      <c r="AX1150" s="56" t="n"/>
      <c r="AY1150" s="24">
        <f>IF(M1150=0,"",M1150-$AX$2)</f>
        <v/>
      </c>
      <c r="AZ1150" s="66">
        <f>IF(AND(W1150="",AY1150&gt;0,AY1150&lt;15),1,0)</f>
        <v/>
      </c>
      <c r="BA1150" s="24">
        <f>IF(AND(W1150="",AY1150&gt;0,AY1150&lt;15),T1150,"")</f>
        <v/>
      </c>
      <c r="BB1150" s="87">
        <f>IF(R1150&lt;Q1150,"X","")</f>
        <v/>
      </c>
      <c r="BC1150" s="190" t="inlineStr">
        <is>
          <t>NO</t>
        </is>
      </c>
      <c r="BD1150" s="191" t="inlineStr">
        <is>
          <t>SI</t>
        </is>
      </c>
    </row>
    <row r="1151" ht="15" customHeight="1" s="162">
      <c r="A1151" s="7" t="n">
        <v>1150</v>
      </c>
      <c r="B1151" t="inlineStr">
        <is>
          <t>0917488032000</t>
        </is>
      </c>
      <c r="C1151" t="inlineStr">
        <is>
          <t>SOPORTE TEODOLITO</t>
        </is>
      </c>
      <c r="D1151" t="inlineStr">
        <is>
          <t>1800109452</t>
        </is>
      </c>
      <c r="E1151" t="inlineStr">
        <is>
          <t>10</t>
        </is>
      </c>
      <c r="F1151" s="163" t="n">
        <v>45473</v>
      </c>
      <c r="G1151" t="inlineStr"/>
      <c r="H1151" t="inlineStr">
        <is>
          <t>4200569529</t>
        </is>
      </c>
      <c r="I1151" t="inlineStr">
        <is>
          <t>10</t>
        </is>
      </c>
      <c r="J1151" s="163" t="n">
        <v>45478</v>
      </c>
      <c r="K1151" s="163" t="n">
        <v>45540</v>
      </c>
      <c r="L1151" t="inlineStr"/>
      <c r="M1151" s="163" t="n">
        <v>45562</v>
      </c>
      <c r="N1151" s="164" t="n">
        <v>30</v>
      </c>
      <c r="O1151" s="164" t="n">
        <v>8</v>
      </c>
      <c r="P1151" t="inlineStr">
        <is>
          <t>Liberado</t>
        </is>
      </c>
      <c r="Q1151" s="165" t="n">
        <v>1</v>
      </c>
      <c r="R1151" s="165" t="n">
        <v>1</v>
      </c>
      <c r="S1151" s="165" t="n">
        <v>1</v>
      </c>
      <c r="T1151" s="165" t="n">
        <v>0</v>
      </c>
      <c r="U1151" s="166" t="n">
        <v>1</v>
      </c>
      <c r="V1151" s="166" t="n">
        <v>0</v>
      </c>
      <c r="W1151" t="inlineStr">
        <is>
          <t>X</t>
        </is>
      </c>
      <c r="X1151" t="inlineStr">
        <is>
          <t>0.00</t>
        </is>
      </c>
      <c r="Y1151" t="inlineStr"/>
      <c r="Z1151" t="inlineStr">
        <is>
          <t>TALLERES XUQUER, SL</t>
        </is>
      </c>
      <c r="AA1151" t="inlineStr">
        <is>
          <t>INDRA SISTEMAS S.A.</t>
        </is>
      </c>
      <c r="AB1151" t="inlineStr">
        <is>
          <t>0917488032000</t>
        </is>
      </c>
      <c r="AC1151" t="inlineStr"/>
      <c r="AD1151" s="164" t="n">
        <v>0</v>
      </c>
      <c r="AE1151" s="185" t="n">
        <v>0</v>
      </c>
      <c r="AG1151" s="167" t="inlineStr">
        <is>
          <t>7218|JA2578_1001</t>
        </is>
      </c>
      <c r="AH1151" s="47">
        <f>IF(M1151=0,"-",M1151-J1151)</f>
        <v/>
      </c>
      <c r="AI1151" s="46">
        <f>IF(AND(S1151=0,M1151&gt;0,L1151=0),IF(AH1151&gt;=120,"VERY HIGH",IF(AH1151&gt;=90,"HIGH",IF(AH1151&gt;=60,"MEDIUM",IF(AH1151&lt;60,"LOW")))),"-")</f>
        <v/>
      </c>
      <c r="AJ1151" s="12" t="n"/>
      <c r="AK1151" s="53">
        <f>IF(AND(W1151="X",M1151&lt;=$AJ$2),"YES","")</f>
        <v/>
      </c>
      <c r="AL1151" s="54">
        <f>IF(AND(W1151="X",M1151&lt;=$AJ$2),S1151,"")</f>
        <v/>
      </c>
      <c r="AM1151" s="35" t="n"/>
      <c r="AN1151" s="35">
        <f>IF(AND(W1151="X",M1151&gt;$AJ$2),S1151,"")</f>
        <v/>
      </c>
      <c r="AO1151" s="35">
        <f>IF(AND(W1151="",M1151&gt;0,$AJ$2&gt;M1151,L1151=""),1,0)</f>
        <v/>
      </c>
      <c r="AP1151" s="35">
        <f>IF(AND(AK1151="YES",W1151="X"),"X","")</f>
        <v/>
      </c>
      <c r="AQ1151" s="55">
        <f>IF(AP1151="X",100%,0%)</f>
        <v/>
      </c>
      <c r="AR1151" s="25">
        <f>IF(AND(T1151&gt;0,L1151=""),H1151,"")</f>
        <v/>
      </c>
      <c r="AS1151" s="25">
        <f>IF(AND(D1151&gt;0,H1151=0,G1151=""),1,"")</f>
        <v/>
      </c>
      <c r="AT1151" s="25">
        <f>IF(G1151="BLOQ",1,"")</f>
        <v/>
      </c>
      <c r="AU1151" s="25">
        <f>IF(L1151="BLOQ",1,"")</f>
        <v/>
      </c>
      <c r="AV1151" s="25">
        <f>MONTH(F1151)</f>
        <v/>
      </c>
      <c r="AW1151" s="65">
        <f>IF(AP1151="",100%,0%)</f>
        <v/>
      </c>
      <c r="AX1151" s="56" t="n"/>
      <c r="AY1151" s="24">
        <f>IF(M1151=0,"",M1151-$AX$2)</f>
        <v/>
      </c>
      <c r="AZ1151" s="66">
        <f>IF(AND(W1151="",AY1151&gt;0,AY1151&lt;15),1,0)</f>
        <v/>
      </c>
      <c r="BA1151" s="24">
        <f>IF(AND(W1151="",AY1151&gt;0,AY1151&lt;15),T1151,"")</f>
        <v/>
      </c>
      <c r="BB1151" s="87">
        <f>IF(R1151&lt;Q1151,"X","")</f>
        <v/>
      </c>
      <c r="BC1151" s="190" t="inlineStr">
        <is>
          <t>NO</t>
        </is>
      </c>
      <c r="BD1151" s="191" t="inlineStr">
        <is>
          <t>SI</t>
        </is>
      </c>
    </row>
    <row r="1152" ht="15" customHeight="1" s="162">
      <c r="A1152" s="7" t="n">
        <v>1151</v>
      </c>
      <c r="B1152" t="inlineStr">
        <is>
          <t>1212000931300</t>
        </is>
      </c>
      <c r="C1152" t="inlineStr">
        <is>
          <t>CNC SUB-D 9H 2.74MM SHELL-E CRIMP ROHS</t>
        </is>
      </c>
      <c r="D1152" t="inlineStr">
        <is>
          <t>1800109470</t>
        </is>
      </c>
      <c r="E1152" t="inlineStr">
        <is>
          <t>10</t>
        </is>
      </c>
      <c r="F1152" s="163" t="n">
        <v>45474</v>
      </c>
      <c r="G1152" t="inlineStr"/>
      <c r="H1152" t="inlineStr">
        <is>
          <t>4200578865</t>
        </is>
      </c>
      <c r="I1152" t="inlineStr">
        <is>
          <t>90</t>
        </is>
      </c>
      <c r="J1152" s="163" t="n">
        <v>45561</v>
      </c>
      <c r="K1152" s="163" t="n">
        <v>45638</v>
      </c>
      <c r="L1152" t="inlineStr"/>
      <c r="M1152" s="163" t="n">
        <v>45667</v>
      </c>
      <c r="N1152" s="164" t="n">
        <v>40</v>
      </c>
      <c r="O1152" s="164" t="n">
        <v>8</v>
      </c>
      <c r="P1152" t="inlineStr">
        <is>
          <t>Liberado</t>
        </is>
      </c>
      <c r="Q1152" s="165" t="n">
        <v>35</v>
      </c>
      <c r="R1152" s="165" t="n">
        <v>50</v>
      </c>
      <c r="S1152" s="165" t="n">
        <v>50</v>
      </c>
      <c r="T1152" s="165" t="n">
        <v>0</v>
      </c>
      <c r="U1152" s="166" t="n">
        <v>50</v>
      </c>
      <c r="V1152" s="166" t="n">
        <v>0</v>
      </c>
      <c r="W1152" t="inlineStr">
        <is>
          <t>X</t>
        </is>
      </c>
      <c r="X1152" t="inlineStr">
        <is>
          <t>0.00</t>
        </is>
      </c>
      <c r="Y1152" t="inlineStr"/>
      <c r="Z1152" t="inlineStr">
        <is>
          <t>TTI INC.</t>
        </is>
      </c>
      <c r="AA1152" t="inlineStr">
        <is>
          <t>AMPHENOL CORP</t>
        </is>
      </c>
      <c r="AB1152" t="inlineStr">
        <is>
          <t>L177RRE09S</t>
        </is>
      </c>
      <c r="AC1152" t="inlineStr"/>
      <c r="AD1152" s="164" t="n">
        <v>1</v>
      </c>
      <c r="AE1152" s="185" t="n">
        <v>0</v>
      </c>
      <c r="AG1152" s="167" t="inlineStr">
        <is>
          <t>7218|JA2581_1001</t>
        </is>
      </c>
      <c r="AH1152" s="47">
        <f>IF(M1152=0,"-",M1152-J1152)</f>
        <v/>
      </c>
      <c r="AI1152" s="46">
        <f>IF(AND(S1152=0,M1152&gt;0,L1152=0),IF(AH1152&gt;=120,"VERY HIGH",IF(AH1152&gt;=90,"HIGH",IF(AH1152&gt;=60,"MEDIUM",IF(AH1152&lt;60,"LOW")))),"-")</f>
        <v/>
      </c>
      <c r="AJ1152" s="12" t="n"/>
      <c r="AK1152" s="53">
        <f>IF(AND(W1152="X",M1152&lt;=$AJ$2),"YES","")</f>
        <v/>
      </c>
      <c r="AL1152" s="54">
        <f>IF(AND(W1152="X",M1152&lt;=$AJ$2),S1152,"")</f>
        <v/>
      </c>
      <c r="AM1152" s="35" t="n"/>
      <c r="AN1152" s="35">
        <f>IF(AND(W1152="X",M1152&gt;$AJ$2),S1152,"")</f>
        <v/>
      </c>
      <c r="AO1152" s="35">
        <f>IF(AND(W1152="",M1152&gt;0,$AJ$2&gt;M1152,L1152=""),1,0)</f>
        <v/>
      </c>
      <c r="AP1152" s="35">
        <f>IF(AND(AK1152="YES",W1152="X"),"X","")</f>
        <v/>
      </c>
      <c r="AQ1152" s="55">
        <f>IF(AP1152="X",100%,0%)</f>
        <v/>
      </c>
      <c r="AR1152" s="25">
        <f>IF(AND(T1152&gt;0,L1152=""),H1152,"")</f>
        <v/>
      </c>
      <c r="AS1152" s="25">
        <f>IF(AND(D1152&gt;0,H1152=0,G1152=""),1,"")</f>
        <v/>
      </c>
      <c r="AT1152" s="25">
        <f>IF(G1152="BLOQ",1,"")</f>
        <v/>
      </c>
      <c r="AU1152" s="25">
        <f>IF(L1152="BLOQ",1,"")</f>
        <v/>
      </c>
      <c r="AV1152" s="25">
        <f>MONTH(F1152)</f>
        <v/>
      </c>
      <c r="AW1152" s="65">
        <f>IF(AP1152="",100%,0%)</f>
        <v/>
      </c>
      <c r="AX1152" s="56" t="n"/>
      <c r="AY1152" s="24">
        <f>IF(M1152=0,"",M1152-$AX$2)</f>
        <v/>
      </c>
      <c r="AZ1152" s="66">
        <f>IF(AND(W1152="",AY1152&gt;0,AY1152&lt;15),1,0)</f>
        <v/>
      </c>
      <c r="BA1152" s="24">
        <f>IF(AND(W1152="",AY1152&gt;0,AY1152&lt;15),T1152,"")</f>
        <v/>
      </c>
      <c r="BB1152" s="87">
        <f>IF(R1152&lt;Q1152,"X","")</f>
        <v/>
      </c>
      <c r="BC1152" s="190" t="inlineStr">
        <is>
          <t>NO</t>
        </is>
      </c>
      <c r="BD1152" s="191" t="inlineStr">
        <is>
          <t>SI</t>
        </is>
      </c>
    </row>
    <row r="1153" ht="15" customHeight="1" s="162">
      <c r="A1153" s="7" t="n">
        <v>1152</v>
      </c>
      <c r="B1153" t="inlineStr">
        <is>
          <t>1212000931300</t>
        </is>
      </c>
      <c r="C1153" t="inlineStr">
        <is>
          <t>CNC SUB-D 9H 2.74MM SHELL-E CRIMP ROHS</t>
        </is>
      </c>
      <c r="D1153" t="inlineStr">
        <is>
          <t>1800109470</t>
        </is>
      </c>
      <c r="E1153" t="inlineStr">
        <is>
          <t>10</t>
        </is>
      </c>
      <c r="F1153" s="163" t="n">
        <v>45474</v>
      </c>
      <c r="G1153" t="inlineStr"/>
      <c r="H1153" t="inlineStr">
        <is>
          <t>4200571592</t>
        </is>
      </c>
      <c r="I1153" t="inlineStr">
        <is>
          <t>80</t>
        </is>
      </c>
      <c r="J1153" s="163" t="n">
        <v>45495</v>
      </c>
      <c r="K1153" s="163" t="n">
        <v>45562</v>
      </c>
      <c r="L1153" t="inlineStr">
        <is>
          <t>BORR</t>
        </is>
      </c>
      <c r="M1153" s="163" t="n">
        <v>45516</v>
      </c>
      <c r="N1153" s="164" t="n">
        <v>40</v>
      </c>
      <c r="O1153" s="164" t="n">
        <v>8</v>
      </c>
      <c r="P1153" t="inlineStr">
        <is>
          <t>Liberado</t>
        </is>
      </c>
      <c r="Q1153" s="165" t="n">
        <v>35</v>
      </c>
      <c r="R1153" s="165" t="n">
        <v>35</v>
      </c>
      <c r="S1153" s="165" t="n">
        <v>0</v>
      </c>
      <c r="T1153" s="165" t="n">
        <v>35</v>
      </c>
      <c r="U1153" s="166" t="n">
        <v>0</v>
      </c>
      <c r="V1153" s="166" t="n">
        <v>0</v>
      </c>
      <c r="W1153" t="inlineStr"/>
      <c r="X1153" t="inlineStr">
        <is>
          <t>10.15</t>
        </is>
      </c>
      <c r="Y1153" t="inlineStr"/>
      <c r="Z1153" t="inlineStr">
        <is>
          <t>PEI GENESISUK LTD</t>
        </is>
      </c>
      <c r="AA1153" t="inlineStr">
        <is>
          <t>AMPHENOL CORP</t>
        </is>
      </c>
      <c r="AB1153" t="inlineStr">
        <is>
          <t>L177RRE09S</t>
        </is>
      </c>
      <c r="AC1153" t="inlineStr"/>
      <c r="AD1153" s="164" t="n">
        <v>0</v>
      </c>
      <c r="AE1153" s="185" t="n">
        <v>0</v>
      </c>
      <c r="AG1153" s="167" t="inlineStr">
        <is>
          <t>7218|JA2581_1001</t>
        </is>
      </c>
      <c r="AH1153" s="47">
        <f>IF(M1153=0,"-",M1153-J1153)</f>
        <v/>
      </c>
      <c r="AI1153" s="46">
        <f>IF(AND(S1153=0,M1153&gt;0,L1153=0),IF(AH1153&gt;=120,"VERY HIGH",IF(AH1153&gt;=90,"HIGH",IF(AH1153&gt;=60,"MEDIUM",IF(AH1153&lt;60,"LOW")))),"-")</f>
        <v/>
      </c>
      <c r="AJ1153" s="12" t="n"/>
      <c r="AK1153" s="53">
        <f>IF(AND(W1153="X",M1153&lt;=$AJ$2),"YES","")</f>
        <v/>
      </c>
      <c r="AL1153" s="54">
        <f>IF(AND(W1153="X",M1153&lt;=$AJ$2),S1153,"")</f>
        <v/>
      </c>
      <c r="AM1153" s="35" t="n"/>
      <c r="AN1153" s="35">
        <f>IF(AND(W1153="X",M1153&gt;$AJ$2),S1153,"")</f>
        <v/>
      </c>
      <c r="AO1153" s="35">
        <f>IF(AND(W1153="",M1153&gt;0,$AJ$2&gt;M1153,L1153=""),1,0)</f>
        <v/>
      </c>
      <c r="AP1153" s="35">
        <f>IF(AND(AK1153="YES",W1153="X"),"X","")</f>
        <v/>
      </c>
      <c r="AQ1153" s="55">
        <f>IF(AP1153="X",100%,0%)</f>
        <v/>
      </c>
      <c r="AR1153" s="25">
        <f>IF(AND(T1153&gt;0,L1153=""),H1153,"")</f>
        <v/>
      </c>
      <c r="AS1153" s="25">
        <f>IF(AND(D1153&gt;0,H1153=0,G1153=""),1,"")</f>
        <v/>
      </c>
      <c r="AT1153" s="25">
        <f>IF(G1153="BLOQ",1,"")</f>
        <v/>
      </c>
      <c r="AU1153" s="25">
        <f>IF(L1153="BLOQ",1,"")</f>
        <v/>
      </c>
      <c r="AV1153" s="25">
        <f>MONTH(F1153)</f>
        <v/>
      </c>
      <c r="AW1153" s="65">
        <f>IF(AP1153="",100%,0%)</f>
        <v/>
      </c>
      <c r="AX1153" s="56" t="n"/>
      <c r="AY1153" s="24">
        <f>IF(M1153=0,"",M1153-$AX$2)</f>
        <v/>
      </c>
      <c r="AZ1153" s="66">
        <f>IF(AND(W1153="",AY1153&gt;0,AY1153&lt;15),1,0)</f>
        <v/>
      </c>
      <c r="BA1153" s="24">
        <f>IF(AND(W1153="",AY1153&gt;0,AY1153&lt;15),T1153,"")</f>
        <v/>
      </c>
      <c r="BB1153" s="87">
        <f>IF(R1153&lt;Q1153,"X","")</f>
        <v/>
      </c>
      <c r="BC1153" s="190" t="inlineStr">
        <is>
          <t>NO</t>
        </is>
      </c>
      <c r="BD1153" s="191" t="inlineStr">
        <is>
          <t>SI</t>
        </is>
      </c>
    </row>
    <row r="1154" ht="15" customHeight="1" s="162">
      <c r="A1154" s="7" t="n">
        <v>1153</v>
      </c>
      <c r="B1154" t="inlineStr">
        <is>
          <t>1138022410200</t>
        </is>
      </c>
      <c r="C1154" t="inlineStr">
        <is>
          <t>SIST CONTROL PROG 24VDC ETH  RJ45 IP20</t>
        </is>
      </c>
      <c r="D1154" t="inlineStr">
        <is>
          <t>1800109478</t>
        </is>
      </c>
      <c r="E1154" t="inlineStr">
        <is>
          <t>10</t>
        </is>
      </c>
      <c r="F1154" s="163" t="n">
        <v>45474</v>
      </c>
      <c r="G1154" t="inlineStr"/>
      <c r="H1154" t="inlineStr">
        <is>
          <t>4200570119</t>
        </is>
      </c>
      <c r="I1154" t="inlineStr">
        <is>
          <t>20</t>
        </is>
      </c>
      <c r="J1154" s="163" t="n">
        <v>45483</v>
      </c>
      <c r="K1154" s="163" t="n">
        <v>45484</v>
      </c>
      <c r="L1154" t="inlineStr"/>
      <c r="M1154" s="163" t="n">
        <v>45490</v>
      </c>
      <c r="N1154" s="164" t="n">
        <v>30</v>
      </c>
      <c r="O1154" s="164" t="n">
        <v>8</v>
      </c>
      <c r="P1154" t="inlineStr">
        <is>
          <t>Liberado</t>
        </is>
      </c>
      <c r="Q1154" s="165" t="n">
        <v>1</v>
      </c>
      <c r="R1154" s="165" t="n">
        <v>1</v>
      </c>
      <c r="S1154" s="165" t="n">
        <v>1</v>
      </c>
      <c r="T1154" s="165" t="n">
        <v>0</v>
      </c>
      <c r="U1154" s="166" t="n">
        <v>1</v>
      </c>
      <c r="V1154" s="166" t="n">
        <v>0</v>
      </c>
      <c r="W1154" t="inlineStr">
        <is>
          <t>X</t>
        </is>
      </c>
      <c r="X1154" t="inlineStr">
        <is>
          <t>0.00</t>
        </is>
      </c>
      <c r="Y1154" t="inlineStr"/>
      <c r="Z1154" t="inlineStr">
        <is>
          <t>(AEMSA)ALMACENES ELECTRICOS MADRILE</t>
        </is>
      </c>
      <c r="AA1154" t="inlineStr">
        <is>
          <t>PHOENIX CONTACT</t>
        </is>
      </c>
      <c r="AB1154" t="inlineStr">
        <is>
          <t>2700975</t>
        </is>
      </c>
      <c r="AC1154" t="inlineStr"/>
      <c r="AD1154" s="164" t="n">
        <v>0</v>
      </c>
      <c r="AE1154" s="185" t="n">
        <v>0</v>
      </c>
      <c r="AG1154" s="167" t="inlineStr">
        <is>
          <t>7218|JA2582_1001</t>
        </is>
      </c>
      <c r="AH1154" s="47">
        <f>IF(M1154=0,"-",M1154-J1154)</f>
        <v/>
      </c>
      <c r="AI1154" s="46">
        <f>IF(AND(S1154=0,M1154&gt;0,L1154=0),IF(AH1154&gt;=120,"VERY HIGH",IF(AH1154&gt;=90,"HIGH",IF(AH1154&gt;=60,"MEDIUM",IF(AH1154&lt;60,"LOW")))),"-")</f>
        <v/>
      </c>
      <c r="AJ1154" s="12" t="n"/>
      <c r="AK1154" s="53">
        <f>IF(AND(W1154="X",M1154&lt;=$AJ$2),"YES","")</f>
        <v/>
      </c>
      <c r="AL1154" s="54">
        <f>IF(AND(W1154="X",M1154&lt;=$AJ$2),S1154,"")</f>
        <v/>
      </c>
      <c r="AM1154" s="35" t="n"/>
      <c r="AN1154" s="35">
        <f>IF(AND(W1154="X",M1154&gt;$AJ$2),S1154,"")</f>
        <v/>
      </c>
      <c r="AO1154" s="35">
        <f>IF(AND(W1154="",M1154&gt;0,$AJ$2&gt;M1154,L1154=""),1,0)</f>
        <v/>
      </c>
      <c r="AP1154" s="35">
        <f>IF(AND(AK1154="YES",W1154="X"),"X","")</f>
        <v/>
      </c>
      <c r="AQ1154" s="55">
        <f>IF(AP1154="X",100%,0%)</f>
        <v/>
      </c>
      <c r="AR1154" s="25">
        <f>IF(AND(T1154&gt;0,L1154=""),H1154,"")</f>
        <v/>
      </c>
      <c r="AS1154" s="25">
        <f>IF(AND(D1154&gt;0,H1154=0,G1154=""),1,"")</f>
        <v/>
      </c>
      <c r="AT1154" s="25">
        <f>IF(G1154="BLOQ",1,"")</f>
        <v/>
      </c>
      <c r="AU1154" s="25">
        <f>IF(L1154="BLOQ",1,"")</f>
        <v/>
      </c>
      <c r="AV1154" s="25">
        <f>MONTH(F1154)</f>
        <v/>
      </c>
      <c r="AW1154" s="65">
        <f>IF(AP1154="",100%,0%)</f>
        <v/>
      </c>
      <c r="AX1154" s="56" t="n"/>
      <c r="AY1154" s="24">
        <f>IF(M1154=0,"",M1154-$AX$2)</f>
        <v/>
      </c>
      <c r="AZ1154" s="66">
        <f>IF(AND(W1154="",AY1154&gt;0,AY1154&lt;15),1,0)</f>
        <v/>
      </c>
      <c r="BA1154" s="24">
        <f>IF(AND(W1154="",AY1154&gt;0,AY1154&lt;15),T1154,"")</f>
        <v/>
      </c>
      <c r="BB1154" s="87">
        <f>IF(R1154&lt;Q1154,"X","")</f>
        <v/>
      </c>
      <c r="BC1154" s="190" t="inlineStr">
        <is>
          <t>NO</t>
        </is>
      </c>
      <c r="BD1154" s="190" t="inlineStr">
        <is>
          <t>NO</t>
        </is>
      </c>
    </row>
    <row r="1155" ht="15" customHeight="1" s="162">
      <c r="A1155" s="7" t="n">
        <v>1154</v>
      </c>
      <c r="B1155" t="inlineStr">
        <is>
          <t>1390705220800</t>
        </is>
      </c>
      <c r="C1155" t="inlineStr">
        <is>
          <t>MOT KIT GEN3 MB-E-6DOF-60-14000KG COTS</t>
        </is>
      </c>
      <c r="D1155" t="inlineStr">
        <is>
          <t>1800109484</t>
        </is>
      </c>
      <c r="E1155" t="inlineStr">
        <is>
          <t>10</t>
        </is>
      </c>
      <c r="F1155" s="163" t="n">
        <v>45475</v>
      </c>
      <c r="G1155" t="inlineStr">
        <is>
          <t>BORR</t>
        </is>
      </c>
      <c r="H1155" t="inlineStr">
        <is>
          <t>4600003976</t>
        </is>
      </c>
      <c r="I1155" t="inlineStr">
        <is>
          <t>20</t>
        </is>
      </c>
      <c r="J1155" s="163" t="n">
        <v>45464</v>
      </c>
      <c r="K1155" s="163" t="n">
        <v>45546</v>
      </c>
      <c r="L1155" t="inlineStr">
        <is>
          <t>BORR</t>
        </is>
      </c>
      <c r="M1155" s="163" t="n">
        <v>45546</v>
      </c>
      <c r="N1155" s="164" t="n">
        <v>40</v>
      </c>
      <c r="O1155" s="164" t="n">
        <v>8</v>
      </c>
      <c r="P1155" t="inlineStr">
        <is>
          <t>Liberado</t>
        </is>
      </c>
      <c r="Q1155" s="165" t="n">
        <v>1</v>
      </c>
      <c r="R1155" s="165" t="n">
        <v>1</v>
      </c>
      <c r="S1155" s="165" t="n">
        <v>0</v>
      </c>
      <c r="T1155" s="165" t="n">
        <v>1</v>
      </c>
      <c r="U1155" s="166" t="n">
        <v>0</v>
      </c>
      <c r="V1155" s="166" t="n">
        <v>0</v>
      </c>
      <c r="W1155" t="inlineStr"/>
      <c r="X1155" t="inlineStr">
        <is>
          <t>385000.00</t>
        </is>
      </c>
      <c r="Y1155" t="inlineStr"/>
      <c r="Z1155" t="inlineStr">
        <is>
          <t>MOOG, B.V.</t>
        </is>
      </c>
      <c r="AA1155" t="inlineStr">
        <is>
          <t>MOOG</t>
        </is>
      </c>
      <c r="AB1155" t="inlineStr">
        <is>
          <t>CD45841-000A-075-0</t>
        </is>
      </c>
      <c r="AC1155" t="inlineStr"/>
      <c r="AD1155" s="164" t="n">
        <v>0</v>
      </c>
      <c r="AE1155" s="185" t="n">
        <v>0</v>
      </c>
      <c r="AG1155" s="167" t="inlineStr">
        <is>
          <t>7218|JA2612_1001</t>
        </is>
      </c>
      <c r="AH1155" s="47">
        <f>IF(M1155=0,"-",M1155-J1155)</f>
        <v/>
      </c>
      <c r="AI1155" s="46">
        <f>IF(AND(S1155=0,M1155&gt;0,L1155=0),IF(AH1155&gt;=120,"VERY HIGH",IF(AH1155&gt;=90,"HIGH",IF(AH1155&gt;=60,"MEDIUM",IF(AH1155&lt;60,"LOW")))),"-")</f>
        <v/>
      </c>
      <c r="AJ1155" s="12" t="n"/>
      <c r="AK1155" s="53">
        <f>IF(AND(W1155="X",M1155&lt;=$AJ$2),"YES","")</f>
        <v/>
      </c>
      <c r="AL1155" s="54">
        <f>IF(AND(W1155="X",M1155&lt;=$AJ$2),S1155,"")</f>
        <v/>
      </c>
      <c r="AM1155" s="35" t="n"/>
      <c r="AN1155" s="35">
        <f>IF(AND(W1155="X",M1155&gt;$AJ$2),S1155,"")</f>
        <v/>
      </c>
      <c r="AO1155" s="35">
        <f>IF(AND(W1155="",M1155&gt;0,$AJ$2&gt;M1155,L1155=""),1,0)</f>
        <v/>
      </c>
      <c r="AP1155" s="35">
        <f>IF(AND(AK1155="YES",W1155="X"),"X","")</f>
        <v/>
      </c>
      <c r="AQ1155" s="55">
        <f>IF(AP1155="X",100%,0%)</f>
        <v/>
      </c>
      <c r="AR1155" s="25">
        <f>IF(AND(T1155&gt;0,L1155=""),H1155,"")</f>
        <v/>
      </c>
      <c r="AS1155" s="25">
        <f>IF(AND(D1155&gt;0,H1155=0,G1155=""),1,"")</f>
        <v/>
      </c>
      <c r="AT1155" s="25">
        <f>IF(G1155="BLOQ",1,"")</f>
        <v/>
      </c>
      <c r="AU1155" s="25">
        <f>IF(L1155="BLOQ",1,"")</f>
        <v/>
      </c>
      <c r="AV1155" s="25">
        <f>MONTH(F1155)</f>
        <v/>
      </c>
      <c r="AW1155" s="65">
        <f>IF(AP1155="",100%,0%)</f>
        <v/>
      </c>
      <c r="AX1155" s="56" t="n"/>
      <c r="AY1155" s="24">
        <f>IF(M1155=0,"",M1155-$AX$2)</f>
        <v/>
      </c>
      <c r="AZ1155" s="66">
        <f>IF(AND(W1155="",AY1155&gt;0,AY1155&lt;15),1,0)</f>
        <v/>
      </c>
      <c r="BA1155" s="24">
        <f>IF(AND(W1155="",AY1155&gt;0,AY1155&lt;15),T1155,"")</f>
        <v/>
      </c>
      <c r="BB1155" s="87">
        <f>IF(R1155&lt;Q1155,"X","")</f>
        <v/>
      </c>
      <c r="BC1155" s="190" t="inlineStr">
        <is>
          <t>NO</t>
        </is>
      </c>
      <c r="BD1155" s="190" t="inlineStr">
        <is>
          <t>NO</t>
        </is>
      </c>
    </row>
    <row r="1156" ht="15" customHeight="1" s="162">
      <c r="A1156" s="7" t="n">
        <v>1155</v>
      </c>
      <c r="B1156" t="inlineStr">
        <is>
          <t>1390705220900</t>
        </is>
      </c>
      <c r="C1156" t="inlineStr">
        <is>
          <t>DAP SHIPMENT OF THE MS</t>
        </is>
      </c>
      <c r="D1156" t="inlineStr">
        <is>
          <t>1800109484</t>
        </is>
      </c>
      <c r="E1156" t="inlineStr">
        <is>
          <t>20</t>
        </is>
      </c>
      <c r="F1156" s="163" t="n">
        <v>45475</v>
      </c>
      <c r="G1156" t="inlineStr">
        <is>
          <t>BORR</t>
        </is>
      </c>
      <c r="H1156" t="inlineStr">
        <is>
          <t>4600003976</t>
        </is>
      </c>
      <c r="I1156" t="inlineStr">
        <is>
          <t>60</t>
        </is>
      </c>
      <c r="J1156" s="163" t="n">
        <v>45464</v>
      </c>
      <c r="K1156" s="163" t="n">
        <v>45546</v>
      </c>
      <c r="L1156" t="inlineStr">
        <is>
          <t>BORR</t>
        </is>
      </c>
      <c r="M1156" s="163" t="n">
        <v>45546</v>
      </c>
      <c r="N1156" s="164" t="n">
        <v>40</v>
      </c>
      <c r="O1156" s="164" t="n">
        <v>8</v>
      </c>
      <c r="P1156" t="inlineStr">
        <is>
          <t>Liberado</t>
        </is>
      </c>
      <c r="Q1156" s="165" t="n">
        <v>1</v>
      </c>
      <c r="R1156" s="165" t="n">
        <v>1</v>
      </c>
      <c r="S1156" s="165" t="n">
        <v>0</v>
      </c>
      <c r="T1156" s="165" t="n">
        <v>1</v>
      </c>
      <c r="U1156" s="166" t="n">
        <v>0</v>
      </c>
      <c r="V1156" s="166" t="n">
        <v>0</v>
      </c>
      <c r="W1156" t="inlineStr"/>
      <c r="X1156" t="inlineStr">
        <is>
          <t>8850.00</t>
        </is>
      </c>
      <c r="Y1156" t="inlineStr"/>
      <c r="Z1156" t="inlineStr">
        <is>
          <t>MOOG, B.V.</t>
        </is>
      </c>
      <c r="AA1156" t="inlineStr">
        <is>
          <t>MOOG</t>
        </is>
      </c>
      <c r="AB1156" t="inlineStr">
        <is>
          <t>DM-NL-FRT-NC</t>
        </is>
      </c>
      <c r="AC1156" t="inlineStr"/>
      <c r="AD1156" s="164" t="n">
        <v>0</v>
      </c>
      <c r="AE1156" s="185" t="n">
        <v>0</v>
      </c>
      <c r="AG1156" s="167" t="inlineStr">
        <is>
          <t>7218|JA2612_1001</t>
        </is>
      </c>
      <c r="AH1156" s="47">
        <f>IF(M1156=0,"-",M1156-J1156)</f>
        <v/>
      </c>
      <c r="AI1156" s="46">
        <f>IF(AND(S1156=0,M1156&gt;0,L1156=0),IF(AH1156&gt;=120,"VERY HIGH",IF(AH1156&gt;=90,"HIGH",IF(AH1156&gt;=60,"MEDIUM",IF(AH1156&lt;60,"LOW")))),"-")</f>
        <v/>
      </c>
      <c r="AJ1156" s="12" t="n"/>
      <c r="AK1156" s="53">
        <f>IF(AND(W1156="X",M1156&lt;=$AJ$2),"YES","")</f>
        <v/>
      </c>
      <c r="AL1156" s="54">
        <f>IF(AND(W1156="X",M1156&lt;=$AJ$2),S1156,"")</f>
        <v/>
      </c>
      <c r="AM1156" s="35" t="n"/>
      <c r="AN1156" s="35">
        <f>IF(AND(W1156="X",M1156&gt;$AJ$2),S1156,"")</f>
        <v/>
      </c>
      <c r="AO1156" s="35">
        <f>IF(AND(W1156="",M1156&gt;0,$AJ$2&gt;M1156,L1156=""),1,0)</f>
        <v/>
      </c>
      <c r="AP1156" s="35">
        <f>IF(AND(AK1156="YES",W1156="X"),"X","")</f>
        <v/>
      </c>
      <c r="AQ1156" s="55">
        <f>IF(AP1156="X",100%,0%)</f>
        <v/>
      </c>
      <c r="AR1156" s="25">
        <f>IF(AND(T1156&gt;0,L1156=""),H1156,"")</f>
        <v/>
      </c>
      <c r="AS1156" s="25">
        <f>IF(AND(D1156&gt;0,H1156=0,G1156=""),1,"")</f>
        <v/>
      </c>
      <c r="AT1156" s="25">
        <f>IF(G1156="BLOQ",1,"")</f>
        <v/>
      </c>
      <c r="AU1156" s="25">
        <f>IF(L1156="BLOQ",1,"")</f>
        <v/>
      </c>
      <c r="AV1156" s="25">
        <f>MONTH(F1156)</f>
        <v/>
      </c>
      <c r="AW1156" s="65">
        <f>IF(AP1156="",100%,0%)</f>
        <v/>
      </c>
      <c r="AX1156" s="56" t="n"/>
      <c r="AY1156" s="24">
        <f>IF(M1156=0,"",M1156-$AX$2)</f>
        <v/>
      </c>
      <c r="AZ1156" s="66">
        <f>IF(AND(W1156="",AY1156&gt;0,AY1156&lt;15),1,0)</f>
        <v/>
      </c>
      <c r="BA1156" s="24">
        <f>IF(AND(W1156="",AY1156&gt;0,AY1156&lt;15),T1156,"")</f>
        <v/>
      </c>
      <c r="BB1156" s="87">
        <f>IF(R1156&lt;Q1156,"X","")</f>
        <v/>
      </c>
      <c r="BC1156" s="190" t="inlineStr">
        <is>
          <t>NO</t>
        </is>
      </c>
      <c r="BD1156" s="190" t="inlineStr">
        <is>
          <t>NO</t>
        </is>
      </c>
    </row>
    <row r="1157" ht="15" customHeight="1" s="162">
      <c r="A1157" s="7" t="n">
        <v>1156</v>
      </c>
      <c r="B1157" t="inlineStr">
        <is>
          <t>1390705220901</t>
        </is>
      </c>
      <c r="C1157" t="inlineStr">
        <is>
          <t>MS INSTALLATION ASSISTANCE</t>
        </is>
      </c>
      <c r="D1157" t="inlineStr">
        <is>
          <t>1800109484</t>
        </is>
      </c>
      <c r="E1157" t="inlineStr">
        <is>
          <t>30</t>
        </is>
      </c>
      <c r="F1157" s="163" t="n">
        <v>45475</v>
      </c>
      <c r="G1157" t="inlineStr">
        <is>
          <t>BORR</t>
        </is>
      </c>
      <c r="H1157" t="inlineStr">
        <is>
          <t>4600003976</t>
        </is>
      </c>
      <c r="I1157" t="inlineStr">
        <is>
          <t>70</t>
        </is>
      </c>
      <c r="J1157" s="163" t="n">
        <v>45464</v>
      </c>
      <c r="K1157" s="163" t="n">
        <v>45546</v>
      </c>
      <c r="L1157" t="inlineStr">
        <is>
          <t>BORR</t>
        </is>
      </c>
      <c r="M1157" s="163" t="n">
        <v>45608</v>
      </c>
      <c r="N1157" s="164" t="n">
        <v>40</v>
      </c>
      <c r="O1157" s="164" t="n">
        <v>8</v>
      </c>
      <c r="P1157" t="inlineStr">
        <is>
          <t>Liberado</t>
        </is>
      </c>
      <c r="Q1157" s="165" t="n">
        <v>1</v>
      </c>
      <c r="R1157" s="165" t="n">
        <v>1</v>
      </c>
      <c r="S1157" s="165" t="n">
        <v>0</v>
      </c>
      <c r="T1157" s="165" t="n">
        <v>1</v>
      </c>
      <c r="U1157" s="166" t="n">
        <v>0</v>
      </c>
      <c r="V1157" s="166" t="n">
        <v>0</v>
      </c>
      <c r="W1157" t="inlineStr"/>
      <c r="X1157" t="inlineStr">
        <is>
          <t>5720.00</t>
        </is>
      </c>
      <c r="Y1157" t="inlineStr"/>
      <c r="Z1157" t="inlineStr">
        <is>
          <t>MOOG, B.V.</t>
        </is>
      </c>
      <c r="AA1157" t="inlineStr">
        <is>
          <t>MOOG</t>
        </is>
      </c>
      <c r="AB1157" t="inlineStr">
        <is>
          <t>DM-NL-IN-AS-NC</t>
        </is>
      </c>
      <c r="AC1157" t="inlineStr"/>
      <c r="AD1157" s="164" t="n">
        <v>1</v>
      </c>
      <c r="AE1157" s="185" t="n">
        <v>0</v>
      </c>
      <c r="AG1157" s="167" t="inlineStr">
        <is>
          <t>7218|JA2612_1001</t>
        </is>
      </c>
      <c r="AH1157" s="47">
        <f>IF(M1157=0,"-",M1157-J1157)</f>
        <v/>
      </c>
      <c r="AI1157" s="46">
        <f>IF(AND(S1157=0,M1157&gt;0,L1157=0),IF(AH1157&gt;=120,"VERY HIGH",IF(AH1157&gt;=90,"HIGH",IF(AH1157&gt;=60,"MEDIUM",IF(AH1157&lt;60,"LOW")))),"-")</f>
        <v/>
      </c>
      <c r="AJ1157" s="12" t="n"/>
      <c r="AK1157" s="53">
        <f>IF(AND(W1157="X",M1157&lt;=$AJ$2),"YES","")</f>
        <v/>
      </c>
      <c r="AL1157" s="54">
        <f>IF(AND(W1157="X",M1157&lt;=$AJ$2),S1157,"")</f>
        <v/>
      </c>
      <c r="AM1157" s="35" t="n"/>
      <c r="AN1157" s="35">
        <f>IF(AND(W1157="X",M1157&gt;$AJ$2),S1157,"")</f>
        <v/>
      </c>
      <c r="AO1157" s="35">
        <f>IF(AND(W1157="",M1157&gt;0,$AJ$2&gt;M1157,L1157=""),1,0)</f>
        <v/>
      </c>
      <c r="AP1157" s="35">
        <f>IF(AND(AK1157="YES",W1157="X"),"X","")</f>
        <v/>
      </c>
      <c r="AQ1157" s="55">
        <f>IF(AP1157="X",100%,0%)</f>
        <v/>
      </c>
      <c r="AR1157" s="25">
        <f>IF(AND(T1157&gt;0,L1157=""),H1157,"")</f>
        <v/>
      </c>
      <c r="AS1157" s="25">
        <f>IF(AND(D1157&gt;0,H1157=0,G1157=""),1,"")</f>
        <v/>
      </c>
      <c r="AT1157" s="25">
        <f>IF(G1157="BLOQ",1,"")</f>
        <v/>
      </c>
      <c r="AU1157" s="25">
        <f>IF(L1157="BLOQ",1,"")</f>
        <v/>
      </c>
      <c r="AV1157" s="25">
        <f>MONTH(F1157)</f>
        <v/>
      </c>
      <c r="AW1157" s="65">
        <f>IF(AP1157="",100%,0%)</f>
        <v/>
      </c>
      <c r="AX1157" s="56" t="n"/>
      <c r="AY1157" s="24">
        <f>IF(M1157=0,"",M1157-$AX$2)</f>
        <v/>
      </c>
      <c r="AZ1157" s="66">
        <f>IF(AND(W1157="",AY1157&gt;0,AY1157&lt;15),1,0)</f>
        <v/>
      </c>
      <c r="BA1157" s="24">
        <f>IF(AND(W1157="",AY1157&gt;0,AY1157&lt;15),T1157,"")</f>
        <v/>
      </c>
      <c r="BB1157" s="87">
        <f>IF(R1157&lt;Q1157,"X","")</f>
        <v/>
      </c>
      <c r="BC1157" s="190" t="inlineStr">
        <is>
          <t>NO</t>
        </is>
      </c>
      <c r="BD1157" s="190" t="inlineStr">
        <is>
          <t>NO</t>
        </is>
      </c>
    </row>
    <row r="1158" ht="15" customHeight="1" s="162">
      <c r="A1158" s="7" t="n">
        <v>1157</v>
      </c>
      <c r="B1158" t="inlineStr">
        <is>
          <t>1390705220902</t>
        </is>
      </c>
      <c r="C1158" t="inlineStr">
        <is>
          <t>MS TUNING</t>
        </is>
      </c>
      <c r="D1158" t="inlineStr">
        <is>
          <t>1800109484</t>
        </is>
      </c>
      <c r="E1158" t="inlineStr">
        <is>
          <t>40</t>
        </is>
      </c>
      <c r="F1158" s="163" t="n">
        <v>45475</v>
      </c>
      <c r="G1158" t="inlineStr">
        <is>
          <t>BORR</t>
        </is>
      </c>
      <c r="H1158" t="inlineStr">
        <is>
          <t>4600003976</t>
        </is>
      </c>
      <c r="I1158" t="inlineStr">
        <is>
          <t>80</t>
        </is>
      </c>
      <c r="J1158" s="163" t="n">
        <v>45464</v>
      </c>
      <c r="K1158" s="163" t="n">
        <v>45546</v>
      </c>
      <c r="L1158" t="inlineStr">
        <is>
          <t>BORR</t>
        </is>
      </c>
      <c r="M1158" s="163" t="n">
        <v>45670</v>
      </c>
      <c r="N1158" s="164" t="n">
        <v>40</v>
      </c>
      <c r="O1158" s="164" t="n">
        <v>8</v>
      </c>
      <c r="P1158" t="inlineStr">
        <is>
          <t>Liberado</t>
        </is>
      </c>
      <c r="Q1158" s="166" t="n">
        <v>1</v>
      </c>
      <c r="R1158" s="166" t="n">
        <v>1</v>
      </c>
      <c r="S1158" s="166" t="n">
        <v>0</v>
      </c>
      <c r="T1158" s="166" t="n">
        <v>1</v>
      </c>
      <c r="U1158" s="166" t="n">
        <v>0</v>
      </c>
      <c r="V1158" s="166" t="n">
        <v>0</v>
      </c>
      <c r="W1158" t="inlineStr"/>
      <c r="X1158" t="inlineStr">
        <is>
          <t>7220.00</t>
        </is>
      </c>
      <c r="Y1158" t="inlineStr"/>
      <c r="Z1158" t="inlineStr">
        <is>
          <t>MOOG, B.V.</t>
        </is>
      </c>
      <c r="AA1158" t="inlineStr">
        <is>
          <t>MOOG</t>
        </is>
      </c>
      <c r="AB1158" t="inlineStr">
        <is>
          <t>DM-NL-TUNING-NC/LINEA90</t>
        </is>
      </c>
      <c r="AC1158" t="inlineStr"/>
      <c r="AD1158" s="164" t="n">
        <v>1</v>
      </c>
      <c r="AE1158" s="185" t="n">
        <v>0</v>
      </c>
      <c r="AG1158" s="167" t="inlineStr">
        <is>
          <t>7218|JA2612_1001</t>
        </is>
      </c>
      <c r="AH1158" s="47">
        <f>IF(M1158=0,"-",M1158-J1158)</f>
        <v/>
      </c>
      <c r="AI1158" s="46">
        <f>IF(AND(S1158=0,M1158&gt;0,L1158=0),IF(AH1158&gt;=120,"VERY HIGH",IF(AH1158&gt;=90,"HIGH",IF(AH1158&gt;=60,"MEDIUM",IF(AH1158&lt;60,"LOW")))),"-")</f>
        <v/>
      </c>
      <c r="AJ1158" s="12" t="n"/>
      <c r="AK1158" s="53">
        <f>IF(AND(W1158="X",M1158&lt;=$AJ$2),"YES","")</f>
        <v/>
      </c>
      <c r="AL1158" s="54">
        <f>IF(AND(W1158="X",M1158&lt;=$AJ$2),S1158,"")</f>
        <v/>
      </c>
      <c r="AM1158" s="35" t="n"/>
      <c r="AN1158" s="35">
        <f>IF(AND(W1158="X",M1158&gt;$AJ$2),S1158,"")</f>
        <v/>
      </c>
      <c r="AO1158" s="35">
        <f>IF(AND(W1158="",M1158&gt;0,$AJ$2&gt;M1158,L1158=""),1,0)</f>
        <v/>
      </c>
      <c r="AP1158" s="35">
        <f>IF(AND(AK1158="YES",W1158="X"),"X","")</f>
        <v/>
      </c>
      <c r="AQ1158" s="55">
        <f>IF(AP1158="X",100%,0%)</f>
        <v/>
      </c>
      <c r="AR1158" s="25">
        <f>IF(AND(T1158&gt;0,L1158=""),H1158,"")</f>
        <v/>
      </c>
      <c r="AS1158" s="25">
        <f>IF(AND(D1158&gt;0,H1158=0,G1158=""),1,"")</f>
        <v/>
      </c>
      <c r="AT1158" s="25">
        <f>IF(G1158="BLOQ",1,"")</f>
        <v/>
      </c>
      <c r="AU1158" s="25">
        <f>IF(L1158="BLOQ",1,"")</f>
        <v/>
      </c>
      <c r="AV1158" s="25">
        <f>MONTH(F1158)</f>
        <v/>
      </c>
      <c r="AW1158" s="65">
        <f>IF(AP1158="",100%,0%)</f>
        <v/>
      </c>
      <c r="AX1158" s="56" t="n"/>
      <c r="AY1158" s="24">
        <f>IF(M1158=0,"",M1158-$AX$2)</f>
        <v/>
      </c>
      <c r="AZ1158" s="66">
        <f>IF(AND(W1158="",AY1158&gt;0,AY1158&lt;15),1,0)</f>
        <v/>
      </c>
      <c r="BA1158" s="24">
        <f>IF(AND(W1158="",AY1158&gt;0,AY1158&lt;15),T1158,"")</f>
        <v/>
      </c>
      <c r="BB1158" s="87">
        <f>IF(R1158&lt;Q1158,"X","")</f>
        <v/>
      </c>
      <c r="BC1158" s="190" t="inlineStr">
        <is>
          <t>NO</t>
        </is>
      </c>
      <c r="BD1158" s="190" t="inlineStr">
        <is>
          <t>NO</t>
        </is>
      </c>
    </row>
    <row r="1159" ht="15" customHeight="1" s="162">
      <c r="A1159" s="7" t="n">
        <v>1158</v>
      </c>
      <c r="B1159" t="inlineStr">
        <is>
          <t>1390705220903</t>
        </is>
      </c>
      <c r="C1159" t="inlineStr">
        <is>
          <t>CLS TUNING</t>
        </is>
      </c>
      <c r="D1159" t="inlineStr">
        <is>
          <t>1800109484</t>
        </is>
      </c>
      <c r="E1159" t="inlineStr">
        <is>
          <t>50</t>
        </is>
      </c>
      <c r="F1159" s="163" t="n">
        <v>45475</v>
      </c>
      <c r="G1159" t="inlineStr">
        <is>
          <t>BORR</t>
        </is>
      </c>
      <c r="H1159" t="inlineStr">
        <is>
          <t>4600003976</t>
        </is>
      </c>
      <c r="I1159" t="inlineStr">
        <is>
          <t>90</t>
        </is>
      </c>
      <c r="J1159" s="163" t="n">
        <v>45464</v>
      </c>
      <c r="K1159" s="163" t="n">
        <v>45546</v>
      </c>
      <c r="L1159" t="inlineStr">
        <is>
          <t>BORR</t>
        </is>
      </c>
      <c r="M1159" s="163" t="n">
        <v>45731</v>
      </c>
      <c r="N1159" s="164" t="n">
        <v>40</v>
      </c>
      <c r="O1159" s="164" t="n">
        <v>8</v>
      </c>
      <c r="P1159" t="inlineStr">
        <is>
          <t>Liberado</t>
        </is>
      </c>
      <c r="Q1159" s="166" t="n">
        <v>1</v>
      </c>
      <c r="R1159" s="166" t="n">
        <v>1</v>
      </c>
      <c r="S1159" s="166" t="n">
        <v>0</v>
      </c>
      <c r="T1159" s="166" t="n">
        <v>1</v>
      </c>
      <c r="U1159" s="166" t="n">
        <v>0</v>
      </c>
      <c r="V1159" s="166" t="n">
        <v>0</v>
      </c>
      <c r="W1159" t="inlineStr"/>
      <c r="X1159" t="inlineStr">
        <is>
          <t>13820.00</t>
        </is>
      </c>
      <c r="Y1159" t="inlineStr"/>
      <c r="Z1159" t="inlineStr">
        <is>
          <t>MOOG, B.V.</t>
        </is>
      </c>
      <c r="AA1159" t="inlineStr">
        <is>
          <t>MOOG</t>
        </is>
      </c>
      <c r="AB1159" t="inlineStr">
        <is>
          <t>DM-NL-TUNING-NC/LINEA130</t>
        </is>
      </c>
      <c r="AC1159" t="inlineStr"/>
      <c r="AD1159" s="164" t="n">
        <v>1</v>
      </c>
      <c r="AE1159" s="185" t="n">
        <v>0</v>
      </c>
      <c r="AG1159" s="167" t="inlineStr">
        <is>
          <t>7218|JA2612_1001</t>
        </is>
      </c>
      <c r="AH1159" s="47">
        <f>IF(M1159=0,"-",M1159-J1159)</f>
        <v/>
      </c>
      <c r="AI1159" s="46">
        <f>IF(AND(S1159=0,M1159&gt;0,L1159=0),IF(AH1159&gt;=120,"VERY HIGH",IF(AH1159&gt;=90,"HIGH",IF(AH1159&gt;=60,"MEDIUM",IF(AH1159&lt;60,"LOW")))),"-")</f>
        <v/>
      </c>
      <c r="AJ1159" s="12" t="n"/>
      <c r="AK1159" s="53">
        <f>IF(AND(W1159="X",M1159&lt;=$AJ$2),"YES","")</f>
        <v/>
      </c>
      <c r="AL1159" s="54">
        <f>IF(AND(W1159="X",M1159&lt;=$AJ$2),S1159,"")</f>
        <v/>
      </c>
      <c r="AM1159" s="35" t="n"/>
      <c r="AN1159" s="35">
        <f>IF(AND(W1159="X",M1159&gt;$AJ$2),S1159,"")</f>
        <v/>
      </c>
      <c r="AO1159" s="35">
        <f>IF(AND(W1159="",M1159&gt;0,$AJ$2&gt;M1159,L1159=""),1,0)</f>
        <v/>
      </c>
      <c r="AP1159" s="35">
        <f>IF(AND(AK1159="YES",W1159="X"),"X","")</f>
        <v/>
      </c>
      <c r="AQ1159" s="55">
        <f>IF(AP1159="X",100%,0%)</f>
        <v/>
      </c>
      <c r="AR1159" s="25">
        <f>IF(AND(T1159&gt;0,L1159=""),H1159,"")</f>
        <v/>
      </c>
      <c r="AS1159" s="25">
        <f>IF(AND(D1159&gt;0,H1159=0,G1159=""),1,"")</f>
        <v/>
      </c>
      <c r="AT1159" s="25">
        <f>IF(G1159="BLOQ",1,"")</f>
        <v/>
      </c>
      <c r="AU1159" s="25">
        <f>IF(L1159="BLOQ",1,"")</f>
        <v/>
      </c>
      <c r="AV1159" s="25">
        <f>MONTH(F1159)</f>
        <v/>
      </c>
      <c r="AW1159" s="65">
        <f>IF(AP1159="",100%,0%)</f>
        <v/>
      </c>
      <c r="AX1159" s="56" t="n"/>
      <c r="AY1159" s="24">
        <f>IF(M1159=0,"",M1159-$AX$2)</f>
        <v/>
      </c>
      <c r="AZ1159" s="66">
        <f>IF(AND(W1159="",AY1159&gt;0,AY1159&lt;15),1,0)</f>
        <v/>
      </c>
      <c r="BA1159" s="24">
        <f>IF(AND(W1159="",AY1159&gt;0,AY1159&lt;15),T1159,"")</f>
        <v/>
      </c>
      <c r="BB1159" s="87">
        <f>IF(R1159&lt;Q1159,"X","")</f>
        <v/>
      </c>
      <c r="BC1159" s="190" t="inlineStr">
        <is>
          <t>NO</t>
        </is>
      </c>
      <c r="BD1159" s="190" t="inlineStr">
        <is>
          <t>NO</t>
        </is>
      </c>
    </row>
    <row r="1160" ht="15" customHeight="1" s="162">
      <c r="A1160" s="7" t="n">
        <v>1159</v>
      </c>
      <c r="B1160" t="inlineStr">
        <is>
          <t>1390705220904</t>
        </is>
      </c>
      <c r="C1160" t="inlineStr">
        <is>
          <t>PROJECT MANAGEMENT</t>
        </is>
      </c>
      <c r="D1160" t="inlineStr">
        <is>
          <t>1800109484</t>
        </is>
      </c>
      <c r="E1160" t="inlineStr">
        <is>
          <t>60</t>
        </is>
      </c>
      <c r="F1160" s="163" t="n">
        <v>45475</v>
      </c>
      <c r="G1160" t="inlineStr">
        <is>
          <t>BORR</t>
        </is>
      </c>
      <c r="H1160" t="inlineStr">
        <is>
          <t>4600003976</t>
        </is>
      </c>
      <c r="I1160" t="inlineStr">
        <is>
          <t>100</t>
        </is>
      </c>
      <c r="J1160" s="163" t="n">
        <v>45464</v>
      </c>
      <c r="K1160" s="163" t="n">
        <v>45546</v>
      </c>
      <c r="L1160" t="inlineStr">
        <is>
          <t>BORR</t>
        </is>
      </c>
      <c r="M1160" s="163" t="n">
        <v>45546</v>
      </c>
      <c r="N1160" s="164" t="n">
        <v>40</v>
      </c>
      <c r="O1160" s="164" t="n">
        <v>8</v>
      </c>
      <c r="P1160" t="inlineStr">
        <is>
          <t>Liberado</t>
        </is>
      </c>
      <c r="Q1160" s="165" t="n">
        <v>1</v>
      </c>
      <c r="R1160" s="165" t="n">
        <v>1</v>
      </c>
      <c r="S1160" s="165" t="n">
        <v>0</v>
      </c>
      <c r="T1160" s="165" t="n">
        <v>1</v>
      </c>
      <c r="U1160" s="166" t="n">
        <v>0</v>
      </c>
      <c r="V1160" s="166" t="n">
        <v>0</v>
      </c>
      <c r="W1160" t="inlineStr"/>
      <c r="X1160" t="inlineStr">
        <is>
          <t>11710.00</t>
        </is>
      </c>
      <c r="Y1160" t="inlineStr"/>
      <c r="Z1160" t="inlineStr">
        <is>
          <t>MOOG, B.V.</t>
        </is>
      </c>
      <c r="AA1160" t="inlineStr">
        <is>
          <t>MOOG</t>
        </is>
      </c>
      <c r="AB1160" t="inlineStr">
        <is>
          <t>DM-NL-SVCS-NC</t>
        </is>
      </c>
      <c r="AC1160" t="inlineStr"/>
      <c r="AD1160" s="164" t="n">
        <v>0</v>
      </c>
      <c r="AE1160" s="185" t="n">
        <v>0</v>
      </c>
      <c r="AG1160" s="167" t="inlineStr">
        <is>
          <t>7218|JA2612_1001</t>
        </is>
      </c>
      <c r="AH1160" s="47">
        <f>IF(M1160=0,"-",M1160-J1160)</f>
        <v/>
      </c>
      <c r="AI1160" s="46">
        <f>IF(AND(S1160=0,M1160&gt;0,L1160=0),IF(AH1160&gt;=120,"VERY HIGH",IF(AH1160&gt;=90,"HIGH",IF(AH1160&gt;=60,"MEDIUM",IF(AH1160&lt;60,"LOW")))),"-")</f>
        <v/>
      </c>
      <c r="AJ1160" s="12" t="n"/>
      <c r="AK1160" s="53">
        <f>IF(AND(W1160="X",M1160&lt;=$AJ$2),"YES","")</f>
        <v/>
      </c>
      <c r="AL1160" s="54">
        <f>IF(AND(W1160="X",M1160&lt;=$AJ$2),S1160,"")</f>
        <v/>
      </c>
      <c r="AM1160" s="35" t="n"/>
      <c r="AN1160" s="35">
        <f>IF(AND(W1160="X",M1160&gt;$AJ$2),S1160,"")</f>
        <v/>
      </c>
      <c r="AO1160" s="35">
        <f>IF(AND(W1160="",M1160&gt;0,$AJ$2&gt;M1160,L1160=""),1,0)</f>
        <v/>
      </c>
      <c r="AP1160" s="35">
        <f>IF(AND(AK1160="YES",W1160="X"),"X","")</f>
        <v/>
      </c>
      <c r="AQ1160" s="55">
        <f>IF(AP1160="X",100%,0%)</f>
        <v/>
      </c>
      <c r="AR1160" s="25">
        <f>IF(AND(T1160&gt;0,L1160=""),H1160,"")</f>
        <v/>
      </c>
      <c r="AS1160" s="25">
        <f>IF(AND(D1160&gt;0,H1160=0,G1160=""),1,"")</f>
        <v/>
      </c>
      <c r="AT1160" s="25">
        <f>IF(G1160="BLOQ",1,"")</f>
        <v/>
      </c>
      <c r="AU1160" s="25">
        <f>IF(L1160="BLOQ",1,"")</f>
        <v/>
      </c>
      <c r="AV1160" s="25">
        <f>MONTH(F1160)</f>
        <v/>
      </c>
      <c r="AW1160" s="65">
        <f>IF(AP1160="",100%,0%)</f>
        <v/>
      </c>
      <c r="AX1160" s="56" t="n"/>
      <c r="AY1160" s="24">
        <f>IF(M1160=0,"",M1160-$AX$2)</f>
        <v/>
      </c>
      <c r="AZ1160" s="66">
        <f>IF(AND(W1160="",AY1160&gt;0,AY1160&lt;15),1,0)</f>
        <v/>
      </c>
      <c r="BA1160" s="24">
        <f>IF(AND(W1160="",AY1160&gt;0,AY1160&lt;15),T1160,"")</f>
        <v/>
      </c>
      <c r="BB1160" s="87">
        <f>IF(R1160&lt;Q1160,"X","")</f>
        <v/>
      </c>
      <c r="BC1160" s="190" t="inlineStr">
        <is>
          <t>NO</t>
        </is>
      </c>
      <c r="BD1160" s="190" t="inlineStr">
        <is>
          <t>NO</t>
        </is>
      </c>
    </row>
    <row r="1161" ht="15" customHeight="1" s="162">
      <c r="A1161" s="7" t="n">
        <v>1160</v>
      </c>
      <c r="B1161" t="inlineStr">
        <is>
          <t>1390705220905</t>
        </is>
      </c>
      <c r="C1161" t="inlineStr">
        <is>
          <t>TRAVEL &amp; SUBS.TUNING MS</t>
        </is>
      </c>
      <c r="D1161" t="inlineStr">
        <is>
          <t>1800109484</t>
        </is>
      </c>
      <c r="E1161" t="inlineStr">
        <is>
          <t>70</t>
        </is>
      </c>
      <c r="F1161" s="163" t="n">
        <v>45475</v>
      </c>
      <c r="G1161" t="inlineStr">
        <is>
          <t>BORR</t>
        </is>
      </c>
      <c r="H1161" t="inlineStr">
        <is>
          <t>4600003976</t>
        </is>
      </c>
      <c r="I1161" t="inlineStr">
        <is>
          <t>110</t>
        </is>
      </c>
      <c r="J1161" s="163" t="n">
        <v>45464</v>
      </c>
      <c r="K1161" s="163" t="n">
        <v>45546</v>
      </c>
      <c r="L1161" t="inlineStr">
        <is>
          <t>BORR</t>
        </is>
      </c>
      <c r="M1161" s="163" t="n">
        <v>45546</v>
      </c>
      <c r="N1161" s="164" t="n">
        <v>40</v>
      </c>
      <c r="O1161" s="164" t="n">
        <v>8</v>
      </c>
      <c r="P1161" t="inlineStr">
        <is>
          <t>Liberado</t>
        </is>
      </c>
      <c r="Q1161" s="165" t="n">
        <v>1</v>
      </c>
      <c r="R1161" s="165" t="n">
        <v>1</v>
      </c>
      <c r="S1161" s="165" t="n">
        <v>0</v>
      </c>
      <c r="T1161" s="165" t="n">
        <v>1</v>
      </c>
      <c r="U1161" s="166" t="n">
        <v>0</v>
      </c>
      <c r="V1161" s="166" t="n">
        <v>0</v>
      </c>
      <c r="W1161" t="inlineStr"/>
      <c r="X1161" t="inlineStr">
        <is>
          <t>4520.00</t>
        </is>
      </c>
      <c r="Y1161" t="inlineStr"/>
      <c r="Z1161" t="inlineStr">
        <is>
          <t>MOOG, B.V.</t>
        </is>
      </c>
      <c r="AA1161" t="inlineStr">
        <is>
          <t>MOOG</t>
        </is>
      </c>
      <c r="AB1161" t="inlineStr">
        <is>
          <t>DM-NL-TRAV-SUBSIST/LINEA150</t>
        </is>
      </c>
      <c r="AC1161" t="inlineStr"/>
      <c r="AD1161" s="164" t="n">
        <v>0</v>
      </c>
      <c r="AE1161" s="185" t="n">
        <v>0</v>
      </c>
      <c r="AG1161" s="167" t="inlineStr">
        <is>
          <t>7218|JA2612_1001</t>
        </is>
      </c>
      <c r="AH1161" s="47">
        <f>IF(M1161=0,"-",M1161-J1161)</f>
        <v/>
      </c>
      <c r="AI1161" s="46">
        <f>IF(AND(S1161=0,M1161&gt;0,L1161=0),IF(AH1161&gt;=120,"VERY HIGH",IF(AH1161&gt;=90,"HIGH",IF(AH1161&gt;=60,"MEDIUM",IF(AH1161&lt;60,"LOW")))),"-")</f>
        <v/>
      </c>
      <c r="AJ1161" s="12" t="n"/>
      <c r="AK1161" s="53">
        <f>IF(AND(W1161="X",M1161&lt;=$AJ$2),"YES","")</f>
        <v/>
      </c>
      <c r="AL1161" s="54">
        <f>IF(AND(W1161="X",M1161&lt;=$AJ$2),S1161,"")</f>
        <v/>
      </c>
      <c r="AM1161" s="35" t="n"/>
      <c r="AN1161" s="35">
        <f>IF(AND(W1161="X",M1161&gt;$AJ$2),S1161,"")</f>
        <v/>
      </c>
      <c r="AO1161" s="35">
        <f>IF(AND(W1161="",M1161&gt;0,$AJ$2&gt;M1161,L1161=""),1,0)</f>
        <v/>
      </c>
      <c r="AP1161" s="35">
        <f>IF(AND(AK1161="YES",W1161="X"),"X","")</f>
        <v/>
      </c>
      <c r="AQ1161" s="55">
        <f>IF(AP1161="X",100%,0%)</f>
        <v/>
      </c>
      <c r="AR1161" s="25">
        <f>IF(AND(T1161&gt;0,L1161=""),H1161,"")</f>
        <v/>
      </c>
      <c r="AS1161" s="25">
        <f>IF(AND(D1161&gt;0,H1161=0,G1161=""),1,"")</f>
        <v/>
      </c>
      <c r="AT1161" s="25">
        <f>IF(G1161="BLOQ",1,"")</f>
        <v/>
      </c>
      <c r="AU1161" s="25">
        <f>IF(L1161="BLOQ",1,"")</f>
        <v/>
      </c>
      <c r="AV1161" s="25">
        <f>MONTH(F1161)</f>
        <v/>
      </c>
      <c r="AW1161" s="65">
        <f>IF(AP1161="",100%,0%)</f>
        <v/>
      </c>
      <c r="AX1161" s="56" t="n"/>
      <c r="AY1161" s="24">
        <f>IF(M1161=0,"",M1161-$AX$2)</f>
        <v/>
      </c>
      <c r="AZ1161" s="66">
        <f>IF(AND(W1161="",AY1161&gt;0,AY1161&lt;15),1,0)</f>
        <v/>
      </c>
      <c r="BA1161" s="24">
        <f>IF(AND(W1161="",AY1161&gt;0,AY1161&lt;15),T1161,"")</f>
        <v/>
      </c>
      <c r="BB1161" s="87">
        <f>IF(R1161&lt;Q1161,"X","")</f>
        <v/>
      </c>
      <c r="BC1161" s="190" t="inlineStr">
        <is>
          <t>NO</t>
        </is>
      </c>
      <c r="BD1161" s="190" t="inlineStr">
        <is>
          <t>NO</t>
        </is>
      </c>
    </row>
    <row r="1162" ht="15" customHeight="1" s="162">
      <c r="A1162" s="7" t="n">
        <v>1161</v>
      </c>
      <c r="B1162" t="inlineStr">
        <is>
          <t>1390705220906</t>
        </is>
      </c>
      <c r="C1162" t="inlineStr">
        <is>
          <t>TRAVEL &amp; SUBS. INSTALLATION MS</t>
        </is>
      </c>
      <c r="D1162" t="inlineStr">
        <is>
          <t>1800109484</t>
        </is>
      </c>
      <c r="E1162" t="inlineStr">
        <is>
          <t>80</t>
        </is>
      </c>
      <c r="F1162" s="163" t="n">
        <v>45475</v>
      </c>
      <c r="G1162" t="inlineStr">
        <is>
          <t>BORR</t>
        </is>
      </c>
      <c r="H1162" t="inlineStr">
        <is>
          <t>4600003976</t>
        </is>
      </c>
      <c r="I1162" t="inlineStr">
        <is>
          <t>120</t>
        </is>
      </c>
      <c r="J1162" s="163" t="n">
        <v>45464</v>
      </c>
      <c r="K1162" s="163" t="n">
        <v>45546</v>
      </c>
      <c r="L1162" t="inlineStr">
        <is>
          <t>BORR</t>
        </is>
      </c>
      <c r="M1162" s="163" t="n">
        <v>45546</v>
      </c>
      <c r="N1162" s="164" t="n">
        <v>40</v>
      </c>
      <c r="O1162" s="164" t="n">
        <v>8</v>
      </c>
      <c r="P1162" t="inlineStr">
        <is>
          <t>Liberado</t>
        </is>
      </c>
      <c r="Q1162" s="165" t="n">
        <v>1</v>
      </c>
      <c r="R1162" s="165" t="n">
        <v>1</v>
      </c>
      <c r="S1162" s="165" t="n">
        <v>0</v>
      </c>
      <c r="T1162" s="165" t="n">
        <v>1</v>
      </c>
      <c r="U1162" s="166" t="n">
        <v>0</v>
      </c>
      <c r="V1162" s="166" t="n">
        <v>0</v>
      </c>
      <c r="W1162" t="inlineStr"/>
      <c r="X1162" t="inlineStr">
        <is>
          <t>4520.00</t>
        </is>
      </c>
      <c r="Y1162" t="inlineStr"/>
      <c r="Z1162" t="inlineStr">
        <is>
          <t>MOOG, B.V.</t>
        </is>
      </c>
      <c r="AA1162" t="inlineStr">
        <is>
          <t>MOOG</t>
        </is>
      </c>
      <c r="AB1162" t="inlineStr">
        <is>
          <t>DM-NL-TRAV-SUBSIST/LINEA160</t>
        </is>
      </c>
      <c r="AC1162" t="inlineStr"/>
      <c r="AD1162" s="164" t="n">
        <v>0</v>
      </c>
      <c r="AE1162" s="185" t="n">
        <v>0</v>
      </c>
      <c r="AG1162" s="167" t="inlineStr">
        <is>
          <t>7218|JA2612_1001</t>
        </is>
      </c>
      <c r="AH1162" s="47">
        <f>IF(M1162=0,"-",M1162-J1162)</f>
        <v/>
      </c>
      <c r="AI1162" s="46">
        <f>IF(AND(S1162=0,M1162&gt;0,L1162=0),IF(AH1162&gt;=120,"VERY HIGH",IF(AH1162&gt;=90,"HIGH",IF(AH1162&gt;=60,"MEDIUM",IF(AH1162&lt;60,"LOW")))),"-")</f>
        <v/>
      </c>
      <c r="AJ1162" s="12" t="n"/>
      <c r="AK1162" s="53">
        <f>IF(AND(W1162="X",M1162&lt;=$AJ$2),"YES","")</f>
        <v/>
      </c>
      <c r="AL1162" s="54">
        <f>IF(AND(W1162="X",M1162&lt;=$AJ$2),S1162,"")</f>
        <v/>
      </c>
      <c r="AM1162" s="35" t="n"/>
      <c r="AN1162" s="35">
        <f>IF(AND(W1162="X",M1162&gt;$AJ$2),S1162,"")</f>
        <v/>
      </c>
      <c r="AO1162" s="35">
        <f>IF(AND(W1162="",M1162&gt;0,$AJ$2&gt;M1162,L1162=""),1,0)</f>
        <v/>
      </c>
      <c r="AP1162" s="35">
        <f>IF(AND(AK1162="YES",W1162="X"),"X","")</f>
        <v/>
      </c>
      <c r="AQ1162" s="55">
        <f>IF(AP1162="X",100%,0%)</f>
        <v/>
      </c>
      <c r="AR1162" s="25">
        <f>IF(AND(T1162&gt;0,L1162=""),H1162,"")</f>
        <v/>
      </c>
      <c r="AS1162" s="25">
        <f>IF(AND(D1162&gt;0,H1162=0,G1162=""),1,"")</f>
        <v/>
      </c>
      <c r="AT1162" s="25">
        <f>IF(G1162="BLOQ",1,"")</f>
        <v/>
      </c>
      <c r="AU1162" s="25">
        <f>IF(L1162="BLOQ",1,"")</f>
        <v/>
      </c>
      <c r="AV1162" s="25">
        <f>MONTH(F1162)</f>
        <v/>
      </c>
      <c r="AW1162" s="65">
        <f>IF(AP1162="",100%,0%)</f>
        <v/>
      </c>
      <c r="AX1162" s="56" t="n"/>
      <c r="AY1162" s="24">
        <f>IF(M1162=0,"",M1162-$AX$2)</f>
        <v/>
      </c>
      <c r="AZ1162" s="66">
        <f>IF(AND(W1162="",AY1162&gt;0,AY1162&lt;15),1,0)</f>
        <v/>
      </c>
      <c r="BA1162" s="24">
        <f>IF(AND(W1162="",AY1162&gt;0,AY1162&lt;15),T1162,"")</f>
        <v/>
      </c>
      <c r="BB1162" s="87">
        <f>IF(R1162&lt;Q1162,"X","")</f>
        <v/>
      </c>
      <c r="BC1162" s="190" t="inlineStr">
        <is>
          <t>NO</t>
        </is>
      </c>
      <c r="BD1162" s="190" t="inlineStr">
        <is>
          <t>NO</t>
        </is>
      </c>
    </row>
    <row r="1163" ht="15" customHeight="1" s="162">
      <c r="A1163" s="7" t="n">
        <v>1162</v>
      </c>
      <c r="B1163" t="inlineStr">
        <is>
          <t>1390705220907</t>
        </is>
      </c>
      <c r="C1163" t="inlineStr">
        <is>
          <t>TRAVEL &amp; SUBS.TUNING CLS</t>
        </is>
      </c>
      <c r="D1163" t="inlineStr">
        <is>
          <t>1800109484</t>
        </is>
      </c>
      <c r="E1163" t="inlineStr">
        <is>
          <t>90</t>
        </is>
      </c>
      <c r="F1163" s="163" t="n">
        <v>45475</v>
      </c>
      <c r="G1163" t="inlineStr">
        <is>
          <t>BORR</t>
        </is>
      </c>
      <c r="H1163" t="inlineStr">
        <is>
          <t>4600003976</t>
        </is>
      </c>
      <c r="I1163" t="inlineStr">
        <is>
          <t>130</t>
        </is>
      </c>
      <c r="J1163" s="163" t="n">
        <v>45464</v>
      </c>
      <c r="K1163" s="163" t="n">
        <v>45546</v>
      </c>
      <c r="L1163" t="inlineStr">
        <is>
          <t>BORR</t>
        </is>
      </c>
      <c r="M1163" s="163" t="n">
        <v>45546</v>
      </c>
      <c r="N1163" s="164" t="n">
        <v>40</v>
      </c>
      <c r="O1163" s="164" t="n">
        <v>8</v>
      </c>
      <c r="P1163" t="inlineStr">
        <is>
          <t>Liberado</t>
        </is>
      </c>
      <c r="Q1163" s="165" t="n">
        <v>1</v>
      </c>
      <c r="R1163" s="165" t="n">
        <v>1</v>
      </c>
      <c r="S1163" s="165" t="n">
        <v>0</v>
      </c>
      <c r="T1163" s="165" t="n">
        <v>1</v>
      </c>
      <c r="U1163" s="166" t="n">
        <v>0</v>
      </c>
      <c r="V1163" s="166" t="n">
        <v>0</v>
      </c>
      <c r="W1163" t="inlineStr"/>
      <c r="X1163" t="inlineStr">
        <is>
          <t>5890.00</t>
        </is>
      </c>
      <c r="Y1163" t="inlineStr"/>
      <c r="Z1163" t="inlineStr">
        <is>
          <t>MOOG, B.V.</t>
        </is>
      </c>
      <c r="AA1163" t="inlineStr">
        <is>
          <t>MOOG</t>
        </is>
      </c>
      <c r="AB1163" t="inlineStr">
        <is>
          <t>DM-NL-TRAV-SUBSIST/LINEA170</t>
        </is>
      </c>
      <c r="AC1163" t="inlineStr"/>
      <c r="AD1163" s="164" t="n">
        <v>0</v>
      </c>
      <c r="AE1163" s="185" t="n">
        <v>0</v>
      </c>
      <c r="AG1163" s="167" t="inlineStr">
        <is>
          <t>7218|JA2612_1001</t>
        </is>
      </c>
      <c r="AH1163" s="47">
        <f>IF(M1163=0,"-",M1163-J1163)</f>
        <v/>
      </c>
      <c r="AI1163" s="46">
        <f>IF(AND(S1163=0,M1163&gt;0,L1163=0),IF(AH1163&gt;=120,"VERY HIGH",IF(AH1163&gt;=90,"HIGH",IF(AH1163&gt;=60,"MEDIUM",IF(AH1163&lt;60,"LOW")))),"-")</f>
        <v/>
      </c>
      <c r="AJ1163" s="12" t="n"/>
      <c r="AK1163" s="53">
        <f>IF(AND(W1163="X",M1163&lt;=$AJ$2),"YES","")</f>
        <v/>
      </c>
      <c r="AL1163" s="54">
        <f>IF(AND(W1163="X",M1163&lt;=$AJ$2),S1163,"")</f>
        <v/>
      </c>
      <c r="AM1163" s="35" t="n"/>
      <c r="AN1163" s="35">
        <f>IF(AND(W1163="X",M1163&gt;$AJ$2),S1163,"")</f>
        <v/>
      </c>
      <c r="AO1163" s="35">
        <f>IF(AND(W1163="",M1163&gt;0,$AJ$2&gt;M1163,L1163=""),1,0)</f>
        <v/>
      </c>
      <c r="AP1163" s="35">
        <f>IF(AND(AK1163="YES",W1163="X"),"X","")</f>
        <v/>
      </c>
      <c r="AQ1163" s="55">
        <f>IF(AP1163="X",100%,0%)</f>
        <v/>
      </c>
      <c r="AR1163" s="25">
        <f>IF(AND(T1163&gt;0,L1163=""),H1163,"")</f>
        <v/>
      </c>
      <c r="AS1163" s="25">
        <f>IF(AND(D1163&gt;0,H1163=0,G1163=""),1,"")</f>
        <v/>
      </c>
      <c r="AT1163" s="25">
        <f>IF(G1163="BLOQ",1,"")</f>
        <v/>
      </c>
      <c r="AU1163" s="25">
        <f>IF(L1163="BLOQ",1,"")</f>
        <v/>
      </c>
      <c r="AV1163" s="25">
        <f>MONTH(F1163)</f>
        <v/>
      </c>
      <c r="AW1163" s="65">
        <f>IF(AP1163="",100%,0%)</f>
        <v/>
      </c>
      <c r="AX1163" s="56" t="n"/>
      <c r="AY1163" s="24">
        <f>IF(M1163=0,"",M1163-$AX$2)</f>
        <v/>
      </c>
      <c r="AZ1163" s="66">
        <f>IF(AND(W1163="",AY1163&gt;0,AY1163&lt;15),1,0)</f>
        <v/>
      </c>
      <c r="BA1163" s="24">
        <f>IF(AND(W1163="",AY1163&gt;0,AY1163&lt;15),T1163,"")</f>
        <v/>
      </c>
      <c r="BB1163" s="87">
        <f>IF(R1163&lt;Q1163,"X","")</f>
        <v/>
      </c>
      <c r="BC1163" s="190" t="inlineStr">
        <is>
          <t>NO</t>
        </is>
      </c>
      <c r="BD1163" s="190" t="inlineStr">
        <is>
          <t>NO</t>
        </is>
      </c>
    </row>
    <row r="1164" ht="15" customHeight="1" s="162">
      <c r="A1164" s="7" t="n">
        <v>1163</v>
      </c>
      <c r="B1164" t="inlineStr">
        <is>
          <t>1390705220200</t>
        </is>
      </c>
      <c r="C1164" t="inlineStr">
        <is>
          <t>JOINT ASSY BASE 3RD GEN</t>
        </is>
      </c>
      <c r="D1164" t="inlineStr">
        <is>
          <t>1800109516</t>
        </is>
      </c>
      <c r="E1164" t="inlineStr">
        <is>
          <t>10</t>
        </is>
      </c>
      <c r="F1164" s="163" t="n">
        <v>45475</v>
      </c>
      <c r="G1164" t="inlineStr"/>
      <c r="H1164" t="inlineStr">
        <is>
          <t>4600003976</t>
        </is>
      </c>
      <c r="I1164" t="inlineStr">
        <is>
          <t>30</t>
        </is>
      </c>
      <c r="J1164" s="163" t="n">
        <v>45464</v>
      </c>
      <c r="K1164" s="163" t="n">
        <v>45546</v>
      </c>
      <c r="L1164" t="inlineStr"/>
      <c r="M1164" s="163" t="n">
        <v>45615</v>
      </c>
      <c r="N1164" s="164" t="n">
        <v>40</v>
      </c>
      <c r="O1164" s="164" t="n">
        <v>8</v>
      </c>
      <c r="P1164" t="inlineStr">
        <is>
          <t>Liberado</t>
        </is>
      </c>
      <c r="Q1164" s="165" t="n">
        <v>1</v>
      </c>
      <c r="R1164" s="165" t="n">
        <v>3</v>
      </c>
      <c r="S1164" s="165" t="n">
        <v>3</v>
      </c>
      <c r="T1164" s="165" t="n">
        <v>0</v>
      </c>
      <c r="U1164" s="166" t="n">
        <v>3</v>
      </c>
      <c r="V1164" s="166" t="n">
        <v>0</v>
      </c>
      <c r="W1164" t="inlineStr">
        <is>
          <t>X</t>
        </is>
      </c>
      <c r="X1164" t="inlineStr">
        <is>
          <t>0.00</t>
        </is>
      </c>
      <c r="Y1164" t="inlineStr"/>
      <c r="Z1164" t="inlineStr">
        <is>
          <t>MOOG, B.V.</t>
        </is>
      </c>
      <c r="AA1164" t="inlineStr">
        <is>
          <t>MOOG</t>
        </is>
      </c>
      <c r="AB1164" t="inlineStr">
        <is>
          <t>CC81345-001</t>
        </is>
      </c>
      <c r="AC1164" t="inlineStr"/>
      <c r="AD1164" s="164" t="n">
        <v>1</v>
      </c>
      <c r="AE1164" s="185" t="n">
        <v>1</v>
      </c>
      <c r="AG1164" s="167" t="inlineStr">
        <is>
          <t>7218|JA2612_1001</t>
        </is>
      </c>
      <c r="AH1164" s="47">
        <f>IF(M1164=0,"-",M1164-J1164)</f>
        <v/>
      </c>
      <c r="AI1164" s="46">
        <f>IF(AND(S1164=0,M1164&gt;0,L1164=0),IF(AH1164&gt;=120,"VERY HIGH",IF(AH1164&gt;=90,"HIGH",IF(AH1164&gt;=60,"MEDIUM",IF(AH1164&lt;60,"LOW")))),"-")</f>
        <v/>
      </c>
      <c r="AJ1164" s="12" t="n"/>
      <c r="AK1164" s="53">
        <f>IF(AND(W1164="X",M1164&lt;=$AJ$2),"YES","")</f>
        <v/>
      </c>
      <c r="AL1164" s="54">
        <f>IF(AND(W1164="X",M1164&lt;=$AJ$2),S1164,"")</f>
        <v/>
      </c>
      <c r="AM1164" s="35" t="n"/>
      <c r="AN1164" s="35">
        <f>IF(AND(W1164="X",M1164&gt;$AJ$2),S1164,"")</f>
        <v/>
      </c>
      <c r="AO1164" s="35">
        <f>IF(AND(W1164="",M1164&gt;0,$AJ$2&gt;M1164,L1164=""),1,0)</f>
        <v/>
      </c>
      <c r="AP1164" s="35">
        <f>IF(AND(AK1164="YES",W1164="X"),"X","")</f>
        <v/>
      </c>
      <c r="AQ1164" s="55">
        <f>IF(AP1164="X",100%,0%)</f>
        <v/>
      </c>
      <c r="AR1164" s="25">
        <f>IF(AND(T1164&gt;0,L1164=""),H1164,"")</f>
        <v/>
      </c>
      <c r="AS1164" s="25">
        <f>IF(AND(D1164&gt;0,H1164=0,G1164=""),1,"")</f>
        <v/>
      </c>
      <c r="AT1164" s="25">
        <f>IF(G1164="BLOQ",1,"")</f>
        <v/>
      </c>
      <c r="AU1164" s="25">
        <f>IF(L1164="BLOQ",1,"")</f>
        <v/>
      </c>
      <c r="AV1164" s="25">
        <f>MONTH(F1164)</f>
        <v/>
      </c>
      <c r="AW1164" s="65">
        <f>IF(AP1164="",100%,0%)</f>
        <v/>
      </c>
      <c r="AX1164" s="56" t="n"/>
      <c r="AY1164" s="24">
        <f>IF(M1164=0,"",M1164-$AX$2)</f>
        <v/>
      </c>
      <c r="AZ1164" s="66">
        <f>IF(AND(W1164="",AY1164&gt;0,AY1164&lt;15),1,0)</f>
        <v/>
      </c>
      <c r="BA1164" s="24">
        <f>IF(AND(W1164="",AY1164&gt;0,AY1164&lt;15),T1164,"")</f>
        <v/>
      </c>
      <c r="BB1164" s="87">
        <f>IF(R1164&lt;Q1164,"X","")</f>
        <v/>
      </c>
      <c r="BC1164" s="190" t="inlineStr">
        <is>
          <t>NO</t>
        </is>
      </c>
      <c r="BD1164" s="190" t="inlineStr">
        <is>
          <t>NO</t>
        </is>
      </c>
    </row>
    <row r="1165" ht="15" customHeight="1" s="162">
      <c r="A1165" s="7" t="n">
        <v>1164</v>
      </c>
      <c r="B1165" t="inlineStr">
        <is>
          <t>1390705220300</t>
        </is>
      </c>
      <c r="C1165" t="inlineStr">
        <is>
          <t>TOP JOINT ASSEMBLY</t>
        </is>
      </c>
      <c r="D1165" t="inlineStr">
        <is>
          <t>1800109516</t>
        </is>
      </c>
      <c r="E1165" t="inlineStr">
        <is>
          <t>20</t>
        </is>
      </c>
      <c r="F1165" s="163" t="n">
        <v>45475</v>
      </c>
      <c r="G1165" t="inlineStr"/>
      <c r="H1165" t="inlineStr">
        <is>
          <t>4600003976</t>
        </is>
      </c>
      <c r="I1165" t="inlineStr">
        <is>
          <t>40</t>
        </is>
      </c>
      <c r="J1165" s="163" t="n">
        <v>45464</v>
      </c>
      <c r="K1165" s="163" t="n">
        <v>45546</v>
      </c>
      <c r="L1165" t="inlineStr"/>
      <c r="M1165" s="163" t="n">
        <v>45615</v>
      </c>
      <c r="N1165" s="164" t="n">
        <v>40</v>
      </c>
      <c r="O1165" s="164" t="n">
        <v>8</v>
      </c>
      <c r="P1165" t="inlineStr">
        <is>
          <t>Liberado</t>
        </is>
      </c>
      <c r="Q1165" s="165" t="n">
        <v>1</v>
      </c>
      <c r="R1165" s="165" t="n">
        <v>3</v>
      </c>
      <c r="S1165" s="165" t="n">
        <v>3</v>
      </c>
      <c r="T1165" s="165" t="n">
        <v>0</v>
      </c>
      <c r="U1165" s="166" t="n">
        <v>3</v>
      </c>
      <c r="V1165" s="166" t="n">
        <v>0</v>
      </c>
      <c r="W1165" t="inlineStr">
        <is>
          <t>X</t>
        </is>
      </c>
      <c r="X1165" t="inlineStr">
        <is>
          <t>0.00</t>
        </is>
      </c>
      <c r="Y1165" t="inlineStr"/>
      <c r="Z1165" t="inlineStr">
        <is>
          <t>MOOG, B.V.</t>
        </is>
      </c>
      <c r="AA1165" t="inlineStr">
        <is>
          <t>MOOG</t>
        </is>
      </c>
      <c r="AB1165" t="inlineStr">
        <is>
          <t>CC82004-001</t>
        </is>
      </c>
      <c r="AC1165" t="inlineStr"/>
      <c r="AD1165" s="164" t="n">
        <v>1</v>
      </c>
      <c r="AE1165" s="185" t="n">
        <v>1</v>
      </c>
      <c r="AG1165" s="167" t="inlineStr">
        <is>
          <t>7218|JA2589_1001</t>
        </is>
      </c>
      <c r="AH1165" s="47">
        <f>IF(M1165=0,"-",M1165-J1165)</f>
        <v/>
      </c>
      <c r="AI1165" s="46">
        <f>IF(AND(S1165=0,M1165&gt;0,L1165=0),IF(AH1165&gt;=120,"VERY HIGH",IF(AH1165&gt;=90,"HIGH",IF(AH1165&gt;=60,"MEDIUM",IF(AH1165&lt;60,"LOW")))),"-")</f>
        <v/>
      </c>
      <c r="AJ1165" s="12" t="n"/>
      <c r="AK1165" s="53">
        <f>IF(AND(W1165="X",M1165&lt;=$AJ$2),"YES","")</f>
        <v/>
      </c>
      <c r="AL1165" s="54">
        <f>IF(AND(W1165="X",M1165&lt;=$AJ$2),S1165,"")</f>
        <v/>
      </c>
      <c r="AM1165" s="35" t="n"/>
      <c r="AN1165" s="35">
        <f>IF(AND(W1165="X",M1165&gt;$AJ$2),S1165,"")</f>
        <v/>
      </c>
      <c r="AO1165" s="35">
        <f>IF(AND(W1165="",M1165&gt;0,$AJ$2&gt;M1165,L1165=""),1,0)</f>
        <v/>
      </c>
      <c r="AP1165" s="35">
        <f>IF(AND(AK1165="YES",W1165="X"),"X","")</f>
        <v/>
      </c>
      <c r="AQ1165" s="55">
        <f>IF(AP1165="X",100%,0%)</f>
        <v/>
      </c>
      <c r="AR1165" s="25">
        <f>IF(AND(T1165&gt;0,L1165=""),H1165,"")</f>
        <v/>
      </c>
      <c r="AS1165" s="25">
        <f>IF(AND(D1165&gt;0,H1165=0,G1165=""),1,"")</f>
        <v/>
      </c>
      <c r="AT1165" s="25">
        <f>IF(G1165="BLOQ",1,"")</f>
        <v/>
      </c>
      <c r="AU1165" s="25">
        <f>IF(L1165="BLOQ",1,"")</f>
        <v/>
      </c>
      <c r="AV1165" s="25">
        <f>MONTH(F1165)</f>
        <v/>
      </c>
      <c r="AW1165" s="65">
        <f>IF(AP1165="",100%,0%)</f>
        <v/>
      </c>
      <c r="AX1165" s="56" t="n"/>
      <c r="AY1165" s="24">
        <f>IF(M1165=0,"",M1165-$AX$2)</f>
        <v/>
      </c>
      <c r="AZ1165" s="66">
        <f>IF(AND(W1165="",AY1165&gt;0,AY1165&lt;15),1,0)</f>
        <v/>
      </c>
      <c r="BA1165" s="24">
        <f>IF(AND(W1165="",AY1165&gt;0,AY1165&lt;15),T1165,"")</f>
        <v/>
      </c>
      <c r="BB1165" s="87">
        <f>IF(R1165&lt;Q1165,"X","")</f>
        <v/>
      </c>
      <c r="BC1165" s="190" t="inlineStr">
        <is>
          <t>NO</t>
        </is>
      </c>
      <c r="BD1165" s="190" t="inlineStr">
        <is>
          <t>NO</t>
        </is>
      </c>
    </row>
    <row r="1166" ht="15" customHeight="1" s="162">
      <c r="A1166" s="7" t="n">
        <v>1165</v>
      </c>
      <c r="B1166" t="inlineStr">
        <is>
          <t>1390705220400</t>
        </is>
      </c>
      <c r="C1166" t="inlineStr">
        <is>
          <t>ACC KIT 6-DOF EM/EP GN3 LONG</t>
        </is>
      </c>
      <c r="D1166" t="inlineStr">
        <is>
          <t>1800109516</t>
        </is>
      </c>
      <c r="E1166" t="inlineStr">
        <is>
          <t>30</t>
        </is>
      </c>
      <c r="F1166" s="163" t="n">
        <v>45475</v>
      </c>
      <c r="G1166" t="inlineStr"/>
      <c r="H1166" t="inlineStr">
        <is>
          <t>4600003976</t>
        </is>
      </c>
      <c r="I1166" t="inlineStr">
        <is>
          <t>50</t>
        </is>
      </c>
      <c r="J1166" s="163" t="n">
        <v>45464</v>
      </c>
      <c r="K1166" s="163" t="n">
        <v>45546</v>
      </c>
      <c r="L1166" t="inlineStr"/>
      <c r="M1166" s="163" t="n">
        <v>45708</v>
      </c>
      <c r="N1166" s="164" t="n">
        <v>40</v>
      </c>
      <c r="O1166" s="164" t="n">
        <v>8</v>
      </c>
      <c r="P1166" t="inlineStr">
        <is>
          <t>Liberado</t>
        </is>
      </c>
      <c r="Q1166" s="165" t="n">
        <v>1</v>
      </c>
      <c r="R1166" s="165" t="n">
        <v>1</v>
      </c>
      <c r="S1166" s="165" t="n">
        <v>1</v>
      </c>
      <c r="T1166" s="165" t="n">
        <v>0</v>
      </c>
      <c r="U1166" s="166" t="n">
        <v>1</v>
      </c>
      <c r="V1166" s="166" t="n">
        <v>0</v>
      </c>
      <c r="W1166" t="inlineStr">
        <is>
          <t>X</t>
        </is>
      </c>
      <c r="X1166" t="inlineStr">
        <is>
          <t>0.00</t>
        </is>
      </c>
      <c r="Y1166" t="inlineStr"/>
      <c r="Z1166" t="inlineStr">
        <is>
          <t>MOOG, B.V.</t>
        </is>
      </c>
      <c r="AA1166" t="inlineStr">
        <is>
          <t>MOOG</t>
        </is>
      </c>
      <c r="AB1166" t="inlineStr">
        <is>
          <t>CB44562-307-1</t>
        </is>
      </c>
      <c r="AC1166" t="inlineStr"/>
      <c r="AD1166" s="164" t="n">
        <v>1</v>
      </c>
      <c r="AE1166" s="185" t="n">
        <v>1</v>
      </c>
      <c r="AG1166" s="167" t="inlineStr">
        <is>
          <t>7218|JA2589_1001</t>
        </is>
      </c>
      <c r="AH1166" s="47">
        <f>IF(M1166=0,"-",M1166-J1166)</f>
        <v/>
      </c>
      <c r="AI1166" s="46">
        <f>IF(AND(S1166=0,M1166&gt;0,L1166=0),IF(AH1166&gt;=120,"VERY HIGH",IF(AH1166&gt;=90,"HIGH",IF(AH1166&gt;=60,"MEDIUM",IF(AH1166&lt;60,"LOW")))),"-")</f>
        <v/>
      </c>
      <c r="AJ1166" s="12" t="n"/>
      <c r="AK1166" s="53">
        <f>IF(AND(W1166="X",M1166&lt;=$AJ$2),"YES","")</f>
        <v/>
      </c>
      <c r="AL1166" s="54">
        <f>IF(AND(W1166="X",M1166&lt;=$AJ$2),S1166,"")</f>
        <v/>
      </c>
      <c r="AM1166" s="35" t="n"/>
      <c r="AN1166" s="35">
        <f>IF(AND(W1166="X",M1166&gt;$AJ$2),S1166,"")</f>
        <v/>
      </c>
      <c r="AO1166" s="35">
        <f>IF(AND(W1166="",M1166&gt;0,$AJ$2&gt;M1166,L1166=""),1,0)</f>
        <v/>
      </c>
      <c r="AP1166" s="35">
        <f>IF(AND(AK1166="YES",W1166="X"),"X","")</f>
        <v/>
      </c>
      <c r="AQ1166" s="55">
        <f>IF(AP1166="X",100%,0%)</f>
        <v/>
      </c>
      <c r="AR1166" s="25">
        <f>IF(AND(T1166&gt;0,L1166=""),H1166,"")</f>
        <v/>
      </c>
      <c r="AS1166" s="25">
        <f>IF(AND(D1166&gt;0,H1166=0,G1166=""),1,"")</f>
        <v/>
      </c>
      <c r="AT1166" s="25">
        <f>IF(G1166="BLOQ",1,"")</f>
        <v/>
      </c>
      <c r="AU1166" s="25">
        <f>IF(L1166="BLOQ",1,"")</f>
        <v/>
      </c>
      <c r="AV1166" s="25">
        <f>MONTH(F1166)</f>
        <v/>
      </c>
      <c r="AW1166" s="65">
        <f>IF(AP1166="",100%,0%)</f>
        <v/>
      </c>
      <c r="AX1166" s="56" t="n"/>
      <c r="AY1166" s="24">
        <f>IF(M1166=0,"",M1166-$AX$2)</f>
        <v/>
      </c>
      <c r="AZ1166" s="66">
        <f>IF(AND(W1166="",AY1166&gt;0,AY1166&lt;15),1,0)</f>
        <v/>
      </c>
      <c r="BA1166" s="24">
        <f>IF(AND(W1166="",AY1166&gt;0,AY1166&lt;15),T1166,"")</f>
        <v/>
      </c>
      <c r="BB1166" s="87">
        <f>IF(R1166&lt;Q1166,"X","")</f>
        <v/>
      </c>
      <c r="BC1166" s="190" t="inlineStr">
        <is>
          <t>NO</t>
        </is>
      </c>
      <c r="BD1166" s="190" t="inlineStr">
        <is>
          <t>NO</t>
        </is>
      </c>
    </row>
    <row r="1167" ht="15" customHeight="1" s="162">
      <c r="A1167" s="7" t="n">
        <v>1166</v>
      </c>
      <c r="B1167" t="inlineStr">
        <is>
          <t>1128991608201</t>
        </is>
      </c>
      <c r="C1167" t="inlineStr">
        <is>
          <t>CABEZA PULSADOR D22MM EMPOTRADO AMARIL</t>
        </is>
      </c>
      <c r="D1167" t="inlineStr">
        <is>
          <t>1800110152</t>
        </is>
      </c>
      <c r="E1167" t="inlineStr">
        <is>
          <t>10</t>
        </is>
      </c>
      <c r="F1167" s="163" t="n">
        <v>45487</v>
      </c>
      <c r="G1167" t="inlineStr"/>
      <c r="H1167" t="inlineStr">
        <is>
          <t>4200572561</t>
        </is>
      </c>
      <c r="I1167" t="inlineStr">
        <is>
          <t>80</t>
        </is>
      </c>
      <c r="J1167" s="163" t="n">
        <v>45502</v>
      </c>
      <c r="K1167" s="163" t="n">
        <v>45509</v>
      </c>
      <c r="L1167" t="inlineStr">
        <is>
          <t>BORR</t>
        </is>
      </c>
      <c r="M1167" s="163" t="n">
        <v>45515</v>
      </c>
      <c r="N1167" s="164" t="n">
        <v>85</v>
      </c>
      <c r="O1167" s="164" t="n">
        <v>8</v>
      </c>
      <c r="P1167" t="inlineStr">
        <is>
          <t>Liberado</t>
        </is>
      </c>
      <c r="Q1167" s="165" t="n">
        <v>6</v>
      </c>
      <c r="R1167" s="165" t="n">
        <v>6</v>
      </c>
      <c r="S1167" s="165" t="n">
        <v>0</v>
      </c>
      <c r="T1167" s="165" t="n">
        <v>6</v>
      </c>
      <c r="U1167" s="166" t="n">
        <v>0</v>
      </c>
      <c r="V1167" s="166" t="n">
        <v>0</v>
      </c>
      <c r="W1167" t="inlineStr"/>
      <c r="X1167" t="inlineStr">
        <is>
          <t>83.52</t>
        </is>
      </c>
      <c r="Y1167" t="inlineStr"/>
      <c r="Z1167" t="inlineStr">
        <is>
          <t>LUJISA, S.A.</t>
        </is>
      </c>
      <c r="AA1167" t="inlineStr">
        <is>
          <t>SCHNEIDER ELECTRIC</t>
        </is>
      </c>
      <c r="AB1167" t="inlineStr">
        <is>
          <t>ZB4BA56</t>
        </is>
      </c>
      <c r="AC1167" t="inlineStr"/>
      <c r="AD1167" s="164" t="n">
        <v>0</v>
      </c>
      <c r="AE1167" s="185" t="n">
        <v>0</v>
      </c>
      <c r="AG1167" s="167" t="inlineStr">
        <is>
          <t>7218|JA2612_1001</t>
        </is>
      </c>
      <c r="AH1167" s="47">
        <f>IF(M1167=0,"-",M1167-J1167)</f>
        <v/>
      </c>
      <c r="AI1167" s="46">
        <f>IF(AND(S1167=0,M1167&gt;0,L1167=0),IF(AH1167&gt;=120,"VERY HIGH",IF(AH1167&gt;=90,"HIGH",IF(AH1167&gt;=60,"MEDIUM",IF(AH1167&lt;60,"LOW")))),"-")</f>
        <v/>
      </c>
      <c r="AJ1167" s="12" t="n"/>
      <c r="AK1167" s="53">
        <f>IF(AND(W1167="X",M1167&lt;=$AJ$2),"YES","")</f>
        <v/>
      </c>
      <c r="AL1167" s="54">
        <f>IF(AND(W1167="X",M1167&lt;=$AJ$2),S1167,"")</f>
        <v/>
      </c>
      <c r="AM1167" s="35" t="n"/>
      <c r="AN1167" s="35">
        <f>IF(AND(W1167="X",M1167&gt;$AJ$2),S1167,"")</f>
        <v/>
      </c>
      <c r="AO1167" s="35">
        <f>IF(AND(W1167="",M1167&gt;0,$AJ$2&gt;M1167,L1167=""),1,0)</f>
        <v/>
      </c>
      <c r="AP1167" s="35">
        <f>IF(AND(AK1167="YES",W1167="X"),"X","")</f>
        <v/>
      </c>
      <c r="AQ1167" s="55">
        <f>IF(AP1167="X",100%,0%)</f>
        <v/>
      </c>
      <c r="AR1167" s="25">
        <f>IF(AND(T1167&gt;0,L1167=""),H1167,"")</f>
        <v/>
      </c>
      <c r="AS1167" s="25">
        <f>IF(AND(D1167&gt;0,H1167=0,G1167=""),1,"")</f>
        <v/>
      </c>
      <c r="AT1167" s="25">
        <f>IF(G1167="BLOQ",1,"")</f>
        <v/>
      </c>
      <c r="AU1167" s="25">
        <f>IF(L1167="BLOQ",1,"")</f>
        <v/>
      </c>
      <c r="AV1167" s="25">
        <f>MONTH(F1167)</f>
        <v/>
      </c>
      <c r="AW1167" s="65">
        <f>IF(AP1167="",100%,0%)</f>
        <v/>
      </c>
      <c r="AX1167" s="56" t="n"/>
      <c r="AY1167" s="24">
        <f>IF(M1167=0,"",M1167-$AX$2)</f>
        <v/>
      </c>
      <c r="AZ1167" s="66">
        <f>IF(AND(W1167="",AY1167&gt;0,AY1167&lt;15),1,0)</f>
        <v/>
      </c>
      <c r="BA1167" s="24">
        <f>IF(AND(W1167="",AY1167&gt;0,AY1167&lt;15),T1167,"")</f>
        <v/>
      </c>
      <c r="BB1167" s="87">
        <f>IF(R1167&lt;Q1167,"X","")</f>
        <v/>
      </c>
      <c r="BC1167" s="190" t="inlineStr">
        <is>
          <t>NO</t>
        </is>
      </c>
      <c r="BD1167" s="191" t="inlineStr">
        <is>
          <t>SI</t>
        </is>
      </c>
    </row>
    <row r="1168" ht="15" customHeight="1" s="162">
      <c r="A1168" s="7" t="n">
        <v>1167</v>
      </c>
      <c r="B1168" t="inlineStr">
        <is>
          <t>1128991608201</t>
        </is>
      </c>
      <c r="C1168" t="inlineStr">
        <is>
          <t>CABEZA PULSADOR D22MM EMPOTRADO AMARIL</t>
        </is>
      </c>
      <c r="D1168" t="inlineStr">
        <is>
          <t>1800110152</t>
        </is>
      </c>
      <c r="E1168" t="inlineStr">
        <is>
          <t>10</t>
        </is>
      </c>
      <c r="F1168" s="163" t="n">
        <v>45487</v>
      </c>
      <c r="G1168" t="inlineStr"/>
      <c r="H1168" t="inlineStr">
        <is>
          <t>4200573511</t>
        </is>
      </c>
      <c r="I1168" t="inlineStr">
        <is>
          <t>10</t>
        </is>
      </c>
      <c r="J1168" s="163" t="n">
        <v>45509</v>
      </c>
      <c r="K1168" s="163" t="n">
        <v>45509</v>
      </c>
      <c r="L1168" t="inlineStr"/>
      <c r="M1168" s="163" t="n">
        <v>45516</v>
      </c>
      <c r="N1168" s="164" t="n">
        <v>85</v>
      </c>
      <c r="O1168" s="164" t="n">
        <v>8</v>
      </c>
      <c r="P1168" t="inlineStr">
        <is>
          <t>Liberado</t>
        </is>
      </c>
      <c r="Q1168" s="165" t="n">
        <v>6</v>
      </c>
      <c r="R1168" s="165" t="n">
        <v>6</v>
      </c>
      <c r="S1168" s="165" t="n">
        <v>6</v>
      </c>
      <c r="T1168" s="165" t="n">
        <v>0</v>
      </c>
      <c r="U1168" s="166" t="n">
        <v>6</v>
      </c>
      <c r="V1168" s="166" t="n">
        <v>0</v>
      </c>
      <c r="W1168" t="inlineStr">
        <is>
          <t>X</t>
        </is>
      </c>
      <c r="X1168" t="inlineStr">
        <is>
          <t>0.00</t>
        </is>
      </c>
      <c r="Y1168" t="inlineStr"/>
      <c r="Z1168" t="inlineStr">
        <is>
          <t>(AEMSA)ALMACENES ELECTRICOS MADRILE</t>
        </is>
      </c>
      <c r="AA1168" t="inlineStr">
        <is>
          <t>SCHNEIDER ELECTRIC</t>
        </is>
      </c>
      <c r="AB1168" t="inlineStr">
        <is>
          <t>ZB4BA56</t>
        </is>
      </c>
      <c r="AC1168" t="inlineStr"/>
      <c r="AD1168" s="164" t="n">
        <v>0</v>
      </c>
      <c r="AE1168" s="185" t="n">
        <v>0</v>
      </c>
      <c r="AG1168" s="167" t="inlineStr">
        <is>
          <t>7218|JA2612_1001</t>
        </is>
      </c>
      <c r="AH1168" s="47">
        <f>IF(M1168=0,"-",M1168-J1168)</f>
        <v/>
      </c>
      <c r="AI1168" s="46">
        <f>IF(AND(S1168=0,M1168&gt;0,L1168=0),IF(AH1168&gt;=120,"VERY HIGH",IF(AH1168&gt;=90,"HIGH",IF(AH1168&gt;=60,"MEDIUM",IF(AH1168&lt;60,"LOW")))),"-")</f>
        <v/>
      </c>
      <c r="AJ1168" s="12" t="n"/>
      <c r="AK1168" s="53">
        <f>IF(AND(W1168="X",M1168&lt;=$AJ$2),"YES","")</f>
        <v/>
      </c>
      <c r="AL1168" s="54">
        <f>IF(AND(W1168="X",M1168&lt;=$AJ$2),S1168,"")</f>
        <v/>
      </c>
      <c r="AM1168" s="35" t="n"/>
      <c r="AN1168" s="35">
        <f>IF(AND(W1168="X",M1168&gt;$AJ$2),S1168,"")</f>
        <v/>
      </c>
      <c r="AO1168" s="35">
        <f>IF(AND(W1168="",M1168&gt;0,$AJ$2&gt;M1168,L1168=""),1,0)</f>
        <v/>
      </c>
      <c r="AP1168" s="35">
        <f>IF(AND(AK1168="YES",W1168="X"),"X","")</f>
        <v/>
      </c>
      <c r="AQ1168" s="55">
        <f>IF(AP1168="X",100%,0%)</f>
        <v/>
      </c>
      <c r="AR1168" s="25">
        <f>IF(AND(T1168&gt;0,L1168=""),H1168,"")</f>
        <v/>
      </c>
      <c r="AS1168" s="25">
        <f>IF(AND(D1168&gt;0,H1168=0,G1168=""),1,"")</f>
        <v/>
      </c>
      <c r="AT1168" s="25">
        <f>IF(G1168="BLOQ",1,"")</f>
        <v/>
      </c>
      <c r="AU1168" s="25">
        <f>IF(L1168="BLOQ",1,"")</f>
        <v/>
      </c>
      <c r="AV1168" s="25">
        <f>MONTH(F1168)</f>
        <v/>
      </c>
      <c r="AW1168" s="65">
        <f>IF(AP1168="",100%,0%)</f>
        <v/>
      </c>
      <c r="AX1168" s="56" t="n"/>
      <c r="AY1168" s="24">
        <f>IF(M1168=0,"",M1168-$AX$2)</f>
        <v/>
      </c>
      <c r="AZ1168" s="66">
        <f>IF(AND(W1168="",AY1168&gt;0,AY1168&lt;15),1,0)</f>
        <v/>
      </c>
      <c r="BA1168" s="24">
        <f>IF(AND(W1168="",AY1168&gt;0,AY1168&lt;15),T1168,"")</f>
        <v/>
      </c>
      <c r="BB1168" s="87">
        <f>IF(R1168&lt;Q1168,"X","")</f>
        <v/>
      </c>
      <c r="BC1168" s="190" t="inlineStr">
        <is>
          <t>NO</t>
        </is>
      </c>
      <c r="BD1168" s="191" t="inlineStr">
        <is>
          <t>SI</t>
        </is>
      </c>
    </row>
    <row r="1169" ht="15" customHeight="1" s="162">
      <c r="A1169" s="7" t="n">
        <v>1168</v>
      </c>
      <c r="B1169" t="inlineStr">
        <is>
          <t>1530116000003</t>
        </is>
      </c>
      <c r="C1169" t="inlineStr">
        <is>
          <t>TUERCA EX. M6 DIN-934 A4-80</t>
        </is>
      </c>
      <c r="D1169" t="inlineStr">
        <is>
          <t>1800110153</t>
        </is>
      </c>
      <c r="E1169" t="inlineStr">
        <is>
          <t>10</t>
        </is>
      </c>
      <c r="F1169" s="163" t="n">
        <v>45487</v>
      </c>
      <c r="G1169" t="inlineStr"/>
      <c r="H1169" t="inlineStr">
        <is>
          <t>4200575527</t>
        </is>
      </c>
      <c r="I1169" t="inlineStr">
        <is>
          <t>60</t>
        </is>
      </c>
      <c r="J1169" s="163" t="n">
        <v>45532</v>
      </c>
      <c r="K1169" s="163" t="n">
        <v>45533</v>
      </c>
      <c r="L1169" t="inlineStr"/>
      <c r="M1169" s="163" t="n">
        <v>45546</v>
      </c>
      <c r="N1169" s="164" t="n">
        <v>90</v>
      </c>
      <c r="O1169" s="164" t="n">
        <v>8</v>
      </c>
      <c r="P1169" t="inlineStr">
        <is>
          <t>Liberado</t>
        </is>
      </c>
      <c r="Q1169" s="165" t="n">
        <v>5</v>
      </c>
      <c r="R1169" s="165" t="n">
        <v>5</v>
      </c>
      <c r="S1169" s="165" t="n">
        <v>5</v>
      </c>
      <c r="T1169" s="165" t="n">
        <v>0</v>
      </c>
      <c r="U1169" s="166" t="n">
        <v>5</v>
      </c>
      <c r="V1169" s="166" t="n">
        <v>0</v>
      </c>
      <c r="W1169" t="inlineStr">
        <is>
          <t>X</t>
        </is>
      </c>
      <c r="X1169" t="inlineStr">
        <is>
          <t>0.00</t>
        </is>
      </c>
      <c r="Y1169" t="inlineStr"/>
      <c r="Z1169" t="inlineStr">
        <is>
          <t>EUROPEAN AGENCY MENK</t>
        </is>
      </c>
      <c r="AA1169" t="inlineStr">
        <is>
          <t>DIN</t>
        </is>
      </c>
      <c r="AB1169" t="inlineStr">
        <is>
          <t>DIN934-M6-A4-80</t>
        </is>
      </c>
      <c r="AC1169" t="inlineStr"/>
      <c r="AD1169" s="164" t="n">
        <v>1</v>
      </c>
      <c r="AE1169" s="185" t="n">
        <v>1</v>
      </c>
      <c r="AG1169" s="167" t="inlineStr">
        <is>
          <t>7218|JA2578_1001</t>
        </is>
      </c>
      <c r="AH1169" s="47">
        <f>IF(M1169=0,"-",M1169-J1169)</f>
        <v/>
      </c>
      <c r="AI1169" s="46">
        <f>IF(AND(S1169=0,M1169&gt;0,L1169=0),IF(AH1169&gt;=120,"VERY HIGH",IF(AH1169&gt;=90,"HIGH",IF(AH1169&gt;=60,"MEDIUM",IF(AH1169&lt;60,"LOW")))),"-")</f>
        <v/>
      </c>
      <c r="AJ1169" s="12" t="n"/>
      <c r="AK1169" s="53">
        <f>IF(AND(W1169="X",M1169&lt;=$AJ$2),"YES","")</f>
        <v/>
      </c>
      <c r="AL1169" s="54">
        <f>IF(AND(W1169="X",M1169&lt;=$AJ$2),S1169,"")</f>
        <v/>
      </c>
      <c r="AM1169" s="35" t="n"/>
      <c r="AN1169" s="35">
        <f>IF(AND(W1169="X",M1169&gt;$AJ$2),S1169,"")</f>
        <v/>
      </c>
      <c r="AO1169" s="35">
        <f>IF(AND(W1169="",M1169&gt;0,$AJ$2&gt;M1169,L1169=""),1,0)</f>
        <v/>
      </c>
      <c r="AP1169" s="35">
        <f>IF(AND(AK1169="YES",W1169="X"),"X","")</f>
        <v/>
      </c>
      <c r="AQ1169" s="55">
        <f>IF(AP1169="X",100%,0%)</f>
        <v/>
      </c>
      <c r="AR1169" s="25">
        <f>IF(AND(T1169&gt;0,L1169=""),H1169,"")</f>
        <v/>
      </c>
      <c r="AS1169" s="25">
        <f>IF(AND(D1169&gt;0,H1169=0,G1169=""),1,"")</f>
        <v/>
      </c>
      <c r="AT1169" s="25">
        <f>IF(G1169="BLOQ",1,"")</f>
        <v/>
      </c>
      <c r="AU1169" s="25">
        <f>IF(L1169="BLOQ",1,"")</f>
        <v/>
      </c>
      <c r="AV1169" s="25">
        <f>MONTH(F1169)</f>
        <v/>
      </c>
      <c r="AW1169" s="65">
        <f>IF(AP1169="",100%,0%)</f>
        <v/>
      </c>
      <c r="AX1169" s="56" t="n"/>
      <c r="AY1169" s="24">
        <f>IF(M1169=0,"",M1169-$AX$2)</f>
        <v/>
      </c>
      <c r="AZ1169" s="66">
        <f>IF(AND(W1169="",AY1169&gt;0,AY1169&lt;15),1,0)</f>
        <v/>
      </c>
      <c r="BA1169" s="24">
        <f>IF(AND(W1169="",AY1169&gt;0,AY1169&lt;15),T1169,"")</f>
        <v/>
      </c>
      <c r="BB1169" s="87">
        <f>IF(R1169&lt;Q1169,"X","")</f>
        <v/>
      </c>
      <c r="BC1169" s="190" t="inlineStr">
        <is>
          <t>NO</t>
        </is>
      </c>
      <c r="BD1169" s="191" t="inlineStr">
        <is>
          <t>SI</t>
        </is>
      </c>
    </row>
    <row r="1170" ht="15" customHeight="1" s="162">
      <c r="A1170" s="7" t="n">
        <v>1169</v>
      </c>
      <c r="B1170" t="inlineStr">
        <is>
          <t>1212090240000</t>
        </is>
      </c>
      <c r="C1170" t="inlineStr">
        <is>
          <t>PIN CNC SUB-D H 20-24AWG (ROLLO 400UD</t>
        </is>
      </c>
      <c r="D1170" t="inlineStr">
        <is>
          <t>1800110154</t>
        </is>
      </c>
      <c r="E1170" t="inlineStr">
        <is>
          <t>10</t>
        </is>
      </c>
      <c r="F1170" s="163" t="n">
        <v>45487</v>
      </c>
      <c r="G1170" t="inlineStr"/>
      <c r="H1170" t="inlineStr">
        <is>
          <t>4200572876</t>
        </is>
      </c>
      <c r="I1170" t="inlineStr">
        <is>
          <t>470</t>
        </is>
      </c>
      <c r="J1170" s="163" t="n">
        <v>45503</v>
      </c>
      <c r="K1170" s="163" t="n">
        <v>45572</v>
      </c>
      <c r="L1170" t="inlineStr"/>
      <c r="M1170" s="163" t="n">
        <v>45520</v>
      </c>
      <c r="N1170" s="164" t="n">
        <v>30</v>
      </c>
      <c r="O1170" s="164" t="n">
        <v>8</v>
      </c>
      <c r="P1170" t="inlineStr">
        <is>
          <t>Liberado</t>
        </is>
      </c>
      <c r="Q1170" s="165" t="n">
        <v>15</v>
      </c>
      <c r="R1170" s="165" t="n">
        <v>400</v>
      </c>
      <c r="S1170" s="165" t="n">
        <v>400</v>
      </c>
      <c r="T1170" s="165" t="n">
        <v>0</v>
      </c>
      <c r="U1170" s="166" t="n">
        <v>0</v>
      </c>
      <c r="V1170" s="166" t="n">
        <v>0</v>
      </c>
      <c r="W1170" t="inlineStr">
        <is>
          <t>X</t>
        </is>
      </c>
      <c r="X1170" t="inlineStr">
        <is>
          <t>0.00</t>
        </is>
      </c>
      <c r="Y1170" t="inlineStr"/>
      <c r="Z1170" t="inlineStr">
        <is>
          <t>SUMINISTROS CONECTORES PROF.,SA.</t>
        </is>
      </c>
      <c r="AA1170" t="inlineStr">
        <is>
          <t>AMPHENOL CORP</t>
        </is>
      </c>
      <c r="AB1170" t="inlineStr">
        <is>
          <t>17RRD1F11400</t>
        </is>
      </c>
      <c r="AC1170" t="inlineStr"/>
      <c r="AD1170" s="164" t="n">
        <v>0</v>
      </c>
      <c r="AE1170" s="185" t="n">
        <v>0</v>
      </c>
      <c r="AG1170" s="167" t="inlineStr">
        <is>
          <t>7218|JA2581_1001</t>
        </is>
      </c>
      <c r="AH1170" s="47">
        <f>IF(M1170=0,"-",M1170-J1170)</f>
        <v/>
      </c>
      <c r="AI1170" s="46">
        <f>IF(AND(S1170=0,M1170&gt;0,L1170=0),IF(AH1170&gt;=120,"VERY HIGH",IF(AH1170&gt;=90,"HIGH",IF(AH1170&gt;=60,"MEDIUM",IF(AH1170&lt;60,"LOW")))),"-")</f>
        <v/>
      </c>
      <c r="AJ1170" s="12" t="n"/>
      <c r="AK1170" s="53">
        <f>IF(AND(W1170="X",M1170&lt;=$AJ$2),"YES","")</f>
        <v/>
      </c>
      <c r="AL1170" s="54">
        <f>IF(AND(W1170="X",M1170&lt;=$AJ$2),S1170,"")</f>
        <v/>
      </c>
      <c r="AM1170" s="35" t="n"/>
      <c r="AN1170" s="35">
        <f>IF(AND(W1170="X",M1170&gt;$AJ$2),S1170,"")</f>
        <v/>
      </c>
      <c r="AO1170" s="35">
        <f>IF(AND(W1170="",M1170&gt;0,$AJ$2&gt;M1170,L1170=""),1,0)</f>
        <v/>
      </c>
      <c r="AP1170" s="35">
        <f>IF(AND(AK1170="YES",W1170="X"),"X","")</f>
        <v/>
      </c>
      <c r="AQ1170" s="55">
        <f>IF(AP1170="X",100%,0%)</f>
        <v/>
      </c>
      <c r="AR1170" s="25">
        <f>IF(AND(T1170&gt;0,L1170=""),H1170,"")</f>
        <v/>
      </c>
      <c r="AS1170" s="25">
        <f>IF(AND(D1170&gt;0,H1170=0,G1170=""),1,"")</f>
        <v/>
      </c>
      <c r="AT1170" s="25">
        <f>IF(G1170="BLOQ",1,"")</f>
        <v/>
      </c>
      <c r="AU1170" s="25">
        <f>IF(L1170="BLOQ",1,"")</f>
        <v/>
      </c>
      <c r="AV1170" s="25">
        <f>MONTH(F1170)</f>
        <v/>
      </c>
      <c r="AW1170" s="65">
        <f>IF(AP1170="",100%,0%)</f>
        <v/>
      </c>
      <c r="AX1170" s="56" t="n"/>
      <c r="AY1170" s="24">
        <f>IF(M1170=0,"",M1170-$AX$2)</f>
        <v/>
      </c>
      <c r="AZ1170" s="66">
        <f>IF(AND(W1170="",AY1170&gt;0,AY1170&lt;15),1,0)</f>
        <v/>
      </c>
      <c r="BA1170" s="24">
        <f>IF(AND(W1170="",AY1170&gt;0,AY1170&lt;15),T1170,"")</f>
        <v/>
      </c>
      <c r="BB1170" s="87">
        <f>IF(R1170&lt;Q1170,"X","")</f>
        <v/>
      </c>
      <c r="BC1170" s="190" t="inlineStr">
        <is>
          <t>NO</t>
        </is>
      </c>
      <c r="BD1170" s="191" t="inlineStr">
        <is>
          <t>SI</t>
        </is>
      </c>
    </row>
    <row r="1171" ht="15" customHeight="1" s="162">
      <c r="A1171" s="7" t="n">
        <v>1170</v>
      </c>
      <c r="B1171" t="inlineStr">
        <is>
          <t>1238514160201</t>
        </is>
      </c>
      <c r="C1171" t="inlineStr">
        <is>
          <t>TERM PREAISL REDON TOR 0,25-1,6MM2 M8 NY</t>
        </is>
      </c>
      <c r="D1171" t="inlineStr">
        <is>
          <t>1800110154</t>
        </is>
      </c>
      <c r="E1171" t="inlineStr">
        <is>
          <t>20</t>
        </is>
      </c>
      <c r="F1171" s="163" t="n">
        <v>45487</v>
      </c>
      <c r="G1171" t="inlineStr"/>
      <c r="H1171" t="inlineStr">
        <is>
          <t>4200572558</t>
        </is>
      </c>
      <c r="I1171" t="inlineStr">
        <is>
          <t>10</t>
        </is>
      </c>
      <c r="J1171" s="163" t="n">
        <v>45502</v>
      </c>
      <c r="K1171" s="163" t="n">
        <v>45502</v>
      </c>
      <c r="L1171" t="inlineStr"/>
      <c r="M1171" s="163" t="n">
        <v>45520</v>
      </c>
      <c r="N1171" s="164" t="n">
        <v>110</v>
      </c>
      <c r="O1171" s="164" t="n">
        <v>8</v>
      </c>
      <c r="P1171" t="inlineStr">
        <is>
          <t>Liberado</t>
        </is>
      </c>
      <c r="Q1171" s="165" t="n">
        <v>200</v>
      </c>
      <c r="R1171" s="165" t="n">
        <v>200</v>
      </c>
      <c r="S1171" s="165" t="n">
        <v>200</v>
      </c>
      <c r="T1171" s="165" t="n">
        <v>0</v>
      </c>
      <c r="U1171" s="166" t="n">
        <v>200</v>
      </c>
      <c r="V1171" s="166" t="n">
        <v>0</v>
      </c>
      <c r="W1171" t="inlineStr">
        <is>
          <t>X</t>
        </is>
      </c>
      <c r="X1171" t="inlineStr">
        <is>
          <t>0.00</t>
        </is>
      </c>
      <c r="Y1171" t="inlineStr"/>
      <c r="Z1171" t="inlineStr">
        <is>
          <t>ICOMPPLUS ELECTRONICS S.L</t>
        </is>
      </c>
      <c r="AA1171" t="inlineStr">
        <is>
          <t>AMP INC</t>
        </is>
      </c>
      <c r="AB1171" t="inlineStr">
        <is>
          <t>320572</t>
        </is>
      </c>
      <c r="AC1171" t="inlineStr"/>
      <c r="AD1171" s="164" t="n">
        <v>0</v>
      </c>
      <c r="AE1171" s="185" t="n">
        <v>0</v>
      </c>
      <c r="AG1171" s="167" t="inlineStr">
        <is>
          <t>7218|JA2581_1001</t>
        </is>
      </c>
      <c r="AH1171" s="47">
        <f>IF(M1171=0,"-",M1171-J1171)</f>
        <v/>
      </c>
      <c r="AI1171" s="46">
        <f>IF(AND(S1171=0,M1171&gt;0,L1171=0),IF(AH1171&gt;=120,"VERY HIGH",IF(AH1171&gt;=90,"HIGH",IF(AH1171&gt;=60,"MEDIUM",IF(AH1171&lt;60,"LOW")))),"-")</f>
        <v/>
      </c>
      <c r="AJ1171" s="12" t="n"/>
      <c r="AK1171" s="53">
        <f>IF(AND(W1171="X",M1171&lt;=$AJ$2),"YES","")</f>
        <v/>
      </c>
      <c r="AL1171" s="54">
        <f>IF(AND(W1171="X",M1171&lt;=$AJ$2),S1171,"")</f>
        <v/>
      </c>
      <c r="AM1171" s="35" t="n"/>
      <c r="AN1171" s="35">
        <f>IF(AND(W1171="X",M1171&gt;$AJ$2),S1171,"")</f>
        <v/>
      </c>
      <c r="AO1171" s="35">
        <f>IF(AND(W1171="",M1171&gt;0,$AJ$2&gt;M1171,L1171=""),1,0)</f>
        <v/>
      </c>
      <c r="AP1171" s="35">
        <f>IF(AND(AK1171="YES",W1171="X"),"X","")</f>
        <v/>
      </c>
      <c r="AQ1171" s="55">
        <f>IF(AP1171="X",100%,0%)</f>
        <v/>
      </c>
      <c r="AR1171" s="25">
        <f>IF(AND(T1171&gt;0,L1171=""),H1171,"")</f>
        <v/>
      </c>
      <c r="AS1171" s="25">
        <f>IF(AND(D1171&gt;0,H1171=0,G1171=""),1,"")</f>
        <v/>
      </c>
      <c r="AT1171" s="25">
        <f>IF(G1171="BLOQ",1,"")</f>
        <v/>
      </c>
      <c r="AU1171" s="25">
        <f>IF(L1171="BLOQ",1,"")</f>
        <v/>
      </c>
      <c r="AV1171" s="25">
        <f>MONTH(F1171)</f>
        <v/>
      </c>
      <c r="AW1171" s="65">
        <f>IF(AP1171="",100%,0%)</f>
        <v/>
      </c>
      <c r="AX1171" s="56" t="n"/>
      <c r="AY1171" s="24">
        <f>IF(M1171=0,"",M1171-$AX$2)</f>
        <v/>
      </c>
      <c r="AZ1171" s="66">
        <f>IF(AND(W1171="",AY1171&gt;0,AY1171&lt;15),1,0)</f>
        <v/>
      </c>
      <c r="BA1171" s="24">
        <f>IF(AND(W1171="",AY1171&gt;0,AY1171&lt;15),T1171,"")</f>
        <v/>
      </c>
      <c r="BB1171" s="87">
        <f>IF(R1171&lt;Q1171,"X","")</f>
        <v/>
      </c>
      <c r="BC1171" s="190" t="inlineStr">
        <is>
          <t>NO</t>
        </is>
      </c>
      <c r="BD1171" s="191" t="inlineStr">
        <is>
          <t>SI</t>
        </is>
      </c>
    </row>
    <row r="1172" ht="15" customHeight="1" s="162">
      <c r="A1172" s="7" t="n">
        <v>1171</v>
      </c>
      <c r="B1172" t="inlineStr">
        <is>
          <t>1540112000001</t>
        </is>
      </c>
      <c r="C1172" t="inlineStr">
        <is>
          <t>ARA PLANA P/M3.5 INOX DIN125</t>
        </is>
      </c>
      <c r="D1172" t="inlineStr">
        <is>
          <t>1800110155</t>
        </is>
      </c>
      <c r="E1172" t="inlineStr">
        <is>
          <t>10</t>
        </is>
      </c>
      <c r="F1172" s="163" t="n">
        <v>45487</v>
      </c>
      <c r="G1172" t="inlineStr"/>
      <c r="H1172" t="inlineStr">
        <is>
          <t>4200572571</t>
        </is>
      </c>
      <c r="I1172" t="inlineStr">
        <is>
          <t>20</t>
        </is>
      </c>
      <c r="J1172" s="163" t="n">
        <v>45502</v>
      </c>
      <c r="K1172" s="163" t="n">
        <v>45666</v>
      </c>
      <c r="L1172" t="inlineStr"/>
      <c r="M1172" s="163" t="n">
        <v>45524</v>
      </c>
      <c r="N1172" s="164" t="n">
        <v>35</v>
      </c>
      <c r="O1172" s="164" t="n">
        <v>8</v>
      </c>
      <c r="P1172" t="inlineStr">
        <is>
          <t>Liberado</t>
        </is>
      </c>
      <c r="Q1172" s="165" t="n">
        <v>400</v>
      </c>
      <c r="R1172" s="165" t="n">
        <v>10000</v>
      </c>
      <c r="S1172" s="165" t="n">
        <v>10000</v>
      </c>
      <c r="T1172" s="165" t="n">
        <v>0</v>
      </c>
      <c r="U1172" s="166" t="n">
        <v>10000</v>
      </c>
      <c r="V1172" s="166" t="n">
        <v>0</v>
      </c>
      <c r="W1172" t="inlineStr">
        <is>
          <t>X</t>
        </is>
      </c>
      <c r="X1172" t="inlineStr">
        <is>
          <t>0.00</t>
        </is>
      </c>
      <c r="Y1172" t="inlineStr"/>
      <c r="Z1172" t="inlineStr">
        <is>
          <t>INOX IBERICA, S.A.</t>
        </is>
      </c>
      <c r="AA1172" t="inlineStr">
        <is>
          <t>DIN</t>
        </is>
      </c>
      <c r="AB1172" t="inlineStr">
        <is>
          <t>DIN125-A3,7-A2-70</t>
        </is>
      </c>
      <c r="AC1172" t="inlineStr"/>
      <c r="AD1172" s="164" t="n">
        <v>0</v>
      </c>
      <c r="AE1172" s="185" t="n">
        <v>0</v>
      </c>
      <c r="AG1172" s="167" t="inlineStr">
        <is>
          <t>7218|JA2583_1001</t>
        </is>
      </c>
      <c r="AH1172" s="47">
        <f>IF(M1172=0,"-",M1172-J1172)</f>
        <v/>
      </c>
      <c r="AI1172" s="46">
        <f>IF(AND(S1172=0,M1172&gt;0,L1172=0),IF(AH1172&gt;=120,"VERY HIGH",IF(AH1172&gt;=90,"HIGH",IF(AH1172&gt;=60,"MEDIUM",IF(AH1172&lt;60,"LOW")))),"-")</f>
        <v/>
      </c>
      <c r="AJ1172" s="12" t="n"/>
      <c r="AK1172" s="53">
        <f>IF(AND(W1172="X",M1172&lt;=$AJ$2),"YES","")</f>
        <v/>
      </c>
      <c r="AL1172" s="54">
        <f>IF(AND(W1172="X",M1172&lt;=$AJ$2),S1172,"")</f>
        <v/>
      </c>
      <c r="AM1172" s="35" t="n"/>
      <c r="AN1172" s="35">
        <f>IF(AND(W1172="X",M1172&gt;$AJ$2),S1172,"")</f>
        <v/>
      </c>
      <c r="AO1172" s="35">
        <f>IF(AND(W1172="",M1172&gt;0,$AJ$2&gt;M1172,L1172=""),1,0)</f>
        <v/>
      </c>
      <c r="AP1172" s="35">
        <f>IF(AND(AK1172="YES",W1172="X"),"X","")</f>
        <v/>
      </c>
      <c r="AQ1172" s="55">
        <f>IF(AP1172="X",100%,0%)</f>
        <v/>
      </c>
      <c r="AR1172" s="25">
        <f>IF(AND(T1172&gt;0,L1172=""),H1172,"")</f>
        <v/>
      </c>
      <c r="AS1172" s="25">
        <f>IF(AND(D1172&gt;0,H1172=0,G1172=""),1,"")</f>
        <v/>
      </c>
      <c r="AT1172" s="25">
        <f>IF(G1172="BLOQ",1,"")</f>
        <v/>
      </c>
      <c r="AU1172" s="25">
        <f>IF(L1172="BLOQ",1,"")</f>
        <v/>
      </c>
      <c r="AV1172" s="25">
        <f>MONTH(F1172)</f>
        <v/>
      </c>
      <c r="AW1172" s="65">
        <f>IF(AP1172="",100%,0%)</f>
        <v/>
      </c>
      <c r="AX1172" s="56" t="n"/>
      <c r="AY1172" s="24">
        <f>IF(M1172=0,"",M1172-$AX$2)</f>
        <v/>
      </c>
      <c r="AZ1172" s="66">
        <f>IF(AND(W1172="",AY1172&gt;0,AY1172&lt;15),1,0)</f>
        <v/>
      </c>
      <c r="BA1172" s="24">
        <f>IF(AND(W1172="",AY1172&gt;0,AY1172&lt;15),T1172,"")</f>
        <v/>
      </c>
      <c r="BB1172" s="87">
        <f>IF(R1172&lt;Q1172,"X","")</f>
        <v/>
      </c>
      <c r="BC1172" s="190" t="inlineStr">
        <is>
          <t>NO</t>
        </is>
      </c>
      <c r="BD1172" s="191" t="inlineStr">
        <is>
          <t>SI</t>
        </is>
      </c>
    </row>
    <row r="1173" ht="15" customHeight="1" s="162">
      <c r="A1173" s="7" t="n">
        <v>1172</v>
      </c>
      <c r="B1173" t="inlineStr">
        <is>
          <t>0917447970000</t>
        </is>
      </c>
      <c r="C1173" t="inlineStr">
        <is>
          <t>NPORT TO MASK CONTROLLERS BUNDLES</t>
        </is>
      </c>
      <c r="D1173" t="inlineStr">
        <is>
          <t>1800110156</t>
        </is>
      </c>
      <c r="E1173" t="inlineStr">
        <is>
          <t>10</t>
        </is>
      </c>
      <c r="F1173" s="163" t="n">
        <v>45487</v>
      </c>
      <c r="G1173" t="inlineStr"/>
      <c r="H1173" t="inlineStr">
        <is>
          <t>4200574237</t>
        </is>
      </c>
      <c r="I1173" t="inlineStr">
        <is>
          <t>10</t>
        </is>
      </c>
      <c r="J1173" s="163" t="n">
        <v>45516</v>
      </c>
      <c r="K1173" s="163" t="n">
        <v>45517</v>
      </c>
      <c r="L1173" t="inlineStr"/>
      <c r="M1173" s="163" t="n">
        <v>45611</v>
      </c>
      <c r="N1173" s="164" t="n">
        <v>45</v>
      </c>
      <c r="O1173" s="164" t="n">
        <v>8</v>
      </c>
      <c r="P1173" t="inlineStr">
        <is>
          <t>Liberado</t>
        </is>
      </c>
      <c r="Q1173" s="165" t="n">
        <v>3</v>
      </c>
      <c r="R1173" s="165" t="n">
        <v>3</v>
      </c>
      <c r="S1173" s="165" t="n">
        <v>3</v>
      </c>
      <c r="T1173" s="165" t="n">
        <v>0</v>
      </c>
      <c r="U1173" s="166" t="n">
        <v>3</v>
      </c>
      <c r="V1173" s="166" t="n">
        <v>0</v>
      </c>
      <c r="W1173" t="inlineStr">
        <is>
          <t>X</t>
        </is>
      </c>
      <c r="X1173" t="inlineStr">
        <is>
          <t>0.00</t>
        </is>
      </c>
      <c r="Y1173" t="inlineStr"/>
      <c r="Z1173" t="inlineStr">
        <is>
          <t>INTEGRAL DE CONEXIÓN Y MONTAJES S.L</t>
        </is>
      </c>
      <c r="AA1173" t="inlineStr">
        <is>
          <t>INDRA SISTEMAS S.A.</t>
        </is>
      </c>
      <c r="AB1173" t="inlineStr">
        <is>
          <t>0917447970000</t>
        </is>
      </c>
      <c r="AC1173" t="inlineStr"/>
      <c r="AD1173" s="164" t="n">
        <v>1</v>
      </c>
      <c r="AE1173" s="185" t="n">
        <v>1</v>
      </c>
      <c r="AG1173" s="167" t="inlineStr">
        <is>
          <t>7218|JA2578_1001</t>
        </is>
      </c>
      <c r="AH1173" s="47">
        <f>IF(M1173=0,"-",M1173-J1173)</f>
        <v/>
      </c>
      <c r="AI1173" s="46">
        <f>IF(AND(S1173=0,M1173&gt;0,L1173=0),IF(AH1173&gt;=120,"VERY HIGH",IF(AH1173&gt;=90,"HIGH",IF(AH1173&gt;=60,"MEDIUM",IF(AH1173&lt;60,"LOW")))),"-")</f>
        <v/>
      </c>
      <c r="AJ1173" s="12" t="n"/>
      <c r="AK1173" s="53">
        <f>IF(AND(W1173="X",M1173&lt;=$AJ$2),"YES","")</f>
        <v/>
      </c>
      <c r="AL1173" s="54">
        <f>IF(AND(W1173="X",M1173&lt;=$AJ$2),S1173,"")</f>
        <v/>
      </c>
      <c r="AM1173" s="35" t="n"/>
      <c r="AN1173" s="35">
        <f>IF(AND(W1173="X",M1173&gt;$AJ$2),S1173,"")</f>
        <v/>
      </c>
      <c r="AO1173" s="35">
        <f>IF(AND(W1173="",M1173&gt;0,$AJ$2&gt;M1173,L1173=""),1,0)</f>
        <v/>
      </c>
      <c r="AP1173" s="35">
        <f>IF(AND(AK1173="YES",W1173="X"),"X","")</f>
        <v/>
      </c>
      <c r="AQ1173" s="55">
        <f>IF(AP1173="X",100%,0%)</f>
        <v/>
      </c>
      <c r="AR1173" s="25">
        <f>IF(AND(T1173&gt;0,L1173=""),H1173,"")</f>
        <v/>
      </c>
      <c r="AS1173" s="25">
        <f>IF(AND(D1173&gt;0,H1173=0,G1173=""),1,"")</f>
        <v/>
      </c>
      <c r="AT1173" s="25">
        <f>IF(G1173="BLOQ",1,"")</f>
        <v/>
      </c>
      <c r="AU1173" s="25">
        <f>IF(L1173="BLOQ",1,"")</f>
        <v/>
      </c>
      <c r="AV1173" s="25">
        <f>MONTH(F1173)</f>
        <v/>
      </c>
      <c r="AW1173" s="65">
        <f>IF(AP1173="",100%,0%)</f>
        <v/>
      </c>
      <c r="AX1173" s="56" t="n"/>
      <c r="AY1173" s="24">
        <f>IF(M1173=0,"",M1173-$AX$2)</f>
        <v/>
      </c>
      <c r="AZ1173" s="66">
        <f>IF(AND(W1173="",AY1173&gt;0,AY1173&lt;15),1,0)</f>
        <v/>
      </c>
      <c r="BA1173" s="24">
        <f>IF(AND(W1173="",AY1173&gt;0,AY1173&lt;15),T1173,"")</f>
        <v/>
      </c>
      <c r="BB1173" s="87">
        <f>IF(R1173&lt;Q1173,"X","")</f>
        <v/>
      </c>
      <c r="BC1173" s="190" t="inlineStr">
        <is>
          <t>NO</t>
        </is>
      </c>
      <c r="BD1173" s="191" t="inlineStr">
        <is>
          <t>SI</t>
        </is>
      </c>
    </row>
    <row r="1174" ht="15" customHeight="1" s="162">
      <c r="A1174" s="7" t="n">
        <v>1173</v>
      </c>
      <c r="B1174" t="inlineStr">
        <is>
          <t>0917447970400</t>
        </is>
      </c>
      <c r="C1174" t="inlineStr">
        <is>
          <t>CBL PWR CONTROLADORA MASCARAS</t>
        </is>
      </c>
      <c r="D1174" t="inlineStr">
        <is>
          <t>1800110156</t>
        </is>
      </c>
      <c r="E1174" t="inlineStr">
        <is>
          <t>20</t>
        </is>
      </c>
      <c r="F1174" s="163" t="n">
        <v>45487</v>
      </c>
      <c r="G1174" t="inlineStr"/>
      <c r="H1174" t="inlineStr">
        <is>
          <t>4200574237</t>
        </is>
      </c>
      <c r="I1174" t="inlineStr">
        <is>
          <t>20</t>
        </is>
      </c>
      <c r="J1174" s="163" t="n">
        <v>45516</v>
      </c>
      <c r="K1174" s="163" t="n">
        <v>45517</v>
      </c>
      <c r="L1174" t="inlineStr"/>
      <c r="M1174" s="163" t="n">
        <v>45747</v>
      </c>
      <c r="N1174" s="164" t="n">
        <v>60</v>
      </c>
      <c r="O1174" s="164" t="n">
        <v>8</v>
      </c>
      <c r="P1174" t="inlineStr">
        <is>
          <t>Liberado</t>
        </is>
      </c>
      <c r="Q1174" s="165" t="n">
        <v>3</v>
      </c>
      <c r="R1174" s="165" t="n">
        <v>3</v>
      </c>
      <c r="S1174" s="165" t="n">
        <v>3</v>
      </c>
      <c r="T1174" s="165" t="n">
        <v>0</v>
      </c>
      <c r="U1174" s="166" t="n">
        <v>3</v>
      </c>
      <c r="V1174" s="166" t="n">
        <v>0</v>
      </c>
      <c r="W1174" t="inlineStr">
        <is>
          <t>X</t>
        </is>
      </c>
      <c r="X1174" t="inlineStr">
        <is>
          <t>0.00</t>
        </is>
      </c>
      <c r="Y1174" t="inlineStr"/>
      <c r="Z1174" t="inlineStr">
        <is>
          <t>INTEGRAL DE CONEXIÓN Y MONTAJES S.L</t>
        </is>
      </c>
      <c r="AA1174" t="inlineStr">
        <is>
          <t>INDRA SISTEMAS S.A.</t>
        </is>
      </c>
      <c r="AB1174" t="inlineStr">
        <is>
          <t>0917447970400</t>
        </is>
      </c>
      <c r="AC1174" t="inlineStr"/>
      <c r="AD1174" s="164" t="n">
        <v>5</v>
      </c>
      <c r="AE1174" s="185" t="n">
        <v>5</v>
      </c>
      <c r="AG1174" s="167" t="inlineStr">
        <is>
          <t>7218|JA2578_1001</t>
        </is>
      </c>
      <c r="AH1174" s="47">
        <f>IF(M1174=0,"-",M1174-J1174)</f>
        <v/>
      </c>
      <c r="AI1174" s="46">
        <f>IF(AND(S1174=0,M1174&gt;0,L1174=0),IF(AH1174&gt;=120,"VERY HIGH",IF(AH1174&gt;=90,"HIGH",IF(AH1174&gt;=60,"MEDIUM",IF(AH1174&lt;60,"LOW")))),"-")</f>
        <v/>
      </c>
      <c r="AJ1174" s="12" t="n"/>
      <c r="AK1174" s="53">
        <f>IF(AND(W1174="X",M1174&lt;=$AJ$2),"YES","")</f>
        <v/>
      </c>
      <c r="AL1174" s="54">
        <f>IF(AND(W1174="X",M1174&lt;=$AJ$2),S1174,"")</f>
        <v/>
      </c>
      <c r="AM1174" s="35" t="n"/>
      <c r="AN1174" s="35">
        <f>IF(AND(W1174="X",M1174&gt;$AJ$2),S1174,"")</f>
        <v/>
      </c>
      <c r="AO1174" s="35">
        <f>IF(AND(W1174="",M1174&gt;0,$AJ$2&gt;M1174,L1174=""),1,0)</f>
        <v/>
      </c>
      <c r="AP1174" s="35">
        <f>IF(AND(AK1174="YES",W1174="X"),"X","")</f>
        <v/>
      </c>
      <c r="AQ1174" s="55">
        <f>IF(AP1174="X",100%,0%)</f>
        <v/>
      </c>
      <c r="AR1174" s="25">
        <f>IF(AND(T1174&gt;0,L1174=""),H1174,"")</f>
        <v/>
      </c>
      <c r="AS1174" s="25">
        <f>IF(AND(D1174&gt;0,H1174=0,G1174=""),1,"")</f>
        <v/>
      </c>
      <c r="AT1174" s="25">
        <f>IF(G1174="BLOQ",1,"")</f>
        <v/>
      </c>
      <c r="AU1174" s="25">
        <f>IF(L1174="BLOQ",1,"")</f>
        <v/>
      </c>
      <c r="AV1174" s="25">
        <f>MONTH(F1174)</f>
        <v/>
      </c>
      <c r="AW1174" s="65">
        <f>IF(AP1174="",100%,0%)</f>
        <v/>
      </c>
      <c r="AX1174" s="56" t="n"/>
      <c r="AY1174" s="24">
        <f>IF(M1174=0,"",M1174-$AX$2)</f>
        <v/>
      </c>
      <c r="AZ1174" s="66">
        <f>IF(AND(W1174="",AY1174&gt;0,AY1174&lt;15),1,0)</f>
        <v/>
      </c>
      <c r="BA1174" s="24">
        <f>IF(AND(W1174="",AY1174&gt;0,AY1174&lt;15),T1174,"")</f>
        <v/>
      </c>
      <c r="BB1174" s="87">
        <f>IF(R1174&lt;Q1174,"X","")</f>
        <v/>
      </c>
      <c r="BC1174" s="190" t="inlineStr">
        <is>
          <t>NO</t>
        </is>
      </c>
      <c r="BD1174" s="191" t="inlineStr">
        <is>
          <t>SI</t>
        </is>
      </c>
    </row>
    <row r="1175" ht="15" customHeight="1" s="162">
      <c r="A1175" s="7" t="n">
        <v>1174</v>
      </c>
      <c r="B1175" t="inlineStr">
        <is>
          <t>3210104720300</t>
        </is>
      </c>
      <c r="C1175" t="inlineStr">
        <is>
          <t>LATIGUILLO ETHERNET UTP CAT.6 RJ45 M/M,</t>
        </is>
      </c>
      <c r="D1175" t="inlineStr">
        <is>
          <t>1800110156</t>
        </is>
      </c>
      <c r="E1175" t="inlineStr">
        <is>
          <t>70</t>
        </is>
      </c>
      <c r="F1175" s="163" t="n">
        <v>45487</v>
      </c>
      <c r="G1175" t="inlineStr"/>
      <c r="H1175" t="inlineStr">
        <is>
          <t>4200570880</t>
        </is>
      </c>
      <c r="I1175" t="inlineStr">
        <is>
          <t>50</t>
        </is>
      </c>
      <c r="J1175" s="163" t="n">
        <v>45489</v>
      </c>
      <c r="K1175" s="163" t="n">
        <v>45491</v>
      </c>
      <c r="L1175" t="inlineStr"/>
      <c r="M1175" s="163" t="n">
        <v>45504</v>
      </c>
      <c r="N1175" s="164" t="n">
        <v>30</v>
      </c>
      <c r="O1175" s="164" t="n">
        <v>8</v>
      </c>
      <c r="P1175" t="inlineStr">
        <is>
          <t>Liberado</t>
        </is>
      </c>
      <c r="Q1175" s="165" t="n">
        <v>2</v>
      </c>
      <c r="R1175" s="165" t="n">
        <v>2</v>
      </c>
      <c r="S1175" s="165" t="n">
        <v>2</v>
      </c>
      <c r="T1175" s="165" t="n">
        <v>0</v>
      </c>
      <c r="U1175" s="166" t="n">
        <v>2</v>
      </c>
      <c r="V1175" s="166" t="n">
        <v>0</v>
      </c>
      <c r="W1175" t="inlineStr">
        <is>
          <t>X</t>
        </is>
      </c>
      <c r="X1175" t="inlineStr">
        <is>
          <t>0.00</t>
        </is>
      </c>
      <c r="Y1175" t="inlineStr"/>
      <c r="Z1175" t="inlineStr">
        <is>
          <t>CUBITEL,S.L</t>
        </is>
      </c>
      <c r="AA1175" t="inlineStr">
        <is>
          <t>CUBITEL</t>
        </is>
      </c>
      <c r="AB1175" t="inlineStr">
        <is>
          <t>CBT-CAT6-10M</t>
        </is>
      </c>
      <c r="AC1175" t="inlineStr"/>
      <c r="AD1175" s="164" t="n">
        <v>0</v>
      </c>
      <c r="AE1175" s="185" t="n">
        <v>0</v>
      </c>
      <c r="AG1175" s="167" t="inlineStr">
        <is>
          <t>7218|JA2578_1001</t>
        </is>
      </c>
      <c r="AH1175" s="47">
        <f>IF(M1175=0,"-",M1175-J1175)</f>
        <v/>
      </c>
      <c r="AI1175" s="46">
        <f>IF(AND(S1175=0,M1175&gt;0,L1175=0),IF(AH1175&gt;=120,"VERY HIGH",IF(AH1175&gt;=90,"HIGH",IF(AH1175&gt;=60,"MEDIUM",IF(AH1175&lt;60,"LOW")))),"-")</f>
        <v/>
      </c>
      <c r="AJ1175" s="12" t="n"/>
      <c r="AK1175" s="53">
        <f>IF(AND(W1175="X",M1175&lt;=$AJ$2),"YES","")</f>
        <v/>
      </c>
      <c r="AL1175" s="54">
        <f>IF(AND(W1175="X",M1175&lt;=$AJ$2),S1175,"")</f>
        <v/>
      </c>
      <c r="AM1175" s="35" t="n"/>
      <c r="AN1175" s="35">
        <f>IF(AND(W1175="X",M1175&gt;$AJ$2),S1175,"")</f>
        <v/>
      </c>
      <c r="AO1175" s="35">
        <f>IF(AND(W1175="",M1175&gt;0,$AJ$2&gt;M1175,L1175=""),1,0)</f>
        <v/>
      </c>
      <c r="AP1175" s="35">
        <f>IF(AND(AK1175="YES",W1175="X"),"X","")</f>
        <v/>
      </c>
      <c r="AQ1175" s="55">
        <f>IF(AP1175="X",100%,0%)</f>
        <v/>
      </c>
      <c r="AR1175" s="25">
        <f>IF(AND(T1175&gt;0,L1175=""),H1175,"")</f>
        <v/>
      </c>
      <c r="AS1175" s="25">
        <f>IF(AND(D1175&gt;0,H1175=0,G1175=""),1,"")</f>
        <v/>
      </c>
      <c r="AT1175" s="25">
        <f>IF(G1175="BLOQ",1,"")</f>
        <v/>
      </c>
      <c r="AU1175" s="25">
        <f>IF(L1175="BLOQ",1,"")</f>
        <v/>
      </c>
      <c r="AV1175" s="25">
        <f>MONTH(F1175)</f>
        <v/>
      </c>
      <c r="AW1175" s="65">
        <f>IF(AP1175="",100%,0%)</f>
        <v/>
      </c>
      <c r="AX1175" s="56" t="n"/>
      <c r="AY1175" s="24">
        <f>IF(M1175=0,"",M1175-$AX$2)</f>
        <v/>
      </c>
      <c r="AZ1175" s="66">
        <f>IF(AND(W1175="",AY1175&gt;0,AY1175&lt;15),1,0)</f>
        <v/>
      </c>
      <c r="BA1175" s="24">
        <f>IF(AND(W1175="",AY1175&gt;0,AY1175&lt;15),T1175,"")</f>
        <v/>
      </c>
      <c r="BB1175" s="87">
        <f>IF(R1175&lt;Q1175,"X","")</f>
        <v/>
      </c>
      <c r="BC1175" s="190" t="inlineStr">
        <is>
          <t>NO</t>
        </is>
      </c>
      <c r="BD1175" s="191" t="inlineStr">
        <is>
          <t>SI</t>
        </is>
      </c>
    </row>
    <row r="1176" ht="15" customHeight="1" s="162">
      <c r="A1176" s="7" t="n">
        <v>1175</v>
      </c>
      <c r="B1176" t="inlineStr">
        <is>
          <t>3210104721600</t>
        </is>
      </c>
      <c r="C1176" t="inlineStr">
        <is>
          <t>CBL PATCHCORD ETH CAT6 UTP RJ45  8M BL</t>
        </is>
      </c>
      <c r="D1176" t="inlineStr">
        <is>
          <t>1800110156</t>
        </is>
      </c>
      <c r="E1176" t="inlineStr">
        <is>
          <t>80</t>
        </is>
      </c>
      <c r="F1176" s="163" t="n">
        <v>45487</v>
      </c>
      <c r="G1176" t="inlineStr"/>
      <c r="H1176" t="inlineStr">
        <is>
          <t>4200570880</t>
        </is>
      </c>
      <c r="I1176" t="inlineStr">
        <is>
          <t>60</t>
        </is>
      </c>
      <c r="J1176" s="163" t="n">
        <v>45489</v>
      </c>
      <c r="K1176" s="163" t="n">
        <v>45491</v>
      </c>
      <c r="L1176" t="inlineStr"/>
      <c r="M1176" s="163" t="n">
        <v>45504</v>
      </c>
      <c r="N1176" s="164" t="n">
        <v>30</v>
      </c>
      <c r="O1176" s="164" t="n">
        <v>8</v>
      </c>
      <c r="P1176" t="inlineStr">
        <is>
          <t>Liberado</t>
        </is>
      </c>
      <c r="Q1176" s="165" t="n">
        <v>3</v>
      </c>
      <c r="R1176" s="165" t="n">
        <v>3</v>
      </c>
      <c r="S1176" s="165" t="n">
        <v>3</v>
      </c>
      <c r="T1176" s="165" t="n">
        <v>0</v>
      </c>
      <c r="U1176" s="166" t="n">
        <v>3</v>
      </c>
      <c r="V1176" s="166" t="n">
        <v>0</v>
      </c>
      <c r="W1176" t="inlineStr">
        <is>
          <t>X</t>
        </is>
      </c>
      <c r="X1176" t="inlineStr">
        <is>
          <t>0.00</t>
        </is>
      </c>
      <c r="Y1176" t="inlineStr"/>
      <c r="Z1176" t="inlineStr">
        <is>
          <t>CUBITEL,S.L</t>
        </is>
      </c>
      <c r="AA1176" t="inlineStr">
        <is>
          <t>CUBITEL</t>
        </is>
      </c>
      <c r="AB1176" t="inlineStr">
        <is>
          <t>CBT-CAT6-8</t>
        </is>
      </c>
      <c r="AC1176" t="inlineStr"/>
      <c r="AD1176" s="164" t="n">
        <v>0</v>
      </c>
      <c r="AE1176" s="185" t="n">
        <v>0</v>
      </c>
      <c r="AG1176" s="167" t="inlineStr">
        <is>
          <t>7218|JA2578_1001</t>
        </is>
      </c>
      <c r="AH1176" s="47">
        <f>IF(M1176=0,"-",M1176-J1176)</f>
        <v/>
      </c>
      <c r="AI1176" s="46">
        <f>IF(AND(S1176=0,M1176&gt;0,L1176=0),IF(AH1176&gt;=120,"VERY HIGH",IF(AH1176&gt;=90,"HIGH",IF(AH1176&gt;=60,"MEDIUM",IF(AH1176&lt;60,"LOW")))),"-")</f>
        <v/>
      </c>
      <c r="AJ1176" s="12" t="n"/>
      <c r="AK1176" s="53">
        <f>IF(AND(W1176="X",M1176&lt;=$AJ$2),"YES","")</f>
        <v/>
      </c>
      <c r="AL1176" s="54">
        <f>IF(AND(W1176="X",M1176&lt;=$AJ$2),S1176,"")</f>
        <v/>
      </c>
      <c r="AM1176" s="35" t="n"/>
      <c r="AN1176" s="35">
        <f>IF(AND(W1176="X",M1176&gt;$AJ$2),S1176,"")</f>
        <v/>
      </c>
      <c r="AO1176" s="35">
        <f>IF(AND(W1176="",M1176&gt;0,$AJ$2&gt;M1176,L1176=""),1,0)</f>
        <v/>
      </c>
      <c r="AP1176" s="35">
        <f>IF(AND(AK1176="YES",W1176="X"),"X","")</f>
        <v/>
      </c>
      <c r="AQ1176" s="55">
        <f>IF(AP1176="X",100%,0%)</f>
        <v/>
      </c>
      <c r="AR1176" s="25">
        <f>IF(AND(T1176&gt;0,L1176=""),H1176,"")</f>
        <v/>
      </c>
      <c r="AS1176" s="25">
        <f>IF(AND(D1176&gt;0,H1176=0,G1176=""),1,"")</f>
        <v/>
      </c>
      <c r="AT1176" s="25">
        <f>IF(G1176="BLOQ",1,"")</f>
        <v/>
      </c>
      <c r="AU1176" s="25">
        <f>IF(L1176="BLOQ",1,"")</f>
        <v/>
      </c>
      <c r="AV1176" s="25">
        <f>MONTH(F1176)</f>
        <v/>
      </c>
      <c r="AW1176" s="65">
        <f>IF(AP1176="",100%,0%)</f>
        <v/>
      </c>
      <c r="AX1176" s="56" t="n"/>
      <c r="AY1176" s="24">
        <f>IF(M1176=0,"",M1176-$AX$2)</f>
        <v/>
      </c>
      <c r="AZ1176" s="66">
        <f>IF(AND(W1176="",AY1176&gt;0,AY1176&lt;15),1,0)</f>
        <v/>
      </c>
      <c r="BA1176" s="24">
        <f>IF(AND(W1176="",AY1176&gt;0,AY1176&lt;15),T1176,"")</f>
        <v/>
      </c>
      <c r="BB1176" s="87">
        <f>IF(R1176&lt;Q1176,"X","")</f>
        <v/>
      </c>
      <c r="BC1176" s="190" t="inlineStr">
        <is>
          <t>NO</t>
        </is>
      </c>
      <c r="BD1176" s="191" t="inlineStr">
        <is>
          <t>SI</t>
        </is>
      </c>
    </row>
    <row r="1177" ht="15" customHeight="1" s="162">
      <c r="A1177" s="7" t="n">
        <v>1176</v>
      </c>
      <c r="B1177" t="inlineStr">
        <is>
          <t>3210104722200</t>
        </is>
      </c>
      <c r="C1177" t="inlineStr">
        <is>
          <t>CBL PATCHCORD ETH CAT6 UTP RJ45 15M BL</t>
        </is>
      </c>
      <c r="D1177" t="inlineStr">
        <is>
          <t>1800110156</t>
        </is>
      </c>
      <c r="E1177" t="inlineStr">
        <is>
          <t>90</t>
        </is>
      </c>
      <c r="F1177" s="163" t="n">
        <v>45487</v>
      </c>
      <c r="G1177" t="inlineStr"/>
      <c r="H1177" t="inlineStr">
        <is>
          <t>4200570880</t>
        </is>
      </c>
      <c r="I1177" t="inlineStr">
        <is>
          <t>70</t>
        </is>
      </c>
      <c r="J1177" s="163" t="n">
        <v>45489</v>
      </c>
      <c r="K1177" s="163" t="n">
        <v>45491</v>
      </c>
      <c r="L1177" t="inlineStr"/>
      <c r="M1177" s="163" t="n">
        <v>45504</v>
      </c>
      <c r="N1177" s="164" t="n">
        <v>30</v>
      </c>
      <c r="O1177" s="164" t="n">
        <v>8</v>
      </c>
      <c r="P1177" t="inlineStr">
        <is>
          <t>Liberado</t>
        </is>
      </c>
      <c r="Q1177" s="165" t="n">
        <v>1</v>
      </c>
      <c r="R1177" s="165" t="n">
        <v>1</v>
      </c>
      <c r="S1177" s="165" t="n">
        <v>1</v>
      </c>
      <c r="T1177" s="165" t="n">
        <v>0</v>
      </c>
      <c r="U1177" s="166" t="n">
        <v>1</v>
      </c>
      <c r="V1177" s="166" t="n">
        <v>0</v>
      </c>
      <c r="W1177" t="inlineStr">
        <is>
          <t>X</t>
        </is>
      </c>
      <c r="X1177" t="inlineStr">
        <is>
          <t>0.00</t>
        </is>
      </c>
      <c r="Y1177" t="inlineStr"/>
      <c r="Z1177" t="inlineStr">
        <is>
          <t>CUBITEL,S.L</t>
        </is>
      </c>
      <c r="AA1177" t="inlineStr">
        <is>
          <t>CUBITEL</t>
        </is>
      </c>
      <c r="AB1177" t="inlineStr">
        <is>
          <t>CBT-CAT6-15</t>
        </is>
      </c>
      <c r="AC1177" t="inlineStr"/>
      <c r="AD1177" s="164" t="n">
        <v>0</v>
      </c>
      <c r="AE1177" s="185" t="n">
        <v>0</v>
      </c>
      <c r="AG1177" s="167" t="inlineStr">
        <is>
          <t>7218|JA2578_1001</t>
        </is>
      </c>
      <c r="AH1177" s="47">
        <f>IF(M1177=0,"-",M1177-J1177)</f>
        <v/>
      </c>
      <c r="AI1177" s="46">
        <f>IF(AND(S1177=0,M1177&gt;0,L1177=0),IF(AH1177&gt;=120,"VERY HIGH",IF(AH1177&gt;=90,"HIGH",IF(AH1177&gt;=60,"MEDIUM",IF(AH1177&lt;60,"LOW")))),"-")</f>
        <v/>
      </c>
      <c r="AJ1177" s="12" t="n"/>
      <c r="AK1177" s="53">
        <f>IF(AND(W1177="X",M1177&lt;=$AJ$2),"YES","")</f>
        <v/>
      </c>
      <c r="AL1177" s="54">
        <f>IF(AND(W1177="X",M1177&lt;=$AJ$2),S1177,"")</f>
        <v/>
      </c>
      <c r="AM1177" s="35" t="n"/>
      <c r="AN1177" s="35">
        <f>IF(AND(W1177="X",M1177&gt;$AJ$2),S1177,"")</f>
        <v/>
      </c>
      <c r="AO1177" s="35">
        <f>IF(AND(W1177="",M1177&gt;0,$AJ$2&gt;M1177,L1177=""),1,0)</f>
        <v/>
      </c>
      <c r="AP1177" s="35">
        <f>IF(AND(AK1177="YES",W1177="X"),"X","")</f>
        <v/>
      </c>
      <c r="AQ1177" s="55">
        <f>IF(AP1177="X",100%,0%)</f>
        <v/>
      </c>
      <c r="AR1177" s="25">
        <f>IF(AND(T1177&gt;0,L1177=""),H1177,"")</f>
        <v/>
      </c>
      <c r="AS1177" s="25">
        <f>IF(AND(D1177&gt;0,H1177=0,G1177=""),1,"")</f>
        <v/>
      </c>
      <c r="AT1177" s="25">
        <f>IF(G1177="BLOQ",1,"")</f>
        <v/>
      </c>
      <c r="AU1177" s="25">
        <f>IF(L1177="BLOQ",1,"")</f>
        <v/>
      </c>
      <c r="AV1177" s="25">
        <f>MONTH(F1177)</f>
        <v/>
      </c>
      <c r="AW1177" s="65">
        <f>IF(AP1177="",100%,0%)</f>
        <v/>
      </c>
      <c r="AX1177" s="56" t="n"/>
      <c r="AY1177" s="24">
        <f>IF(M1177=0,"",M1177-$AX$2)</f>
        <v/>
      </c>
      <c r="AZ1177" s="66">
        <f>IF(AND(W1177="",AY1177&gt;0,AY1177&lt;15),1,0)</f>
        <v/>
      </c>
      <c r="BA1177" s="24">
        <f>IF(AND(W1177="",AY1177&gt;0,AY1177&lt;15),T1177,"")</f>
        <v/>
      </c>
      <c r="BB1177" s="87">
        <f>IF(R1177&lt;Q1177,"X","")</f>
        <v/>
      </c>
      <c r="BC1177" s="190" t="inlineStr">
        <is>
          <t>NO</t>
        </is>
      </c>
      <c r="BD1177" s="191" t="inlineStr">
        <is>
          <t>SI</t>
        </is>
      </c>
    </row>
    <row r="1178" ht="15" customHeight="1" s="162">
      <c r="A1178" s="7" t="n">
        <v>1177</v>
      </c>
      <c r="B1178" t="inlineStr">
        <is>
          <t>3210104722600</t>
        </is>
      </c>
      <c r="C1178" t="inlineStr">
        <is>
          <t>CBL EQ PATCHCORD ETH RJ-45 LSZH VRD 2M</t>
        </is>
      </c>
      <c r="D1178" t="inlineStr">
        <is>
          <t>1800110156</t>
        </is>
      </c>
      <c r="E1178" t="inlineStr">
        <is>
          <t>100</t>
        </is>
      </c>
      <c r="F1178" s="163" t="n">
        <v>45487</v>
      </c>
      <c r="G1178" t="inlineStr"/>
      <c r="H1178" t="inlineStr">
        <is>
          <t>4200570880</t>
        </is>
      </c>
      <c r="I1178" t="inlineStr">
        <is>
          <t>80</t>
        </is>
      </c>
      <c r="J1178" s="163" t="n">
        <v>45489</v>
      </c>
      <c r="K1178" s="163" t="n">
        <v>45491</v>
      </c>
      <c r="L1178" t="inlineStr"/>
      <c r="M1178" s="163" t="n">
        <v>45504</v>
      </c>
      <c r="N1178" s="164" t="n">
        <v>30</v>
      </c>
      <c r="O1178" s="164" t="n">
        <v>8</v>
      </c>
      <c r="P1178" t="inlineStr">
        <is>
          <t>Liberado</t>
        </is>
      </c>
      <c r="Q1178" s="165" t="n">
        <v>1</v>
      </c>
      <c r="R1178" s="165" t="n">
        <v>1</v>
      </c>
      <c r="S1178" s="165" t="n">
        <v>1</v>
      </c>
      <c r="T1178" s="165" t="n">
        <v>0</v>
      </c>
      <c r="U1178" s="166" t="n">
        <v>1</v>
      </c>
      <c r="V1178" s="166" t="n">
        <v>0</v>
      </c>
      <c r="W1178" t="inlineStr">
        <is>
          <t>X</t>
        </is>
      </c>
      <c r="X1178" t="inlineStr">
        <is>
          <t>0.00</t>
        </is>
      </c>
      <c r="Y1178" t="inlineStr"/>
      <c r="Z1178" t="inlineStr">
        <is>
          <t>CUBITEL,S.L</t>
        </is>
      </c>
      <c r="AA1178" t="inlineStr">
        <is>
          <t>CUBITEL</t>
        </is>
      </c>
      <c r="AB1178" t="inlineStr">
        <is>
          <t>CBT-CAT6VR-2</t>
        </is>
      </c>
      <c r="AC1178" t="inlineStr"/>
      <c r="AD1178" s="164" t="n">
        <v>0</v>
      </c>
      <c r="AE1178" s="185" t="n">
        <v>0</v>
      </c>
      <c r="AG1178" s="167" t="inlineStr">
        <is>
          <t>7218|JA2578_1001</t>
        </is>
      </c>
      <c r="AH1178" s="47">
        <f>IF(M1178=0,"-",M1178-J1178)</f>
        <v/>
      </c>
      <c r="AI1178" s="46">
        <f>IF(AND(S1178=0,M1178&gt;0,L1178=0),IF(AH1178&gt;=120,"VERY HIGH",IF(AH1178&gt;=90,"HIGH",IF(AH1178&gt;=60,"MEDIUM",IF(AH1178&lt;60,"LOW")))),"-")</f>
        <v/>
      </c>
      <c r="AJ1178" s="12" t="n"/>
      <c r="AK1178" s="53">
        <f>IF(AND(W1178="X",M1178&lt;=$AJ$2),"YES","")</f>
        <v/>
      </c>
      <c r="AL1178" s="54">
        <f>IF(AND(W1178="X",M1178&lt;=$AJ$2),S1178,"")</f>
        <v/>
      </c>
      <c r="AM1178" s="35" t="n"/>
      <c r="AN1178" s="35">
        <f>IF(AND(W1178="X",M1178&gt;$AJ$2),S1178,"")</f>
        <v/>
      </c>
      <c r="AO1178" s="35">
        <f>IF(AND(W1178="",M1178&gt;0,$AJ$2&gt;M1178,L1178=""),1,0)</f>
        <v/>
      </c>
      <c r="AP1178" s="35">
        <f>IF(AND(AK1178="YES",W1178="X"),"X","")</f>
        <v/>
      </c>
      <c r="AQ1178" s="55">
        <f>IF(AP1178="X",100%,0%)</f>
        <v/>
      </c>
      <c r="AR1178" s="25">
        <f>IF(AND(T1178&gt;0,L1178=""),H1178,"")</f>
        <v/>
      </c>
      <c r="AS1178" s="25">
        <f>IF(AND(D1178&gt;0,H1178=0,G1178=""),1,"")</f>
        <v/>
      </c>
      <c r="AT1178" s="25">
        <f>IF(G1178="BLOQ",1,"")</f>
        <v/>
      </c>
      <c r="AU1178" s="25">
        <f>IF(L1178="BLOQ",1,"")</f>
        <v/>
      </c>
      <c r="AV1178" s="25">
        <f>MONTH(F1178)</f>
        <v/>
      </c>
      <c r="AW1178" s="65">
        <f>IF(AP1178="",100%,0%)</f>
        <v/>
      </c>
      <c r="AX1178" s="56" t="n"/>
      <c r="AY1178" s="24">
        <f>IF(M1178=0,"",M1178-$AX$2)</f>
        <v/>
      </c>
      <c r="AZ1178" s="66">
        <f>IF(AND(W1178="",AY1178&gt;0,AY1178&lt;15),1,0)</f>
        <v/>
      </c>
      <c r="BA1178" s="24">
        <f>IF(AND(W1178="",AY1178&gt;0,AY1178&lt;15),T1178,"")</f>
        <v/>
      </c>
      <c r="BB1178" s="87">
        <f>IF(R1178&lt;Q1178,"X","")</f>
        <v/>
      </c>
      <c r="BC1178" s="190" t="inlineStr">
        <is>
          <t>NO</t>
        </is>
      </c>
      <c r="BD1178" s="191" t="inlineStr">
        <is>
          <t>SI</t>
        </is>
      </c>
    </row>
    <row r="1179" ht="15" customHeight="1" s="162">
      <c r="A1179" s="7" t="n">
        <v>1178</v>
      </c>
      <c r="B1179" t="inlineStr">
        <is>
          <t>3210104723400</t>
        </is>
      </c>
      <c r="C1179" t="inlineStr">
        <is>
          <t>CBL EQ PATCHCORD CAT7 RJ45 AMP LSZH 50M</t>
        </is>
      </c>
      <c r="D1179" t="inlineStr">
        <is>
          <t>1800110156</t>
        </is>
      </c>
      <c r="E1179" t="inlineStr">
        <is>
          <t>110</t>
        </is>
      </c>
      <c r="F1179" s="163" t="n">
        <v>45487</v>
      </c>
      <c r="G1179" t="inlineStr"/>
      <c r="H1179" t="inlineStr">
        <is>
          <t>4200570880</t>
        </is>
      </c>
      <c r="I1179" t="inlineStr">
        <is>
          <t>90</t>
        </is>
      </c>
      <c r="J1179" s="163" t="n">
        <v>45489</v>
      </c>
      <c r="K1179" s="163" t="n">
        <v>45491</v>
      </c>
      <c r="L1179" t="inlineStr"/>
      <c r="M1179" s="163" t="n">
        <v>45504</v>
      </c>
      <c r="N1179" s="164" t="n">
        <v>30</v>
      </c>
      <c r="O1179" s="164" t="n">
        <v>8</v>
      </c>
      <c r="P1179" t="inlineStr">
        <is>
          <t>Liberado</t>
        </is>
      </c>
      <c r="Q1179" s="165" t="n">
        <v>5</v>
      </c>
      <c r="R1179" s="165" t="n">
        <v>5</v>
      </c>
      <c r="S1179" s="165" t="n">
        <v>5</v>
      </c>
      <c r="T1179" s="165" t="n">
        <v>0</v>
      </c>
      <c r="U1179" s="166" t="n">
        <v>5</v>
      </c>
      <c r="V1179" s="166" t="n">
        <v>0</v>
      </c>
      <c r="W1179" t="inlineStr">
        <is>
          <t>X</t>
        </is>
      </c>
      <c r="X1179" t="inlineStr">
        <is>
          <t>0.00</t>
        </is>
      </c>
      <c r="Y1179" t="inlineStr"/>
      <c r="Z1179" t="inlineStr">
        <is>
          <t>CUBITEL,S.L</t>
        </is>
      </c>
      <c r="AA1179" t="inlineStr">
        <is>
          <t>CUBITEL</t>
        </is>
      </c>
      <c r="AB1179" t="inlineStr">
        <is>
          <t>CBT-CAT7F-50</t>
        </is>
      </c>
      <c r="AC1179" t="inlineStr"/>
      <c r="AD1179" s="164" t="n">
        <v>0</v>
      </c>
      <c r="AE1179" s="185" t="n">
        <v>0</v>
      </c>
      <c r="AG1179" s="167" t="inlineStr">
        <is>
          <t>7218|JA2578_1001</t>
        </is>
      </c>
      <c r="AH1179" s="47">
        <f>IF(M1179=0,"-",M1179-J1179)</f>
        <v/>
      </c>
      <c r="AI1179" s="46">
        <f>IF(AND(S1179=0,M1179&gt;0,L1179=0),IF(AH1179&gt;=120,"VERY HIGH",IF(AH1179&gt;=90,"HIGH",IF(AH1179&gt;=60,"MEDIUM",IF(AH1179&lt;60,"LOW")))),"-")</f>
        <v/>
      </c>
      <c r="AJ1179" s="12" t="n"/>
      <c r="AK1179" s="53">
        <f>IF(AND(W1179="X",M1179&lt;=$AJ$2),"YES","")</f>
        <v/>
      </c>
      <c r="AL1179" s="54">
        <f>IF(AND(W1179="X",M1179&lt;=$AJ$2),S1179,"")</f>
        <v/>
      </c>
      <c r="AM1179" s="35" t="n"/>
      <c r="AN1179" s="35">
        <f>IF(AND(W1179="X",M1179&gt;$AJ$2),S1179,"")</f>
        <v/>
      </c>
      <c r="AO1179" s="35">
        <f>IF(AND(W1179="",M1179&gt;0,$AJ$2&gt;M1179,L1179=""),1,0)</f>
        <v/>
      </c>
      <c r="AP1179" s="35">
        <f>IF(AND(AK1179="YES",W1179="X"),"X","")</f>
        <v/>
      </c>
      <c r="AQ1179" s="55">
        <f>IF(AP1179="X",100%,0%)</f>
        <v/>
      </c>
      <c r="AR1179" s="25">
        <f>IF(AND(T1179&gt;0,L1179=""),H1179,"")</f>
        <v/>
      </c>
      <c r="AS1179" s="25">
        <f>IF(AND(D1179&gt;0,H1179=0,G1179=""),1,"")</f>
        <v/>
      </c>
      <c r="AT1179" s="25">
        <f>IF(G1179="BLOQ",1,"")</f>
        <v/>
      </c>
      <c r="AU1179" s="25">
        <f>IF(L1179="BLOQ",1,"")</f>
        <v/>
      </c>
      <c r="AV1179" s="25">
        <f>MONTH(F1179)</f>
        <v/>
      </c>
      <c r="AW1179" s="65">
        <f>IF(AP1179="",100%,0%)</f>
        <v/>
      </c>
      <c r="AX1179" s="56" t="n"/>
      <c r="AY1179" s="24">
        <f>IF(M1179=0,"",M1179-$AX$2)</f>
        <v/>
      </c>
      <c r="AZ1179" s="66">
        <f>IF(AND(W1179="",AY1179&gt;0,AY1179&lt;15),1,0)</f>
        <v/>
      </c>
      <c r="BA1179" s="24">
        <f>IF(AND(W1179="",AY1179&gt;0,AY1179&lt;15),T1179,"")</f>
        <v/>
      </c>
      <c r="BB1179" s="87">
        <f>IF(R1179&lt;Q1179,"X","")</f>
        <v/>
      </c>
      <c r="BC1179" s="190" t="inlineStr">
        <is>
          <t>NO</t>
        </is>
      </c>
      <c r="BD1179" s="191" t="inlineStr">
        <is>
          <t>SI</t>
        </is>
      </c>
    </row>
    <row r="1180" ht="15" customHeight="1" s="162">
      <c r="A1180" s="7" t="n">
        <v>1179</v>
      </c>
      <c r="B1180" t="inlineStr">
        <is>
          <t>1229500260611</t>
        </is>
      </c>
      <c r="C1180" t="inlineStr">
        <is>
          <t>CBL EQ ETH 2XRJ45/M CAT6A LSZH AZL L0.5M</t>
        </is>
      </c>
      <c r="D1180" t="inlineStr">
        <is>
          <t>1800110200</t>
        </is>
      </c>
      <c r="E1180" t="inlineStr">
        <is>
          <t>50</t>
        </is>
      </c>
      <c r="F1180" s="163" t="n">
        <v>45488</v>
      </c>
      <c r="G1180" t="inlineStr"/>
      <c r="H1180" t="inlineStr">
        <is>
          <t>4200572679</t>
        </is>
      </c>
      <c r="I1180" t="inlineStr">
        <is>
          <t>60</t>
        </is>
      </c>
      <c r="J1180" s="163" t="n">
        <v>45502</v>
      </c>
      <c r="K1180" s="163" t="n">
        <v>45709</v>
      </c>
      <c r="L1180" t="inlineStr"/>
      <c r="M1180" s="163" t="n">
        <v>45518</v>
      </c>
      <c r="N1180" s="164" t="n">
        <v>105</v>
      </c>
      <c r="O1180" s="164" t="n">
        <v>8</v>
      </c>
      <c r="P1180" t="inlineStr">
        <is>
          <t>Liberado</t>
        </is>
      </c>
      <c r="Q1180" s="165" t="n">
        <v>1</v>
      </c>
      <c r="R1180" s="165" t="n">
        <v>1</v>
      </c>
      <c r="S1180" s="165" t="n">
        <v>1</v>
      </c>
      <c r="T1180" s="165" t="n">
        <v>0</v>
      </c>
      <c r="U1180" s="166" t="n">
        <v>1</v>
      </c>
      <c r="V1180" s="166" t="n">
        <v>0</v>
      </c>
      <c r="W1180" t="inlineStr">
        <is>
          <t>X</t>
        </is>
      </c>
      <c r="X1180" t="inlineStr">
        <is>
          <t>0.00</t>
        </is>
      </c>
      <c r="Y1180" t="inlineStr"/>
      <c r="Z1180" t="inlineStr">
        <is>
          <t>TELKRON, S.A.</t>
        </is>
      </c>
      <c r="AA1180" t="inlineStr">
        <is>
          <t>RS PRO</t>
        </is>
      </c>
      <c r="AB1180" t="inlineStr">
        <is>
          <t>778-5149</t>
        </is>
      </c>
      <c r="AC1180" t="inlineStr"/>
      <c r="AD1180" s="164" t="n">
        <v>0</v>
      </c>
      <c r="AE1180" s="185" t="n">
        <v>0</v>
      </c>
      <c r="AG1180" s="167" t="inlineStr">
        <is>
          <t>7218|JA2578_1001</t>
        </is>
      </c>
      <c r="AH1180" s="47">
        <f>IF(M1180=0,"-",M1180-J1180)</f>
        <v/>
      </c>
      <c r="AI1180" s="46">
        <f>IF(AND(S1180=0,M1180&gt;0,L1180=0),IF(AH1180&gt;=120,"VERY HIGH",IF(AH1180&gt;=90,"HIGH",IF(AH1180&gt;=60,"MEDIUM",IF(AH1180&lt;60,"LOW")))),"-")</f>
        <v/>
      </c>
      <c r="AJ1180" s="12" t="n"/>
      <c r="AK1180" s="53">
        <f>IF(AND(W1180="X",M1180&lt;=$AJ$2),"YES","")</f>
        <v/>
      </c>
      <c r="AL1180" s="54">
        <f>IF(AND(W1180="X",M1180&lt;=$AJ$2),S1180,"")</f>
        <v/>
      </c>
      <c r="AM1180" s="35" t="n"/>
      <c r="AN1180" s="35">
        <f>IF(AND(W1180="X",M1180&gt;$AJ$2),S1180,"")</f>
        <v/>
      </c>
      <c r="AO1180" s="35">
        <f>IF(AND(W1180="",M1180&gt;0,$AJ$2&gt;M1180,L1180=""),1,0)</f>
        <v/>
      </c>
      <c r="AP1180" s="35">
        <f>IF(AND(AK1180="YES",W1180="X"),"X","")</f>
        <v/>
      </c>
      <c r="AQ1180" s="55">
        <f>IF(AP1180="X",100%,0%)</f>
        <v/>
      </c>
      <c r="AR1180" s="25">
        <f>IF(AND(T1180&gt;0,L1180=""),H1180,"")</f>
        <v/>
      </c>
      <c r="AS1180" s="25">
        <f>IF(AND(D1180&gt;0,H1180=0,G1180=""),1,"")</f>
        <v/>
      </c>
      <c r="AT1180" s="25">
        <f>IF(G1180="BLOQ",1,"")</f>
        <v/>
      </c>
      <c r="AU1180" s="25">
        <f>IF(L1180="BLOQ",1,"")</f>
        <v/>
      </c>
      <c r="AV1180" s="25">
        <f>MONTH(F1180)</f>
        <v/>
      </c>
      <c r="AW1180" s="65">
        <f>IF(AP1180="",100%,0%)</f>
        <v/>
      </c>
      <c r="AX1180" s="56" t="n"/>
      <c r="AY1180" s="24">
        <f>IF(M1180=0,"",M1180-$AX$2)</f>
        <v/>
      </c>
      <c r="AZ1180" s="66">
        <f>IF(AND(W1180="",AY1180&gt;0,AY1180&lt;15),1,0)</f>
        <v/>
      </c>
      <c r="BA1180" s="24">
        <f>IF(AND(W1180="",AY1180&gt;0,AY1180&lt;15),T1180,"")</f>
        <v/>
      </c>
      <c r="BB1180" s="87">
        <f>IF(R1180&lt;Q1180,"X","")</f>
        <v/>
      </c>
      <c r="BC1180" s="190" t="inlineStr">
        <is>
          <t>NO</t>
        </is>
      </c>
      <c r="BD1180" s="191" t="inlineStr">
        <is>
          <t>SI</t>
        </is>
      </c>
    </row>
    <row r="1181" ht="15" customHeight="1" s="162">
      <c r="A1181" s="7" t="n">
        <v>1180</v>
      </c>
      <c r="B1181" t="inlineStr">
        <is>
          <t>1289900000001</t>
        </is>
      </c>
      <c r="C1181" t="inlineStr">
        <is>
          <t>SENSOR ULTRASONICO EEPROM 18-30VCC 50MA</t>
        </is>
      </c>
      <c r="D1181" t="inlineStr">
        <is>
          <t>1800110200</t>
        </is>
      </c>
      <c r="E1181" t="inlineStr">
        <is>
          <t>90</t>
        </is>
      </c>
      <c r="F1181" s="163" t="n">
        <v>45488</v>
      </c>
      <c r="G1181" t="inlineStr"/>
      <c r="H1181" t="inlineStr">
        <is>
          <t>4200575347</t>
        </is>
      </c>
      <c r="I1181" t="inlineStr">
        <is>
          <t>40</t>
        </is>
      </c>
      <c r="J1181" s="163" t="n">
        <v>45531</v>
      </c>
      <c r="K1181" s="163" t="n">
        <v>45532</v>
      </c>
      <c r="L1181" t="inlineStr"/>
      <c r="M1181" s="163" t="n">
        <v>45548</v>
      </c>
      <c r="N1181" s="164" t="n">
        <v>70</v>
      </c>
      <c r="O1181" s="164" t="n">
        <v>8</v>
      </c>
      <c r="P1181" t="inlineStr">
        <is>
          <t>Liberado</t>
        </is>
      </c>
      <c r="Q1181" s="165" t="n">
        <v>1</v>
      </c>
      <c r="R1181" s="165" t="n">
        <v>1</v>
      </c>
      <c r="S1181" s="165" t="n">
        <v>1</v>
      </c>
      <c r="T1181" s="165" t="n">
        <v>0</v>
      </c>
      <c r="U1181" s="166" t="n">
        <v>1</v>
      </c>
      <c r="V1181" s="166" t="n">
        <v>0</v>
      </c>
      <c r="W1181" t="inlineStr">
        <is>
          <t>X</t>
        </is>
      </c>
      <c r="X1181" t="inlineStr">
        <is>
          <t>0.00</t>
        </is>
      </c>
      <c r="Y1181" t="inlineStr"/>
      <c r="Z1181" t="inlineStr">
        <is>
          <t>INFORSHOP, S.L.</t>
        </is>
      </c>
      <c r="AA1181" t="inlineStr">
        <is>
          <t>PEPPERL+FUCHS</t>
        </is>
      </c>
      <c r="AB1181" t="inlineStr">
        <is>
          <t>UC400-F77-IU-IO-V31</t>
        </is>
      </c>
      <c r="AC1181" t="inlineStr"/>
      <c r="AD1181" s="164" t="n">
        <v>1</v>
      </c>
      <c r="AE1181" s="185" t="n">
        <v>0</v>
      </c>
      <c r="AG1181" s="167" t="inlineStr">
        <is>
          <t>7218|JA2578_1001</t>
        </is>
      </c>
      <c r="AH1181" s="47">
        <f>IF(M1181=0,"-",M1181-J1181)</f>
        <v/>
      </c>
      <c r="AI1181" s="46">
        <f>IF(AND(S1181=0,M1181&gt;0,L1181=0),IF(AH1181&gt;=120,"VERY HIGH",IF(AH1181&gt;=90,"HIGH",IF(AH1181&gt;=60,"MEDIUM",IF(AH1181&lt;60,"LOW")))),"-")</f>
        <v/>
      </c>
      <c r="AJ1181" s="12" t="n"/>
      <c r="AK1181" s="53">
        <f>IF(AND(W1181="X",M1181&lt;=$AJ$2),"YES","")</f>
        <v/>
      </c>
      <c r="AL1181" s="54">
        <f>IF(AND(W1181="X",M1181&lt;=$AJ$2),S1181,"")</f>
        <v/>
      </c>
      <c r="AM1181" s="35" t="n"/>
      <c r="AN1181" s="35">
        <f>IF(AND(W1181="X",M1181&gt;$AJ$2),S1181,"")</f>
        <v/>
      </c>
      <c r="AO1181" s="35">
        <f>IF(AND(W1181="",M1181&gt;0,$AJ$2&gt;M1181,L1181=""),1,0)</f>
        <v/>
      </c>
      <c r="AP1181" s="35">
        <f>IF(AND(AK1181="YES",W1181="X"),"X","")</f>
        <v/>
      </c>
      <c r="AQ1181" s="55">
        <f>IF(AP1181="X",100%,0%)</f>
        <v/>
      </c>
      <c r="AR1181" s="25">
        <f>IF(AND(T1181&gt;0,L1181=""),H1181,"")</f>
        <v/>
      </c>
      <c r="AS1181" s="25">
        <f>IF(AND(D1181&gt;0,H1181=0,G1181=""),1,"")</f>
        <v/>
      </c>
      <c r="AT1181" s="25">
        <f>IF(G1181="BLOQ",1,"")</f>
        <v/>
      </c>
      <c r="AU1181" s="25">
        <f>IF(L1181="BLOQ",1,"")</f>
        <v/>
      </c>
      <c r="AV1181" s="25">
        <f>MONTH(F1181)</f>
        <v/>
      </c>
      <c r="AW1181" s="65">
        <f>IF(AP1181="",100%,0%)</f>
        <v/>
      </c>
      <c r="AX1181" s="56" t="n"/>
      <c r="AY1181" s="24">
        <f>IF(M1181=0,"",M1181-$AX$2)</f>
        <v/>
      </c>
      <c r="AZ1181" s="66">
        <f>IF(AND(W1181="",AY1181&gt;0,AY1181&lt;15),1,0)</f>
        <v/>
      </c>
      <c r="BA1181" s="24">
        <f>IF(AND(W1181="",AY1181&gt;0,AY1181&lt;15),T1181,"")</f>
        <v/>
      </c>
      <c r="BB1181" s="87">
        <f>IF(R1181&lt;Q1181,"X","")</f>
        <v/>
      </c>
      <c r="BC1181" s="191" t="inlineStr">
        <is>
          <t>SI</t>
        </is>
      </c>
      <c r="BD1181" s="191" t="inlineStr">
        <is>
          <t>SI</t>
        </is>
      </c>
    </row>
    <row r="1182" ht="15" customHeight="1" s="162">
      <c r="A1182" s="7" t="n">
        <v>1181</v>
      </c>
      <c r="B1182" t="inlineStr">
        <is>
          <t>1263511005000</t>
        </is>
      </c>
      <c r="C1182" t="inlineStr">
        <is>
          <t>F.A. CONM 120-375VAC/24V 21A 504W ROHS</t>
        </is>
      </c>
      <c r="D1182" t="inlineStr">
        <is>
          <t>1800110201</t>
        </is>
      </c>
      <c r="E1182" t="inlineStr">
        <is>
          <t>70</t>
        </is>
      </c>
      <c r="F1182" s="163" t="n">
        <v>45488</v>
      </c>
      <c r="G1182" t="inlineStr"/>
      <c r="H1182" t="inlineStr">
        <is>
          <t>4200571192</t>
        </is>
      </c>
      <c r="I1182" t="inlineStr">
        <is>
          <t>10</t>
        </is>
      </c>
      <c r="J1182" s="163" t="n">
        <v>45491</v>
      </c>
      <c r="K1182" s="163" t="n">
        <v>45494</v>
      </c>
      <c r="L1182" t="inlineStr"/>
      <c r="M1182" s="163" t="n">
        <v>45518</v>
      </c>
      <c r="N1182" s="164" t="n">
        <v>40</v>
      </c>
      <c r="O1182" s="164" t="n">
        <v>8</v>
      </c>
      <c r="P1182" t="inlineStr">
        <is>
          <t>Liberado</t>
        </is>
      </c>
      <c r="Q1182" s="165" t="n">
        <v>3</v>
      </c>
      <c r="R1182" s="165" t="n">
        <v>2</v>
      </c>
      <c r="S1182" s="165" t="n">
        <v>2</v>
      </c>
      <c r="T1182" s="165" t="n">
        <v>0</v>
      </c>
      <c r="U1182" s="166" t="n">
        <v>2</v>
      </c>
      <c r="V1182" s="166" t="n">
        <v>0</v>
      </c>
      <c r="W1182" t="inlineStr">
        <is>
          <t>X</t>
        </is>
      </c>
      <c r="X1182" t="inlineStr">
        <is>
          <t>0.00</t>
        </is>
      </c>
      <c r="Y1182" t="inlineStr"/>
      <c r="Z1182" t="inlineStr">
        <is>
          <t>ICOMPPLUS ELECTRONICS S.L</t>
        </is>
      </c>
      <c r="AA1182" t="inlineStr">
        <is>
          <t>TDK-LAMBDA CORP</t>
        </is>
      </c>
      <c r="AB1182" t="inlineStr">
        <is>
          <t>GWS500-24</t>
        </is>
      </c>
      <c r="AC1182" t="inlineStr">
        <is>
          <t>X</t>
        </is>
      </c>
      <c r="AD1182" s="164" t="n">
        <v>0</v>
      </c>
      <c r="AE1182" s="185" t="n">
        <v>0</v>
      </c>
      <c r="AG1182" s="167" t="inlineStr">
        <is>
          <t>7218|JA2578_1001</t>
        </is>
      </c>
      <c r="AH1182" s="47">
        <f>IF(M1182=0,"-",M1182-J1182)</f>
        <v/>
      </c>
      <c r="AI1182" s="46">
        <f>IF(AND(S1182=0,M1182&gt;0,L1182=0),IF(AH1182&gt;=120,"VERY HIGH",IF(AH1182&gt;=90,"HIGH",IF(AH1182&gt;=60,"MEDIUM",IF(AH1182&lt;60,"LOW")))),"-")</f>
        <v/>
      </c>
      <c r="AJ1182" s="12" t="n"/>
      <c r="AK1182" s="53">
        <f>IF(AND(W1182="X",M1182&lt;=$AJ$2),"YES","")</f>
        <v/>
      </c>
      <c r="AL1182" s="54">
        <f>IF(AND(W1182="X",M1182&lt;=$AJ$2),S1182,"")</f>
        <v/>
      </c>
      <c r="AM1182" s="35" t="n"/>
      <c r="AN1182" s="35">
        <f>IF(AND(W1182="X",M1182&gt;$AJ$2),S1182,"")</f>
        <v/>
      </c>
      <c r="AO1182" s="35">
        <f>IF(AND(W1182="",M1182&gt;0,$AJ$2&gt;M1182,L1182=""),1,0)</f>
        <v/>
      </c>
      <c r="AP1182" s="35">
        <f>IF(AND(AK1182="YES",W1182="X"),"X","")</f>
        <v/>
      </c>
      <c r="AQ1182" s="55">
        <f>IF(AP1182="X",100%,0%)</f>
        <v/>
      </c>
      <c r="AR1182" s="25">
        <f>IF(AND(T1182&gt;0,L1182=""),H1182,"")</f>
        <v/>
      </c>
      <c r="AS1182" s="25">
        <f>IF(AND(D1182&gt;0,H1182=0,G1182=""),1,"")</f>
        <v/>
      </c>
      <c r="AT1182" s="25">
        <f>IF(G1182="BLOQ",1,"")</f>
        <v/>
      </c>
      <c r="AU1182" s="25">
        <f>IF(L1182="BLOQ",1,"")</f>
        <v/>
      </c>
      <c r="AV1182" s="25">
        <f>MONTH(F1182)</f>
        <v/>
      </c>
      <c r="AW1182" s="65">
        <f>IF(AP1182="",100%,0%)</f>
        <v/>
      </c>
      <c r="AX1182" s="56" t="n"/>
      <c r="AY1182" s="24">
        <f>IF(M1182=0,"",M1182-$AX$2)</f>
        <v/>
      </c>
      <c r="AZ1182" s="66">
        <f>IF(AND(W1182="",AY1182&gt;0,AY1182&lt;15),1,0)</f>
        <v/>
      </c>
      <c r="BA1182" s="24">
        <f>IF(AND(W1182="",AY1182&gt;0,AY1182&lt;15),T1182,"")</f>
        <v/>
      </c>
      <c r="BB1182" s="87">
        <f>IF(R1182&lt;Q1182,"X","")</f>
        <v/>
      </c>
      <c r="BC1182" s="190" t="inlineStr">
        <is>
          <t>NO</t>
        </is>
      </c>
      <c r="BD1182" s="191" t="inlineStr">
        <is>
          <t>SI</t>
        </is>
      </c>
    </row>
    <row r="1183" ht="15" customHeight="1" s="162">
      <c r="A1183" s="7" t="n">
        <v>1182</v>
      </c>
      <c r="B1183" t="inlineStr">
        <is>
          <t>1246001770100</t>
        </is>
      </c>
      <c r="C1183" t="inlineStr">
        <is>
          <t>VENT CENTRIFUGO MULTIETAP 240V 1PH 00069</t>
        </is>
      </c>
      <c r="D1183" t="inlineStr">
        <is>
          <t>1800110416</t>
        </is>
      </c>
      <c r="E1183" t="inlineStr">
        <is>
          <t>10</t>
        </is>
      </c>
      <c r="F1183" s="163" t="n">
        <v>45490</v>
      </c>
      <c r="G1183" t="inlineStr"/>
      <c r="H1183" t="inlineStr">
        <is>
          <t>4200571243</t>
        </is>
      </c>
      <c r="I1183" t="inlineStr">
        <is>
          <t>10</t>
        </is>
      </c>
      <c r="J1183" s="163" t="n">
        <v>45491</v>
      </c>
      <c r="K1183" s="163" t="n">
        <v>45494</v>
      </c>
      <c r="L1183" t="inlineStr"/>
      <c r="M1183" s="163" t="n">
        <v>45534</v>
      </c>
      <c r="N1183" s="164" t="n">
        <v>40</v>
      </c>
      <c r="O1183" s="164" t="n">
        <v>8</v>
      </c>
      <c r="P1183" t="inlineStr">
        <is>
          <t>Liberado</t>
        </is>
      </c>
      <c r="Q1183" s="165" t="n">
        <v>1</v>
      </c>
      <c r="R1183" s="165" t="n">
        <v>1</v>
      </c>
      <c r="S1183" s="165" t="n">
        <v>1</v>
      </c>
      <c r="T1183" s="165" t="n">
        <v>0</v>
      </c>
      <c r="U1183" s="166" t="n">
        <v>0</v>
      </c>
      <c r="V1183" s="166" t="n">
        <v>0</v>
      </c>
      <c r="W1183" t="inlineStr">
        <is>
          <t>X</t>
        </is>
      </c>
      <c r="X1183" t="inlineStr">
        <is>
          <t>0.00</t>
        </is>
      </c>
      <c r="Y1183" t="inlineStr"/>
      <c r="Z1183" t="inlineStr">
        <is>
          <t>REBOUND ELECTRONICS (UK) LTD</t>
        </is>
      </c>
      <c r="AA1183" t="inlineStr">
        <is>
          <t>AIR CONTROL INDUSTRI</t>
        </is>
      </c>
      <c r="AB1183" t="inlineStr">
        <is>
          <t>2MS8-00069</t>
        </is>
      </c>
      <c r="AC1183" t="inlineStr"/>
      <c r="AD1183" s="164" t="n">
        <v>0</v>
      </c>
      <c r="AE1183" s="185" t="n">
        <v>0</v>
      </c>
      <c r="AG1183" s="167" t="inlineStr">
        <is>
          <t>7218|JA2578_1001</t>
        </is>
      </c>
      <c r="AH1183" s="47">
        <f>IF(M1183=0,"-",M1183-J1183)</f>
        <v/>
      </c>
      <c r="AI1183" s="46">
        <f>IF(AND(S1183=0,M1183&gt;0,L1183=0),IF(AH1183&gt;=120,"VERY HIGH",IF(AH1183&gt;=90,"HIGH",IF(AH1183&gt;=60,"MEDIUM",IF(AH1183&lt;60,"LOW")))),"-")</f>
        <v/>
      </c>
      <c r="AJ1183" s="12" t="n"/>
      <c r="AK1183" s="53">
        <f>IF(AND(W1183="X",M1183&lt;=$AJ$2),"YES","")</f>
        <v/>
      </c>
      <c r="AL1183" s="54">
        <f>IF(AND(W1183="X",M1183&lt;=$AJ$2),S1183,"")</f>
        <v/>
      </c>
      <c r="AM1183" s="35" t="n"/>
      <c r="AN1183" s="35">
        <f>IF(AND(W1183="X",M1183&gt;$AJ$2),S1183,"")</f>
        <v/>
      </c>
      <c r="AO1183" s="35">
        <f>IF(AND(W1183="",M1183&gt;0,$AJ$2&gt;M1183,L1183=""),1,0)</f>
        <v/>
      </c>
      <c r="AP1183" s="35">
        <f>IF(AND(AK1183="YES",W1183="X"),"X","")</f>
        <v/>
      </c>
      <c r="AQ1183" s="55">
        <f>IF(AP1183="X",100%,0%)</f>
        <v/>
      </c>
      <c r="AR1183" s="25">
        <f>IF(AND(T1183&gt;0,L1183=""),H1183,"")</f>
        <v/>
      </c>
      <c r="AS1183" s="25">
        <f>IF(AND(D1183&gt;0,H1183=0,G1183=""),1,"")</f>
        <v/>
      </c>
      <c r="AT1183" s="25">
        <f>IF(G1183="BLOQ",1,"")</f>
        <v/>
      </c>
      <c r="AU1183" s="25">
        <f>IF(L1183="BLOQ",1,"")</f>
        <v/>
      </c>
      <c r="AV1183" s="25">
        <f>MONTH(F1183)</f>
        <v/>
      </c>
      <c r="AW1183" s="65">
        <f>IF(AP1183="",100%,0%)</f>
        <v/>
      </c>
      <c r="AX1183" s="56" t="n"/>
      <c r="AY1183" s="24">
        <f>IF(M1183=0,"",M1183-$AX$2)</f>
        <v/>
      </c>
      <c r="AZ1183" s="66">
        <f>IF(AND(W1183="",AY1183&gt;0,AY1183&lt;15),1,0)</f>
        <v/>
      </c>
      <c r="BA1183" s="24">
        <f>IF(AND(W1183="",AY1183&gt;0,AY1183&lt;15),T1183,"")</f>
        <v/>
      </c>
      <c r="BB1183" s="87">
        <f>IF(R1183&lt;Q1183,"X","")</f>
        <v/>
      </c>
      <c r="BC1183" s="190" t="inlineStr">
        <is>
          <t>NO</t>
        </is>
      </c>
      <c r="BD1183" s="190" t="inlineStr">
        <is>
          <t>NO</t>
        </is>
      </c>
    </row>
    <row r="1184" ht="15" customHeight="1" s="162">
      <c r="A1184" s="7" t="n">
        <v>1183</v>
      </c>
      <c r="B1184" t="inlineStr">
        <is>
          <t>1000234703030</t>
        </is>
      </c>
      <c r="C1184" t="inlineStr">
        <is>
          <t>RST PELMET 470R00  5% 1/4W 100PPM 0207</t>
        </is>
      </c>
      <c r="D1184" t="inlineStr">
        <is>
          <t>1800110417</t>
        </is>
      </c>
      <c r="E1184" t="inlineStr">
        <is>
          <t>10</t>
        </is>
      </c>
      <c r="F1184" s="163" t="n">
        <v>45490</v>
      </c>
      <c r="G1184" t="inlineStr"/>
      <c r="H1184" t="inlineStr">
        <is>
          <t>4200584478</t>
        </is>
      </c>
      <c r="I1184" t="inlineStr">
        <is>
          <t>10</t>
        </is>
      </c>
      <c r="J1184" s="163" t="n">
        <v>45602</v>
      </c>
      <c r="K1184" s="163" t="n">
        <v>45603</v>
      </c>
      <c r="L1184" t="inlineStr"/>
      <c r="M1184" s="163" t="n">
        <v>45614</v>
      </c>
      <c r="N1184" s="164" t="n">
        <v>30</v>
      </c>
      <c r="O1184" s="164" t="n">
        <v>8</v>
      </c>
      <c r="P1184" t="inlineStr">
        <is>
          <t>Liberado</t>
        </is>
      </c>
      <c r="Q1184" s="165" t="n">
        <v>10</v>
      </c>
      <c r="R1184" s="165" t="n">
        <v>10</v>
      </c>
      <c r="S1184" s="165" t="n">
        <v>10</v>
      </c>
      <c r="T1184" s="165" t="n">
        <v>0</v>
      </c>
      <c r="U1184" s="166" t="n">
        <v>10</v>
      </c>
      <c r="V1184" s="166" t="n">
        <v>0</v>
      </c>
      <c r="W1184" t="inlineStr">
        <is>
          <t>X</t>
        </is>
      </c>
      <c r="X1184" t="inlineStr">
        <is>
          <t>0.00</t>
        </is>
      </c>
      <c r="Y1184" t="inlineStr"/>
      <c r="Z1184" t="inlineStr">
        <is>
          <t>TCX MICRO, S.L.U</t>
        </is>
      </c>
      <c r="AA1184" t="inlineStr">
        <is>
          <t>MILITARY SPECS.</t>
        </is>
      </c>
      <c r="AB1184" t="inlineStr">
        <is>
          <t>RLR07C4700JR</t>
        </is>
      </c>
      <c r="AC1184" t="inlineStr"/>
      <c r="AD1184" s="164" t="n">
        <v>0</v>
      </c>
      <c r="AE1184" s="185" t="n">
        <v>0</v>
      </c>
      <c r="AG1184" s="167" t="inlineStr">
        <is>
          <t>7218|JA2581_1001</t>
        </is>
      </c>
      <c r="AH1184" s="47">
        <f>IF(M1184=0,"-",M1184-J1184)</f>
        <v/>
      </c>
      <c r="AI1184" s="46">
        <f>IF(AND(S1184=0,M1184&gt;0,L1184=0),IF(AH1184&gt;=120,"VERY HIGH",IF(AH1184&gt;=90,"HIGH",IF(AH1184&gt;=60,"MEDIUM",IF(AH1184&lt;60,"LOW")))),"-")</f>
        <v/>
      </c>
      <c r="AJ1184" s="12" t="n"/>
      <c r="AK1184" s="53">
        <f>IF(AND(W1184="X",M1184&lt;=$AJ$2),"YES","")</f>
        <v/>
      </c>
      <c r="AL1184" s="54">
        <f>IF(AND(W1184="X",M1184&lt;=$AJ$2),S1184,"")</f>
        <v/>
      </c>
      <c r="AM1184" s="35" t="n"/>
      <c r="AN1184" s="35">
        <f>IF(AND(W1184="X",M1184&gt;$AJ$2),S1184,"")</f>
        <v/>
      </c>
      <c r="AO1184" s="35">
        <f>IF(AND(W1184="",M1184&gt;0,$AJ$2&gt;M1184,L1184=""),1,0)</f>
        <v/>
      </c>
      <c r="AP1184" s="35">
        <f>IF(AND(AK1184="YES",W1184="X"),"X","")</f>
        <v/>
      </c>
      <c r="AQ1184" s="55">
        <f>IF(AP1184="X",100%,0%)</f>
        <v/>
      </c>
      <c r="AR1184" s="25">
        <f>IF(AND(T1184&gt;0,L1184=""),H1184,"")</f>
        <v/>
      </c>
      <c r="AS1184" s="25">
        <f>IF(AND(D1184&gt;0,H1184=0,G1184=""),1,"")</f>
        <v/>
      </c>
      <c r="AT1184" s="25">
        <f>IF(G1184="BLOQ",1,"")</f>
        <v/>
      </c>
      <c r="AU1184" s="25">
        <f>IF(L1184="BLOQ",1,"")</f>
        <v/>
      </c>
      <c r="AV1184" s="25">
        <f>MONTH(F1184)</f>
        <v/>
      </c>
      <c r="AW1184" s="65">
        <f>IF(AP1184="",100%,0%)</f>
        <v/>
      </c>
      <c r="AX1184" s="56" t="n"/>
      <c r="AY1184" s="24">
        <f>IF(M1184=0,"",M1184-$AX$2)</f>
        <v/>
      </c>
      <c r="AZ1184" s="66">
        <f>IF(AND(W1184="",AY1184&gt;0,AY1184&lt;15),1,0)</f>
        <v/>
      </c>
      <c r="BA1184" s="24">
        <f>IF(AND(W1184="",AY1184&gt;0,AY1184&lt;15),T1184,"")</f>
        <v/>
      </c>
      <c r="BB1184" s="87">
        <f>IF(R1184&lt;Q1184,"X","")</f>
        <v/>
      </c>
      <c r="BC1184" s="190" t="inlineStr">
        <is>
          <t>NO</t>
        </is>
      </c>
      <c r="BD1184" s="191" t="inlineStr">
        <is>
          <t>SI</t>
        </is>
      </c>
    </row>
    <row r="1185" ht="15" customHeight="1" s="162">
      <c r="A1185" s="7" t="n">
        <v>1184</v>
      </c>
      <c r="B1185" t="inlineStr">
        <is>
          <t>1000245621010</t>
        </is>
      </c>
      <c r="C1185" t="inlineStr">
        <is>
          <t>RST PELMET 5K62  1%  1/4W RLR07C5621F</t>
        </is>
      </c>
      <c r="D1185" t="inlineStr">
        <is>
          <t>1800110417</t>
        </is>
      </c>
      <c r="E1185" t="inlineStr">
        <is>
          <t>20</t>
        </is>
      </c>
      <c r="F1185" s="163" t="n">
        <v>45490</v>
      </c>
      <c r="G1185" t="inlineStr"/>
      <c r="H1185" t="inlineStr">
        <is>
          <t>4200580493</t>
        </is>
      </c>
      <c r="I1185" t="inlineStr">
        <is>
          <t>670</t>
        </is>
      </c>
      <c r="J1185" s="163" t="n">
        <v>45574</v>
      </c>
      <c r="K1185" s="163" t="n">
        <v>45574</v>
      </c>
      <c r="L1185" t="inlineStr"/>
      <c r="M1185" s="163" t="n">
        <v>45595</v>
      </c>
      <c r="N1185" s="164" t="n">
        <v>50</v>
      </c>
      <c r="O1185" s="164" t="n">
        <v>0</v>
      </c>
      <c r="P1185" t="inlineStr">
        <is>
          <t>Liberado</t>
        </is>
      </c>
      <c r="Q1185" s="165" t="n">
        <v>10</v>
      </c>
      <c r="R1185" s="165" t="n">
        <v>10</v>
      </c>
      <c r="S1185" s="165" t="n">
        <v>10</v>
      </c>
      <c r="T1185" s="165" t="n">
        <v>0</v>
      </c>
      <c r="U1185" s="166" t="n">
        <v>10</v>
      </c>
      <c r="V1185" s="166" t="n">
        <v>0</v>
      </c>
      <c r="W1185" t="inlineStr">
        <is>
          <t>X</t>
        </is>
      </c>
      <c r="X1185" t="inlineStr">
        <is>
          <t>0.00</t>
        </is>
      </c>
      <c r="Y1185" t="inlineStr"/>
      <c r="Z1185" t="inlineStr">
        <is>
          <t>TCX MICRO, S.L.U</t>
        </is>
      </c>
      <c r="AA1185" t="inlineStr">
        <is>
          <t>MILITARY SPECS.</t>
        </is>
      </c>
      <c r="AB1185" t="inlineStr">
        <is>
          <t>RLR07C5621F</t>
        </is>
      </c>
      <c r="AC1185" t="inlineStr"/>
      <c r="AD1185" s="164" t="n">
        <v>0</v>
      </c>
      <c r="AE1185" s="185" t="n">
        <v>0</v>
      </c>
      <c r="AG1185" s="167" t="inlineStr">
        <is>
          <t>7218|JA2581_1001</t>
        </is>
      </c>
      <c r="AH1185" s="47">
        <f>IF(M1185=0,"-",M1185-J1185)</f>
        <v/>
      </c>
      <c r="AI1185" s="46">
        <f>IF(AND(S1185=0,M1185&gt;0,L1185=0),IF(AH1185&gt;=120,"VERY HIGH",IF(AH1185&gt;=90,"HIGH",IF(AH1185&gt;=60,"MEDIUM",IF(AH1185&lt;60,"LOW")))),"-")</f>
        <v/>
      </c>
      <c r="AJ1185" s="12" t="n"/>
      <c r="AK1185" s="53">
        <f>IF(AND(W1185="X",M1185&lt;=$AJ$2),"YES","")</f>
        <v/>
      </c>
      <c r="AL1185" s="54">
        <f>IF(AND(W1185="X",M1185&lt;=$AJ$2),S1185,"")</f>
        <v/>
      </c>
      <c r="AM1185" s="35" t="n"/>
      <c r="AN1185" s="35">
        <f>IF(AND(W1185="X",M1185&gt;$AJ$2),S1185,"")</f>
        <v/>
      </c>
      <c r="AO1185" s="35">
        <f>IF(AND(W1185="",M1185&gt;0,$AJ$2&gt;M1185,L1185=""),1,0)</f>
        <v/>
      </c>
      <c r="AP1185" s="35">
        <f>IF(AND(AK1185="YES",W1185="X"),"X","")</f>
        <v/>
      </c>
      <c r="AQ1185" s="55">
        <f>IF(AP1185="X",100%,0%)</f>
        <v/>
      </c>
      <c r="AR1185" s="25">
        <f>IF(AND(T1185&gt;0,L1185=""),H1185,"")</f>
        <v/>
      </c>
      <c r="AS1185" s="25">
        <f>IF(AND(D1185&gt;0,H1185=0,G1185=""),1,"")</f>
        <v/>
      </c>
      <c r="AT1185" s="25">
        <f>IF(G1185="BLOQ",1,"")</f>
        <v/>
      </c>
      <c r="AU1185" s="25">
        <f>IF(L1185="BLOQ",1,"")</f>
        <v/>
      </c>
      <c r="AV1185" s="25">
        <f>MONTH(F1185)</f>
        <v/>
      </c>
      <c r="AW1185" s="65">
        <f>IF(AP1185="",100%,0%)</f>
        <v/>
      </c>
      <c r="AX1185" s="56" t="n"/>
      <c r="AY1185" s="24">
        <f>IF(M1185=0,"",M1185-$AX$2)</f>
        <v/>
      </c>
      <c r="AZ1185" s="66">
        <f>IF(AND(W1185="",AY1185&gt;0,AY1185&lt;15),1,0)</f>
        <v/>
      </c>
      <c r="BA1185" s="24">
        <f>IF(AND(W1185="",AY1185&gt;0,AY1185&lt;15),T1185,"")</f>
        <v/>
      </c>
      <c r="BB1185" s="87">
        <f>IF(R1185&lt;Q1185,"X","")</f>
        <v/>
      </c>
      <c r="BC1185" s="190" t="inlineStr">
        <is>
          <t>NO</t>
        </is>
      </c>
      <c r="BD1185" s="191" t="inlineStr">
        <is>
          <t>SI</t>
        </is>
      </c>
    </row>
    <row r="1186" ht="15" customHeight="1" s="162">
      <c r="A1186" s="7" t="n">
        <v>1185</v>
      </c>
      <c r="B1186" t="inlineStr">
        <is>
          <t>1060273000000</t>
        </is>
      </c>
      <c r="C1186" t="inlineStr">
        <is>
          <t>LED 5MM AZUL 465NM 2700MCD 3,3V 2P TH</t>
        </is>
      </c>
      <c r="D1186" t="inlineStr">
        <is>
          <t>1800110417</t>
        </is>
      </c>
      <c r="E1186" t="inlineStr">
        <is>
          <t>40</t>
        </is>
      </c>
      <c r="F1186" s="163" t="n">
        <v>45490</v>
      </c>
      <c r="G1186" t="inlineStr"/>
      <c r="H1186" t="inlineStr">
        <is>
          <t>4200579301</t>
        </is>
      </c>
      <c r="I1186" t="inlineStr">
        <is>
          <t>140</t>
        </is>
      </c>
      <c r="J1186" s="163" t="n">
        <v>45566</v>
      </c>
      <c r="K1186" s="163" t="n">
        <v>45587</v>
      </c>
      <c r="L1186" t="inlineStr"/>
      <c r="M1186" s="163" t="n">
        <v>45584</v>
      </c>
      <c r="N1186" s="164" t="n">
        <v>85</v>
      </c>
      <c r="O1186" s="164" t="n">
        <v>8</v>
      </c>
      <c r="P1186" t="inlineStr">
        <is>
          <t>Liberado</t>
        </is>
      </c>
      <c r="Q1186" s="165" t="n">
        <v>10</v>
      </c>
      <c r="R1186" s="165" t="n">
        <v>10</v>
      </c>
      <c r="S1186" s="165" t="n">
        <v>10</v>
      </c>
      <c r="T1186" s="165" t="n">
        <v>0</v>
      </c>
      <c r="U1186" s="166" t="n">
        <v>10</v>
      </c>
      <c r="V1186" s="166" t="n">
        <v>0</v>
      </c>
      <c r="W1186" t="inlineStr">
        <is>
          <t>X</t>
        </is>
      </c>
      <c r="X1186" t="inlineStr">
        <is>
          <t>0.00</t>
        </is>
      </c>
      <c r="Y1186" t="inlineStr"/>
      <c r="Z1186" t="inlineStr">
        <is>
          <t>TCX MICRO, S.L.U</t>
        </is>
      </c>
      <c r="AA1186" t="inlineStr">
        <is>
          <t>KINGBRIGHT</t>
        </is>
      </c>
      <c r="AB1186" t="inlineStr">
        <is>
          <t>L-7113QBC-D</t>
        </is>
      </c>
      <c r="AC1186" t="inlineStr"/>
      <c r="AD1186" s="164" t="n">
        <v>0</v>
      </c>
      <c r="AE1186" s="185" t="n">
        <v>0</v>
      </c>
      <c r="AG1186" s="167" t="inlineStr">
        <is>
          <t>7218|JA2581_1001</t>
        </is>
      </c>
      <c r="AH1186" s="47">
        <f>IF(M1186=0,"-",M1186-J1186)</f>
        <v/>
      </c>
      <c r="AI1186" s="46">
        <f>IF(AND(S1186=0,M1186&gt;0,L1186=0),IF(AH1186&gt;=120,"VERY HIGH",IF(AH1186&gt;=90,"HIGH",IF(AH1186&gt;=60,"MEDIUM",IF(AH1186&lt;60,"LOW")))),"-")</f>
        <v/>
      </c>
      <c r="AJ1186" s="12" t="n"/>
      <c r="AK1186" s="53">
        <f>IF(AND(W1186="X",M1186&lt;=$AJ$2),"YES","")</f>
        <v/>
      </c>
      <c r="AL1186" s="54">
        <f>IF(AND(W1186="X",M1186&lt;=$AJ$2),S1186,"")</f>
        <v/>
      </c>
      <c r="AM1186" s="35" t="n"/>
      <c r="AN1186" s="35">
        <f>IF(AND(W1186="X",M1186&gt;$AJ$2),S1186,"")</f>
        <v/>
      </c>
      <c r="AO1186" s="35">
        <f>IF(AND(W1186="",M1186&gt;0,$AJ$2&gt;M1186,L1186=""),1,0)</f>
        <v/>
      </c>
      <c r="AP1186" s="35">
        <f>IF(AND(AK1186="YES",W1186="X"),"X","")</f>
        <v/>
      </c>
      <c r="AQ1186" s="55">
        <f>IF(AP1186="X",100%,0%)</f>
        <v/>
      </c>
      <c r="AR1186" s="25">
        <f>IF(AND(T1186&gt;0,L1186=""),H1186,"")</f>
        <v/>
      </c>
      <c r="AS1186" s="25">
        <f>IF(AND(D1186&gt;0,H1186=0,G1186=""),1,"")</f>
        <v/>
      </c>
      <c r="AT1186" s="25">
        <f>IF(G1186="BLOQ",1,"")</f>
        <v/>
      </c>
      <c r="AU1186" s="25">
        <f>IF(L1186="BLOQ",1,"")</f>
        <v/>
      </c>
      <c r="AV1186" s="25">
        <f>MONTH(F1186)</f>
        <v/>
      </c>
      <c r="AW1186" s="65">
        <f>IF(AP1186="",100%,0%)</f>
        <v/>
      </c>
      <c r="AX1186" s="56" t="n"/>
      <c r="AY1186" s="24">
        <f>IF(M1186=0,"",M1186-$AX$2)</f>
        <v/>
      </c>
      <c r="AZ1186" s="66">
        <f>IF(AND(W1186="",AY1186&gt;0,AY1186&lt;15),1,0)</f>
        <v/>
      </c>
      <c r="BA1186" s="24">
        <f>IF(AND(W1186="",AY1186&gt;0,AY1186&lt;15),T1186,"")</f>
        <v/>
      </c>
      <c r="BB1186" s="87">
        <f>IF(R1186&lt;Q1186,"X","")</f>
        <v/>
      </c>
      <c r="BC1186" s="190" t="inlineStr">
        <is>
          <t>NO</t>
        </is>
      </c>
      <c r="BD1186" s="191" t="inlineStr">
        <is>
          <t>SI</t>
        </is>
      </c>
    </row>
    <row r="1187" ht="15" customHeight="1" s="162">
      <c r="A1187" s="7" t="n">
        <v>1186</v>
      </c>
      <c r="B1187" t="inlineStr">
        <is>
          <t>1060283000000</t>
        </is>
      </c>
      <c r="C1187" t="inlineStr">
        <is>
          <t>LED 5MM BLANCO 2300MCD 3,2V 65G 515D TH</t>
        </is>
      </c>
      <c r="D1187" t="inlineStr">
        <is>
          <t>1800110417</t>
        </is>
      </c>
      <c r="E1187" t="inlineStr">
        <is>
          <t>50</t>
        </is>
      </c>
      <c r="F1187" s="163" t="n">
        <v>45490</v>
      </c>
      <c r="G1187" t="inlineStr"/>
      <c r="H1187" t="inlineStr">
        <is>
          <t>4200579301</t>
        </is>
      </c>
      <c r="I1187" t="inlineStr">
        <is>
          <t>300</t>
        </is>
      </c>
      <c r="J1187" s="163" t="n">
        <v>45566</v>
      </c>
      <c r="K1187" s="163" t="n">
        <v>45587</v>
      </c>
      <c r="L1187" t="inlineStr"/>
      <c r="M1187" s="163" t="n">
        <v>45584</v>
      </c>
      <c r="N1187" s="164" t="n">
        <v>85</v>
      </c>
      <c r="O1187" s="164" t="n">
        <v>8</v>
      </c>
      <c r="P1187" t="inlineStr">
        <is>
          <t>Liberado</t>
        </is>
      </c>
      <c r="Q1187" s="165" t="n">
        <v>10</v>
      </c>
      <c r="R1187" s="165" t="n">
        <v>10</v>
      </c>
      <c r="S1187" s="165" t="n">
        <v>10</v>
      </c>
      <c r="T1187" s="165" t="n">
        <v>0</v>
      </c>
      <c r="U1187" s="166" t="n">
        <v>10</v>
      </c>
      <c r="V1187" s="166" t="n">
        <v>0</v>
      </c>
      <c r="W1187" t="inlineStr">
        <is>
          <t>X</t>
        </is>
      </c>
      <c r="X1187" t="inlineStr">
        <is>
          <t>0.00</t>
        </is>
      </c>
      <c r="Y1187" t="inlineStr"/>
      <c r="Z1187" t="inlineStr">
        <is>
          <t>TCX MICRO, S.L.U</t>
        </is>
      </c>
      <c r="AA1187" t="inlineStr">
        <is>
          <t>NICHIA</t>
        </is>
      </c>
      <c r="AB1187" t="inlineStr">
        <is>
          <t>NSPW515DS</t>
        </is>
      </c>
      <c r="AC1187" t="inlineStr"/>
      <c r="AD1187" s="164" t="n">
        <v>0</v>
      </c>
      <c r="AE1187" s="185" t="n">
        <v>0</v>
      </c>
      <c r="AG1187" s="167" t="inlineStr">
        <is>
          <t>7218|JA2581_1001</t>
        </is>
      </c>
      <c r="AH1187" s="47">
        <f>IF(M1187=0,"-",M1187-J1187)</f>
        <v/>
      </c>
      <c r="AI1187" s="46">
        <f>IF(AND(S1187=0,M1187&gt;0,L1187=0),IF(AH1187&gt;=120,"VERY HIGH",IF(AH1187&gt;=90,"HIGH",IF(AH1187&gt;=60,"MEDIUM",IF(AH1187&lt;60,"LOW")))),"-")</f>
        <v/>
      </c>
      <c r="AJ1187" s="12" t="n"/>
      <c r="AK1187" s="53">
        <f>IF(AND(W1187="X",M1187&lt;=$AJ$2),"YES","")</f>
        <v/>
      </c>
      <c r="AL1187" s="54">
        <f>IF(AND(W1187="X",M1187&lt;=$AJ$2),S1187,"")</f>
        <v/>
      </c>
      <c r="AM1187" s="35" t="n"/>
      <c r="AN1187" s="35">
        <f>IF(AND(W1187="X",M1187&gt;$AJ$2),S1187,"")</f>
        <v/>
      </c>
      <c r="AO1187" s="35">
        <f>IF(AND(W1187="",M1187&gt;0,$AJ$2&gt;M1187,L1187=""),1,0)</f>
        <v/>
      </c>
      <c r="AP1187" s="35">
        <f>IF(AND(AK1187="YES",W1187="X"),"X","")</f>
        <v/>
      </c>
      <c r="AQ1187" s="55">
        <f>IF(AP1187="X",100%,0%)</f>
        <v/>
      </c>
      <c r="AR1187" s="25">
        <f>IF(AND(T1187&gt;0,L1187=""),H1187,"")</f>
        <v/>
      </c>
      <c r="AS1187" s="25">
        <f>IF(AND(D1187&gt;0,H1187=0,G1187=""),1,"")</f>
        <v/>
      </c>
      <c r="AT1187" s="25">
        <f>IF(G1187="BLOQ",1,"")</f>
        <v/>
      </c>
      <c r="AU1187" s="25">
        <f>IF(L1187="BLOQ",1,"")</f>
        <v/>
      </c>
      <c r="AV1187" s="25">
        <f>MONTH(F1187)</f>
        <v/>
      </c>
      <c r="AW1187" s="65">
        <f>IF(AP1187="",100%,0%)</f>
        <v/>
      </c>
      <c r="AX1187" s="56" t="n"/>
      <c r="AY1187" s="24">
        <f>IF(M1187=0,"",M1187-$AX$2)</f>
        <v/>
      </c>
      <c r="AZ1187" s="66">
        <f>IF(AND(W1187="",AY1187&gt;0,AY1187&lt;15),1,0)</f>
        <v/>
      </c>
      <c r="BA1187" s="24">
        <f>IF(AND(W1187="",AY1187&gt;0,AY1187&lt;15),T1187,"")</f>
        <v/>
      </c>
      <c r="BB1187" s="87">
        <f>IF(R1187&lt;Q1187,"X","")</f>
        <v/>
      </c>
      <c r="BC1187" s="190" t="inlineStr">
        <is>
          <t>NO</t>
        </is>
      </c>
      <c r="BD1187" s="191" t="inlineStr">
        <is>
          <t>SI</t>
        </is>
      </c>
    </row>
    <row r="1188" ht="15" customHeight="1" s="162">
      <c r="A1188" s="7" t="n">
        <v>1187</v>
      </c>
      <c r="B1188" t="inlineStr">
        <is>
          <t>1060900210000</t>
        </is>
      </c>
      <c r="C1188" t="inlineStr">
        <is>
          <t>SOPORTE LED T-1 3/4 5MM PLASTIC NEGRO</t>
        </is>
      </c>
      <c r="D1188" t="inlineStr">
        <is>
          <t>1800110417</t>
        </is>
      </c>
      <c r="E1188" t="inlineStr">
        <is>
          <t>60</t>
        </is>
      </c>
      <c r="F1188" s="163" t="n">
        <v>45490</v>
      </c>
      <c r="G1188" t="inlineStr"/>
      <c r="H1188" t="inlineStr">
        <is>
          <t>4200579301</t>
        </is>
      </c>
      <c r="I1188" t="inlineStr">
        <is>
          <t>10</t>
        </is>
      </c>
      <c r="J1188" s="163" t="n">
        <v>45566</v>
      </c>
      <c r="K1188" s="163" t="n">
        <v>45587</v>
      </c>
      <c r="L1188" t="inlineStr"/>
      <c r="M1188" s="163" t="n">
        <v>45584</v>
      </c>
      <c r="N1188" s="164" t="n">
        <v>85</v>
      </c>
      <c r="O1188" s="164" t="n">
        <v>8</v>
      </c>
      <c r="P1188" t="inlineStr">
        <is>
          <t>Liberado</t>
        </is>
      </c>
      <c r="Q1188" s="165" t="n">
        <v>10</v>
      </c>
      <c r="R1188" s="165" t="n">
        <v>10</v>
      </c>
      <c r="S1188" s="165" t="n">
        <v>10</v>
      </c>
      <c r="T1188" s="165" t="n">
        <v>0</v>
      </c>
      <c r="U1188" s="166" t="n">
        <v>10</v>
      </c>
      <c r="V1188" s="166" t="n">
        <v>0</v>
      </c>
      <c r="W1188" t="inlineStr">
        <is>
          <t>X</t>
        </is>
      </c>
      <c r="X1188" t="inlineStr">
        <is>
          <t>0.00</t>
        </is>
      </c>
      <c r="Y1188" t="inlineStr"/>
      <c r="Z1188" t="inlineStr">
        <is>
          <t>TCX MICRO, S.L.U</t>
        </is>
      </c>
      <c r="AA1188" t="inlineStr">
        <is>
          <t>AGILENT TECHNOLOGIES</t>
        </is>
      </c>
      <c r="AB1188" t="inlineStr">
        <is>
          <t>HLMP-0103</t>
        </is>
      </c>
      <c r="AC1188" t="inlineStr"/>
      <c r="AD1188" s="164" t="n">
        <v>0</v>
      </c>
      <c r="AE1188" s="185" t="n">
        <v>0</v>
      </c>
      <c r="AG1188" s="167" t="inlineStr">
        <is>
          <t>7218|JA2581_1001</t>
        </is>
      </c>
      <c r="AH1188" s="47">
        <f>IF(M1188=0,"-",M1188-J1188)</f>
        <v/>
      </c>
      <c r="AI1188" s="46">
        <f>IF(AND(S1188=0,M1188&gt;0,L1188=0),IF(AH1188&gt;=120,"VERY HIGH",IF(AH1188&gt;=90,"HIGH",IF(AH1188&gt;=60,"MEDIUM",IF(AH1188&lt;60,"LOW")))),"-")</f>
        <v/>
      </c>
      <c r="AJ1188" s="12" t="n"/>
      <c r="AK1188" s="53">
        <f>IF(AND(W1188="X",M1188&lt;=$AJ$2),"YES","")</f>
        <v/>
      </c>
      <c r="AL1188" s="54">
        <f>IF(AND(W1188="X",M1188&lt;=$AJ$2),S1188,"")</f>
        <v/>
      </c>
      <c r="AM1188" s="35" t="n"/>
      <c r="AN1188" s="35">
        <f>IF(AND(W1188="X",M1188&gt;$AJ$2),S1188,"")</f>
        <v/>
      </c>
      <c r="AO1188" s="35">
        <f>IF(AND(W1188="",M1188&gt;0,$AJ$2&gt;M1188,L1188=""),1,0)</f>
        <v/>
      </c>
      <c r="AP1188" s="35">
        <f>IF(AND(AK1188="YES",W1188="X"),"X","")</f>
        <v/>
      </c>
      <c r="AQ1188" s="55">
        <f>IF(AP1188="X",100%,0%)</f>
        <v/>
      </c>
      <c r="AR1188" s="25">
        <f>IF(AND(T1188&gt;0,L1188=""),H1188,"")</f>
        <v/>
      </c>
      <c r="AS1188" s="25">
        <f>IF(AND(D1188&gt;0,H1188=0,G1188=""),1,"")</f>
        <v/>
      </c>
      <c r="AT1188" s="25">
        <f>IF(G1188="BLOQ",1,"")</f>
        <v/>
      </c>
      <c r="AU1188" s="25">
        <f>IF(L1188="BLOQ",1,"")</f>
        <v/>
      </c>
      <c r="AV1188" s="25">
        <f>MONTH(F1188)</f>
        <v/>
      </c>
      <c r="AW1188" s="65">
        <f>IF(AP1188="",100%,0%)</f>
        <v/>
      </c>
      <c r="AX1188" s="56" t="n"/>
      <c r="AY1188" s="24">
        <f>IF(M1188=0,"",M1188-$AX$2)</f>
        <v/>
      </c>
      <c r="AZ1188" s="66">
        <f>IF(AND(W1188="",AY1188&gt;0,AY1188&lt;15),1,0)</f>
        <v/>
      </c>
      <c r="BA1188" s="24">
        <f>IF(AND(W1188="",AY1188&gt;0,AY1188&lt;15),T1188,"")</f>
        <v/>
      </c>
      <c r="BB1188" s="87">
        <f>IF(R1188&lt;Q1188,"X","")</f>
        <v/>
      </c>
      <c r="BC1188" s="190" t="inlineStr">
        <is>
          <t>NO</t>
        </is>
      </c>
      <c r="BD1188" s="191" t="inlineStr">
        <is>
          <t>SI</t>
        </is>
      </c>
    </row>
    <row r="1189" ht="15" customHeight="1" s="162">
      <c r="A1189" s="7" t="n">
        <v>1188</v>
      </c>
      <c r="B1189" t="inlineStr">
        <is>
          <t>1130115010701</t>
        </is>
      </c>
      <c r="C1189" t="inlineStr">
        <is>
          <t>RELE MINI SPDT   5V 0,3A DIL-6 DR-SDS</t>
        </is>
      </c>
      <c r="D1189" t="inlineStr">
        <is>
          <t>1800110417</t>
        </is>
      </c>
      <c r="E1189" t="inlineStr">
        <is>
          <t>70</t>
        </is>
      </c>
      <c r="F1189" s="163" t="n">
        <v>45490</v>
      </c>
      <c r="G1189" t="inlineStr"/>
      <c r="H1189" t="inlineStr">
        <is>
          <t>4200580009</t>
        </is>
      </c>
      <c r="I1189" t="inlineStr">
        <is>
          <t>10</t>
        </is>
      </c>
      <c r="J1189" s="163" t="n">
        <v>45569</v>
      </c>
      <c r="K1189" s="163" t="n">
        <v>45572</v>
      </c>
      <c r="L1189" t="inlineStr"/>
      <c r="M1189" s="163" t="n">
        <v>45593</v>
      </c>
      <c r="N1189" s="164" t="n">
        <v>30</v>
      </c>
      <c r="O1189" s="164" t="n">
        <v>8</v>
      </c>
      <c r="P1189" t="inlineStr">
        <is>
          <t>Liberado</t>
        </is>
      </c>
      <c r="Q1189" s="165" t="n">
        <v>10</v>
      </c>
      <c r="R1189" s="165" t="n">
        <v>10</v>
      </c>
      <c r="S1189" s="165" t="n">
        <v>10</v>
      </c>
      <c r="T1189" s="165" t="n">
        <v>0</v>
      </c>
      <c r="U1189" s="166" t="n">
        <v>10</v>
      </c>
      <c r="V1189" s="166" t="n">
        <v>0</v>
      </c>
      <c r="W1189" t="inlineStr">
        <is>
          <t>X</t>
        </is>
      </c>
      <c r="X1189" t="inlineStr">
        <is>
          <t>0.00</t>
        </is>
      </c>
      <c r="Y1189" t="inlineStr"/>
      <c r="Z1189" t="inlineStr">
        <is>
          <t>TELKRON, S.A.</t>
        </is>
      </c>
      <c r="AA1189" t="inlineStr">
        <is>
          <t>NAIS/MASUSHITA</t>
        </is>
      </c>
      <c r="AB1189" t="inlineStr">
        <is>
          <t>DR-5V-SDS</t>
        </is>
      </c>
      <c r="AC1189" t="inlineStr"/>
      <c r="AD1189" s="164" t="n">
        <v>0</v>
      </c>
      <c r="AE1189" s="185" t="n">
        <v>0</v>
      </c>
      <c r="AG1189" s="167" t="inlineStr">
        <is>
          <t>7218|JA2581_1001</t>
        </is>
      </c>
      <c r="AH1189" s="47">
        <f>IF(M1189=0,"-",M1189-J1189)</f>
        <v/>
      </c>
      <c r="AI1189" s="46">
        <f>IF(AND(S1189=0,M1189&gt;0,L1189=0),IF(AH1189&gt;=120,"VERY HIGH",IF(AH1189&gt;=90,"HIGH",IF(AH1189&gt;=60,"MEDIUM",IF(AH1189&lt;60,"LOW")))),"-")</f>
        <v/>
      </c>
      <c r="AJ1189" s="12" t="n"/>
      <c r="AK1189" s="53">
        <f>IF(AND(W1189="X",M1189&lt;=$AJ$2),"YES","")</f>
        <v/>
      </c>
      <c r="AL1189" s="54">
        <f>IF(AND(W1189="X",M1189&lt;=$AJ$2),S1189,"")</f>
        <v/>
      </c>
      <c r="AM1189" s="35" t="n"/>
      <c r="AN1189" s="35">
        <f>IF(AND(W1189="X",M1189&gt;$AJ$2),S1189,"")</f>
        <v/>
      </c>
      <c r="AO1189" s="35">
        <f>IF(AND(W1189="",M1189&gt;0,$AJ$2&gt;M1189,L1189=""),1,0)</f>
        <v/>
      </c>
      <c r="AP1189" s="35">
        <f>IF(AND(AK1189="YES",W1189="X"),"X","")</f>
        <v/>
      </c>
      <c r="AQ1189" s="55">
        <f>IF(AP1189="X",100%,0%)</f>
        <v/>
      </c>
      <c r="AR1189" s="25">
        <f>IF(AND(T1189&gt;0,L1189=""),H1189,"")</f>
        <v/>
      </c>
      <c r="AS1189" s="25">
        <f>IF(AND(D1189&gt;0,H1189=0,G1189=""),1,"")</f>
        <v/>
      </c>
      <c r="AT1189" s="25">
        <f>IF(G1189="BLOQ",1,"")</f>
        <v/>
      </c>
      <c r="AU1189" s="25">
        <f>IF(L1189="BLOQ",1,"")</f>
        <v/>
      </c>
      <c r="AV1189" s="25">
        <f>MONTH(F1189)</f>
        <v/>
      </c>
      <c r="AW1189" s="65">
        <f>IF(AP1189="",100%,0%)</f>
        <v/>
      </c>
      <c r="AX1189" s="56" t="n"/>
      <c r="AY1189" s="24">
        <f>IF(M1189=0,"",M1189-$AX$2)</f>
        <v/>
      </c>
      <c r="AZ1189" s="66">
        <f>IF(AND(W1189="",AY1189&gt;0,AY1189&lt;15),1,0)</f>
        <v/>
      </c>
      <c r="BA1189" s="24">
        <f>IF(AND(W1189="",AY1189&gt;0,AY1189&lt;15),T1189,"")</f>
        <v/>
      </c>
      <c r="BB1189" s="87">
        <f>IF(R1189&lt;Q1189,"X","")</f>
        <v/>
      </c>
      <c r="BC1189" s="190" t="inlineStr">
        <is>
          <t>NO</t>
        </is>
      </c>
      <c r="BD1189" s="191" t="inlineStr">
        <is>
          <t>SI</t>
        </is>
      </c>
    </row>
    <row r="1190" ht="15" customHeight="1" s="162">
      <c r="A1190" s="7" t="n">
        <v>1189</v>
      </c>
      <c r="B1190" t="inlineStr">
        <is>
          <t>1204100633620</t>
        </is>
      </c>
      <c r="C1190" t="inlineStr">
        <is>
          <t>CNC CIR 10-6 6P (M) MS3470L10-6P</t>
        </is>
      </c>
      <c r="D1190" t="inlineStr">
        <is>
          <t>1800110417</t>
        </is>
      </c>
      <c r="E1190" t="inlineStr">
        <is>
          <t>80</t>
        </is>
      </c>
      <c r="F1190" s="163" t="n">
        <v>45490</v>
      </c>
      <c r="G1190" t="inlineStr"/>
      <c r="H1190" t="inlineStr">
        <is>
          <t>4200580192</t>
        </is>
      </c>
      <c r="I1190" t="inlineStr">
        <is>
          <t>30</t>
        </is>
      </c>
      <c r="J1190" s="163" t="n">
        <v>45572</v>
      </c>
      <c r="K1190" s="163" t="n">
        <v>45586</v>
      </c>
      <c r="L1190" t="inlineStr"/>
      <c r="M1190" s="163" t="n">
        <v>45584</v>
      </c>
      <c r="N1190" s="164" t="n">
        <v>41</v>
      </c>
      <c r="O1190" s="164" t="n">
        <v>8</v>
      </c>
      <c r="P1190" t="inlineStr">
        <is>
          <t>Liberado</t>
        </is>
      </c>
      <c r="Q1190" s="165" t="n">
        <v>2</v>
      </c>
      <c r="R1190" s="165" t="n">
        <v>2</v>
      </c>
      <c r="S1190" s="165" t="n">
        <v>2</v>
      </c>
      <c r="T1190" s="165" t="n">
        <v>0</v>
      </c>
      <c r="U1190" s="166" t="n">
        <v>2</v>
      </c>
      <c r="V1190" s="166" t="n">
        <v>0</v>
      </c>
      <c r="W1190" t="inlineStr">
        <is>
          <t>X</t>
        </is>
      </c>
      <c r="X1190" t="inlineStr">
        <is>
          <t>0.00</t>
        </is>
      </c>
      <c r="Y1190" t="inlineStr"/>
      <c r="Z1190" t="inlineStr">
        <is>
          <t>SUMINISTROS CONECTORES PROF.,SA.</t>
        </is>
      </c>
      <c r="AA1190" t="inlineStr">
        <is>
          <t>MILITARY STANDARDS</t>
        </is>
      </c>
      <c r="AB1190" t="inlineStr">
        <is>
          <t>MS3470L10-6P</t>
        </is>
      </c>
      <c r="AC1190" t="inlineStr"/>
      <c r="AD1190" s="164" t="n">
        <v>0</v>
      </c>
      <c r="AE1190" s="185" t="n">
        <v>0</v>
      </c>
      <c r="AG1190" s="167" t="inlineStr">
        <is>
          <t>7218|JA2581_1001</t>
        </is>
      </c>
      <c r="AH1190" s="47">
        <f>IF(M1190=0,"-",M1190-J1190)</f>
        <v/>
      </c>
      <c r="AI1190" s="46">
        <f>IF(AND(S1190=0,M1190&gt;0,L1190=0),IF(AH1190&gt;=120,"VERY HIGH",IF(AH1190&gt;=90,"HIGH",IF(AH1190&gt;=60,"MEDIUM",IF(AH1190&lt;60,"LOW")))),"-")</f>
        <v/>
      </c>
      <c r="AJ1190" s="12" t="n"/>
      <c r="AK1190" s="53">
        <f>IF(AND(W1190="X",M1190&lt;=$AJ$2),"YES","")</f>
        <v/>
      </c>
      <c r="AL1190" s="54">
        <f>IF(AND(W1190="X",M1190&lt;=$AJ$2),S1190,"")</f>
        <v/>
      </c>
      <c r="AM1190" s="35" t="n"/>
      <c r="AN1190" s="35">
        <f>IF(AND(W1190="X",M1190&gt;$AJ$2),S1190,"")</f>
        <v/>
      </c>
      <c r="AO1190" s="35">
        <f>IF(AND(W1190="",M1190&gt;0,$AJ$2&gt;M1190,L1190=""),1,0)</f>
        <v/>
      </c>
      <c r="AP1190" s="35">
        <f>IF(AND(AK1190="YES",W1190="X"),"X","")</f>
        <v/>
      </c>
      <c r="AQ1190" s="55">
        <f>IF(AP1190="X",100%,0%)</f>
        <v/>
      </c>
      <c r="AR1190" s="25">
        <f>IF(AND(T1190&gt;0,L1190=""),H1190,"")</f>
        <v/>
      </c>
      <c r="AS1190" s="25">
        <f>IF(AND(D1190&gt;0,H1190=0,G1190=""),1,"")</f>
        <v/>
      </c>
      <c r="AT1190" s="25">
        <f>IF(G1190="BLOQ",1,"")</f>
        <v/>
      </c>
      <c r="AU1190" s="25">
        <f>IF(L1190="BLOQ",1,"")</f>
        <v/>
      </c>
      <c r="AV1190" s="25">
        <f>MONTH(F1190)</f>
        <v/>
      </c>
      <c r="AW1190" s="65">
        <f>IF(AP1190="",100%,0%)</f>
        <v/>
      </c>
      <c r="AX1190" s="56" t="n"/>
      <c r="AY1190" s="24">
        <f>IF(M1190=0,"",M1190-$AX$2)</f>
        <v/>
      </c>
      <c r="AZ1190" s="66">
        <f>IF(AND(W1190="",AY1190&gt;0,AY1190&lt;15),1,0)</f>
        <v/>
      </c>
      <c r="BA1190" s="24">
        <f>IF(AND(W1190="",AY1190&gt;0,AY1190&lt;15),T1190,"")</f>
        <v/>
      </c>
      <c r="BB1190" s="87">
        <f>IF(R1190&lt;Q1190,"X","")</f>
        <v/>
      </c>
      <c r="BC1190" s="190" t="inlineStr">
        <is>
          <t>NO</t>
        </is>
      </c>
      <c r="BD1190" s="190" t="inlineStr">
        <is>
          <t>NO</t>
        </is>
      </c>
    </row>
    <row r="1191" ht="15" customHeight="1" s="162">
      <c r="A1191" s="7" t="n">
        <v>1190</v>
      </c>
      <c r="B1191" t="inlineStr">
        <is>
          <t>1209994000109</t>
        </is>
      </c>
      <c r="C1191" t="inlineStr">
        <is>
          <t>ACC CARCASA P/CNC SUB-D ZINC</t>
        </is>
      </c>
      <c r="D1191" t="inlineStr">
        <is>
          <t>1800110417</t>
        </is>
      </c>
      <c r="E1191" t="inlineStr">
        <is>
          <t>90</t>
        </is>
      </c>
      <c r="F1191" s="163" t="n">
        <v>45490</v>
      </c>
      <c r="G1191" t="inlineStr"/>
      <c r="H1191" t="inlineStr">
        <is>
          <t>4200583052</t>
        </is>
      </c>
      <c r="I1191" t="inlineStr">
        <is>
          <t>730</t>
        </is>
      </c>
      <c r="J1191" s="163" t="n">
        <v>45590</v>
      </c>
      <c r="K1191" s="163" t="n">
        <v>45696</v>
      </c>
      <c r="L1191" t="inlineStr"/>
      <c r="M1191" s="163" t="n">
        <v>45674</v>
      </c>
      <c r="N1191" s="164" t="n">
        <v>80</v>
      </c>
      <c r="O1191" s="164" t="n">
        <v>8</v>
      </c>
      <c r="P1191" t="inlineStr">
        <is>
          <t>Liberado</t>
        </is>
      </c>
      <c r="Q1191" s="165" t="n">
        <v>50</v>
      </c>
      <c r="R1191" s="165" t="n">
        <v>100</v>
      </c>
      <c r="S1191" s="165" t="n">
        <v>0</v>
      </c>
      <c r="T1191" s="165" t="n">
        <v>100</v>
      </c>
      <c r="U1191" s="166" t="n">
        <v>0</v>
      </c>
      <c r="V1191" s="166" t="n">
        <v>0</v>
      </c>
      <c r="W1191" t="inlineStr"/>
      <c r="X1191" t="inlineStr">
        <is>
          <t>1650.00</t>
        </is>
      </c>
      <c r="Y1191" t="inlineStr"/>
      <c r="Z1191" t="inlineStr">
        <is>
          <t>TTI INC.</t>
        </is>
      </c>
      <c r="AA1191" t="inlineStr">
        <is>
          <t>TE CONNECTIVITY</t>
        </is>
      </c>
      <c r="AB1191" t="inlineStr">
        <is>
          <t>1-2308346-6</t>
        </is>
      </c>
      <c r="AC1191" t="inlineStr"/>
      <c r="AD1191" s="164" t="n">
        <v>0</v>
      </c>
      <c r="AE1191" s="185" t="n">
        <v>0</v>
      </c>
      <c r="AG1191" s="167" t="inlineStr">
        <is>
          <t>7218|JA2581_1001</t>
        </is>
      </c>
      <c r="AH1191" s="47">
        <f>IF(M1191=0,"-",M1191-J1191)</f>
        <v/>
      </c>
      <c r="AI1191" s="46">
        <f>IF(AND(S1191=0,M1191&gt;0,L1191=0),IF(AH1191&gt;=120,"VERY HIGH",IF(AH1191&gt;=90,"HIGH",IF(AH1191&gt;=60,"MEDIUM",IF(AH1191&lt;60,"LOW")))),"-")</f>
        <v/>
      </c>
      <c r="AJ1191" s="12" t="n"/>
      <c r="AK1191" s="53">
        <f>IF(AND(W1191="X",M1191&lt;=$AJ$2),"YES","")</f>
        <v/>
      </c>
      <c r="AL1191" s="54">
        <f>IF(AND(W1191="X",M1191&lt;=$AJ$2),S1191,"")</f>
        <v/>
      </c>
      <c r="AM1191" s="35" t="n"/>
      <c r="AN1191" s="35">
        <f>IF(AND(W1191="X",M1191&gt;$AJ$2),S1191,"")</f>
        <v/>
      </c>
      <c r="AO1191" s="35">
        <f>IF(AND(W1191="",M1191&gt;0,$AJ$2&gt;M1191,L1191=""),1,0)</f>
        <v/>
      </c>
      <c r="AP1191" s="35">
        <f>IF(AND(AK1191="YES",W1191="X"),"X","")</f>
        <v/>
      </c>
      <c r="AQ1191" s="55">
        <f>IF(AP1191="X",100%,0%)</f>
        <v/>
      </c>
      <c r="AR1191" s="25">
        <f>IF(AND(T1191&gt;0,L1191=""),H1191,"")</f>
        <v/>
      </c>
      <c r="AS1191" s="25">
        <f>IF(AND(D1191&gt;0,H1191=0,G1191=""),1,"")</f>
        <v/>
      </c>
      <c r="AT1191" s="25">
        <f>IF(G1191="BLOQ",1,"")</f>
        <v/>
      </c>
      <c r="AU1191" s="25">
        <f>IF(L1191="BLOQ",1,"")</f>
        <v/>
      </c>
      <c r="AV1191" s="25">
        <f>MONTH(F1191)</f>
        <v/>
      </c>
      <c r="AW1191" s="65">
        <f>IF(AP1191="",100%,0%)</f>
        <v/>
      </c>
      <c r="AX1191" s="56" t="n"/>
      <c r="AY1191" s="24">
        <f>IF(M1191=0,"",M1191-$AX$2)</f>
        <v/>
      </c>
      <c r="AZ1191" s="66">
        <f>IF(AND(W1191="",AY1191&gt;0,AY1191&lt;15),1,0)</f>
        <v/>
      </c>
      <c r="BA1191" s="24">
        <f>IF(AND(W1191="",AY1191&gt;0,AY1191&lt;15),T1191,"")</f>
        <v/>
      </c>
      <c r="BB1191" s="87">
        <f>IF(R1191&lt;Q1191,"X","")</f>
        <v/>
      </c>
      <c r="BC1191" s="190" t="inlineStr">
        <is>
          <t>NO</t>
        </is>
      </c>
      <c r="BD1191" s="191" t="inlineStr">
        <is>
          <t>SI</t>
        </is>
      </c>
    </row>
    <row r="1192" ht="15" customHeight="1" s="162">
      <c r="A1192" s="7" t="n">
        <v>1191</v>
      </c>
      <c r="B1192" t="inlineStr">
        <is>
          <t>1219990020620</t>
        </is>
      </c>
      <c r="C1192" t="inlineStr">
        <is>
          <t>CONTACTO HEMBRA SIZE 20 M39029/57-357</t>
        </is>
      </c>
      <c r="D1192" t="inlineStr">
        <is>
          <t>1800110417</t>
        </is>
      </c>
      <c r="E1192" t="inlineStr">
        <is>
          <t>100</t>
        </is>
      </c>
      <c r="F1192" s="163" t="n">
        <v>45490</v>
      </c>
      <c r="G1192" t="inlineStr"/>
      <c r="H1192" t="inlineStr">
        <is>
          <t>4200579010</t>
        </is>
      </c>
      <c r="I1192" t="inlineStr">
        <is>
          <t>10</t>
        </is>
      </c>
      <c r="J1192" s="163" t="n">
        <v>45562</v>
      </c>
      <c r="K1192" s="163" t="n">
        <v>45566</v>
      </c>
      <c r="L1192" t="inlineStr"/>
      <c r="M1192" s="163" t="n">
        <v>45584</v>
      </c>
      <c r="N1192" s="164" t="n">
        <v>80</v>
      </c>
      <c r="O1192" s="164" t="n">
        <v>8</v>
      </c>
      <c r="P1192" t="inlineStr">
        <is>
          <t>Liberado</t>
        </is>
      </c>
      <c r="Q1192" s="165" t="n">
        <v>80</v>
      </c>
      <c r="R1192" s="165" t="n">
        <v>80</v>
      </c>
      <c r="S1192" s="165" t="n">
        <v>80</v>
      </c>
      <c r="T1192" s="165" t="n">
        <v>0</v>
      </c>
      <c r="U1192" s="166" t="n">
        <v>80</v>
      </c>
      <c r="V1192" s="166" t="n">
        <v>0</v>
      </c>
      <c r="W1192" t="inlineStr">
        <is>
          <t>X</t>
        </is>
      </c>
      <c r="X1192" t="inlineStr">
        <is>
          <t>0.00</t>
        </is>
      </c>
      <c r="Y1192" t="inlineStr"/>
      <c r="Z1192" t="inlineStr">
        <is>
          <t>CONECTORES Y CABLES VAHER, S.A.</t>
        </is>
      </c>
      <c r="AA1192" t="inlineStr">
        <is>
          <t>MILITARY SPECS.</t>
        </is>
      </c>
      <c r="AB1192" t="inlineStr">
        <is>
          <t>M39029/57-357</t>
        </is>
      </c>
      <c r="AC1192" t="inlineStr"/>
      <c r="AD1192" s="164" t="n">
        <v>0</v>
      </c>
      <c r="AE1192" s="185" t="n">
        <v>0</v>
      </c>
      <c r="AG1192" s="167" t="inlineStr">
        <is>
          <t>7218|JA2581_1001</t>
        </is>
      </c>
      <c r="AH1192" s="47">
        <f>IF(M1192=0,"-",M1192-J1192)</f>
        <v/>
      </c>
      <c r="AI1192" s="46">
        <f>IF(AND(S1192=0,M1192&gt;0,L1192=0),IF(AH1192&gt;=120,"VERY HIGH",IF(AH1192&gt;=90,"HIGH",IF(AH1192&gt;=60,"MEDIUM",IF(AH1192&lt;60,"LOW")))),"-")</f>
        <v/>
      </c>
      <c r="AJ1192" s="12" t="n"/>
      <c r="AK1192" s="53">
        <f>IF(AND(W1192="X",M1192&lt;=$AJ$2),"YES","")</f>
        <v/>
      </c>
      <c r="AL1192" s="54">
        <f>IF(AND(W1192="X",M1192&lt;=$AJ$2),S1192,"")</f>
        <v/>
      </c>
      <c r="AM1192" s="35" t="n"/>
      <c r="AN1192" s="35">
        <f>IF(AND(W1192="X",M1192&gt;$AJ$2),S1192,"")</f>
        <v/>
      </c>
      <c r="AO1192" s="35">
        <f>IF(AND(W1192="",M1192&gt;0,$AJ$2&gt;M1192,L1192=""),1,0)</f>
        <v/>
      </c>
      <c r="AP1192" s="35">
        <f>IF(AND(AK1192="YES",W1192="X"),"X","")</f>
        <v/>
      </c>
      <c r="AQ1192" s="55">
        <f>IF(AP1192="X",100%,0%)</f>
        <v/>
      </c>
      <c r="AR1192" s="25">
        <f>IF(AND(T1192&gt;0,L1192=""),H1192,"")</f>
        <v/>
      </c>
      <c r="AS1192" s="25">
        <f>IF(AND(D1192&gt;0,H1192=0,G1192=""),1,"")</f>
        <v/>
      </c>
      <c r="AT1192" s="25">
        <f>IF(G1192="BLOQ",1,"")</f>
        <v/>
      </c>
      <c r="AU1192" s="25">
        <f>IF(L1192="BLOQ",1,"")</f>
        <v/>
      </c>
      <c r="AV1192" s="25">
        <f>MONTH(F1192)</f>
        <v/>
      </c>
      <c r="AW1192" s="65">
        <f>IF(AP1192="",100%,0%)</f>
        <v/>
      </c>
      <c r="AX1192" s="56" t="n"/>
      <c r="AY1192" s="24">
        <f>IF(M1192=0,"",M1192-$AX$2)</f>
        <v/>
      </c>
      <c r="AZ1192" s="66">
        <f>IF(AND(W1192="",AY1192&gt;0,AY1192&lt;15),1,0)</f>
        <v/>
      </c>
      <c r="BA1192" s="24">
        <f>IF(AND(W1192="",AY1192&gt;0,AY1192&lt;15),T1192,"")</f>
        <v/>
      </c>
      <c r="BB1192" s="87">
        <f>IF(R1192&lt;Q1192,"X","")</f>
        <v/>
      </c>
      <c r="BC1192" s="190" t="inlineStr">
        <is>
          <t>NO</t>
        </is>
      </c>
      <c r="BD1192" s="191" t="inlineStr">
        <is>
          <t>SI</t>
        </is>
      </c>
    </row>
    <row r="1193" ht="15" customHeight="1" s="162">
      <c r="A1193" s="7" t="n">
        <v>1192</v>
      </c>
      <c r="B1193" t="inlineStr">
        <is>
          <t>1237090082100</t>
        </is>
      </c>
      <c r="C1193" t="inlineStr">
        <is>
          <t>BORNA RAIL 21P #22 5A TYP4</t>
        </is>
      </c>
      <c r="D1193" t="inlineStr">
        <is>
          <t>1800110417</t>
        </is>
      </c>
      <c r="E1193" t="inlineStr">
        <is>
          <t>110</t>
        </is>
      </c>
      <c r="F1193" s="163" t="n">
        <v>45490</v>
      </c>
      <c r="G1193" t="inlineStr"/>
      <c r="H1193" t="inlineStr">
        <is>
          <t>4200585921</t>
        </is>
      </c>
      <c r="I1193" t="inlineStr">
        <is>
          <t>30</t>
        </is>
      </c>
      <c r="J1193" s="163" t="n">
        <v>45611</v>
      </c>
      <c r="K1193" s="163" t="n">
        <v>45618</v>
      </c>
      <c r="L1193" t="inlineStr"/>
      <c r="M1193" s="163" t="n">
        <v>45698</v>
      </c>
      <c r="N1193" s="164" t="n">
        <v>30</v>
      </c>
      <c r="O1193" s="164" t="n">
        <v>8</v>
      </c>
      <c r="P1193" t="inlineStr">
        <is>
          <t>Liberado</t>
        </is>
      </c>
      <c r="Q1193" s="165" t="n">
        <v>5</v>
      </c>
      <c r="R1193" s="165" t="n">
        <v>50</v>
      </c>
      <c r="S1193" s="165" t="n">
        <v>50</v>
      </c>
      <c r="T1193" s="165" t="n">
        <v>0</v>
      </c>
      <c r="U1193" s="166" t="n">
        <v>50</v>
      </c>
      <c r="V1193" s="166" t="n">
        <v>0</v>
      </c>
      <c r="W1193" t="inlineStr">
        <is>
          <t>X</t>
        </is>
      </c>
      <c r="X1193" t="inlineStr">
        <is>
          <t>0.00</t>
        </is>
      </c>
      <c r="Y1193" t="inlineStr"/>
      <c r="Z1193" t="inlineStr">
        <is>
          <t>SOURIAU</t>
        </is>
      </c>
      <c r="AA1193" t="inlineStr">
        <is>
          <t>SOURIAU</t>
        </is>
      </c>
      <c r="AB1193" t="inlineStr">
        <is>
          <t>8559N2204B</t>
        </is>
      </c>
      <c r="AC1193" t="inlineStr"/>
      <c r="AD1193" s="164" t="n">
        <v>0</v>
      </c>
      <c r="AE1193" s="185" t="n">
        <v>0</v>
      </c>
      <c r="AG1193" s="167" t="inlineStr">
        <is>
          <t>7218|JA2581_1001</t>
        </is>
      </c>
      <c r="AH1193" s="47">
        <f>IF(M1193=0,"-",M1193-J1193)</f>
        <v/>
      </c>
      <c r="AI1193" s="46">
        <f>IF(AND(S1193=0,M1193&gt;0,L1193=0),IF(AH1193&gt;=120,"VERY HIGH",IF(AH1193&gt;=90,"HIGH",IF(AH1193&gt;=60,"MEDIUM",IF(AH1193&lt;60,"LOW")))),"-")</f>
        <v/>
      </c>
      <c r="AJ1193" s="12" t="n"/>
      <c r="AK1193" s="53">
        <f>IF(AND(W1193="X",M1193&lt;=$AJ$2),"YES","")</f>
        <v/>
      </c>
      <c r="AL1193" s="54">
        <f>IF(AND(W1193="X",M1193&lt;=$AJ$2),S1193,"")</f>
        <v/>
      </c>
      <c r="AM1193" s="35" t="n"/>
      <c r="AN1193" s="35">
        <f>IF(AND(W1193="X",M1193&gt;$AJ$2),S1193,"")</f>
        <v/>
      </c>
      <c r="AO1193" s="35">
        <f>IF(AND(W1193="",M1193&gt;0,$AJ$2&gt;M1193,L1193=""),1,0)</f>
        <v/>
      </c>
      <c r="AP1193" s="35">
        <f>IF(AND(AK1193="YES",W1193="X"),"X","")</f>
        <v/>
      </c>
      <c r="AQ1193" s="55">
        <f>IF(AP1193="X",100%,0%)</f>
        <v/>
      </c>
      <c r="AR1193" s="25">
        <f>IF(AND(T1193&gt;0,L1193=""),H1193,"")</f>
        <v/>
      </c>
      <c r="AS1193" s="25">
        <f>IF(AND(D1193&gt;0,H1193=0,G1193=""),1,"")</f>
        <v/>
      </c>
      <c r="AT1193" s="25">
        <f>IF(G1193="BLOQ",1,"")</f>
        <v/>
      </c>
      <c r="AU1193" s="25">
        <f>IF(L1193="BLOQ",1,"")</f>
        <v/>
      </c>
      <c r="AV1193" s="25">
        <f>MONTH(F1193)</f>
        <v/>
      </c>
      <c r="AW1193" s="65">
        <f>IF(AP1193="",100%,0%)</f>
        <v/>
      </c>
      <c r="AX1193" s="56" t="n"/>
      <c r="AY1193" s="24">
        <f>IF(M1193=0,"",M1193-$AX$2)</f>
        <v/>
      </c>
      <c r="AZ1193" s="66">
        <f>IF(AND(W1193="",AY1193&gt;0,AY1193&lt;15),1,0)</f>
        <v/>
      </c>
      <c r="BA1193" s="24">
        <f>IF(AND(W1193="",AY1193&gt;0,AY1193&lt;15),T1193,"")</f>
        <v/>
      </c>
      <c r="BB1193" s="87">
        <f>IF(R1193&lt;Q1193,"X","")</f>
        <v/>
      </c>
      <c r="BC1193" s="190" t="inlineStr">
        <is>
          <t>NO</t>
        </is>
      </c>
      <c r="BD1193" s="191" t="inlineStr">
        <is>
          <t>SI</t>
        </is>
      </c>
    </row>
    <row r="1194" ht="15" customHeight="1" s="162">
      <c r="A1194" s="7" t="n">
        <v>1193</v>
      </c>
      <c r="B1194" t="inlineStr">
        <is>
          <t>1220114402004</t>
        </is>
      </c>
      <c r="C1194" t="inlineStr">
        <is>
          <t>CBL FLEX 1X4MM2 750V H07V-K VERDE/AMARIL</t>
        </is>
      </c>
      <c r="D1194" t="inlineStr">
        <is>
          <t>1800110418</t>
        </is>
      </c>
      <c r="E1194" t="inlineStr">
        <is>
          <t>10</t>
        </is>
      </c>
      <c r="F1194" s="163" t="n">
        <v>45490</v>
      </c>
      <c r="G1194" t="inlineStr"/>
      <c r="H1194" t="inlineStr">
        <is>
          <t>4200574196</t>
        </is>
      </c>
      <c r="I1194" t="inlineStr">
        <is>
          <t>190</t>
        </is>
      </c>
      <c r="J1194" s="163" t="n">
        <v>45513</v>
      </c>
      <c r="K1194" s="163" t="n">
        <v>46009</v>
      </c>
      <c r="L1194" t="inlineStr"/>
      <c r="M1194" s="163" t="n">
        <v>45529</v>
      </c>
      <c r="N1194" s="164" t="n">
        <v>85</v>
      </c>
      <c r="O1194" s="164" t="n">
        <v>8</v>
      </c>
      <c r="P1194" t="inlineStr">
        <is>
          <t>Liberado</t>
        </is>
      </c>
      <c r="Q1194" s="165" t="n">
        <v>300</v>
      </c>
      <c r="R1194" s="165" t="n">
        <v>300</v>
      </c>
      <c r="S1194" s="165" t="n">
        <v>300</v>
      </c>
      <c r="T1194" s="165" t="n">
        <v>0</v>
      </c>
      <c r="U1194" s="166" t="n">
        <v>300</v>
      </c>
      <c r="V1194" s="166" t="n">
        <v>0</v>
      </c>
      <c r="W1194" t="inlineStr">
        <is>
          <t>X</t>
        </is>
      </c>
      <c r="X1194" t="inlineStr">
        <is>
          <t>0.00</t>
        </is>
      </c>
      <c r="Y1194" t="inlineStr"/>
      <c r="Z1194" t="inlineStr">
        <is>
          <t>TELKRON, S.A.</t>
        </is>
      </c>
      <c r="AA1194" t="inlineStr">
        <is>
          <t>RS PRO</t>
        </is>
      </c>
      <c r="AB1194" t="inlineStr">
        <is>
          <t>902-8432</t>
        </is>
      </c>
      <c r="AC1194" t="inlineStr"/>
      <c r="AD1194" s="164" t="n">
        <v>1</v>
      </c>
      <c r="AE1194" s="185" t="n">
        <v>1</v>
      </c>
      <c r="AG1194" s="167" t="inlineStr">
        <is>
          <t>7218|JA2582_1001</t>
        </is>
      </c>
      <c r="AH1194" s="47">
        <f>IF(M1194=0,"-",M1194-J1194)</f>
        <v/>
      </c>
      <c r="AI1194" s="46">
        <f>IF(AND(S1194=0,M1194&gt;0,L1194=0),IF(AH1194&gt;=120,"VERY HIGH",IF(AH1194&gt;=90,"HIGH",IF(AH1194&gt;=60,"MEDIUM",IF(AH1194&lt;60,"LOW")))),"-")</f>
        <v/>
      </c>
      <c r="AJ1194" s="12" t="n"/>
      <c r="AK1194" s="53">
        <f>IF(AND(W1194="X",M1194&lt;=$AJ$2),"YES","")</f>
        <v/>
      </c>
      <c r="AL1194" s="54">
        <f>IF(AND(W1194="X",M1194&lt;=$AJ$2),S1194,"")</f>
        <v/>
      </c>
      <c r="AM1194" s="35" t="n"/>
      <c r="AN1194" s="35">
        <f>IF(AND(W1194="X",M1194&gt;$AJ$2),S1194,"")</f>
        <v/>
      </c>
      <c r="AO1194" s="35">
        <f>IF(AND(W1194="",M1194&gt;0,$AJ$2&gt;M1194,L1194=""),1,0)</f>
        <v/>
      </c>
      <c r="AP1194" s="35">
        <f>IF(AND(AK1194="YES",W1194="X"),"X","")</f>
        <v/>
      </c>
      <c r="AQ1194" s="55">
        <f>IF(AP1194="X",100%,0%)</f>
        <v/>
      </c>
      <c r="AR1194" s="25">
        <f>IF(AND(T1194&gt;0,L1194=""),H1194,"")</f>
        <v/>
      </c>
      <c r="AS1194" s="25">
        <f>IF(AND(D1194&gt;0,H1194=0,G1194=""),1,"")</f>
        <v/>
      </c>
      <c r="AT1194" s="25">
        <f>IF(G1194="BLOQ",1,"")</f>
        <v/>
      </c>
      <c r="AU1194" s="25">
        <f>IF(L1194="BLOQ",1,"")</f>
        <v/>
      </c>
      <c r="AV1194" s="25">
        <f>MONTH(F1194)</f>
        <v/>
      </c>
      <c r="AW1194" s="65">
        <f>IF(AP1194="",100%,0%)</f>
        <v/>
      </c>
      <c r="AX1194" s="56" t="n"/>
      <c r="AY1194" s="24">
        <f>IF(M1194=0,"",M1194-$AX$2)</f>
        <v/>
      </c>
      <c r="AZ1194" s="66">
        <f>IF(AND(W1194="",AY1194&gt;0,AY1194&lt;15),1,0)</f>
        <v/>
      </c>
      <c r="BA1194" s="24">
        <f>IF(AND(W1194="",AY1194&gt;0,AY1194&lt;15),T1194,"")</f>
        <v/>
      </c>
      <c r="BB1194" s="87">
        <f>IF(R1194&lt;Q1194,"X","")</f>
        <v/>
      </c>
      <c r="BC1194" s="190" t="inlineStr">
        <is>
          <t>NO</t>
        </is>
      </c>
      <c r="BD1194" s="191" t="inlineStr">
        <is>
          <t>SI</t>
        </is>
      </c>
    </row>
    <row r="1195" ht="15" customHeight="1" s="162">
      <c r="A1195" s="7" t="n">
        <v>1194</v>
      </c>
      <c r="B1195" t="inlineStr">
        <is>
          <t>1220114602013</t>
        </is>
      </c>
      <c r="C1195" t="inlineStr">
        <is>
          <t>VBL FLEX 1X6MM2 750V H07V-K VERDE/AMARIL</t>
        </is>
      </c>
      <c r="D1195" t="inlineStr">
        <is>
          <t>1800110418</t>
        </is>
      </c>
      <c r="E1195" t="inlineStr">
        <is>
          <t>20</t>
        </is>
      </c>
      <c r="F1195" s="163" t="n">
        <v>45490</v>
      </c>
      <c r="G1195" t="inlineStr"/>
      <c r="H1195" t="inlineStr">
        <is>
          <t>4200574196</t>
        </is>
      </c>
      <c r="I1195" t="inlineStr">
        <is>
          <t>200</t>
        </is>
      </c>
      <c r="J1195" s="163" t="n">
        <v>45513</v>
      </c>
      <c r="K1195" s="163" t="n">
        <v>46009</v>
      </c>
      <c r="L1195" t="inlineStr"/>
      <c r="M1195" s="163" t="n">
        <v>45529</v>
      </c>
      <c r="N1195" s="164" t="n">
        <v>85</v>
      </c>
      <c r="O1195" s="164" t="n">
        <v>8</v>
      </c>
      <c r="P1195" t="inlineStr">
        <is>
          <t>Liberado</t>
        </is>
      </c>
      <c r="Q1195" s="165" t="n">
        <v>200</v>
      </c>
      <c r="R1195" s="165" t="n">
        <v>200</v>
      </c>
      <c r="S1195" s="165" t="n">
        <v>200</v>
      </c>
      <c r="T1195" s="165" t="n">
        <v>0</v>
      </c>
      <c r="U1195" s="166" t="n">
        <v>200</v>
      </c>
      <c r="V1195" s="166" t="n">
        <v>0</v>
      </c>
      <c r="W1195" t="inlineStr">
        <is>
          <t>X</t>
        </is>
      </c>
      <c r="X1195" t="inlineStr">
        <is>
          <t>0.00</t>
        </is>
      </c>
      <c r="Y1195" t="inlineStr"/>
      <c r="Z1195" t="inlineStr">
        <is>
          <t>TELKRON, S.A.</t>
        </is>
      </c>
      <c r="AA1195" t="inlineStr">
        <is>
          <t>RS PRO</t>
        </is>
      </c>
      <c r="AB1195" t="inlineStr">
        <is>
          <t>902-8451</t>
        </is>
      </c>
      <c r="AC1195" t="inlineStr"/>
      <c r="AD1195" s="164" t="n">
        <v>1</v>
      </c>
      <c r="AE1195" s="185" t="n">
        <v>1</v>
      </c>
      <c r="AG1195" s="167" t="inlineStr">
        <is>
          <t>7218|JA2582_1001</t>
        </is>
      </c>
      <c r="AH1195" s="47">
        <f>IF(M1195=0,"-",M1195-J1195)</f>
        <v/>
      </c>
      <c r="AI1195" s="46">
        <f>IF(AND(S1195=0,M1195&gt;0,L1195=0),IF(AH1195&gt;=120,"VERY HIGH",IF(AH1195&gt;=90,"HIGH",IF(AH1195&gt;=60,"MEDIUM",IF(AH1195&lt;60,"LOW")))),"-")</f>
        <v/>
      </c>
      <c r="AJ1195" s="12" t="n"/>
      <c r="AK1195" s="53">
        <f>IF(AND(W1195="X",M1195&lt;=$AJ$2),"YES","")</f>
        <v/>
      </c>
      <c r="AL1195" s="54">
        <f>IF(AND(W1195="X",M1195&lt;=$AJ$2),S1195,"")</f>
        <v/>
      </c>
      <c r="AM1195" s="35" t="n"/>
      <c r="AN1195" s="35">
        <f>IF(AND(W1195="X",M1195&gt;$AJ$2),S1195,"")</f>
        <v/>
      </c>
      <c r="AO1195" s="35">
        <f>IF(AND(W1195="",M1195&gt;0,$AJ$2&gt;M1195,L1195=""),1,0)</f>
        <v/>
      </c>
      <c r="AP1195" s="35">
        <f>IF(AND(AK1195="YES",W1195="X"),"X","")</f>
        <v/>
      </c>
      <c r="AQ1195" s="55">
        <f>IF(AP1195="X",100%,0%)</f>
        <v/>
      </c>
      <c r="AR1195" s="25">
        <f>IF(AND(T1195&gt;0,L1195=""),H1195,"")</f>
        <v/>
      </c>
      <c r="AS1195" s="25">
        <f>IF(AND(D1195&gt;0,H1195=0,G1195=""),1,"")</f>
        <v/>
      </c>
      <c r="AT1195" s="25">
        <f>IF(G1195="BLOQ",1,"")</f>
        <v/>
      </c>
      <c r="AU1195" s="25">
        <f>IF(L1195="BLOQ",1,"")</f>
        <v/>
      </c>
      <c r="AV1195" s="25">
        <f>MONTH(F1195)</f>
        <v/>
      </c>
      <c r="AW1195" s="65">
        <f>IF(AP1195="",100%,0%)</f>
        <v/>
      </c>
      <c r="AX1195" s="56" t="n"/>
      <c r="AY1195" s="24">
        <f>IF(M1195=0,"",M1195-$AX$2)</f>
        <v/>
      </c>
      <c r="AZ1195" s="66">
        <f>IF(AND(W1195="",AY1195&gt;0,AY1195&lt;15),1,0)</f>
        <v/>
      </c>
      <c r="BA1195" s="24">
        <f>IF(AND(W1195="",AY1195&gt;0,AY1195&lt;15),T1195,"")</f>
        <v/>
      </c>
      <c r="BB1195" s="87">
        <f>IF(R1195&lt;Q1195,"X","")</f>
        <v/>
      </c>
      <c r="BC1195" s="190" t="inlineStr">
        <is>
          <t>NO</t>
        </is>
      </c>
      <c r="BD1195" s="191" t="inlineStr">
        <is>
          <t>SI</t>
        </is>
      </c>
    </row>
    <row r="1196" ht="15" customHeight="1" s="162">
      <c r="A1196" s="7" t="n">
        <v>1195</v>
      </c>
      <c r="B1196" t="inlineStr">
        <is>
          <t>1000242711000</t>
        </is>
      </c>
      <c r="C1196" t="inlineStr">
        <is>
          <t>RST PELMET 2K74 1% 1/4W 50PPM 0207 ROHS</t>
        </is>
      </c>
      <c r="D1196" t="inlineStr">
        <is>
          <t>1800110423</t>
        </is>
      </c>
      <c r="E1196" t="inlineStr">
        <is>
          <t>10</t>
        </is>
      </c>
      <c r="F1196" s="163" t="n">
        <v>45490</v>
      </c>
      <c r="G1196" t="inlineStr"/>
      <c r="H1196" t="inlineStr">
        <is>
          <t>4200572167</t>
        </is>
      </c>
      <c r="I1196" t="inlineStr">
        <is>
          <t>140</t>
        </is>
      </c>
      <c r="J1196" s="163" t="n">
        <v>45497</v>
      </c>
      <c r="K1196" s="163" t="n">
        <v>45497</v>
      </c>
      <c r="L1196" t="inlineStr"/>
      <c r="M1196" s="163" t="n">
        <v>45523</v>
      </c>
      <c r="N1196" s="164" t="n">
        <v>30</v>
      </c>
      <c r="O1196" s="164" t="n">
        <v>8</v>
      </c>
      <c r="P1196" t="inlineStr">
        <is>
          <t>Liberado</t>
        </is>
      </c>
      <c r="Q1196" s="165" t="n">
        <v>10</v>
      </c>
      <c r="R1196" s="165" t="n">
        <v>10</v>
      </c>
      <c r="S1196" s="165" t="n">
        <v>10</v>
      </c>
      <c r="T1196" s="165" t="n">
        <v>0</v>
      </c>
      <c r="U1196" s="166" t="n">
        <v>10</v>
      </c>
      <c r="V1196" s="166" t="n">
        <v>0</v>
      </c>
      <c r="W1196" t="inlineStr">
        <is>
          <t>X</t>
        </is>
      </c>
      <c r="X1196" t="inlineStr">
        <is>
          <t>0.00</t>
        </is>
      </c>
      <c r="Y1196" t="inlineStr"/>
      <c r="Z1196" t="inlineStr">
        <is>
          <t>TCX MICRO, S.L.U</t>
        </is>
      </c>
      <c r="AA1196" t="inlineStr">
        <is>
          <t>ROYAL OHM</t>
        </is>
      </c>
      <c r="AB1196" t="inlineStr">
        <is>
          <t>MF 1/4W 1% 50PPM T/B-1000 2K74</t>
        </is>
      </c>
      <c r="AC1196" t="inlineStr"/>
      <c r="AD1196" s="164" t="n">
        <v>0</v>
      </c>
      <c r="AE1196" s="185" t="n">
        <v>0</v>
      </c>
      <c r="AG1196" s="167" t="inlineStr">
        <is>
          <t>7218|JA2584_1001</t>
        </is>
      </c>
      <c r="AH1196" s="47">
        <f>IF(M1196=0,"-",M1196-J1196)</f>
        <v/>
      </c>
      <c r="AI1196" s="46">
        <f>IF(AND(S1196=0,M1196&gt;0,L1196=0),IF(AH1196&gt;=120,"VERY HIGH",IF(AH1196&gt;=90,"HIGH",IF(AH1196&gt;=60,"MEDIUM",IF(AH1196&lt;60,"LOW")))),"-")</f>
        <v/>
      </c>
      <c r="AJ1196" s="12" t="n"/>
      <c r="AK1196" s="53">
        <f>IF(AND(W1196="X",M1196&lt;=$AJ$2),"YES","")</f>
        <v/>
      </c>
      <c r="AL1196" s="54">
        <f>IF(AND(W1196="X",M1196&lt;=$AJ$2),S1196,"")</f>
        <v/>
      </c>
      <c r="AM1196" s="35" t="n"/>
      <c r="AN1196" s="35">
        <f>IF(AND(W1196="X",M1196&gt;$AJ$2),S1196,"")</f>
        <v/>
      </c>
      <c r="AO1196" s="35">
        <f>IF(AND(W1196="",M1196&gt;0,$AJ$2&gt;M1196,L1196=""),1,0)</f>
        <v/>
      </c>
      <c r="AP1196" s="35">
        <f>IF(AND(AK1196="YES",W1196="X"),"X","")</f>
        <v/>
      </c>
      <c r="AQ1196" s="55">
        <f>IF(AP1196="X",100%,0%)</f>
        <v/>
      </c>
      <c r="AR1196" s="25">
        <f>IF(AND(T1196&gt;0,L1196=""),H1196,"")</f>
        <v/>
      </c>
      <c r="AS1196" s="25">
        <f>IF(AND(D1196&gt;0,H1196=0,G1196=""),1,"")</f>
        <v/>
      </c>
      <c r="AT1196" s="25">
        <f>IF(G1196="BLOQ",1,"")</f>
        <v/>
      </c>
      <c r="AU1196" s="25">
        <f>IF(L1196="BLOQ",1,"")</f>
        <v/>
      </c>
      <c r="AV1196" s="25">
        <f>MONTH(F1196)</f>
        <v/>
      </c>
      <c r="AW1196" s="65">
        <f>IF(AP1196="",100%,0%)</f>
        <v/>
      </c>
      <c r="AX1196" s="56" t="n"/>
      <c r="AY1196" s="24">
        <f>IF(M1196=0,"",M1196-$AX$2)</f>
        <v/>
      </c>
      <c r="AZ1196" s="66">
        <f>IF(AND(W1196="",AY1196&gt;0,AY1196&lt;15),1,0)</f>
        <v/>
      </c>
      <c r="BA1196" s="24">
        <f>IF(AND(W1196="",AY1196&gt;0,AY1196&lt;15),T1196,"")</f>
        <v/>
      </c>
      <c r="BB1196" s="87">
        <f>IF(R1196&lt;Q1196,"X","")</f>
        <v/>
      </c>
      <c r="BC1196" s="190" t="inlineStr">
        <is>
          <t>NO</t>
        </is>
      </c>
      <c r="BD1196" s="191" t="inlineStr">
        <is>
          <t>SI</t>
        </is>
      </c>
    </row>
    <row r="1197" ht="15" customHeight="1" s="162">
      <c r="A1197" s="7" t="n">
        <v>1196</v>
      </c>
      <c r="B1197" t="inlineStr">
        <is>
          <t>1206500321500</t>
        </is>
      </c>
      <c r="C1197" t="inlineStr">
        <is>
          <t>CNC AUDIO XLR 3M 16A PLUG ACOD SOLD RX</t>
        </is>
      </c>
      <c r="D1197" t="inlineStr">
        <is>
          <t>1800110423</t>
        </is>
      </c>
      <c r="E1197" t="inlineStr">
        <is>
          <t>20</t>
        </is>
      </c>
      <c r="F1197" s="163" t="n">
        <v>45490</v>
      </c>
      <c r="G1197" t="inlineStr"/>
      <c r="H1197" t="inlineStr">
        <is>
          <t>4200572835</t>
        </is>
      </c>
      <c r="I1197" t="inlineStr">
        <is>
          <t>10</t>
        </is>
      </c>
      <c r="J1197" s="163" t="n">
        <v>45503</v>
      </c>
      <c r="K1197" s="163" t="n">
        <v>45545</v>
      </c>
      <c r="L1197" t="inlineStr"/>
      <c r="M1197" s="163" t="n">
        <v>45523</v>
      </c>
      <c r="N1197" s="164" t="n">
        <v>85</v>
      </c>
      <c r="O1197" s="164" t="n">
        <v>8</v>
      </c>
      <c r="P1197" t="inlineStr">
        <is>
          <t>Liberado</t>
        </is>
      </c>
      <c r="Q1197" s="165" t="n">
        <v>20</v>
      </c>
      <c r="R1197" s="165" t="n">
        <v>20</v>
      </c>
      <c r="S1197" s="165" t="n">
        <v>20</v>
      </c>
      <c r="T1197" s="165" t="n">
        <v>0</v>
      </c>
      <c r="U1197" s="166" t="n">
        <v>20</v>
      </c>
      <c r="V1197" s="166" t="n">
        <v>0</v>
      </c>
      <c r="W1197" t="inlineStr">
        <is>
          <t>X</t>
        </is>
      </c>
      <c r="X1197" t="inlineStr">
        <is>
          <t>0.00</t>
        </is>
      </c>
      <c r="Y1197" t="inlineStr"/>
      <c r="Z1197" t="inlineStr">
        <is>
          <t>MOUSER ELECTRONICS, INC.</t>
        </is>
      </c>
      <c r="AA1197" t="inlineStr">
        <is>
          <t>NEUTRIK</t>
        </is>
      </c>
      <c r="AB1197" t="inlineStr">
        <is>
          <t>NC3MRX</t>
        </is>
      </c>
      <c r="AC1197" t="inlineStr"/>
      <c r="AD1197" s="164" t="n">
        <v>0</v>
      </c>
      <c r="AE1197" s="185" t="n">
        <v>0</v>
      </c>
      <c r="AG1197" s="167" t="inlineStr">
        <is>
          <t>7218|JA2584_1001</t>
        </is>
      </c>
      <c r="AH1197" s="47">
        <f>IF(M1197=0,"-",M1197-J1197)</f>
        <v/>
      </c>
      <c r="AI1197" s="46">
        <f>IF(AND(S1197=0,M1197&gt;0,L1197=0),IF(AH1197&gt;=120,"VERY HIGH",IF(AH1197&gt;=90,"HIGH",IF(AH1197&gt;=60,"MEDIUM",IF(AH1197&lt;60,"LOW")))),"-")</f>
        <v/>
      </c>
      <c r="AJ1197" s="12" t="n"/>
      <c r="AK1197" s="53">
        <f>IF(AND(W1197="X",M1197&lt;=$AJ$2),"YES","")</f>
        <v/>
      </c>
      <c r="AL1197" s="54">
        <f>IF(AND(W1197="X",M1197&lt;=$AJ$2),S1197,"")</f>
        <v/>
      </c>
      <c r="AM1197" s="35" t="n"/>
      <c r="AN1197" s="35">
        <f>IF(AND(W1197="X",M1197&gt;$AJ$2),S1197,"")</f>
        <v/>
      </c>
      <c r="AO1197" s="35">
        <f>IF(AND(W1197="",M1197&gt;0,$AJ$2&gt;M1197,L1197=""),1,0)</f>
        <v/>
      </c>
      <c r="AP1197" s="35">
        <f>IF(AND(AK1197="YES",W1197="X"),"X","")</f>
        <v/>
      </c>
      <c r="AQ1197" s="55">
        <f>IF(AP1197="X",100%,0%)</f>
        <v/>
      </c>
      <c r="AR1197" s="25">
        <f>IF(AND(T1197&gt;0,L1197=""),H1197,"")</f>
        <v/>
      </c>
      <c r="AS1197" s="25">
        <f>IF(AND(D1197&gt;0,H1197=0,G1197=""),1,"")</f>
        <v/>
      </c>
      <c r="AT1197" s="25">
        <f>IF(G1197="BLOQ",1,"")</f>
        <v/>
      </c>
      <c r="AU1197" s="25">
        <f>IF(L1197="BLOQ",1,"")</f>
        <v/>
      </c>
      <c r="AV1197" s="25">
        <f>MONTH(F1197)</f>
        <v/>
      </c>
      <c r="AW1197" s="65">
        <f>IF(AP1197="",100%,0%)</f>
        <v/>
      </c>
      <c r="AX1197" s="56" t="n"/>
      <c r="AY1197" s="24">
        <f>IF(M1197=0,"",M1197-$AX$2)</f>
        <v/>
      </c>
      <c r="AZ1197" s="66">
        <f>IF(AND(W1197="",AY1197&gt;0,AY1197&lt;15),1,0)</f>
        <v/>
      </c>
      <c r="BA1197" s="24">
        <f>IF(AND(W1197="",AY1197&gt;0,AY1197&lt;15),T1197,"")</f>
        <v/>
      </c>
      <c r="BB1197" s="87">
        <f>IF(R1197&lt;Q1197,"X","")</f>
        <v/>
      </c>
      <c r="BC1197" s="190" t="inlineStr">
        <is>
          <t>NO</t>
        </is>
      </c>
      <c r="BD1197" s="191" t="inlineStr">
        <is>
          <t>SI</t>
        </is>
      </c>
    </row>
    <row r="1198" ht="15" customHeight="1" s="162">
      <c r="A1198" s="7" t="n">
        <v>1197</v>
      </c>
      <c r="B1198" t="inlineStr">
        <is>
          <t>1206500328000</t>
        </is>
      </c>
      <c r="C1198" t="inlineStr">
        <is>
          <t>CNC JACK PLUG(M) STEREO 3,5MM RECT SOLD</t>
        </is>
      </c>
      <c r="D1198" t="inlineStr">
        <is>
          <t>1800110423</t>
        </is>
      </c>
      <c r="E1198" t="inlineStr">
        <is>
          <t>30</t>
        </is>
      </c>
      <c r="F1198" s="163" t="n">
        <v>45490</v>
      </c>
      <c r="G1198" t="inlineStr"/>
      <c r="H1198" t="inlineStr">
        <is>
          <t>4200574843</t>
        </is>
      </c>
      <c r="I1198" t="inlineStr">
        <is>
          <t>10</t>
        </is>
      </c>
      <c r="J1198" s="163" t="n">
        <v>45524</v>
      </c>
      <c r="K1198" s="163" t="n">
        <v>45562</v>
      </c>
      <c r="L1198" t="inlineStr"/>
      <c r="M1198" s="163" t="n">
        <v>45579</v>
      </c>
      <c r="N1198" s="164" t="n">
        <v>85</v>
      </c>
      <c r="O1198" s="164" t="n">
        <v>8</v>
      </c>
      <c r="P1198" t="inlineStr">
        <is>
          <t>Liberado</t>
        </is>
      </c>
      <c r="Q1198" s="165" t="n">
        <v>5</v>
      </c>
      <c r="R1198" s="165" t="n">
        <v>5</v>
      </c>
      <c r="S1198" s="165" t="n">
        <v>5</v>
      </c>
      <c r="T1198" s="165" t="n">
        <v>0</v>
      </c>
      <c r="U1198" s="166" t="n">
        <v>5</v>
      </c>
      <c r="V1198" s="166" t="n">
        <v>0</v>
      </c>
      <c r="W1198" t="inlineStr">
        <is>
          <t>X</t>
        </is>
      </c>
      <c r="X1198" t="inlineStr">
        <is>
          <t>0.00</t>
        </is>
      </c>
      <c r="Y1198" t="inlineStr"/>
      <c r="Z1198" t="inlineStr">
        <is>
          <t>SUMINISTROS CONECTORES PROF.,SA.</t>
        </is>
      </c>
      <c r="AA1198" t="inlineStr">
        <is>
          <t>LUMBERG CONNECT GMBH</t>
        </is>
      </c>
      <c r="AB1198" t="inlineStr">
        <is>
          <t>KLS 40</t>
        </is>
      </c>
      <c r="AC1198" t="inlineStr"/>
      <c r="AD1198" s="164" t="n">
        <v>1</v>
      </c>
      <c r="AE1198" s="185" t="n">
        <v>0</v>
      </c>
      <c r="AG1198" s="167" t="inlineStr">
        <is>
          <t>7218|JA2584_1001</t>
        </is>
      </c>
      <c r="AH1198" s="47">
        <f>IF(M1198=0,"-",M1198-J1198)</f>
        <v/>
      </c>
      <c r="AI1198" s="46">
        <f>IF(AND(S1198=0,M1198&gt;0,L1198=0),IF(AH1198&gt;=120,"VERY HIGH",IF(AH1198&gt;=90,"HIGH",IF(AH1198&gt;=60,"MEDIUM",IF(AH1198&lt;60,"LOW")))),"-")</f>
        <v/>
      </c>
      <c r="AJ1198" s="12" t="n"/>
      <c r="AK1198" s="53">
        <f>IF(AND(W1198="X",M1198&lt;=$AJ$2),"YES","")</f>
        <v/>
      </c>
      <c r="AL1198" s="54">
        <f>IF(AND(W1198="X",M1198&lt;=$AJ$2),S1198,"")</f>
        <v/>
      </c>
      <c r="AM1198" s="35" t="n"/>
      <c r="AN1198" s="35">
        <f>IF(AND(W1198="X",M1198&gt;$AJ$2),S1198,"")</f>
        <v/>
      </c>
      <c r="AO1198" s="35">
        <f>IF(AND(W1198="",M1198&gt;0,$AJ$2&gt;M1198,L1198=""),1,0)</f>
        <v/>
      </c>
      <c r="AP1198" s="35">
        <f>IF(AND(AK1198="YES",W1198="X"),"X","")</f>
        <v/>
      </c>
      <c r="AQ1198" s="55">
        <f>IF(AP1198="X",100%,0%)</f>
        <v/>
      </c>
      <c r="AR1198" s="25">
        <f>IF(AND(T1198&gt;0,L1198=""),H1198,"")</f>
        <v/>
      </c>
      <c r="AS1198" s="25">
        <f>IF(AND(D1198&gt;0,H1198=0,G1198=""),1,"")</f>
        <v/>
      </c>
      <c r="AT1198" s="25">
        <f>IF(G1198="BLOQ",1,"")</f>
        <v/>
      </c>
      <c r="AU1198" s="25">
        <f>IF(L1198="BLOQ",1,"")</f>
        <v/>
      </c>
      <c r="AV1198" s="25">
        <f>MONTH(F1198)</f>
        <v/>
      </c>
      <c r="AW1198" s="65">
        <f>IF(AP1198="",100%,0%)</f>
        <v/>
      </c>
      <c r="AX1198" s="56" t="n"/>
      <c r="AY1198" s="24">
        <f>IF(M1198=0,"",M1198-$AX$2)</f>
        <v/>
      </c>
      <c r="AZ1198" s="66">
        <f>IF(AND(W1198="",AY1198&gt;0,AY1198&lt;15),1,0)</f>
        <v/>
      </c>
      <c r="BA1198" s="24">
        <f>IF(AND(W1198="",AY1198&gt;0,AY1198&lt;15),T1198,"")</f>
        <v/>
      </c>
      <c r="BB1198" s="87">
        <f>IF(R1198&lt;Q1198,"X","")</f>
        <v/>
      </c>
      <c r="BC1198" s="190" t="inlineStr">
        <is>
          <t>NO</t>
        </is>
      </c>
      <c r="BD1198" s="191" t="inlineStr">
        <is>
          <t>SI</t>
        </is>
      </c>
    </row>
    <row r="1199" ht="15" customHeight="1" s="162">
      <c r="A1199" s="7" t="n">
        <v>1198</v>
      </c>
      <c r="B1199" t="inlineStr">
        <is>
          <t>1208000220002</t>
        </is>
      </c>
      <c r="C1199" t="inlineStr">
        <is>
          <t>CNC ENCHUFE ALIM 2P 250VAC TYPE F 16A RO</t>
        </is>
      </c>
      <c r="D1199" t="inlineStr">
        <is>
          <t>1800110423</t>
        </is>
      </c>
      <c r="E1199" t="inlineStr">
        <is>
          <t>40</t>
        </is>
      </c>
      <c r="F1199" s="163" t="n">
        <v>45490</v>
      </c>
      <c r="G1199" t="inlineStr"/>
      <c r="H1199" t="inlineStr">
        <is>
          <t>4200574196</t>
        </is>
      </c>
      <c r="I1199" t="inlineStr">
        <is>
          <t>210</t>
        </is>
      </c>
      <c r="J1199" s="163" t="n">
        <v>45513</v>
      </c>
      <c r="K1199" s="163" t="n">
        <v>46009</v>
      </c>
      <c r="L1199" t="inlineStr"/>
      <c r="M1199" s="163" t="n">
        <v>45529</v>
      </c>
      <c r="N1199" s="164" t="n">
        <v>80</v>
      </c>
      <c r="O1199" s="164" t="n">
        <v>8</v>
      </c>
      <c r="P1199" t="inlineStr">
        <is>
          <t>Liberado</t>
        </is>
      </c>
      <c r="Q1199" s="165" t="n">
        <v>20</v>
      </c>
      <c r="R1199" s="165" t="n">
        <v>20</v>
      </c>
      <c r="S1199" s="165" t="n">
        <v>20</v>
      </c>
      <c r="T1199" s="165" t="n">
        <v>0</v>
      </c>
      <c r="U1199" s="166" t="n">
        <v>20</v>
      </c>
      <c r="V1199" s="166" t="n">
        <v>0</v>
      </c>
      <c r="W1199" t="inlineStr">
        <is>
          <t>X</t>
        </is>
      </c>
      <c r="X1199" t="inlineStr">
        <is>
          <t>0.00</t>
        </is>
      </c>
      <c r="Y1199" t="inlineStr"/>
      <c r="Z1199" t="inlineStr">
        <is>
          <t>TELKRON, S.A.</t>
        </is>
      </c>
      <c r="AA1199" t="inlineStr">
        <is>
          <t>RS PRO</t>
        </is>
      </c>
      <c r="AB1199" t="inlineStr">
        <is>
          <t>8496112</t>
        </is>
      </c>
      <c r="AC1199" t="inlineStr"/>
      <c r="AD1199" s="164" t="n">
        <v>1</v>
      </c>
      <c r="AE1199" s="185" t="n">
        <v>1</v>
      </c>
      <c r="AG1199" s="167" t="inlineStr">
        <is>
          <t>7218|JA2584_1001</t>
        </is>
      </c>
      <c r="AH1199" s="47">
        <f>IF(M1199=0,"-",M1199-J1199)</f>
        <v/>
      </c>
      <c r="AI1199" s="46">
        <f>IF(AND(S1199=0,M1199&gt;0,L1199=0),IF(AH1199&gt;=120,"VERY HIGH",IF(AH1199&gt;=90,"HIGH",IF(AH1199&gt;=60,"MEDIUM",IF(AH1199&lt;60,"LOW")))),"-")</f>
        <v/>
      </c>
      <c r="AJ1199" s="12" t="n"/>
      <c r="AK1199" s="53">
        <f>IF(AND(W1199="X",M1199&lt;=$AJ$2),"YES","")</f>
        <v/>
      </c>
      <c r="AL1199" s="54">
        <f>IF(AND(W1199="X",M1199&lt;=$AJ$2),S1199,"")</f>
        <v/>
      </c>
      <c r="AM1199" s="35" t="n"/>
      <c r="AN1199" s="35">
        <f>IF(AND(W1199="X",M1199&gt;$AJ$2),S1199,"")</f>
        <v/>
      </c>
      <c r="AO1199" s="35">
        <f>IF(AND(W1199="",M1199&gt;0,$AJ$2&gt;M1199,L1199=""),1,0)</f>
        <v/>
      </c>
      <c r="AP1199" s="35">
        <f>IF(AND(AK1199="YES",W1199="X"),"X","")</f>
        <v/>
      </c>
      <c r="AQ1199" s="55">
        <f>IF(AP1199="X",100%,0%)</f>
        <v/>
      </c>
      <c r="AR1199" s="25">
        <f>IF(AND(T1199&gt;0,L1199=""),H1199,"")</f>
        <v/>
      </c>
      <c r="AS1199" s="25">
        <f>IF(AND(D1199&gt;0,H1199=0,G1199=""),1,"")</f>
        <v/>
      </c>
      <c r="AT1199" s="25">
        <f>IF(G1199="BLOQ",1,"")</f>
        <v/>
      </c>
      <c r="AU1199" s="25">
        <f>IF(L1199="BLOQ",1,"")</f>
        <v/>
      </c>
      <c r="AV1199" s="25">
        <f>MONTH(F1199)</f>
        <v/>
      </c>
      <c r="AW1199" s="65">
        <f>IF(AP1199="",100%,0%)</f>
        <v/>
      </c>
      <c r="AX1199" s="56" t="n"/>
      <c r="AY1199" s="24">
        <f>IF(M1199=0,"",M1199-$AX$2)</f>
        <v/>
      </c>
      <c r="AZ1199" s="66">
        <f>IF(AND(W1199="",AY1199&gt;0,AY1199&lt;15),1,0)</f>
        <v/>
      </c>
      <c r="BA1199" s="24">
        <f>IF(AND(W1199="",AY1199&gt;0,AY1199&lt;15),T1199,"")</f>
        <v/>
      </c>
      <c r="BB1199" s="87">
        <f>IF(R1199&lt;Q1199,"X","")</f>
        <v/>
      </c>
      <c r="BC1199" s="190" t="inlineStr">
        <is>
          <t>NO</t>
        </is>
      </c>
      <c r="BD1199" s="191" t="inlineStr">
        <is>
          <t>SI</t>
        </is>
      </c>
    </row>
    <row r="1200" ht="15" customHeight="1" s="162">
      <c r="A1200" s="7" t="n">
        <v>1199</v>
      </c>
      <c r="B1200" t="inlineStr">
        <is>
          <t>1209001020000</t>
        </is>
      </c>
      <c r="C1200" t="inlineStr">
        <is>
          <t>CNC HEADER 10P (M) PASO 3,96MM S/PCB SER</t>
        </is>
      </c>
      <c r="D1200" t="inlineStr">
        <is>
          <t>1800110423</t>
        </is>
      </c>
      <c r="E1200" t="inlineStr">
        <is>
          <t>50</t>
        </is>
      </c>
      <c r="F1200" s="163" t="n">
        <v>45490</v>
      </c>
      <c r="G1200" t="inlineStr"/>
      <c r="H1200" t="inlineStr">
        <is>
          <t>4200573533</t>
        </is>
      </c>
      <c r="I1200" t="inlineStr">
        <is>
          <t>10</t>
        </is>
      </c>
      <c r="J1200" s="163" t="n">
        <v>45509</v>
      </c>
      <c r="K1200" s="163" t="n">
        <v>45509</v>
      </c>
      <c r="L1200" t="inlineStr"/>
      <c r="M1200" s="163" t="n">
        <v>45523</v>
      </c>
      <c r="N1200" s="164" t="n">
        <v>85</v>
      </c>
      <c r="O1200" s="164" t="n">
        <v>8</v>
      </c>
      <c r="P1200" t="inlineStr">
        <is>
          <t>Liberado</t>
        </is>
      </c>
      <c r="Q1200" s="165" t="n">
        <v>10</v>
      </c>
      <c r="R1200" s="165" t="n">
        <v>10</v>
      </c>
      <c r="S1200" s="165" t="n">
        <v>10</v>
      </c>
      <c r="T1200" s="165" t="n">
        <v>0</v>
      </c>
      <c r="U1200" s="166" t="n">
        <v>10</v>
      </c>
      <c r="V1200" s="166" t="n">
        <v>0</v>
      </c>
      <c r="W1200" t="inlineStr">
        <is>
          <t>X</t>
        </is>
      </c>
      <c r="X1200" t="inlineStr">
        <is>
          <t>0.00</t>
        </is>
      </c>
      <c r="Y1200" t="inlineStr"/>
      <c r="Z1200" t="inlineStr">
        <is>
          <t>CENVALSA, S.L.</t>
        </is>
      </c>
      <c r="AA1200" t="inlineStr">
        <is>
          <t>CONEXCON</t>
        </is>
      </c>
      <c r="AB1200" t="inlineStr">
        <is>
          <t>3968-2101</t>
        </is>
      </c>
      <c r="AC1200" t="inlineStr"/>
      <c r="AD1200" s="164" t="n">
        <v>0</v>
      </c>
      <c r="AE1200" s="185" t="n">
        <v>0</v>
      </c>
      <c r="AG1200" s="167" t="inlineStr">
        <is>
          <t>7218|JA2584_1001</t>
        </is>
      </c>
      <c r="AH1200" s="47">
        <f>IF(M1200=0,"-",M1200-J1200)</f>
        <v/>
      </c>
      <c r="AI1200" s="46">
        <f>IF(AND(S1200=0,M1200&gt;0,L1200=0),IF(AH1200&gt;=120,"VERY HIGH",IF(AH1200&gt;=90,"HIGH",IF(AH1200&gt;=60,"MEDIUM",IF(AH1200&lt;60,"LOW")))),"-")</f>
        <v/>
      </c>
      <c r="AJ1200" s="12" t="n"/>
      <c r="AK1200" s="53">
        <f>IF(AND(W1200="X",M1200&lt;=$AJ$2),"YES","")</f>
        <v/>
      </c>
      <c r="AL1200" s="54">
        <f>IF(AND(W1200="X",M1200&lt;=$AJ$2),S1200,"")</f>
        <v/>
      </c>
      <c r="AM1200" s="35" t="n"/>
      <c r="AN1200" s="35">
        <f>IF(AND(W1200="X",M1200&gt;$AJ$2),S1200,"")</f>
        <v/>
      </c>
      <c r="AO1200" s="35">
        <f>IF(AND(W1200="",M1200&gt;0,$AJ$2&gt;M1200,L1200=""),1,0)</f>
        <v/>
      </c>
      <c r="AP1200" s="35">
        <f>IF(AND(AK1200="YES",W1200="X"),"X","")</f>
        <v/>
      </c>
      <c r="AQ1200" s="55">
        <f>IF(AP1200="X",100%,0%)</f>
        <v/>
      </c>
      <c r="AR1200" s="25">
        <f>IF(AND(T1200&gt;0,L1200=""),H1200,"")</f>
        <v/>
      </c>
      <c r="AS1200" s="25">
        <f>IF(AND(D1200&gt;0,H1200=0,G1200=""),1,"")</f>
        <v/>
      </c>
      <c r="AT1200" s="25">
        <f>IF(G1200="BLOQ",1,"")</f>
        <v/>
      </c>
      <c r="AU1200" s="25">
        <f>IF(L1200="BLOQ",1,"")</f>
        <v/>
      </c>
      <c r="AV1200" s="25">
        <f>MONTH(F1200)</f>
        <v/>
      </c>
      <c r="AW1200" s="65">
        <f>IF(AP1200="",100%,0%)</f>
        <v/>
      </c>
      <c r="AX1200" s="56" t="n"/>
      <c r="AY1200" s="24">
        <f>IF(M1200=0,"",M1200-$AX$2)</f>
        <v/>
      </c>
      <c r="AZ1200" s="66">
        <f>IF(AND(W1200="",AY1200&gt;0,AY1200&lt;15),1,0)</f>
        <v/>
      </c>
      <c r="BA1200" s="24">
        <f>IF(AND(W1200="",AY1200&gt;0,AY1200&lt;15),T1200,"")</f>
        <v/>
      </c>
      <c r="BB1200" s="87">
        <f>IF(R1200&lt;Q1200,"X","")</f>
        <v/>
      </c>
      <c r="BC1200" s="190" t="inlineStr">
        <is>
          <t>NO</t>
        </is>
      </c>
      <c r="BD1200" s="191" t="inlineStr">
        <is>
          <t>SI</t>
        </is>
      </c>
    </row>
    <row r="1201" ht="15" customHeight="1" s="162">
      <c r="A1201" s="7" t="n">
        <v>1200</v>
      </c>
      <c r="B1201" t="inlineStr">
        <is>
          <t>1218000320500</t>
        </is>
      </c>
      <c r="C1201" t="inlineStr">
        <is>
          <t>CNC RED 3H RECT 240V 10A IEC320-C13 SCRW</t>
        </is>
      </c>
      <c r="D1201" t="inlineStr">
        <is>
          <t>1800110423</t>
        </is>
      </c>
      <c r="E1201" t="inlineStr">
        <is>
          <t>60</t>
        </is>
      </c>
      <c r="F1201" s="163" t="n">
        <v>45490</v>
      </c>
      <c r="G1201" t="inlineStr"/>
      <c r="H1201" t="inlineStr">
        <is>
          <t>4200574196</t>
        </is>
      </c>
      <c r="I1201" t="inlineStr">
        <is>
          <t>220</t>
        </is>
      </c>
      <c r="J1201" s="163" t="n">
        <v>45513</v>
      </c>
      <c r="K1201" s="163" t="n">
        <v>46009</v>
      </c>
      <c r="L1201" t="inlineStr"/>
      <c r="M1201" s="163" t="n">
        <v>45529</v>
      </c>
      <c r="N1201" s="164" t="n">
        <v>35</v>
      </c>
      <c r="O1201" s="164" t="n">
        <v>8</v>
      </c>
      <c r="P1201" t="inlineStr">
        <is>
          <t>Liberado</t>
        </is>
      </c>
      <c r="Q1201" s="165" t="n">
        <v>10</v>
      </c>
      <c r="R1201" s="165" t="n">
        <v>10</v>
      </c>
      <c r="S1201" s="165" t="n">
        <v>10</v>
      </c>
      <c r="T1201" s="165" t="n">
        <v>0</v>
      </c>
      <c r="U1201" s="166" t="n">
        <v>10</v>
      </c>
      <c r="V1201" s="166" t="n">
        <v>0</v>
      </c>
      <c r="W1201" t="inlineStr">
        <is>
          <t>X</t>
        </is>
      </c>
      <c r="X1201" t="inlineStr">
        <is>
          <t>0.00</t>
        </is>
      </c>
      <c r="Y1201" t="inlineStr"/>
      <c r="Z1201" t="inlineStr">
        <is>
          <t>TELKRON, S.A.</t>
        </is>
      </c>
      <c r="AA1201" t="inlineStr">
        <is>
          <t>RS</t>
        </is>
      </c>
      <c r="AB1201" t="inlineStr">
        <is>
          <t>488-208</t>
        </is>
      </c>
      <c r="AC1201" t="inlineStr"/>
      <c r="AD1201" s="164" t="n">
        <v>1</v>
      </c>
      <c r="AE1201" s="185" t="n">
        <v>1</v>
      </c>
      <c r="AG1201" s="167" t="inlineStr">
        <is>
          <t>7218|JA2584_1001</t>
        </is>
      </c>
      <c r="AH1201" s="47">
        <f>IF(M1201=0,"-",M1201-J1201)</f>
        <v/>
      </c>
      <c r="AI1201" s="46">
        <f>IF(AND(S1201=0,M1201&gt;0,L1201=0),IF(AH1201&gt;=120,"VERY HIGH",IF(AH1201&gt;=90,"HIGH",IF(AH1201&gt;=60,"MEDIUM",IF(AH1201&lt;60,"LOW")))),"-")</f>
        <v/>
      </c>
      <c r="AJ1201" s="12" t="n"/>
      <c r="AK1201" s="53">
        <f>IF(AND(W1201="X",M1201&lt;=$AJ$2),"YES","")</f>
        <v/>
      </c>
      <c r="AL1201" s="54">
        <f>IF(AND(W1201="X",M1201&lt;=$AJ$2),S1201,"")</f>
        <v/>
      </c>
      <c r="AM1201" s="35" t="n"/>
      <c r="AN1201" s="35">
        <f>IF(AND(W1201="X",M1201&gt;$AJ$2),S1201,"")</f>
        <v/>
      </c>
      <c r="AO1201" s="35">
        <f>IF(AND(W1201="",M1201&gt;0,$AJ$2&gt;M1201,L1201=""),1,0)</f>
        <v/>
      </c>
      <c r="AP1201" s="35">
        <f>IF(AND(AK1201="YES",W1201="X"),"X","")</f>
        <v/>
      </c>
      <c r="AQ1201" s="55">
        <f>IF(AP1201="X",100%,0%)</f>
        <v/>
      </c>
      <c r="AR1201" s="25">
        <f>IF(AND(T1201&gt;0,L1201=""),H1201,"")</f>
        <v/>
      </c>
      <c r="AS1201" s="25">
        <f>IF(AND(D1201&gt;0,H1201=0,G1201=""),1,"")</f>
        <v/>
      </c>
      <c r="AT1201" s="25">
        <f>IF(G1201="BLOQ",1,"")</f>
        <v/>
      </c>
      <c r="AU1201" s="25">
        <f>IF(L1201="BLOQ",1,"")</f>
        <v/>
      </c>
      <c r="AV1201" s="25">
        <f>MONTH(F1201)</f>
        <v/>
      </c>
      <c r="AW1201" s="65">
        <f>IF(AP1201="",100%,0%)</f>
        <v/>
      </c>
      <c r="AX1201" s="56" t="n"/>
      <c r="AY1201" s="24">
        <f>IF(M1201=0,"",M1201-$AX$2)</f>
        <v/>
      </c>
      <c r="AZ1201" s="66">
        <f>IF(AND(W1201="",AY1201&gt;0,AY1201&lt;15),1,0)</f>
        <v/>
      </c>
      <c r="BA1201" s="24">
        <f>IF(AND(W1201="",AY1201&gt;0,AY1201&lt;15),T1201,"")</f>
        <v/>
      </c>
      <c r="BB1201" s="87">
        <f>IF(R1201&lt;Q1201,"X","")</f>
        <v/>
      </c>
      <c r="BC1201" s="190" t="inlineStr">
        <is>
          <t>NO</t>
        </is>
      </c>
      <c r="BD1201" s="191" t="inlineStr">
        <is>
          <t>SI</t>
        </is>
      </c>
    </row>
    <row r="1202" ht="15" customHeight="1" s="162">
      <c r="A1202" s="7" t="n">
        <v>1201</v>
      </c>
      <c r="B1202" t="inlineStr">
        <is>
          <t>1218000320501</t>
        </is>
      </c>
      <c r="C1202" t="inlineStr">
        <is>
          <t>CNC RED 3H 250VAC 10A ACOD IEC</t>
        </is>
      </c>
      <c r="D1202" t="inlineStr">
        <is>
          <t>1800110423</t>
        </is>
      </c>
      <c r="E1202" t="inlineStr">
        <is>
          <t>70</t>
        </is>
      </c>
      <c r="F1202" s="163" t="n">
        <v>45490</v>
      </c>
      <c r="G1202" t="inlineStr"/>
      <c r="H1202" t="inlineStr">
        <is>
          <t>4200574509</t>
        </is>
      </c>
      <c r="I1202" t="inlineStr">
        <is>
          <t>120</t>
        </is>
      </c>
      <c r="J1202" s="163" t="n">
        <v>45518</v>
      </c>
      <c r="K1202" s="163" t="n">
        <v>45518</v>
      </c>
      <c r="L1202" t="inlineStr"/>
      <c r="M1202" s="163" t="n">
        <v>45534</v>
      </c>
      <c r="N1202" s="164" t="n">
        <v>30</v>
      </c>
      <c r="O1202" s="164" t="n">
        <v>8</v>
      </c>
      <c r="P1202" t="inlineStr">
        <is>
          <t>Liberado</t>
        </is>
      </c>
      <c r="Q1202" s="165" t="n">
        <v>10</v>
      </c>
      <c r="R1202" s="165" t="n">
        <v>10</v>
      </c>
      <c r="S1202" s="165" t="n">
        <v>10</v>
      </c>
      <c r="T1202" s="165" t="n">
        <v>0</v>
      </c>
      <c r="U1202" s="166" t="n">
        <v>10</v>
      </c>
      <c r="V1202" s="166" t="n">
        <v>0</v>
      </c>
      <c r="W1202" t="inlineStr">
        <is>
          <t>X</t>
        </is>
      </c>
      <c r="X1202" t="inlineStr">
        <is>
          <t>0.00</t>
        </is>
      </c>
      <c r="Y1202" t="inlineStr"/>
      <c r="Z1202" t="inlineStr">
        <is>
          <t>LUJISA, S.A.</t>
        </is>
      </c>
      <c r="AA1202" t="inlineStr">
        <is>
          <t>BULGIN</t>
        </is>
      </c>
      <c r="AB1202" t="inlineStr">
        <is>
          <t>PX0587/SE</t>
        </is>
      </c>
      <c r="AC1202" t="inlineStr"/>
      <c r="AD1202" s="164" t="n">
        <v>0</v>
      </c>
      <c r="AE1202" s="185" t="n">
        <v>0</v>
      </c>
      <c r="AG1202" s="167" t="inlineStr">
        <is>
          <t>7218|JA2584_1001</t>
        </is>
      </c>
      <c r="AH1202" s="47">
        <f>IF(M1202=0,"-",M1202-J1202)</f>
        <v/>
      </c>
      <c r="AI1202" s="46">
        <f>IF(AND(S1202=0,M1202&gt;0,L1202=0),IF(AH1202&gt;=120,"VERY HIGH",IF(AH1202&gt;=90,"HIGH",IF(AH1202&gt;=60,"MEDIUM",IF(AH1202&lt;60,"LOW")))),"-")</f>
        <v/>
      </c>
      <c r="AJ1202" s="12" t="n"/>
      <c r="AK1202" s="53">
        <f>IF(AND(W1202="X",M1202&lt;=$AJ$2),"YES","")</f>
        <v/>
      </c>
      <c r="AL1202" s="54">
        <f>IF(AND(W1202="X",M1202&lt;=$AJ$2),S1202,"")</f>
        <v/>
      </c>
      <c r="AM1202" s="35" t="n"/>
      <c r="AN1202" s="35">
        <f>IF(AND(W1202="X",M1202&gt;$AJ$2),S1202,"")</f>
        <v/>
      </c>
      <c r="AO1202" s="35">
        <f>IF(AND(W1202="",M1202&gt;0,$AJ$2&gt;M1202,L1202=""),1,0)</f>
        <v/>
      </c>
      <c r="AP1202" s="35">
        <f>IF(AND(AK1202="YES",W1202="X"),"X","")</f>
        <v/>
      </c>
      <c r="AQ1202" s="55">
        <f>IF(AP1202="X",100%,0%)</f>
        <v/>
      </c>
      <c r="AR1202" s="25">
        <f>IF(AND(T1202&gt;0,L1202=""),H1202,"")</f>
        <v/>
      </c>
      <c r="AS1202" s="25">
        <f>IF(AND(D1202&gt;0,H1202=0,G1202=""),1,"")</f>
        <v/>
      </c>
      <c r="AT1202" s="25">
        <f>IF(G1202="BLOQ",1,"")</f>
        <v/>
      </c>
      <c r="AU1202" s="25">
        <f>IF(L1202="BLOQ",1,"")</f>
        <v/>
      </c>
      <c r="AV1202" s="25">
        <f>MONTH(F1202)</f>
        <v/>
      </c>
      <c r="AW1202" s="65">
        <f>IF(AP1202="",100%,0%)</f>
        <v/>
      </c>
      <c r="AX1202" s="56" t="n"/>
      <c r="AY1202" s="24">
        <f>IF(M1202=0,"",M1202-$AX$2)</f>
        <v/>
      </c>
      <c r="AZ1202" s="66">
        <f>IF(AND(W1202="",AY1202&gt;0,AY1202&lt;15),1,0)</f>
        <v/>
      </c>
      <c r="BA1202" s="24">
        <f>IF(AND(W1202="",AY1202&gt;0,AY1202&lt;15),T1202,"")</f>
        <v/>
      </c>
      <c r="BB1202" s="87">
        <f>IF(R1202&lt;Q1202,"X","")</f>
        <v/>
      </c>
      <c r="BC1202" s="190" t="inlineStr">
        <is>
          <t>NO</t>
        </is>
      </c>
      <c r="BD1202" s="191" t="inlineStr">
        <is>
          <t>SI</t>
        </is>
      </c>
    </row>
    <row r="1203" ht="15" customHeight="1" s="162">
      <c r="A1203" s="7" t="n">
        <v>1202</v>
      </c>
      <c r="B1203" t="inlineStr">
        <is>
          <t>1229502470000</t>
        </is>
      </c>
      <c r="C1203" t="inlineStr">
        <is>
          <t>CBL EQ EXTENSION CCP BNC-BNC 50R L=3M</t>
        </is>
      </c>
      <c r="D1203" t="inlineStr">
        <is>
          <t>1800110423</t>
        </is>
      </c>
      <c r="E1203" t="inlineStr">
        <is>
          <t>80</t>
        </is>
      </c>
      <c r="F1203" s="163" t="n">
        <v>45490</v>
      </c>
      <c r="G1203" t="inlineStr"/>
      <c r="H1203" t="inlineStr">
        <is>
          <t>4200574397</t>
        </is>
      </c>
      <c r="I1203" t="inlineStr">
        <is>
          <t>10</t>
        </is>
      </c>
      <c r="J1203" s="163" t="n">
        <v>45517</v>
      </c>
      <c r="K1203" s="163" t="n">
        <v>45518</v>
      </c>
      <c r="L1203" t="inlineStr"/>
      <c r="M1203" s="163" t="n">
        <v>45532</v>
      </c>
      <c r="N1203" s="164" t="n">
        <v>70</v>
      </c>
      <c r="O1203" s="164" t="n">
        <v>8</v>
      </c>
      <c r="P1203" t="inlineStr">
        <is>
          <t>Liberado</t>
        </is>
      </c>
      <c r="Q1203" s="165" t="n">
        <v>2</v>
      </c>
      <c r="R1203" s="165" t="n">
        <v>2</v>
      </c>
      <c r="S1203" s="165" t="n">
        <v>2</v>
      </c>
      <c r="T1203" s="165" t="n">
        <v>0</v>
      </c>
      <c r="U1203" s="166" t="n">
        <v>2</v>
      </c>
      <c r="V1203" s="166" t="n">
        <v>0</v>
      </c>
      <c r="W1203" t="inlineStr">
        <is>
          <t>X</t>
        </is>
      </c>
      <c r="X1203" t="inlineStr">
        <is>
          <t>0.00</t>
        </is>
      </c>
      <c r="Y1203" t="inlineStr"/>
      <c r="Z1203" t="inlineStr">
        <is>
          <t>REBOUND ELECTRONICS (UK) LTD</t>
        </is>
      </c>
      <c r="AA1203" t="inlineStr">
        <is>
          <t>GRAS SOUND &amp; VIBRATI</t>
        </is>
      </c>
      <c r="AB1203" t="inlineStr">
        <is>
          <t>AA0035</t>
        </is>
      </c>
      <c r="AC1203" t="inlineStr"/>
      <c r="AD1203" s="164" t="n">
        <v>0</v>
      </c>
      <c r="AE1203" s="185" t="n">
        <v>0</v>
      </c>
      <c r="AG1203" s="167" t="inlineStr">
        <is>
          <t>7218|JA2584_1001</t>
        </is>
      </c>
      <c r="AH1203" s="47">
        <f>IF(M1203=0,"-",M1203-J1203)</f>
        <v/>
      </c>
      <c r="AI1203" s="46">
        <f>IF(AND(S1203=0,M1203&gt;0,L1203=0),IF(AH1203&gt;=120,"VERY HIGH",IF(AH1203&gt;=90,"HIGH",IF(AH1203&gt;=60,"MEDIUM",IF(AH1203&lt;60,"LOW")))),"-")</f>
        <v/>
      </c>
      <c r="AJ1203" s="12" t="n"/>
      <c r="AK1203" s="53">
        <f>IF(AND(W1203="X",M1203&lt;=$AJ$2),"YES","")</f>
        <v/>
      </c>
      <c r="AL1203" s="54">
        <f>IF(AND(W1203="X",M1203&lt;=$AJ$2),S1203,"")</f>
        <v/>
      </c>
      <c r="AM1203" s="35" t="n"/>
      <c r="AN1203" s="35">
        <f>IF(AND(W1203="X",M1203&gt;$AJ$2),S1203,"")</f>
        <v/>
      </c>
      <c r="AO1203" s="35">
        <f>IF(AND(W1203="",M1203&gt;0,$AJ$2&gt;M1203,L1203=""),1,0)</f>
        <v/>
      </c>
      <c r="AP1203" s="35">
        <f>IF(AND(AK1203="YES",W1203="X"),"X","")</f>
        <v/>
      </c>
      <c r="AQ1203" s="55">
        <f>IF(AP1203="X",100%,0%)</f>
        <v/>
      </c>
      <c r="AR1203" s="25">
        <f>IF(AND(T1203&gt;0,L1203=""),H1203,"")</f>
        <v/>
      </c>
      <c r="AS1203" s="25">
        <f>IF(AND(D1203&gt;0,H1203=0,G1203=""),1,"")</f>
        <v/>
      </c>
      <c r="AT1203" s="25">
        <f>IF(G1203="BLOQ",1,"")</f>
        <v/>
      </c>
      <c r="AU1203" s="25">
        <f>IF(L1203="BLOQ",1,"")</f>
        <v/>
      </c>
      <c r="AV1203" s="25">
        <f>MONTH(F1203)</f>
        <v/>
      </c>
      <c r="AW1203" s="65">
        <f>IF(AP1203="",100%,0%)</f>
        <v/>
      </c>
      <c r="AX1203" s="56" t="n"/>
      <c r="AY1203" s="24">
        <f>IF(M1203=0,"",M1203-$AX$2)</f>
        <v/>
      </c>
      <c r="AZ1203" s="66">
        <f>IF(AND(W1203="",AY1203&gt;0,AY1203&lt;15),1,0)</f>
        <v/>
      </c>
      <c r="BA1203" s="24">
        <f>IF(AND(W1203="",AY1203&gt;0,AY1203&lt;15),T1203,"")</f>
        <v/>
      </c>
      <c r="BB1203" s="87">
        <f>IF(R1203&lt;Q1203,"X","")</f>
        <v/>
      </c>
      <c r="BC1203" s="190" t="inlineStr">
        <is>
          <t>NO</t>
        </is>
      </c>
      <c r="BD1203" s="191" t="inlineStr">
        <is>
          <t>SI</t>
        </is>
      </c>
    </row>
    <row r="1204" ht="15" customHeight="1" s="162">
      <c r="A1204" s="7" t="n">
        <v>1203</v>
      </c>
      <c r="B1204" t="inlineStr">
        <is>
          <t>1229508980000</t>
        </is>
      </c>
      <c r="C1204" t="inlineStr">
        <is>
          <t>CBL EQ BNC-M/M 75R RG59/U PVC L=0.5M</t>
        </is>
      </c>
      <c r="D1204" t="inlineStr">
        <is>
          <t>1800110423</t>
        </is>
      </c>
      <c r="E1204" t="inlineStr">
        <is>
          <t>90</t>
        </is>
      </c>
      <c r="F1204" s="163" t="n">
        <v>45490</v>
      </c>
      <c r="G1204" t="inlineStr"/>
      <c r="H1204" t="inlineStr">
        <is>
          <t>4200574196</t>
        </is>
      </c>
      <c r="I1204" t="inlineStr">
        <is>
          <t>230</t>
        </is>
      </c>
      <c r="J1204" s="163" t="n">
        <v>45513</v>
      </c>
      <c r="K1204" s="163" t="n">
        <v>46009</v>
      </c>
      <c r="L1204" t="inlineStr"/>
      <c r="M1204" s="163" t="n">
        <v>45529</v>
      </c>
      <c r="N1204" s="164" t="n">
        <v>105</v>
      </c>
      <c r="O1204" s="164" t="n">
        <v>8</v>
      </c>
      <c r="P1204" t="inlineStr">
        <is>
          <t>Liberado</t>
        </is>
      </c>
      <c r="Q1204" s="165" t="n">
        <v>2</v>
      </c>
      <c r="R1204" s="165" t="n">
        <v>2</v>
      </c>
      <c r="S1204" s="165" t="n">
        <v>2</v>
      </c>
      <c r="T1204" s="165" t="n">
        <v>0</v>
      </c>
      <c r="U1204" s="166" t="n">
        <v>2</v>
      </c>
      <c r="V1204" s="166" t="n">
        <v>0</v>
      </c>
      <c r="W1204" t="inlineStr">
        <is>
          <t>X</t>
        </is>
      </c>
      <c r="X1204" t="inlineStr">
        <is>
          <t>0.00</t>
        </is>
      </c>
      <c r="Y1204" t="inlineStr"/>
      <c r="Z1204" t="inlineStr">
        <is>
          <t>TELKRON, S.A.</t>
        </is>
      </c>
      <c r="AA1204" t="inlineStr">
        <is>
          <t>RS PRO</t>
        </is>
      </c>
      <c r="AB1204" t="inlineStr">
        <is>
          <t>122-2147</t>
        </is>
      </c>
      <c r="AC1204" t="inlineStr"/>
      <c r="AD1204" s="164" t="n">
        <v>1</v>
      </c>
      <c r="AE1204" s="185" t="n">
        <v>1</v>
      </c>
      <c r="AG1204" s="167" t="inlineStr">
        <is>
          <t>7218|JA2584_1001</t>
        </is>
      </c>
      <c r="AH1204" s="47">
        <f>IF(M1204=0,"-",M1204-J1204)</f>
        <v/>
      </c>
      <c r="AI1204" s="46">
        <f>IF(AND(S1204=0,M1204&gt;0,L1204=0),IF(AH1204&gt;=120,"VERY HIGH",IF(AH1204&gt;=90,"HIGH",IF(AH1204&gt;=60,"MEDIUM",IF(AH1204&lt;60,"LOW")))),"-")</f>
        <v/>
      </c>
      <c r="AJ1204" s="12" t="n"/>
      <c r="AK1204" s="53">
        <f>IF(AND(W1204="X",M1204&lt;=$AJ$2),"YES","")</f>
        <v/>
      </c>
      <c r="AL1204" s="54">
        <f>IF(AND(W1204="X",M1204&lt;=$AJ$2),S1204,"")</f>
        <v/>
      </c>
      <c r="AM1204" s="35" t="n"/>
      <c r="AN1204" s="35">
        <f>IF(AND(W1204="X",M1204&gt;$AJ$2),S1204,"")</f>
        <v/>
      </c>
      <c r="AO1204" s="35">
        <f>IF(AND(W1204="",M1204&gt;0,$AJ$2&gt;M1204,L1204=""),1,0)</f>
        <v/>
      </c>
      <c r="AP1204" s="35">
        <f>IF(AND(AK1204="YES",W1204="X"),"X","")</f>
        <v/>
      </c>
      <c r="AQ1204" s="55">
        <f>IF(AP1204="X",100%,0%)</f>
        <v/>
      </c>
      <c r="AR1204" s="25">
        <f>IF(AND(T1204&gt;0,L1204=""),H1204,"")</f>
        <v/>
      </c>
      <c r="AS1204" s="25">
        <f>IF(AND(D1204&gt;0,H1204=0,G1204=""),1,"")</f>
        <v/>
      </c>
      <c r="AT1204" s="25">
        <f>IF(G1204="BLOQ",1,"")</f>
        <v/>
      </c>
      <c r="AU1204" s="25">
        <f>IF(L1204="BLOQ",1,"")</f>
        <v/>
      </c>
      <c r="AV1204" s="25">
        <f>MONTH(F1204)</f>
        <v/>
      </c>
      <c r="AW1204" s="65">
        <f>IF(AP1204="",100%,0%)</f>
        <v/>
      </c>
      <c r="AX1204" s="56" t="n"/>
      <c r="AY1204" s="24">
        <f>IF(M1204=0,"",M1204-$AX$2)</f>
        <v/>
      </c>
      <c r="AZ1204" s="66">
        <f>IF(AND(W1204="",AY1204&gt;0,AY1204&lt;15),1,0)</f>
        <v/>
      </c>
      <c r="BA1204" s="24">
        <f>IF(AND(W1204="",AY1204&gt;0,AY1204&lt;15),T1204,"")</f>
        <v/>
      </c>
      <c r="BB1204" s="87">
        <f>IF(R1204&lt;Q1204,"X","")</f>
        <v/>
      </c>
      <c r="BC1204" s="190" t="inlineStr">
        <is>
          <t>NO</t>
        </is>
      </c>
      <c r="BD1204" s="191" t="inlineStr">
        <is>
          <t>SI</t>
        </is>
      </c>
    </row>
    <row r="1205" ht="15" customHeight="1" s="162">
      <c r="A1205" s="7" t="n">
        <v>1204</v>
      </c>
      <c r="B1205" t="inlineStr">
        <is>
          <t>1229591920606</t>
        </is>
      </c>
      <c r="C1205" t="inlineStr">
        <is>
          <t>CBL EQ USB(A/B) 3M AZ</t>
        </is>
      </c>
      <c r="D1205" t="inlineStr">
        <is>
          <t>1800110423</t>
        </is>
      </c>
      <c r="E1205" t="inlineStr">
        <is>
          <t>100</t>
        </is>
      </c>
      <c r="F1205" s="163" t="n">
        <v>45490</v>
      </c>
      <c r="G1205" t="inlineStr"/>
      <c r="H1205" t="inlineStr">
        <is>
          <t>4200574196</t>
        </is>
      </c>
      <c r="I1205" t="inlineStr">
        <is>
          <t>240</t>
        </is>
      </c>
      <c r="J1205" s="163" t="n">
        <v>45513</v>
      </c>
      <c r="K1205" s="163" t="n">
        <v>46009</v>
      </c>
      <c r="L1205" t="inlineStr"/>
      <c r="M1205" s="163" t="n">
        <v>45529</v>
      </c>
      <c r="N1205" s="164" t="n">
        <v>30</v>
      </c>
      <c r="O1205" s="164" t="n">
        <v>8</v>
      </c>
      <c r="P1205" t="inlineStr">
        <is>
          <t>Liberado</t>
        </is>
      </c>
      <c r="Q1205" s="165" t="n">
        <v>1</v>
      </c>
      <c r="R1205" s="165" t="n">
        <v>1</v>
      </c>
      <c r="S1205" s="165" t="n">
        <v>1</v>
      </c>
      <c r="T1205" s="165" t="n">
        <v>0</v>
      </c>
      <c r="U1205" s="166" t="n">
        <v>1</v>
      </c>
      <c r="V1205" s="166" t="n">
        <v>0</v>
      </c>
      <c r="W1205" t="inlineStr">
        <is>
          <t>X</t>
        </is>
      </c>
      <c r="X1205" t="inlineStr">
        <is>
          <t>0.00</t>
        </is>
      </c>
      <c r="Y1205" t="inlineStr"/>
      <c r="Z1205" t="inlineStr">
        <is>
          <t>TELKRON, S.A.</t>
        </is>
      </c>
      <c r="AA1205" t="inlineStr">
        <is>
          <t>RS PRO</t>
        </is>
      </c>
      <c r="AB1205" t="inlineStr">
        <is>
          <t>182-8838</t>
        </is>
      </c>
      <c r="AC1205" t="inlineStr"/>
      <c r="AD1205" s="164" t="n">
        <v>1</v>
      </c>
      <c r="AE1205" s="185" t="n">
        <v>1</v>
      </c>
      <c r="AG1205" s="167" t="inlineStr">
        <is>
          <t>7218|JA2584_1001</t>
        </is>
      </c>
      <c r="AH1205" s="47">
        <f>IF(M1205=0,"-",M1205-J1205)</f>
        <v/>
      </c>
      <c r="AI1205" s="46">
        <f>IF(AND(S1205=0,M1205&gt;0,L1205=0),IF(AH1205&gt;=120,"VERY HIGH",IF(AH1205&gt;=90,"HIGH",IF(AH1205&gt;=60,"MEDIUM",IF(AH1205&lt;60,"LOW")))),"-")</f>
        <v/>
      </c>
      <c r="AJ1205" s="12" t="n"/>
      <c r="AK1205" s="53">
        <f>IF(AND(W1205="X",M1205&lt;=$AJ$2),"YES","")</f>
        <v/>
      </c>
      <c r="AL1205" s="54">
        <f>IF(AND(W1205="X",M1205&lt;=$AJ$2),S1205,"")</f>
        <v/>
      </c>
      <c r="AM1205" s="35" t="n"/>
      <c r="AN1205" s="35">
        <f>IF(AND(W1205="X",M1205&gt;$AJ$2),S1205,"")</f>
        <v/>
      </c>
      <c r="AO1205" s="35">
        <f>IF(AND(W1205="",M1205&gt;0,$AJ$2&gt;M1205,L1205=""),1,0)</f>
        <v/>
      </c>
      <c r="AP1205" s="35">
        <f>IF(AND(AK1205="YES",W1205="X"),"X","")</f>
        <v/>
      </c>
      <c r="AQ1205" s="55">
        <f>IF(AP1205="X",100%,0%)</f>
        <v/>
      </c>
      <c r="AR1205" s="25">
        <f>IF(AND(T1205&gt;0,L1205=""),H1205,"")</f>
        <v/>
      </c>
      <c r="AS1205" s="25">
        <f>IF(AND(D1205&gt;0,H1205=0,G1205=""),1,"")</f>
        <v/>
      </c>
      <c r="AT1205" s="25">
        <f>IF(G1205="BLOQ",1,"")</f>
        <v/>
      </c>
      <c r="AU1205" s="25">
        <f>IF(L1205="BLOQ",1,"")</f>
        <v/>
      </c>
      <c r="AV1205" s="25">
        <f>MONTH(F1205)</f>
        <v/>
      </c>
      <c r="AW1205" s="65">
        <f>IF(AP1205="",100%,0%)</f>
        <v/>
      </c>
      <c r="AX1205" s="56" t="n"/>
      <c r="AY1205" s="24">
        <f>IF(M1205=0,"",M1205-$AX$2)</f>
        <v/>
      </c>
      <c r="AZ1205" s="66">
        <f>IF(AND(W1205="",AY1205&gt;0,AY1205&lt;15),1,0)</f>
        <v/>
      </c>
      <c r="BA1205" s="24">
        <f>IF(AND(W1205="",AY1205&gt;0,AY1205&lt;15),T1205,"")</f>
        <v/>
      </c>
      <c r="BB1205" s="87">
        <f>IF(R1205&lt;Q1205,"X","")</f>
        <v/>
      </c>
      <c r="BC1205" s="190" t="inlineStr">
        <is>
          <t>NO</t>
        </is>
      </c>
      <c r="BD1205" s="191" t="inlineStr">
        <is>
          <t>SI</t>
        </is>
      </c>
    </row>
    <row r="1206" ht="15" customHeight="1" s="162">
      <c r="A1206" s="7" t="n">
        <v>1205</v>
      </c>
      <c r="B1206" t="inlineStr">
        <is>
          <t>1239024369000</t>
        </is>
      </c>
      <c r="C1206" t="inlineStr">
        <is>
          <t>MANG AUTOSOLD DI=3.68MM L=18.25MM PVDF R</t>
        </is>
      </c>
      <c r="D1206" t="inlineStr">
        <is>
          <t>1800110423</t>
        </is>
      </c>
      <c r="E1206" t="inlineStr">
        <is>
          <t>110</t>
        </is>
      </c>
      <c r="F1206" s="163" t="n">
        <v>45490</v>
      </c>
      <c r="G1206" t="inlineStr"/>
      <c r="H1206" t="inlineStr">
        <is>
          <t>4200572876</t>
        </is>
      </c>
      <c r="I1206" t="inlineStr">
        <is>
          <t>800</t>
        </is>
      </c>
      <c r="J1206" s="163" t="n">
        <v>45503</v>
      </c>
      <c r="K1206" s="163" t="n">
        <v>45572</v>
      </c>
      <c r="L1206" t="inlineStr"/>
      <c r="M1206" s="163" t="n">
        <v>45527</v>
      </c>
      <c r="N1206" s="164" t="n">
        <v>30</v>
      </c>
      <c r="O1206" s="164" t="n">
        <v>8</v>
      </c>
      <c r="P1206" t="inlineStr">
        <is>
          <t>Liberado</t>
        </is>
      </c>
      <c r="Q1206" s="165" t="n">
        <v>400</v>
      </c>
      <c r="R1206" s="165" t="n">
        <v>400</v>
      </c>
      <c r="S1206" s="165" t="n">
        <v>400</v>
      </c>
      <c r="T1206" s="165" t="n">
        <v>0</v>
      </c>
      <c r="U1206" s="166" t="n">
        <v>400</v>
      </c>
      <c r="V1206" s="166" t="n">
        <v>0</v>
      </c>
      <c r="W1206" t="inlineStr">
        <is>
          <t>X</t>
        </is>
      </c>
      <c r="X1206" t="inlineStr">
        <is>
          <t>0.00</t>
        </is>
      </c>
      <c r="Y1206" t="inlineStr"/>
      <c r="Z1206" t="inlineStr">
        <is>
          <t>SUMINISTROS CONECTORES PROF.,SA.</t>
        </is>
      </c>
      <c r="AA1206" t="inlineStr">
        <is>
          <t>AMPHENOL CORP</t>
        </is>
      </c>
      <c r="AB1206" t="inlineStr">
        <is>
          <t>SO96-2-00</t>
        </is>
      </c>
      <c r="AC1206" t="inlineStr"/>
      <c r="AD1206" s="164" t="n">
        <v>1</v>
      </c>
      <c r="AE1206" s="185" t="n">
        <v>1</v>
      </c>
      <c r="AG1206" s="167" t="inlineStr">
        <is>
          <t>7218|JA2584_1001</t>
        </is>
      </c>
      <c r="AH1206" s="47">
        <f>IF(M1206=0,"-",M1206-J1206)</f>
        <v/>
      </c>
      <c r="AI1206" s="46">
        <f>IF(AND(S1206=0,M1206&gt;0,L1206=0),IF(AH1206&gt;=120,"VERY HIGH",IF(AH1206&gt;=90,"HIGH",IF(AH1206&gt;=60,"MEDIUM",IF(AH1206&lt;60,"LOW")))),"-")</f>
        <v/>
      </c>
      <c r="AJ1206" s="12" t="n"/>
      <c r="AK1206" s="53">
        <f>IF(AND(W1206="X",M1206&lt;=$AJ$2),"YES","")</f>
        <v/>
      </c>
      <c r="AL1206" s="54">
        <f>IF(AND(W1206="X",M1206&lt;=$AJ$2),S1206,"")</f>
        <v/>
      </c>
      <c r="AM1206" s="35" t="n"/>
      <c r="AN1206" s="35">
        <f>IF(AND(W1206="X",M1206&gt;$AJ$2),S1206,"")</f>
        <v/>
      </c>
      <c r="AO1206" s="35">
        <f>IF(AND(W1206="",M1206&gt;0,$AJ$2&gt;M1206,L1206=""),1,0)</f>
        <v/>
      </c>
      <c r="AP1206" s="35">
        <f>IF(AND(AK1206="YES",W1206="X"),"X","")</f>
        <v/>
      </c>
      <c r="AQ1206" s="55">
        <f>IF(AP1206="X",100%,0%)</f>
        <v/>
      </c>
      <c r="AR1206" s="25">
        <f>IF(AND(T1206&gt;0,L1206=""),H1206,"")</f>
        <v/>
      </c>
      <c r="AS1206" s="25">
        <f>IF(AND(D1206&gt;0,H1206=0,G1206=""),1,"")</f>
        <v/>
      </c>
      <c r="AT1206" s="25">
        <f>IF(G1206="BLOQ",1,"")</f>
        <v/>
      </c>
      <c r="AU1206" s="25">
        <f>IF(L1206="BLOQ",1,"")</f>
        <v/>
      </c>
      <c r="AV1206" s="25">
        <f>MONTH(F1206)</f>
        <v/>
      </c>
      <c r="AW1206" s="65">
        <f>IF(AP1206="",100%,0%)</f>
        <v/>
      </c>
      <c r="AX1206" s="56" t="n"/>
      <c r="AY1206" s="24">
        <f>IF(M1206=0,"",M1206-$AX$2)</f>
        <v/>
      </c>
      <c r="AZ1206" s="66">
        <f>IF(AND(W1206="",AY1206&gt;0,AY1206&lt;15),1,0)</f>
        <v/>
      </c>
      <c r="BA1206" s="24">
        <f>IF(AND(W1206="",AY1206&gt;0,AY1206&lt;15),T1206,"")</f>
        <v/>
      </c>
      <c r="BB1206" s="87">
        <f>IF(R1206&lt;Q1206,"X","")</f>
        <v/>
      </c>
      <c r="BC1206" s="190" t="inlineStr">
        <is>
          <t>NO</t>
        </is>
      </c>
      <c r="BD1206" s="191" t="inlineStr">
        <is>
          <t>SI</t>
        </is>
      </c>
    </row>
    <row r="1207" ht="15" customHeight="1" s="162">
      <c r="A1207" s="7" t="n">
        <v>1206</v>
      </c>
      <c r="B1207" t="inlineStr">
        <is>
          <t>1250100210700</t>
        </is>
      </c>
      <c r="C1207" t="inlineStr">
        <is>
          <t>ALTAVOZ BI-AMPED 54HZ-30KHZ 70W NEGR MDF</t>
        </is>
      </c>
      <c r="D1207" t="inlineStr">
        <is>
          <t>1800110423</t>
        </is>
      </c>
      <c r="E1207" t="inlineStr">
        <is>
          <t>120</t>
        </is>
      </c>
      <c r="F1207" s="163" t="n">
        <v>45490</v>
      </c>
      <c r="G1207" t="inlineStr"/>
      <c r="H1207" t="inlineStr">
        <is>
          <t>4200573620</t>
        </is>
      </c>
      <c r="I1207" t="inlineStr">
        <is>
          <t>10</t>
        </is>
      </c>
      <c r="J1207" s="163" t="n">
        <v>45509</v>
      </c>
      <c r="K1207" s="163" t="n">
        <v>45509</v>
      </c>
      <c r="L1207" t="inlineStr"/>
      <c r="M1207" s="163" t="n">
        <v>45596</v>
      </c>
      <c r="N1207" s="164" t="n">
        <v>65</v>
      </c>
      <c r="O1207" s="164" t="n">
        <v>8</v>
      </c>
      <c r="P1207" t="inlineStr">
        <is>
          <t>Liberado</t>
        </is>
      </c>
      <c r="Q1207" s="165" t="n">
        <v>6</v>
      </c>
      <c r="R1207" s="165" t="n">
        <v>6</v>
      </c>
      <c r="S1207" s="165" t="n">
        <v>6</v>
      </c>
      <c r="T1207" s="165" t="n">
        <v>0</v>
      </c>
      <c r="U1207" s="166" t="n">
        <v>0</v>
      </c>
      <c r="V1207" s="166" t="n">
        <v>0</v>
      </c>
      <c r="W1207" t="inlineStr">
        <is>
          <t>X</t>
        </is>
      </c>
      <c r="X1207" t="inlineStr">
        <is>
          <t>0.00</t>
        </is>
      </c>
      <c r="Y1207" t="inlineStr"/>
      <c r="Z1207" t="inlineStr">
        <is>
          <t>PENTATEL COMUNICACIONES, S.L.</t>
        </is>
      </c>
      <c r="AA1207" t="inlineStr">
        <is>
          <t>YAMAHA</t>
        </is>
      </c>
      <c r="AB1207" t="inlineStr">
        <is>
          <t>HS5I</t>
        </is>
      </c>
      <c r="AC1207" t="inlineStr"/>
      <c r="AD1207" s="164" t="n">
        <v>1</v>
      </c>
      <c r="AE1207" s="185" t="n">
        <v>1</v>
      </c>
      <c r="AG1207" s="167" t="inlineStr">
        <is>
          <t>7218|JA2584_1001</t>
        </is>
      </c>
      <c r="AH1207" s="47">
        <f>IF(M1207=0,"-",M1207-J1207)</f>
        <v/>
      </c>
      <c r="AI1207" s="46">
        <f>IF(AND(S1207=0,M1207&gt;0,L1207=0),IF(AH1207&gt;=120,"VERY HIGH",IF(AH1207&gt;=90,"HIGH",IF(AH1207&gt;=60,"MEDIUM",IF(AH1207&lt;60,"LOW")))),"-")</f>
        <v/>
      </c>
      <c r="AJ1207" s="12" t="n"/>
      <c r="AK1207" s="53">
        <f>IF(AND(W1207="X",M1207&lt;=$AJ$2),"YES","")</f>
        <v/>
      </c>
      <c r="AL1207" s="54">
        <f>IF(AND(W1207="X",M1207&lt;=$AJ$2),S1207,"")</f>
        <v/>
      </c>
      <c r="AM1207" s="35" t="n"/>
      <c r="AN1207" s="35">
        <f>IF(AND(W1207="X",M1207&gt;$AJ$2),S1207,"")</f>
        <v/>
      </c>
      <c r="AO1207" s="35">
        <f>IF(AND(W1207="",M1207&gt;0,$AJ$2&gt;M1207,L1207=""),1,0)</f>
        <v/>
      </c>
      <c r="AP1207" s="35">
        <f>IF(AND(AK1207="YES",W1207="X"),"X","")</f>
        <v/>
      </c>
      <c r="AQ1207" s="55">
        <f>IF(AP1207="X",100%,0%)</f>
        <v/>
      </c>
      <c r="AR1207" s="25">
        <f>IF(AND(T1207&gt;0,L1207=""),H1207,"")</f>
        <v/>
      </c>
      <c r="AS1207" s="25">
        <f>IF(AND(D1207&gt;0,H1207=0,G1207=""),1,"")</f>
        <v/>
      </c>
      <c r="AT1207" s="25">
        <f>IF(G1207="BLOQ",1,"")</f>
        <v/>
      </c>
      <c r="AU1207" s="25">
        <f>IF(L1207="BLOQ",1,"")</f>
        <v/>
      </c>
      <c r="AV1207" s="25">
        <f>MONTH(F1207)</f>
        <v/>
      </c>
      <c r="AW1207" s="65">
        <f>IF(AP1207="",100%,0%)</f>
        <v/>
      </c>
      <c r="AX1207" s="56" t="n"/>
      <c r="AY1207" s="24">
        <f>IF(M1207=0,"",M1207-$AX$2)</f>
        <v/>
      </c>
      <c r="AZ1207" s="66">
        <f>IF(AND(W1207="",AY1207&gt;0,AY1207&lt;15),1,0)</f>
        <v/>
      </c>
      <c r="BA1207" s="24">
        <f>IF(AND(W1207="",AY1207&gt;0,AY1207&lt;15),T1207,"")</f>
        <v/>
      </c>
      <c r="BB1207" s="87">
        <f>IF(R1207&lt;Q1207,"X","")</f>
        <v/>
      </c>
      <c r="BC1207" s="191" t="inlineStr">
        <is>
          <t>SI</t>
        </is>
      </c>
      <c r="BD1207" s="191" t="inlineStr">
        <is>
          <t>SI</t>
        </is>
      </c>
    </row>
    <row r="1208" ht="15" customHeight="1" s="162">
      <c r="A1208" s="7" t="n">
        <v>1207</v>
      </c>
      <c r="B1208" t="inlineStr">
        <is>
          <t>1250100870100</t>
        </is>
      </c>
      <c r="C1208" t="inlineStr">
        <is>
          <t>ALTAVOZ AUTO AMPLI 132-20000HZ 40W 230VA</t>
        </is>
      </c>
      <c r="D1208" t="inlineStr">
        <is>
          <t>1800110423</t>
        </is>
      </c>
      <c r="E1208" t="inlineStr">
        <is>
          <t>130</t>
        </is>
      </c>
      <c r="F1208" s="163" t="n">
        <v>45490</v>
      </c>
      <c r="G1208" t="inlineStr"/>
      <c r="H1208" t="inlineStr">
        <is>
          <t>4200578629</t>
        </is>
      </c>
      <c r="I1208" t="inlineStr">
        <is>
          <t>10</t>
        </is>
      </c>
      <c r="J1208" s="163" t="n">
        <v>45560</v>
      </c>
      <c r="K1208" s="163" t="n">
        <v>45560</v>
      </c>
      <c r="L1208" t="inlineStr"/>
      <c r="M1208" s="163" t="n">
        <v>45565</v>
      </c>
      <c r="N1208" s="164" t="n">
        <v>55</v>
      </c>
      <c r="O1208" s="164" t="n">
        <v>8</v>
      </c>
      <c r="P1208" t="inlineStr">
        <is>
          <t>Liberado</t>
        </is>
      </c>
      <c r="Q1208" s="165" t="n">
        <v>2</v>
      </c>
      <c r="R1208" s="165" t="n">
        <v>2</v>
      </c>
      <c r="S1208" s="165" t="n">
        <v>2</v>
      </c>
      <c r="T1208" s="165" t="n">
        <v>0</v>
      </c>
      <c r="U1208" s="166" t="n">
        <v>2</v>
      </c>
      <c r="V1208" s="166" t="n">
        <v>0</v>
      </c>
      <c r="W1208" t="inlineStr">
        <is>
          <t>X</t>
        </is>
      </c>
      <c r="X1208" t="inlineStr">
        <is>
          <t>0.00</t>
        </is>
      </c>
      <c r="Y1208" t="inlineStr"/>
      <c r="Z1208" t="inlineStr">
        <is>
          <t>FONESTAR SISTEMAS, S.A.</t>
        </is>
      </c>
      <c r="AA1208" t="inlineStr">
        <is>
          <t>FONESTAR</t>
        </is>
      </c>
      <c r="AB1208" t="inlineStr">
        <is>
          <t>AMBIENT-20A</t>
        </is>
      </c>
      <c r="AC1208" t="inlineStr"/>
      <c r="AD1208" s="164" t="n">
        <v>0</v>
      </c>
      <c r="AE1208" s="185" t="n">
        <v>0</v>
      </c>
      <c r="AG1208" s="167" t="inlineStr">
        <is>
          <t>7218|JA2584_1001</t>
        </is>
      </c>
      <c r="AH1208" s="47">
        <f>IF(M1208=0,"-",M1208-J1208)</f>
        <v/>
      </c>
      <c r="AI1208" s="46">
        <f>IF(AND(S1208=0,M1208&gt;0,L1208=0),IF(AH1208&gt;=120,"VERY HIGH",IF(AH1208&gt;=90,"HIGH",IF(AH1208&gt;=60,"MEDIUM",IF(AH1208&lt;60,"LOW")))),"-")</f>
        <v/>
      </c>
      <c r="AJ1208" s="12" t="n"/>
      <c r="AK1208" s="53">
        <f>IF(AND(W1208="X",M1208&lt;=$AJ$2),"YES","")</f>
        <v/>
      </c>
      <c r="AL1208" s="54">
        <f>IF(AND(W1208="X",M1208&lt;=$AJ$2),S1208,"")</f>
        <v/>
      </c>
      <c r="AM1208" s="35" t="n"/>
      <c r="AN1208" s="35">
        <f>IF(AND(W1208="X",M1208&gt;$AJ$2),S1208,"")</f>
        <v/>
      </c>
      <c r="AO1208" s="35">
        <f>IF(AND(W1208="",M1208&gt;0,$AJ$2&gt;M1208,L1208=""),1,0)</f>
        <v/>
      </c>
      <c r="AP1208" s="35">
        <f>IF(AND(AK1208="YES",W1208="X"),"X","")</f>
        <v/>
      </c>
      <c r="AQ1208" s="55">
        <f>IF(AP1208="X",100%,0%)</f>
        <v/>
      </c>
      <c r="AR1208" s="25">
        <f>IF(AND(T1208&gt;0,L1208=""),H1208,"")</f>
        <v/>
      </c>
      <c r="AS1208" s="25">
        <f>IF(AND(D1208&gt;0,H1208=0,G1208=""),1,"")</f>
        <v/>
      </c>
      <c r="AT1208" s="25">
        <f>IF(G1208="BLOQ",1,"")</f>
        <v/>
      </c>
      <c r="AU1208" s="25">
        <f>IF(L1208="BLOQ",1,"")</f>
        <v/>
      </c>
      <c r="AV1208" s="25">
        <f>MONTH(F1208)</f>
        <v/>
      </c>
      <c r="AW1208" s="65">
        <f>IF(AP1208="",100%,0%)</f>
        <v/>
      </c>
      <c r="AX1208" s="56" t="n"/>
      <c r="AY1208" s="24">
        <f>IF(M1208=0,"",M1208-$AX$2)</f>
        <v/>
      </c>
      <c r="AZ1208" s="66">
        <f>IF(AND(W1208="",AY1208&gt;0,AY1208&lt;15),1,0)</f>
        <v/>
      </c>
      <c r="BA1208" s="24">
        <f>IF(AND(W1208="",AY1208&gt;0,AY1208&lt;15),T1208,"")</f>
        <v/>
      </c>
      <c r="BB1208" s="87">
        <f>IF(R1208&lt;Q1208,"X","")</f>
        <v/>
      </c>
      <c r="BC1208" s="191" t="inlineStr">
        <is>
          <t>SI</t>
        </is>
      </c>
      <c r="BD1208" s="191" t="inlineStr">
        <is>
          <t>SI</t>
        </is>
      </c>
    </row>
    <row r="1209" ht="15" customHeight="1" s="162">
      <c r="A1209" s="7" t="n">
        <v>1208</v>
      </c>
      <c r="B1209" t="inlineStr">
        <is>
          <t>1250200510200</t>
        </is>
      </c>
      <c r="C1209" t="inlineStr">
        <is>
          <t>PREAMPLIFICADOR MIC 12CH DIGI AVB/MADI</t>
        </is>
      </c>
      <c r="D1209" t="inlineStr">
        <is>
          <t>1800110423</t>
        </is>
      </c>
      <c r="E1209" t="inlineStr">
        <is>
          <t>140</t>
        </is>
      </c>
      <c r="F1209" s="163" t="n">
        <v>45490</v>
      </c>
      <c r="G1209" t="inlineStr"/>
      <c r="H1209" t="inlineStr">
        <is>
          <t>4200576815</t>
        </is>
      </c>
      <c r="I1209" t="inlineStr">
        <is>
          <t>10</t>
        </is>
      </c>
      <c r="J1209" s="163" t="n">
        <v>45546</v>
      </c>
      <c r="K1209" s="163" t="n">
        <v>45546</v>
      </c>
      <c r="L1209" t="inlineStr"/>
      <c r="M1209" s="163" t="n">
        <v>45560</v>
      </c>
      <c r="N1209" s="164" t="n">
        <v>40</v>
      </c>
      <c r="O1209" s="164" t="n">
        <v>8</v>
      </c>
      <c r="P1209" t="inlineStr">
        <is>
          <t>Liberado</t>
        </is>
      </c>
      <c r="Q1209" s="165" t="n">
        <v>2</v>
      </c>
      <c r="R1209" s="165" t="n">
        <v>2</v>
      </c>
      <c r="S1209" s="165" t="n">
        <v>2</v>
      </c>
      <c r="T1209" s="165" t="n">
        <v>0</v>
      </c>
      <c r="U1209" s="166" t="n">
        <v>2</v>
      </c>
      <c r="V1209" s="166" t="n">
        <v>0</v>
      </c>
      <c r="W1209" t="inlineStr">
        <is>
          <t>X</t>
        </is>
      </c>
      <c r="X1209" t="inlineStr">
        <is>
          <t>0.00</t>
        </is>
      </c>
      <c r="Y1209" t="inlineStr"/>
      <c r="Z1209" t="inlineStr">
        <is>
          <t>REBOUND ELECTRONICS (UK) LTD</t>
        </is>
      </c>
      <c r="AA1209" t="inlineStr">
        <is>
          <t>RME INTELLIGENT AUDI</t>
        </is>
      </c>
      <c r="AB1209" t="inlineStr">
        <is>
          <t>12MIC</t>
        </is>
      </c>
      <c r="AC1209" t="inlineStr"/>
      <c r="AD1209" s="164" t="n">
        <v>0</v>
      </c>
      <c r="AE1209" s="185" t="n">
        <v>0</v>
      </c>
      <c r="AG1209" s="167" t="inlineStr">
        <is>
          <t>7218|JA2584_1001</t>
        </is>
      </c>
      <c r="AH1209" s="47">
        <f>IF(M1209=0,"-",M1209-J1209)</f>
        <v/>
      </c>
      <c r="AI1209" s="46">
        <f>IF(AND(S1209=0,M1209&gt;0,L1209=0),IF(AH1209&gt;=120,"VERY HIGH",IF(AH1209&gt;=90,"HIGH",IF(AH1209&gt;=60,"MEDIUM",IF(AH1209&lt;60,"LOW")))),"-")</f>
        <v/>
      </c>
      <c r="AJ1209" s="12" t="n"/>
      <c r="AK1209" s="53">
        <f>IF(AND(W1209="X",M1209&lt;=$AJ$2),"YES","")</f>
        <v/>
      </c>
      <c r="AL1209" s="54">
        <f>IF(AND(W1209="X",M1209&lt;=$AJ$2),S1209,"")</f>
        <v/>
      </c>
      <c r="AM1209" s="35" t="n"/>
      <c r="AN1209" s="35">
        <f>IF(AND(W1209="X",M1209&gt;$AJ$2),S1209,"")</f>
        <v/>
      </c>
      <c r="AO1209" s="35">
        <f>IF(AND(W1209="",M1209&gt;0,$AJ$2&gt;M1209,L1209=""),1,0)</f>
        <v/>
      </c>
      <c r="AP1209" s="35">
        <f>IF(AND(AK1209="YES",W1209="X"),"X","")</f>
        <v/>
      </c>
      <c r="AQ1209" s="55">
        <f>IF(AP1209="X",100%,0%)</f>
        <v/>
      </c>
      <c r="AR1209" s="25">
        <f>IF(AND(T1209&gt;0,L1209=""),H1209,"")</f>
        <v/>
      </c>
      <c r="AS1209" s="25">
        <f>IF(AND(D1209&gt;0,H1209=0,G1209=""),1,"")</f>
        <v/>
      </c>
      <c r="AT1209" s="25">
        <f>IF(G1209="BLOQ",1,"")</f>
        <v/>
      </c>
      <c r="AU1209" s="25">
        <f>IF(L1209="BLOQ",1,"")</f>
        <v/>
      </c>
      <c r="AV1209" s="25">
        <f>MONTH(F1209)</f>
        <v/>
      </c>
      <c r="AW1209" s="65">
        <f>IF(AP1209="",100%,0%)</f>
        <v/>
      </c>
      <c r="AX1209" s="56" t="n"/>
      <c r="AY1209" s="24">
        <f>IF(M1209=0,"",M1209-$AX$2)</f>
        <v/>
      </c>
      <c r="AZ1209" s="66">
        <f>IF(AND(W1209="",AY1209&gt;0,AY1209&lt;15),1,0)</f>
        <v/>
      </c>
      <c r="BA1209" s="24">
        <f>IF(AND(W1209="",AY1209&gt;0,AY1209&lt;15),T1209,"")</f>
        <v/>
      </c>
      <c r="BB1209" s="87">
        <f>IF(R1209&lt;Q1209,"X","")</f>
        <v/>
      </c>
      <c r="BC1209" s="191" t="inlineStr">
        <is>
          <t>SI</t>
        </is>
      </c>
      <c r="BD1209" s="191" t="inlineStr">
        <is>
          <t>SI</t>
        </is>
      </c>
    </row>
    <row r="1210" ht="15" customHeight="1" s="162">
      <c r="A1210" s="7" t="n">
        <v>1209</v>
      </c>
      <c r="B1210" t="inlineStr">
        <is>
          <t>1251000100200</t>
        </is>
      </c>
      <c r="C1210" t="inlineStr">
        <is>
          <t>CAPSULA MICROFONICA DINAMICA 2204-I</t>
        </is>
      </c>
      <c r="D1210" t="inlineStr">
        <is>
          <t>1800110423</t>
        </is>
      </c>
      <c r="E1210" t="inlineStr">
        <is>
          <t>150</t>
        </is>
      </c>
      <c r="F1210" s="163" t="n">
        <v>45490</v>
      </c>
      <c r="G1210" t="inlineStr"/>
      <c r="H1210" t="inlineStr">
        <is>
          <t>4200573414</t>
        </is>
      </c>
      <c r="I1210" t="inlineStr">
        <is>
          <t>10</t>
        </is>
      </c>
      <c r="J1210" s="163" t="n">
        <v>45506</v>
      </c>
      <c r="K1210" s="163" t="n">
        <v>45507</v>
      </c>
      <c r="L1210" t="inlineStr"/>
      <c r="M1210" s="163" t="n">
        <v>45583</v>
      </c>
      <c r="N1210" s="164" t="n">
        <v>30</v>
      </c>
      <c r="O1210" s="164" t="n">
        <v>8</v>
      </c>
      <c r="P1210" t="inlineStr">
        <is>
          <t>Liberado</t>
        </is>
      </c>
      <c r="Q1210" s="165" t="n">
        <v>1</v>
      </c>
      <c r="R1210" s="165" t="n">
        <v>1</v>
      </c>
      <c r="S1210" s="165" t="n">
        <v>1</v>
      </c>
      <c r="T1210" s="165" t="n">
        <v>0</v>
      </c>
      <c r="U1210" s="166" t="n">
        <v>1</v>
      </c>
      <c r="V1210" s="166" t="n">
        <v>0</v>
      </c>
      <c r="W1210" t="inlineStr">
        <is>
          <t>X</t>
        </is>
      </c>
      <c r="X1210" t="inlineStr">
        <is>
          <t>0.00</t>
        </is>
      </c>
      <c r="Y1210" t="inlineStr"/>
      <c r="Z1210" t="inlineStr">
        <is>
          <t>TELKRON, S.A.</t>
        </is>
      </c>
      <c r="AA1210" t="inlineStr">
        <is>
          <t>FOX ELECTRONICS</t>
        </is>
      </c>
      <c r="AB1210" t="inlineStr">
        <is>
          <t>2204-I</t>
        </is>
      </c>
      <c r="AC1210" t="inlineStr"/>
      <c r="AD1210" s="164" t="n">
        <v>1</v>
      </c>
      <c r="AE1210" s="185" t="n">
        <v>1</v>
      </c>
      <c r="AG1210" s="167" t="inlineStr">
        <is>
          <t>7218|JA2584_1001</t>
        </is>
      </c>
      <c r="AH1210" s="47">
        <f>IF(M1210=0,"-",M1210-J1210)</f>
        <v/>
      </c>
      <c r="AI1210" s="46">
        <f>IF(AND(S1210=0,M1210&gt;0,L1210=0),IF(AH1210&gt;=120,"VERY HIGH",IF(AH1210&gt;=90,"HIGH",IF(AH1210&gt;=60,"MEDIUM",IF(AH1210&lt;60,"LOW")))),"-")</f>
        <v/>
      </c>
      <c r="AJ1210" s="12" t="n"/>
      <c r="AK1210" s="53">
        <f>IF(AND(W1210="X",M1210&lt;=$AJ$2),"YES","")</f>
        <v/>
      </c>
      <c r="AL1210" s="54">
        <f>IF(AND(W1210="X",M1210&lt;=$AJ$2),S1210,"")</f>
        <v/>
      </c>
      <c r="AM1210" s="35" t="n"/>
      <c r="AN1210" s="35">
        <f>IF(AND(W1210="X",M1210&gt;$AJ$2),S1210,"")</f>
        <v/>
      </c>
      <c r="AO1210" s="35">
        <f>IF(AND(W1210="",M1210&gt;0,$AJ$2&gt;M1210,L1210=""),1,0)</f>
        <v/>
      </c>
      <c r="AP1210" s="35">
        <f>IF(AND(AK1210="YES",W1210="X"),"X","")</f>
        <v/>
      </c>
      <c r="AQ1210" s="55">
        <f>IF(AP1210="X",100%,0%)</f>
        <v/>
      </c>
      <c r="AR1210" s="25">
        <f>IF(AND(T1210&gt;0,L1210=""),H1210,"")</f>
        <v/>
      </c>
      <c r="AS1210" s="25">
        <f>IF(AND(D1210&gt;0,H1210=0,G1210=""),1,"")</f>
        <v/>
      </c>
      <c r="AT1210" s="25">
        <f>IF(G1210="BLOQ",1,"")</f>
        <v/>
      </c>
      <c r="AU1210" s="25">
        <f>IF(L1210="BLOQ",1,"")</f>
        <v/>
      </c>
      <c r="AV1210" s="25">
        <f>MONTH(F1210)</f>
        <v/>
      </c>
      <c r="AW1210" s="65">
        <f>IF(AP1210="",100%,0%)</f>
        <v/>
      </c>
      <c r="AX1210" s="56" t="n"/>
      <c r="AY1210" s="24">
        <f>IF(M1210=0,"",M1210-$AX$2)</f>
        <v/>
      </c>
      <c r="AZ1210" s="66">
        <f>IF(AND(W1210="",AY1210&gt;0,AY1210&lt;15),1,0)</f>
        <v/>
      </c>
      <c r="BA1210" s="24">
        <f>IF(AND(W1210="",AY1210&gt;0,AY1210&lt;15),T1210,"")</f>
        <v/>
      </c>
      <c r="BB1210" s="87">
        <f>IF(R1210&lt;Q1210,"X","")</f>
        <v/>
      </c>
      <c r="BC1210" s="190" t="inlineStr">
        <is>
          <t>NO</t>
        </is>
      </c>
      <c r="BD1210" s="191" t="inlineStr">
        <is>
          <t>SI</t>
        </is>
      </c>
    </row>
    <row r="1211" ht="15" customHeight="1" s="162">
      <c r="A1211" s="7" t="n">
        <v>1210</v>
      </c>
      <c r="B1211" t="inlineStr">
        <is>
          <t>1251000380100</t>
        </is>
      </c>
      <c r="C1211" t="inlineStr">
        <is>
          <t>MICROFONO PRESION 1/2” 3.5HZ-20KHZ CCP</t>
        </is>
      </c>
      <c r="D1211" t="inlineStr">
        <is>
          <t>1800110423</t>
        </is>
      </c>
      <c r="E1211" t="inlineStr">
        <is>
          <t>160</t>
        </is>
      </c>
      <c r="F1211" s="163" t="n">
        <v>45490</v>
      </c>
      <c r="G1211" t="inlineStr"/>
      <c r="H1211" t="inlineStr">
        <is>
          <t>4200578472</t>
        </is>
      </c>
      <c r="I1211" t="inlineStr">
        <is>
          <t>10</t>
        </is>
      </c>
      <c r="J1211" s="163" t="n">
        <v>45559</v>
      </c>
      <c r="K1211" s="163" t="n">
        <v>45559</v>
      </c>
      <c r="L1211" t="inlineStr"/>
      <c r="M1211" s="163" t="n">
        <v>45567</v>
      </c>
      <c r="N1211" s="164" t="n">
        <v>55</v>
      </c>
      <c r="O1211" s="164" t="n">
        <v>8</v>
      </c>
      <c r="P1211" t="inlineStr">
        <is>
          <t>Liberado</t>
        </is>
      </c>
      <c r="Q1211" s="165" t="n">
        <v>1</v>
      </c>
      <c r="R1211" s="165" t="n">
        <v>1</v>
      </c>
      <c r="S1211" s="165" t="n">
        <v>1</v>
      </c>
      <c r="T1211" s="165" t="n">
        <v>0</v>
      </c>
      <c r="U1211" s="166" t="n">
        <v>1</v>
      </c>
      <c r="V1211" s="166" t="n">
        <v>0</v>
      </c>
      <c r="W1211" t="inlineStr">
        <is>
          <t>X</t>
        </is>
      </c>
      <c r="X1211" t="inlineStr">
        <is>
          <t>0.00</t>
        </is>
      </c>
      <c r="Y1211" t="inlineStr"/>
      <c r="Z1211" t="inlineStr">
        <is>
          <t>SOUND OF NUMBERS SL</t>
        </is>
      </c>
      <c r="AA1211" t="inlineStr">
        <is>
          <t>GRAS SOUND &amp; VIBRATI</t>
        </is>
      </c>
      <c r="AB1211" t="inlineStr">
        <is>
          <t>46AO</t>
        </is>
      </c>
      <c r="AC1211" t="inlineStr"/>
      <c r="AD1211" s="164" t="n">
        <v>0</v>
      </c>
      <c r="AE1211" s="185" t="n">
        <v>0</v>
      </c>
      <c r="AG1211" s="167" t="inlineStr">
        <is>
          <t>7218|JA2584_1001</t>
        </is>
      </c>
      <c r="AH1211" s="47">
        <f>IF(M1211=0,"-",M1211-J1211)</f>
        <v/>
      </c>
      <c r="AI1211" s="46">
        <f>IF(AND(S1211=0,M1211&gt;0,L1211=0),IF(AH1211&gt;=120,"VERY HIGH",IF(AH1211&gt;=90,"HIGH",IF(AH1211&gt;=60,"MEDIUM",IF(AH1211&lt;60,"LOW")))),"-")</f>
        <v/>
      </c>
      <c r="AJ1211" s="12" t="n"/>
      <c r="AK1211" s="53">
        <f>IF(AND(W1211="X",M1211&lt;=$AJ$2),"YES","")</f>
        <v/>
      </c>
      <c r="AL1211" s="54">
        <f>IF(AND(W1211="X",M1211&lt;=$AJ$2),S1211,"")</f>
        <v/>
      </c>
      <c r="AM1211" s="35" t="n"/>
      <c r="AN1211" s="35">
        <f>IF(AND(W1211="X",M1211&gt;$AJ$2),S1211,"")</f>
        <v/>
      </c>
      <c r="AO1211" s="35">
        <f>IF(AND(W1211="",M1211&gt;0,$AJ$2&gt;M1211,L1211=""),1,0)</f>
        <v/>
      </c>
      <c r="AP1211" s="35">
        <f>IF(AND(AK1211="YES",W1211="X"),"X","")</f>
        <v/>
      </c>
      <c r="AQ1211" s="55">
        <f>IF(AP1211="X",100%,0%)</f>
        <v/>
      </c>
      <c r="AR1211" s="25">
        <f>IF(AND(T1211&gt;0,L1211=""),H1211,"")</f>
        <v/>
      </c>
      <c r="AS1211" s="25">
        <f>IF(AND(D1211&gt;0,H1211=0,G1211=""),1,"")</f>
        <v/>
      </c>
      <c r="AT1211" s="25">
        <f>IF(G1211="BLOQ",1,"")</f>
        <v/>
      </c>
      <c r="AU1211" s="25">
        <f>IF(L1211="BLOQ",1,"")</f>
        <v/>
      </c>
      <c r="AV1211" s="25">
        <f>MONTH(F1211)</f>
        <v/>
      </c>
      <c r="AW1211" s="65">
        <f>IF(AP1211="",100%,0%)</f>
        <v/>
      </c>
      <c r="AX1211" s="56" t="n"/>
      <c r="AY1211" s="24">
        <f>IF(M1211=0,"",M1211-$AX$2)</f>
        <v/>
      </c>
      <c r="AZ1211" s="66">
        <f>IF(AND(W1211="",AY1211&gt;0,AY1211&lt;15),1,0)</f>
        <v/>
      </c>
      <c r="BA1211" s="24">
        <f>IF(AND(W1211="",AY1211&gt;0,AY1211&lt;15),T1211,"")</f>
        <v/>
      </c>
      <c r="BB1211" s="87">
        <f>IF(R1211&lt;Q1211,"X","")</f>
        <v/>
      </c>
      <c r="BC1211" s="190" t="inlineStr">
        <is>
          <t>NO</t>
        </is>
      </c>
      <c r="BD1211" s="191" t="inlineStr">
        <is>
          <t>SI</t>
        </is>
      </c>
    </row>
    <row r="1212" ht="15" customHeight="1" s="162">
      <c r="A1212" s="7" t="n">
        <v>1211</v>
      </c>
      <c r="B1212" t="inlineStr">
        <is>
          <t>1252500140000</t>
        </is>
      </c>
      <c r="C1212" t="inlineStr">
        <is>
          <t>SISTEMA MEZCLA AURICULAR 6-CANALES</t>
        </is>
      </c>
      <c r="D1212" t="inlineStr">
        <is>
          <t>1800110423</t>
        </is>
      </c>
      <c r="E1212" t="inlineStr">
        <is>
          <t>170</t>
        </is>
      </c>
      <c r="F1212" s="163" t="n">
        <v>45490</v>
      </c>
      <c r="G1212" t="inlineStr"/>
      <c r="H1212" t="inlineStr">
        <is>
          <t>4200574241</t>
        </is>
      </c>
      <c r="I1212" t="inlineStr">
        <is>
          <t>10</t>
        </is>
      </c>
      <c r="J1212" s="163" t="n">
        <v>45516</v>
      </c>
      <c r="K1212" s="163" t="n">
        <v>45517</v>
      </c>
      <c r="L1212" t="inlineStr"/>
      <c r="M1212" s="163" t="n">
        <v>45523</v>
      </c>
      <c r="N1212" s="164" t="n">
        <v>40</v>
      </c>
      <c r="O1212" s="164" t="n">
        <v>8</v>
      </c>
      <c r="P1212" t="inlineStr">
        <is>
          <t>Liberado</t>
        </is>
      </c>
      <c r="Q1212" s="165" t="n">
        <v>1</v>
      </c>
      <c r="R1212" s="165" t="n">
        <v>1</v>
      </c>
      <c r="S1212" s="165" t="n">
        <v>1</v>
      </c>
      <c r="T1212" s="165" t="n">
        <v>0</v>
      </c>
      <c r="U1212" s="166" t="n">
        <v>1</v>
      </c>
      <c r="V1212" s="166" t="n">
        <v>0</v>
      </c>
      <c r="W1212" t="inlineStr">
        <is>
          <t>X</t>
        </is>
      </c>
      <c r="X1212" t="inlineStr">
        <is>
          <t>0.00</t>
        </is>
      </c>
      <c r="Y1212" t="inlineStr"/>
      <c r="Z1212" t="inlineStr">
        <is>
          <t>INFORMATICA CALCULO Y TECNICA, S.A.</t>
        </is>
      </c>
      <c r="AA1212" t="inlineStr">
        <is>
          <t>PRESONUS AUDIO</t>
        </is>
      </c>
      <c r="AB1212" t="inlineStr">
        <is>
          <t>HP60</t>
        </is>
      </c>
      <c r="AC1212" t="inlineStr"/>
      <c r="AD1212" s="164" t="n">
        <v>0</v>
      </c>
      <c r="AE1212" s="185" t="n">
        <v>0</v>
      </c>
      <c r="AG1212" s="167" t="inlineStr">
        <is>
          <t>7218|JA2584_1001</t>
        </is>
      </c>
      <c r="AH1212" s="47">
        <f>IF(M1212=0,"-",M1212-J1212)</f>
        <v/>
      </c>
      <c r="AI1212" s="46">
        <f>IF(AND(S1212=0,M1212&gt;0,L1212=0),IF(AH1212&gt;=120,"VERY HIGH",IF(AH1212&gt;=90,"HIGH",IF(AH1212&gt;=60,"MEDIUM",IF(AH1212&lt;60,"LOW")))),"-")</f>
        <v/>
      </c>
      <c r="AJ1212" s="12" t="n"/>
      <c r="AK1212" s="53">
        <f>IF(AND(W1212="X",M1212&lt;=$AJ$2),"YES","")</f>
        <v/>
      </c>
      <c r="AL1212" s="54">
        <f>IF(AND(W1212="X",M1212&lt;=$AJ$2),S1212,"")</f>
        <v/>
      </c>
      <c r="AM1212" s="35" t="n"/>
      <c r="AN1212" s="35">
        <f>IF(AND(W1212="X",M1212&gt;$AJ$2),S1212,"")</f>
        <v/>
      </c>
      <c r="AO1212" s="35">
        <f>IF(AND(W1212="",M1212&gt;0,$AJ$2&gt;M1212,L1212=""),1,0)</f>
        <v/>
      </c>
      <c r="AP1212" s="35">
        <f>IF(AND(AK1212="YES",W1212="X"),"X","")</f>
        <v/>
      </c>
      <c r="AQ1212" s="55">
        <f>IF(AP1212="X",100%,0%)</f>
        <v/>
      </c>
      <c r="AR1212" s="25">
        <f>IF(AND(T1212&gt;0,L1212=""),H1212,"")</f>
        <v/>
      </c>
      <c r="AS1212" s="25">
        <f>IF(AND(D1212&gt;0,H1212=0,G1212=""),1,"")</f>
        <v/>
      </c>
      <c r="AT1212" s="25">
        <f>IF(G1212="BLOQ",1,"")</f>
        <v/>
      </c>
      <c r="AU1212" s="25">
        <f>IF(L1212="BLOQ",1,"")</f>
        <v/>
      </c>
      <c r="AV1212" s="25">
        <f>MONTH(F1212)</f>
        <v/>
      </c>
      <c r="AW1212" s="65">
        <f>IF(AP1212="",100%,0%)</f>
        <v/>
      </c>
      <c r="AX1212" s="56" t="n"/>
      <c r="AY1212" s="24">
        <f>IF(M1212=0,"",M1212-$AX$2)</f>
        <v/>
      </c>
      <c r="AZ1212" s="66">
        <f>IF(AND(W1212="",AY1212&gt;0,AY1212&lt;15),1,0)</f>
        <v/>
      </c>
      <c r="BA1212" s="24">
        <f>IF(AND(W1212="",AY1212&gt;0,AY1212&lt;15),T1212,"")</f>
        <v/>
      </c>
      <c r="BB1212" s="87">
        <f>IF(R1212&lt;Q1212,"X","")</f>
        <v/>
      </c>
      <c r="BC1212" s="191" t="inlineStr">
        <is>
          <t>SI</t>
        </is>
      </c>
      <c r="BD1212" s="191" t="inlineStr">
        <is>
          <t>SI</t>
        </is>
      </c>
    </row>
    <row r="1213" ht="15" customHeight="1" s="162">
      <c r="A1213" s="7" t="n">
        <v>1212</v>
      </c>
      <c r="B1213" t="inlineStr">
        <is>
          <t>1263011094800</t>
        </is>
      </c>
      <c r="C1213" t="inlineStr">
        <is>
          <t>FA 85-264VAC 12(12-16)VDC 2.5A 30W C-DIN</t>
        </is>
      </c>
      <c r="D1213" t="inlineStr">
        <is>
          <t>1800110423</t>
        </is>
      </c>
      <c r="E1213" t="inlineStr">
        <is>
          <t>180</t>
        </is>
      </c>
      <c r="F1213" s="163" t="n">
        <v>45490</v>
      </c>
      <c r="G1213" t="inlineStr"/>
      <c r="H1213" t="inlineStr">
        <is>
          <t>4200571846</t>
        </is>
      </c>
      <c r="I1213" t="inlineStr">
        <is>
          <t>10</t>
        </is>
      </c>
      <c r="J1213" s="163" t="n">
        <v>45496</v>
      </c>
      <c r="K1213" s="163" t="n">
        <v>45496</v>
      </c>
      <c r="L1213" t="inlineStr"/>
      <c r="M1213" s="163" t="n">
        <v>45523</v>
      </c>
      <c r="N1213" s="164" t="n">
        <v>30</v>
      </c>
      <c r="O1213" s="164" t="n">
        <v>8</v>
      </c>
      <c r="P1213" t="inlineStr">
        <is>
          <t>Liberado</t>
        </is>
      </c>
      <c r="Q1213" s="165" t="n">
        <v>1</v>
      </c>
      <c r="R1213" s="165" t="n">
        <v>1</v>
      </c>
      <c r="S1213" s="165" t="n">
        <v>1</v>
      </c>
      <c r="T1213" s="165" t="n">
        <v>1</v>
      </c>
      <c r="U1213" s="166" t="n">
        <v>0</v>
      </c>
      <c r="V1213" s="166" t="n">
        <v>1</v>
      </c>
      <c r="W1213" t="inlineStr"/>
      <c r="X1213" t="inlineStr">
        <is>
          <t>58.46</t>
        </is>
      </c>
      <c r="Y1213" t="inlineStr"/>
      <c r="Z1213" t="inlineStr">
        <is>
          <t>AMIDATA, S.A.</t>
        </is>
      </c>
      <c r="AA1213" t="inlineStr">
        <is>
          <t>TRACO POWER</t>
        </is>
      </c>
      <c r="AB1213" t="inlineStr">
        <is>
          <t>TBL 030-112</t>
        </is>
      </c>
      <c r="AC1213" t="inlineStr"/>
      <c r="AD1213" s="164" t="n">
        <v>0</v>
      </c>
      <c r="AE1213" s="185" t="n">
        <v>0</v>
      </c>
      <c r="AG1213" s="167" t="inlineStr">
        <is>
          <t>7218|JA2584_1001</t>
        </is>
      </c>
      <c r="AH1213" s="47">
        <f>IF(M1213=0,"-",M1213-J1213)</f>
        <v/>
      </c>
      <c r="AI1213" s="46">
        <f>IF(AND(S1213=0,M1213&gt;0,L1213=0),IF(AH1213&gt;=120,"VERY HIGH",IF(AH1213&gt;=90,"HIGH",IF(AH1213&gt;=60,"MEDIUM",IF(AH1213&lt;60,"LOW")))),"-")</f>
        <v/>
      </c>
      <c r="AJ1213" s="12" t="n"/>
      <c r="AK1213" s="53">
        <f>IF(AND(W1213="X",M1213&lt;=$AJ$2),"YES","")</f>
        <v/>
      </c>
      <c r="AL1213" s="54">
        <f>IF(AND(W1213="X",M1213&lt;=$AJ$2),S1213,"")</f>
        <v/>
      </c>
      <c r="AM1213" s="35" t="n"/>
      <c r="AN1213" s="35">
        <f>IF(AND(W1213="X",M1213&gt;$AJ$2),S1213,"")</f>
        <v/>
      </c>
      <c r="AO1213" s="35">
        <f>IF(AND(W1213="",M1213&gt;0,$AJ$2&gt;M1213,L1213=""),1,0)</f>
        <v/>
      </c>
      <c r="AP1213" s="35">
        <f>IF(AND(AK1213="YES",W1213="X"),"X","")</f>
        <v/>
      </c>
      <c r="AQ1213" s="55">
        <f>IF(AP1213="X",100%,0%)</f>
        <v/>
      </c>
      <c r="AR1213" s="25">
        <f>IF(AND(T1213&gt;0,L1213=""),H1213,"")</f>
        <v/>
      </c>
      <c r="AS1213" s="25">
        <f>IF(AND(D1213&gt;0,H1213=0,G1213=""),1,"")</f>
        <v/>
      </c>
      <c r="AT1213" s="25">
        <f>IF(G1213="BLOQ",1,"")</f>
        <v/>
      </c>
      <c r="AU1213" s="25">
        <f>IF(L1213="BLOQ",1,"")</f>
        <v/>
      </c>
      <c r="AV1213" s="25">
        <f>MONTH(F1213)</f>
        <v/>
      </c>
      <c r="AW1213" s="65">
        <f>IF(AP1213="",100%,0%)</f>
        <v/>
      </c>
      <c r="AX1213" s="56" t="n"/>
      <c r="AY1213" s="24">
        <f>IF(M1213=0,"",M1213-$AX$2)</f>
        <v/>
      </c>
      <c r="AZ1213" s="66">
        <f>IF(AND(W1213="",AY1213&gt;0,AY1213&lt;15),1,0)</f>
        <v/>
      </c>
      <c r="BA1213" s="24">
        <f>IF(AND(W1213="",AY1213&gt;0,AY1213&lt;15),T1213,"")</f>
        <v/>
      </c>
      <c r="BB1213" s="87">
        <f>IF(R1213&lt;Q1213,"X","")</f>
        <v/>
      </c>
      <c r="BC1213" s="190" t="inlineStr">
        <is>
          <t>NO</t>
        </is>
      </c>
      <c r="BD1213" s="191" t="inlineStr">
        <is>
          <t>SI</t>
        </is>
      </c>
    </row>
    <row r="1214" ht="15" customHeight="1" s="162">
      <c r="A1214" s="7" t="n">
        <v>1213</v>
      </c>
      <c r="B1214" t="inlineStr">
        <is>
          <t>1263011992600</t>
        </is>
      </c>
      <c r="C1214" t="inlineStr">
        <is>
          <t>F.A. CCP 2XAA/3-6VDC 28V 4MA BNC</t>
        </is>
      </c>
      <c r="D1214" t="inlineStr">
        <is>
          <t>1800110423</t>
        </is>
      </c>
      <c r="E1214" t="inlineStr">
        <is>
          <t>190</t>
        </is>
      </c>
      <c r="F1214" s="163" t="n">
        <v>45490</v>
      </c>
      <c r="G1214" t="inlineStr"/>
      <c r="H1214" t="inlineStr">
        <is>
          <t>4200572023</t>
        </is>
      </c>
      <c r="I1214" t="inlineStr">
        <is>
          <t>10</t>
        </is>
      </c>
      <c r="J1214" s="163" t="n">
        <v>45497</v>
      </c>
      <c r="K1214" s="163" t="n">
        <v>45497</v>
      </c>
      <c r="L1214" t="inlineStr"/>
      <c r="M1214" s="163" t="n">
        <v>45554</v>
      </c>
      <c r="N1214" s="164" t="n">
        <v>55</v>
      </c>
      <c r="O1214" s="164" t="n">
        <v>8</v>
      </c>
      <c r="P1214" t="inlineStr">
        <is>
          <t>Liberado</t>
        </is>
      </c>
      <c r="Q1214" s="165" t="n">
        <v>1</v>
      </c>
      <c r="R1214" s="165" t="n">
        <v>1</v>
      </c>
      <c r="S1214" s="165" t="n">
        <v>1</v>
      </c>
      <c r="T1214" s="165" t="n">
        <v>0</v>
      </c>
      <c r="U1214" s="166" t="n">
        <v>1</v>
      </c>
      <c r="V1214" s="166" t="n">
        <v>0</v>
      </c>
      <c r="W1214" t="inlineStr">
        <is>
          <t>X</t>
        </is>
      </c>
      <c r="X1214" t="inlineStr">
        <is>
          <t>0.00</t>
        </is>
      </c>
      <c r="Y1214" t="inlineStr"/>
      <c r="Z1214" t="inlineStr">
        <is>
          <t>ICOMPPLUS ELECTRONICS S.L</t>
        </is>
      </c>
      <c r="AA1214" t="inlineStr">
        <is>
          <t>GRAS SOUND &amp; VIBRATI</t>
        </is>
      </c>
      <c r="AB1214" t="inlineStr">
        <is>
          <t>12AL</t>
        </is>
      </c>
      <c r="AC1214" t="inlineStr"/>
      <c r="AD1214" s="164" t="n">
        <v>0</v>
      </c>
      <c r="AE1214" s="185" t="n">
        <v>0</v>
      </c>
      <c r="AG1214" s="167" t="inlineStr">
        <is>
          <t>7218|JA2584_1001</t>
        </is>
      </c>
      <c r="AH1214" s="47">
        <f>IF(M1214=0,"-",M1214-J1214)</f>
        <v/>
      </c>
      <c r="AI1214" s="46">
        <f>IF(AND(S1214=0,M1214&gt;0,L1214=0),IF(AH1214&gt;=120,"VERY HIGH",IF(AH1214&gt;=90,"HIGH",IF(AH1214&gt;=60,"MEDIUM",IF(AH1214&lt;60,"LOW")))),"-")</f>
        <v/>
      </c>
      <c r="AJ1214" s="12" t="n"/>
      <c r="AK1214" s="53">
        <f>IF(AND(W1214="X",M1214&lt;=$AJ$2),"YES","")</f>
        <v/>
      </c>
      <c r="AL1214" s="54">
        <f>IF(AND(W1214="X",M1214&lt;=$AJ$2),S1214,"")</f>
        <v/>
      </c>
      <c r="AM1214" s="35" t="n"/>
      <c r="AN1214" s="35">
        <f>IF(AND(W1214="X",M1214&gt;$AJ$2),S1214,"")</f>
        <v/>
      </c>
      <c r="AO1214" s="35">
        <f>IF(AND(W1214="",M1214&gt;0,$AJ$2&gt;M1214,L1214=""),1,0)</f>
        <v/>
      </c>
      <c r="AP1214" s="35">
        <f>IF(AND(AK1214="YES",W1214="X"),"X","")</f>
        <v/>
      </c>
      <c r="AQ1214" s="55">
        <f>IF(AP1214="X",100%,0%)</f>
        <v/>
      </c>
      <c r="AR1214" s="25">
        <f>IF(AND(T1214&gt;0,L1214=""),H1214,"")</f>
        <v/>
      </c>
      <c r="AS1214" s="25">
        <f>IF(AND(D1214&gt;0,H1214=0,G1214=""),1,"")</f>
        <v/>
      </c>
      <c r="AT1214" s="25">
        <f>IF(G1214="BLOQ",1,"")</f>
        <v/>
      </c>
      <c r="AU1214" s="25">
        <f>IF(L1214="BLOQ",1,"")</f>
        <v/>
      </c>
      <c r="AV1214" s="25">
        <f>MONTH(F1214)</f>
        <v/>
      </c>
      <c r="AW1214" s="65">
        <f>IF(AP1214="",100%,0%)</f>
        <v/>
      </c>
      <c r="AX1214" s="56" t="n"/>
      <c r="AY1214" s="24">
        <f>IF(M1214=0,"",M1214-$AX$2)</f>
        <v/>
      </c>
      <c r="AZ1214" s="66">
        <f>IF(AND(W1214="",AY1214&gt;0,AY1214&lt;15),1,0)</f>
        <v/>
      </c>
      <c r="BA1214" s="24">
        <f>IF(AND(W1214="",AY1214&gt;0,AY1214&lt;15),T1214,"")</f>
        <v/>
      </c>
      <c r="BB1214" s="87">
        <f>IF(R1214&lt;Q1214,"X","")</f>
        <v/>
      </c>
      <c r="BC1214" s="190" t="inlineStr">
        <is>
          <t>NO</t>
        </is>
      </c>
      <c r="BD1214" s="191" t="inlineStr">
        <is>
          <t>SI</t>
        </is>
      </c>
    </row>
    <row r="1215" ht="15" customHeight="1" s="162">
      <c r="A1215" s="7" t="n">
        <v>1214</v>
      </c>
      <c r="B1215" t="inlineStr">
        <is>
          <t>1312702890000</t>
        </is>
      </c>
      <c r="C1215" t="inlineStr">
        <is>
          <t>MOD PROCESADO 12ENT/8SAL SOUNDWEB LONDON</t>
        </is>
      </c>
      <c r="D1215" t="inlineStr">
        <is>
          <t>1800110423</t>
        </is>
      </c>
      <c r="E1215" t="inlineStr">
        <is>
          <t>200</t>
        </is>
      </c>
      <c r="F1215" s="163" t="n">
        <v>45490</v>
      </c>
      <c r="G1215" t="inlineStr"/>
      <c r="H1215" t="inlineStr">
        <is>
          <t>4200573417</t>
        </is>
      </c>
      <c r="I1215" t="inlineStr">
        <is>
          <t>10</t>
        </is>
      </c>
      <c r="J1215" s="163" t="n">
        <v>45506</v>
      </c>
      <c r="K1215" s="163" t="n">
        <v>45507</v>
      </c>
      <c r="L1215" t="inlineStr"/>
      <c r="M1215" s="163" t="n">
        <v>45523</v>
      </c>
      <c r="N1215" s="164" t="n">
        <v>45</v>
      </c>
      <c r="O1215" s="164" t="n">
        <v>8</v>
      </c>
      <c r="P1215" t="inlineStr">
        <is>
          <t>Liberado</t>
        </is>
      </c>
      <c r="Q1215" s="165" t="n">
        <v>1</v>
      </c>
      <c r="R1215" s="165" t="n">
        <v>1</v>
      </c>
      <c r="S1215" s="165" t="n">
        <v>1</v>
      </c>
      <c r="T1215" s="165" t="n">
        <v>0</v>
      </c>
      <c r="U1215" s="166" t="n">
        <v>1</v>
      </c>
      <c r="V1215" s="166" t="n">
        <v>0</v>
      </c>
      <c r="W1215" t="inlineStr">
        <is>
          <t>X</t>
        </is>
      </c>
      <c r="X1215" t="inlineStr">
        <is>
          <t>0.00</t>
        </is>
      </c>
      <c r="Y1215" t="inlineStr"/>
      <c r="Z1215" t="inlineStr">
        <is>
          <t>TELKRON, S.A.</t>
        </is>
      </c>
      <c r="AA1215" t="inlineStr">
        <is>
          <t>HARMAN INTERNATIONAL</t>
        </is>
      </c>
      <c r="AB1215" t="inlineStr">
        <is>
          <t>BLU-100 12X8</t>
        </is>
      </c>
      <c r="AC1215" t="inlineStr"/>
      <c r="AD1215" s="164" t="n">
        <v>0</v>
      </c>
      <c r="AE1215" s="185" t="n">
        <v>0</v>
      </c>
      <c r="AG1215" s="167" t="inlineStr">
        <is>
          <t>7218|JA2584_1001</t>
        </is>
      </c>
      <c r="AH1215" s="47">
        <f>IF(M1215=0,"-",M1215-J1215)</f>
        <v/>
      </c>
      <c r="AI1215" s="46">
        <f>IF(AND(S1215=0,M1215&gt;0,L1215=0),IF(AH1215&gt;=120,"VERY HIGH",IF(AH1215&gt;=90,"HIGH",IF(AH1215&gt;=60,"MEDIUM",IF(AH1215&lt;60,"LOW")))),"-")</f>
        <v/>
      </c>
      <c r="AJ1215" s="12" t="n"/>
      <c r="AK1215" s="53">
        <f>IF(AND(W1215="X",M1215&lt;=$AJ$2),"YES","")</f>
        <v/>
      </c>
      <c r="AL1215" s="54">
        <f>IF(AND(W1215="X",M1215&lt;=$AJ$2),S1215,"")</f>
        <v/>
      </c>
      <c r="AM1215" s="35" t="n"/>
      <c r="AN1215" s="35">
        <f>IF(AND(W1215="X",M1215&gt;$AJ$2),S1215,"")</f>
        <v/>
      </c>
      <c r="AO1215" s="35">
        <f>IF(AND(W1215="",M1215&gt;0,$AJ$2&gt;M1215,L1215=""),1,0)</f>
        <v/>
      </c>
      <c r="AP1215" s="35">
        <f>IF(AND(AK1215="YES",W1215="X"),"X","")</f>
        <v/>
      </c>
      <c r="AQ1215" s="55">
        <f>IF(AP1215="X",100%,0%)</f>
        <v/>
      </c>
      <c r="AR1215" s="25">
        <f>IF(AND(T1215&gt;0,L1215=""),H1215,"")</f>
        <v/>
      </c>
      <c r="AS1215" s="25">
        <f>IF(AND(D1215&gt;0,H1215=0,G1215=""),1,"")</f>
        <v/>
      </c>
      <c r="AT1215" s="25">
        <f>IF(G1215="BLOQ",1,"")</f>
        <v/>
      </c>
      <c r="AU1215" s="25">
        <f>IF(L1215="BLOQ",1,"")</f>
        <v/>
      </c>
      <c r="AV1215" s="25">
        <f>MONTH(F1215)</f>
        <v/>
      </c>
      <c r="AW1215" s="65">
        <f>IF(AP1215="",100%,0%)</f>
        <v/>
      </c>
      <c r="AX1215" s="56" t="n"/>
      <c r="AY1215" s="24">
        <f>IF(M1215=0,"",M1215-$AX$2)</f>
        <v/>
      </c>
      <c r="AZ1215" s="66">
        <f>IF(AND(W1215="",AY1215&gt;0,AY1215&lt;15),1,0)</f>
        <v/>
      </c>
      <c r="BA1215" s="24">
        <f>IF(AND(W1215="",AY1215&gt;0,AY1215&lt;15),T1215,"")</f>
        <v/>
      </c>
      <c r="BB1215" s="87">
        <f>IF(R1215&lt;Q1215,"X","")</f>
        <v/>
      </c>
      <c r="BC1215" s="191" t="inlineStr">
        <is>
          <t>SI</t>
        </is>
      </c>
      <c r="BD1215" s="191" t="inlineStr">
        <is>
          <t>SI</t>
        </is>
      </c>
    </row>
    <row r="1216" ht="15" customHeight="1" s="162">
      <c r="A1216" s="7" t="n">
        <v>1215</v>
      </c>
      <c r="B1216" t="inlineStr">
        <is>
          <t>1312704910100</t>
        </is>
      </c>
      <c r="C1216" t="inlineStr">
        <is>
          <t>MOD CONV D/A 32CH 192KHZ I/O MADI/ADAT</t>
        </is>
      </c>
      <c r="D1216" t="inlineStr">
        <is>
          <t>1800110423</t>
        </is>
      </c>
      <c r="E1216" t="inlineStr">
        <is>
          <t>210</t>
        </is>
      </c>
      <c r="F1216" s="163" t="n">
        <v>45490</v>
      </c>
      <c r="G1216" t="inlineStr"/>
      <c r="H1216" t="inlineStr">
        <is>
          <t>4200573419</t>
        </is>
      </c>
      <c r="I1216" t="inlineStr">
        <is>
          <t>10</t>
        </is>
      </c>
      <c r="J1216" s="163" t="n">
        <v>45506</v>
      </c>
      <c r="K1216" s="163" t="n">
        <v>45507</v>
      </c>
      <c r="L1216" t="inlineStr"/>
      <c r="M1216" s="163" t="n">
        <v>45539</v>
      </c>
      <c r="N1216" s="164" t="n">
        <v>40</v>
      </c>
      <c r="O1216" s="164" t="n">
        <v>8</v>
      </c>
      <c r="P1216" t="inlineStr">
        <is>
          <t>Liberado</t>
        </is>
      </c>
      <c r="Q1216" s="165" t="n">
        <v>1</v>
      </c>
      <c r="R1216" s="165" t="n">
        <v>1</v>
      </c>
      <c r="S1216" s="165" t="n">
        <v>1</v>
      </c>
      <c r="T1216" s="165" t="n">
        <v>0</v>
      </c>
      <c r="U1216" s="166" t="n">
        <v>1</v>
      </c>
      <c r="V1216" s="166" t="n">
        <v>0</v>
      </c>
      <c r="W1216" t="inlineStr">
        <is>
          <t>X</t>
        </is>
      </c>
      <c r="X1216" t="inlineStr">
        <is>
          <t>0.00</t>
        </is>
      </c>
      <c r="Y1216" t="inlineStr"/>
      <c r="Z1216" t="inlineStr">
        <is>
          <t>MILEXIA IBÉRICA, S.A.U.</t>
        </is>
      </c>
      <c r="AA1216" t="inlineStr">
        <is>
          <t>RME INTELLIGENT AUDI</t>
        </is>
      </c>
      <c r="AB1216" t="inlineStr">
        <is>
          <t>M-32 DA</t>
        </is>
      </c>
      <c r="AC1216" t="inlineStr"/>
      <c r="AD1216" s="164" t="n">
        <v>1</v>
      </c>
      <c r="AE1216" s="185" t="n">
        <v>1</v>
      </c>
      <c r="AG1216" s="167" t="inlineStr">
        <is>
          <t>7218|JA2584_1001</t>
        </is>
      </c>
      <c r="AH1216" s="47">
        <f>IF(M1216=0,"-",M1216-J1216)</f>
        <v/>
      </c>
      <c r="AI1216" s="46">
        <f>IF(AND(S1216=0,M1216&gt;0,L1216=0),IF(AH1216&gt;=120,"VERY HIGH",IF(AH1216&gt;=90,"HIGH",IF(AH1216&gt;=60,"MEDIUM",IF(AH1216&lt;60,"LOW")))),"-")</f>
        <v/>
      </c>
      <c r="AJ1216" s="12" t="n"/>
      <c r="AK1216" s="53">
        <f>IF(AND(W1216="X",M1216&lt;=$AJ$2),"YES","")</f>
        <v/>
      </c>
      <c r="AL1216" s="54">
        <f>IF(AND(W1216="X",M1216&lt;=$AJ$2),S1216,"")</f>
        <v/>
      </c>
      <c r="AM1216" s="35" t="n"/>
      <c r="AN1216" s="35">
        <f>IF(AND(W1216="X",M1216&gt;$AJ$2),S1216,"")</f>
        <v/>
      </c>
      <c r="AO1216" s="35">
        <f>IF(AND(W1216="",M1216&gt;0,$AJ$2&gt;M1216,L1216=""),1,0)</f>
        <v/>
      </c>
      <c r="AP1216" s="35">
        <f>IF(AND(AK1216="YES",W1216="X"),"X","")</f>
        <v/>
      </c>
      <c r="AQ1216" s="55">
        <f>IF(AP1216="X",100%,0%)</f>
        <v/>
      </c>
      <c r="AR1216" s="25">
        <f>IF(AND(T1216&gt;0,L1216=""),H1216,"")</f>
        <v/>
      </c>
      <c r="AS1216" s="25">
        <f>IF(AND(D1216&gt;0,H1216=0,G1216=""),1,"")</f>
        <v/>
      </c>
      <c r="AT1216" s="25">
        <f>IF(G1216="BLOQ",1,"")</f>
        <v/>
      </c>
      <c r="AU1216" s="25">
        <f>IF(L1216="BLOQ",1,"")</f>
        <v/>
      </c>
      <c r="AV1216" s="25">
        <f>MONTH(F1216)</f>
        <v/>
      </c>
      <c r="AW1216" s="65">
        <f>IF(AP1216="",100%,0%)</f>
        <v/>
      </c>
      <c r="AX1216" s="56" t="n"/>
      <c r="AY1216" s="24">
        <f>IF(M1216=0,"",M1216-$AX$2)</f>
        <v/>
      </c>
      <c r="AZ1216" s="66">
        <f>IF(AND(W1216="",AY1216&gt;0,AY1216&lt;15),1,0)</f>
        <v/>
      </c>
      <c r="BA1216" s="24">
        <f>IF(AND(W1216="",AY1216&gt;0,AY1216&lt;15),T1216,"")</f>
        <v/>
      </c>
      <c r="BB1216" s="87">
        <f>IF(R1216&lt;Q1216,"X","")</f>
        <v/>
      </c>
      <c r="BC1216" s="191" t="inlineStr">
        <is>
          <t>SI</t>
        </is>
      </c>
      <c r="BD1216" s="191" t="inlineStr">
        <is>
          <t>SI</t>
        </is>
      </c>
    </row>
    <row r="1217" ht="15" customHeight="1" s="162">
      <c r="A1217" s="7" t="n">
        <v>1216</v>
      </c>
      <c r="B1217" t="inlineStr">
        <is>
          <t>1351709000800</t>
        </is>
      </c>
      <c r="C1217" t="inlineStr">
        <is>
          <t>MOD INTERFAZ AUDIO 192KHZ 188-CH USB3.0</t>
        </is>
      </c>
      <c r="D1217" t="inlineStr">
        <is>
          <t>1800110423</t>
        </is>
      </c>
      <c r="E1217" t="inlineStr">
        <is>
          <t>220</t>
        </is>
      </c>
      <c r="F1217" s="163" t="n">
        <v>45490</v>
      </c>
      <c r="G1217" t="inlineStr"/>
      <c r="H1217" t="inlineStr">
        <is>
          <t>4200577053</t>
        </is>
      </c>
      <c r="I1217" t="inlineStr">
        <is>
          <t>10</t>
        </is>
      </c>
      <c r="J1217" s="163" t="n">
        <v>45547</v>
      </c>
      <c r="K1217" s="163" t="n">
        <v>45547</v>
      </c>
      <c r="L1217" t="inlineStr"/>
      <c r="M1217" s="163" t="n">
        <v>45563</v>
      </c>
      <c r="N1217" s="164" t="n">
        <v>40</v>
      </c>
      <c r="O1217" s="164" t="n">
        <v>8</v>
      </c>
      <c r="P1217" t="inlineStr">
        <is>
          <t>Liberado</t>
        </is>
      </c>
      <c r="Q1217" s="165" t="n">
        <v>1</v>
      </c>
      <c r="R1217" s="165" t="n">
        <v>1</v>
      </c>
      <c r="S1217" s="165" t="n">
        <v>1</v>
      </c>
      <c r="T1217" s="165" t="n">
        <v>0</v>
      </c>
      <c r="U1217" s="166" t="n">
        <v>1</v>
      </c>
      <c r="V1217" s="166" t="n">
        <v>0</v>
      </c>
      <c r="W1217" t="inlineStr">
        <is>
          <t>X</t>
        </is>
      </c>
      <c r="X1217" t="inlineStr">
        <is>
          <t>0.00</t>
        </is>
      </c>
      <c r="Y1217" t="inlineStr"/>
      <c r="Z1217" t="inlineStr">
        <is>
          <t>REBOUND ELECTRONICS (UK) LTD</t>
        </is>
      </c>
      <c r="AA1217" t="inlineStr">
        <is>
          <t>RME INTELLIGENT AUDI</t>
        </is>
      </c>
      <c r="AB1217" t="inlineStr">
        <is>
          <t>FIREFACE UFX III</t>
        </is>
      </c>
      <c r="AC1217" t="inlineStr"/>
      <c r="AD1217" s="164" t="n">
        <v>0</v>
      </c>
      <c r="AE1217" s="185" t="n">
        <v>0</v>
      </c>
      <c r="AG1217" s="167" t="inlineStr">
        <is>
          <t>7218|JA2584_1001</t>
        </is>
      </c>
      <c r="AH1217" s="47">
        <f>IF(M1217=0,"-",M1217-J1217)</f>
        <v/>
      </c>
      <c r="AI1217" s="46">
        <f>IF(AND(S1217=0,M1217&gt;0,L1217=0),IF(AH1217&gt;=120,"VERY HIGH",IF(AH1217&gt;=90,"HIGH",IF(AH1217&gt;=60,"MEDIUM",IF(AH1217&lt;60,"LOW")))),"-")</f>
        <v/>
      </c>
      <c r="AJ1217" s="12" t="n"/>
      <c r="AK1217" s="53">
        <f>IF(AND(W1217="X",M1217&lt;=$AJ$2),"YES","")</f>
        <v/>
      </c>
      <c r="AL1217" s="54">
        <f>IF(AND(W1217="X",M1217&lt;=$AJ$2),S1217,"")</f>
        <v/>
      </c>
      <c r="AM1217" s="35" t="n"/>
      <c r="AN1217" s="35">
        <f>IF(AND(W1217="X",M1217&gt;$AJ$2),S1217,"")</f>
        <v/>
      </c>
      <c r="AO1217" s="35">
        <f>IF(AND(W1217="",M1217&gt;0,$AJ$2&gt;M1217,L1217=""),1,0)</f>
        <v/>
      </c>
      <c r="AP1217" s="35">
        <f>IF(AND(AK1217="YES",W1217="X"),"X","")</f>
        <v/>
      </c>
      <c r="AQ1217" s="55">
        <f>IF(AP1217="X",100%,0%)</f>
        <v/>
      </c>
      <c r="AR1217" s="25">
        <f>IF(AND(T1217&gt;0,L1217=""),H1217,"")</f>
        <v/>
      </c>
      <c r="AS1217" s="25">
        <f>IF(AND(D1217&gt;0,H1217=0,G1217=""),1,"")</f>
        <v/>
      </c>
      <c r="AT1217" s="25">
        <f>IF(G1217="BLOQ",1,"")</f>
        <v/>
      </c>
      <c r="AU1217" s="25">
        <f>IF(L1217="BLOQ",1,"")</f>
        <v/>
      </c>
      <c r="AV1217" s="25">
        <f>MONTH(F1217)</f>
        <v/>
      </c>
      <c r="AW1217" s="65">
        <f>IF(AP1217="",100%,0%)</f>
        <v/>
      </c>
      <c r="AX1217" s="56" t="n"/>
      <c r="AY1217" s="24">
        <f>IF(M1217=0,"",M1217-$AX$2)</f>
        <v/>
      </c>
      <c r="AZ1217" s="66">
        <f>IF(AND(W1217="",AY1217&gt;0,AY1217&lt;15),1,0)</f>
        <v/>
      </c>
      <c r="BA1217" s="24">
        <f>IF(AND(W1217="",AY1217&gt;0,AY1217&lt;15),T1217,"")</f>
        <v/>
      </c>
      <c r="BB1217" s="87">
        <f>IF(R1217&lt;Q1217,"X","")</f>
        <v/>
      </c>
      <c r="BC1217" s="191" t="inlineStr">
        <is>
          <t>SI</t>
        </is>
      </c>
      <c r="BD1217" s="191" t="inlineStr">
        <is>
          <t>SI</t>
        </is>
      </c>
    </row>
    <row r="1218" ht="15" customHeight="1" s="162">
      <c r="A1218" s="7" t="n">
        <v>1217</v>
      </c>
      <c r="B1218" t="inlineStr">
        <is>
          <t>1390400090100</t>
        </is>
      </c>
      <c r="C1218" t="inlineStr">
        <is>
          <t>PREAMPLIFICADOR 6-18V MONO P/MICROFONO</t>
        </is>
      </c>
      <c r="D1218" t="inlineStr">
        <is>
          <t>1800110423</t>
        </is>
      </c>
      <c r="E1218" t="inlineStr">
        <is>
          <t>230</t>
        </is>
      </c>
      <c r="F1218" s="163" t="n">
        <v>45490</v>
      </c>
      <c r="G1218" t="inlineStr"/>
      <c r="H1218" t="inlineStr">
        <is>
          <t>4200572601</t>
        </is>
      </c>
      <c r="I1218" t="inlineStr">
        <is>
          <t>10</t>
        </is>
      </c>
      <c r="J1218" s="163" t="n">
        <v>45502</v>
      </c>
      <c r="K1218" s="163" t="n">
        <v>45504</v>
      </c>
      <c r="L1218" t="inlineStr"/>
      <c r="M1218" s="163" t="n">
        <v>45523</v>
      </c>
      <c r="N1218" s="164" t="n">
        <v>30</v>
      </c>
      <c r="O1218" s="164" t="n">
        <v>8</v>
      </c>
      <c r="P1218" t="inlineStr">
        <is>
          <t>Liberado</t>
        </is>
      </c>
      <c r="Q1218" s="165" t="n">
        <v>1</v>
      </c>
      <c r="R1218" s="165" t="n">
        <v>1</v>
      </c>
      <c r="S1218" s="165" t="n">
        <v>1</v>
      </c>
      <c r="T1218" s="165" t="n">
        <v>0</v>
      </c>
      <c r="U1218" s="166" t="n">
        <v>1</v>
      </c>
      <c r="V1218" s="166" t="n">
        <v>0</v>
      </c>
      <c r="W1218" t="inlineStr">
        <is>
          <t>X</t>
        </is>
      </c>
      <c r="X1218" t="inlineStr">
        <is>
          <t>0.00</t>
        </is>
      </c>
      <c r="Y1218" t="inlineStr"/>
      <c r="Z1218" t="inlineStr">
        <is>
          <t>TCX MICRO, S.L.U</t>
        </is>
      </c>
      <c r="AA1218" t="inlineStr">
        <is>
          <t>CEBEK</t>
        </is>
      </c>
      <c r="AB1218" t="inlineStr">
        <is>
          <t>PM-1</t>
        </is>
      </c>
      <c r="AC1218" t="inlineStr"/>
      <c r="AD1218" s="164" t="n">
        <v>0</v>
      </c>
      <c r="AE1218" s="185" t="n">
        <v>0</v>
      </c>
      <c r="AG1218" s="167" t="inlineStr">
        <is>
          <t>7218|JA2584_1001</t>
        </is>
      </c>
      <c r="AH1218" s="47">
        <f>IF(M1218=0,"-",M1218-J1218)</f>
        <v/>
      </c>
      <c r="AI1218" s="46">
        <f>IF(AND(S1218=0,M1218&gt;0,L1218=0),IF(AH1218&gt;=120,"VERY HIGH",IF(AH1218&gt;=90,"HIGH",IF(AH1218&gt;=60,"MEDIUM",IF(AH1218&lt;60,"LOW")))),"-")</f>
        <v/>
      </c>
      <c r="AJ1218" s="12" t="n"/>
      <c r="AK1218" s="53">
        <f>IF(AND(W1218="X",M1218&lt;=$AJ$2),"YES","")</f>
        <v/>
      </c>
      <c r="AL1218" s="54">
        <f>IF(AND(W1218="X",M1218&lt;=$AJ$2),S1218,"")</f>
        <v/>
      </c>
      <c r="AM1218" s="35" t="n"/>
      <c r="AN1218" s="35">
        <f>IF(AND(W1218="X",M1218&gt;$AJ$2),S1218,"")</f>
        <v/>
      </c>
      <c r="AO1218" s="35">
        <f>IF(AND(W1218="",M1218&gt;0,$AJ$2&gt;M1218,L1218=""),1,0)</f>
        <v/>
      </c>
      <c r="AP1218" s="35">
        <f>IF(AND(AK1218="YES",W1218="X"),"X","")</f>
        <v/>
      </c>
      <c r="AQ1218" s="55">
        <f>IF(AP1218="X",100%,0%)</f>
        <v/>
      </c>
      <c r="AR1218" s="25">
        <f>IF(AND(T1218&gt;0,L1218=""),H1218,"")</f>
        <v/>
      </c>
      <c r="AS1218" s="25">
        <f>IF(AND(D1218&gt;0,H1218=0,G1218=""),1,"")</f>
        <v/>
      </c>
      <c r="AT1218" s="25">
        <f>IF(G1218="BLOQ",1,"")</f>
        <v/>
      </c>
      <c r="AU1218" s="25">
        <f>IF(L1218="BLOQ",1,"")</f>
        <v/>
      </c>
      <c r="AV1218" s="25">
        <f>MONTH(F1218)</f>
        <v/>
      </c>
      <c r="AW1218" s="65">
        <f>IF(AP1218="",100%,0%)</f>
        <v/>
      </c>
      <c r="AX1218" s="56" t="n"/>
      <c r="AY1218" s="24">
        <f>IF(M1218=0,"",M1218-$AX$2)</f>
        <v/>
      </c>
      <c r="AZ1218" s="66">
        <f>IF(AND(W1218="",AY1218&gt;0,AY1218&lt;15),1,0)</f>
        <v/>
      </c>
      <c r="BA1218" s="24">
        <f>IF(AND(W1218="",AY1218&gt;0,AY1218&lt;15),T1218,"")</f>
        <v/>
      </c>
      <c r="BB1218" s="87">
        <f>IF(R1218&lt;Q1218,"X","")</f>
        <v/>
      </c>
      <c r="BC1218" s="190" t="inlineStr">
        <is>
          <t>NO</t>
        </is>
      </c>
      <c r="BD1218" s="191" t="inlineStr">
        <is>
          <t>SI</t>
        </is>
      </c>
    </row>
    <row r="1219" ht="15" customHeight="1" s="162">
      <c r="A1219" s="7" t="n">
        <v>1218</v>
      </c>
      <c r="B1219" t="inlineStr">
        <is>
          <t>1589903549000</t>
        </is>
      </c>
      <c r="C1219" t="inlineStr">
        <is>
          <t>ADAPT P/MICRO 1/2-1/4 CAB GIR P/TRIP 1/4</t>
        </is>
      </c>
      <c r="D1219" t="inlineStr">
        <is>
          <t>1800110423</t>
        </is>
      </c>
      <c r="E1219" t="inlineStr">
        <is>
          <t>240</t>
        </is>
      </c>
      <c r="F1219" s="163" t="n">
        <v>45490</v>
      </c>
      <c r="G1219" t="inlineStr"/>
      <c r="H1219" t="inlineStr">
        <is>
          <t>4200583542</t>
        </is>
      </c>
      <c r="I1219" t="inlineStr">
        <is>
          <t>10</t>
        </is>
      </c>
      <c r="J1219" s="163" t="n">
        <v>45594</v>
      </c>
      <c r="K1219" s="163" t="n">
        <v>45596</v>
      </c>
      <c r="L1219" t="inlineStr"/>
      <c r="M1219" s="163" t="n">
        <v>45609</v>
      </c>
      <c r="N1219" s="164" t="n">
        <v>55</v>
      </c>
      <c r="O1219" s="164" t="n">
        <v>8</v>
      </c>
      <c r="P1219" t="inlineStr">
        <is>
          <t>Liberado</t>
        </is>
      </c>
      <c r="Q1219" s="165" t="n">
        <v>1</v>
      </c>
      <c r="R1219" s="165" t="n">
        <v>1</v>
      </c>
      <c r="S1219" s="165" t="n">
        <v>1</v>
      </c>
      <c r="T1219" s="165" t="n">
        <v>0</v>
      </c>
      <c r="U1219" s="166" t="n">
        <v>1</v>
      </c>
      <c r="V1219" s="166" t="n">
        <v>0</v>
      </c>
      <c r="W1219" t="inlineStr">
        <is>
          <t>X</t>
        </is>
      </c>
      <c r="X1219" t="inlineStr">
        <is>
          <t>0.00</t>
        </is>
      </c>
      <c r="Y1219" t="inlineStr"/>
      <c r="Z1219" t="inlineStr">
        <is>
          <t>ICOMPPLUS ELECTRONICS S.L</t>
        </is>
      </c>
      <c r="AA1219" t="inlineStr">
        <is>
          <t>GRAS SOUND &amp; VIBRATI</t>
        </is>
      </c>
      <c r="AB1219" t="inlineStr">
        <is>
          <t>AL0003</t>
        </is>
      </c>
      <c r="AC1219" t="inlineStr"/>
      <c r="AD1219" s="164" t="n">
        <v>0</v>
      </c>
      <c r="AE1219" s="185" t="n">
        <v>0</v>
      </c>
      <c r="AG1219" s="167" t="inlineStr">
        <is>
          <t>7218|JA2584_1001</t>
        </is>
      </c>
      <c r="AH1219" s="47">
        <f>IF(M1219=0,"-",M1219-J1219)</f>
        <v/>
      </c>
      <c r="AI1219" s="46">
        <f>IF(AND(S1219=0,M1219&gt;0,L1219=0),IF(AH1219&gt;=120,"VERY HIGH",IF(AH1219&gt;=90,"HIGH",IF(AH1219&gt;=60,"MEDIUM",IF(AH1219&lt;60,"LOW")))),"-")</f>
        <v/>
      </c>
      <c r="AJ1219" s="12" t="n"/>
      <c r="AK1219" s="53">
        <f>IF(AND(W1219="X",M1219&lt;=$AJ$2),"YES","")</f>
        <v/>
      </c>
      <c r="AL1219" s="54">
        <f>IF(AND(W1219="X",M1219&lt;=$AJ$2),S1219,"")</f>
        <v/>
      </c>
      <c r="AM1219" s="35" t="n"/>
      <c r="AN1219" s="35">
        <f>IF(AND(W1219="X",M1219&gt;$AJ$2),S1219,"")</f>
        <v/>
      </c>
      <c r="AO1219" s="35">
        <f>IF(AND(W1219="",M1219&gt;0,$AJ$2&gt;M1219,L1219=""),1,0)</f>
        <v/>
      </c>
      <c r="AP1219" s="35">
        <f>IF(AND(AK1219="YES",W1219="X"),"X","")</f>
        <v/>
      </c>
      <c r="AQ1219" s="55">
        <f>IF(AP1219="X",100%,0%)</f>
        <v/>
      </c>
      <c r="AR1219" s="25">
        <f>IF(AND(T1219&gt;0,L1219=""),H1219,"")</f>
        <v/>
      </c>
      <c r="AS1219" s="25">
        <f>IF(AND(D1219&gt;0,H1219=0,G1219=""),1,"")</f>
        <v/>
      </c>
      <c r="AT1219" s="25">
        <f>IF(G1219="BLOQ",1,"")</f>
        <v/>
      </c>
      <c r="AU1219" s="25">
        <f>IF(L1219="BLOQ",1,"")</f>
        <v/>
      </c>
      <c r="AV1219" s="25">
        <f>MONTH(F1219)</f>
        <v/>
      </c>
      <c r="AW1219" s="65">
        <f>IF(AP1219="",100%,0%)</f>
        <v/>
      </c>
      <c r="AX1219" s="56" t="n"/>
      <c r="AY1219" s="24">
        <f>IF(M1219=0,"",M1219-$AX$2)</f>
        <v/>
      </c>
      <c r="AZ1219" s="66">
        <f>IF(AND(W1219="",AY1219&gt;0,AY1219&lt;15),1,0)</f>
        <v/>
      </c>
      <c r="BA1219" s="24">
        <f>IF(AND(W1219="",AY1219&gt;0,AY1219&lt;15),T1219,"")</f>
        <v/>
      </c>
      <c r="BB1219" s="87">
        <f>IF(R1219&lt;Q1219,"X","")</f>
        <v/>
      </c>
      <c r="BC1219" s="190" t="inlineStr">
        <is>
          <t>NO</t>
        </is>
      </c>
      <c r="BD1219" s="191" t="inlineStr">
        <is>
          <t>SI</t>
        </is>
      </c>
    </row>
    <row r="1220" ht="15" customHeight="1" s="162">
      <c r="A1220" s="7" t="n">
        <v>1219</v>
      </c>
      <c r="B1220" t="inlineStr">
        <is>
          <t>1589991012301</t>
        </is>
      </c>
      <c r="C1220" t="inlineStr">
        <is>
          <t>ANCLAJE 16MM HEX M5 1/4" P/13-55MM NE</t>
        </is>
      </c>
      <c r="D1220" t="inlineStr">
        <is>
          <t>1800110423</t>
        </is>
      </c>
      <c r="E1220" t="inlineStr">
        <is>
          <t>250</t>
        </is>
      </c>
      <c r="F1220" s="163" t="n">
        <v>45490</v>
      </c>
      <c r="G1220" t="inlineStr"/>
      <c r="H1220" t="inlineStr">
        <is>
          <t>4200583543</t>
        </is>
      </c>
      <c r="I1220" t="inlineStr">
        <is>
          <t>10</t>
        </is>
      </c>
      <c r="J1220" s="163" t="n">
        <v>45594</v>
      </c>
      <c r="K1220" s="163" t="n">
        <v>45596</v>
      </c>
      <c r="L1220" t="inlineStr"/>
      <c r="M1220" s="163" t="n">
        <v>45604</v>
      </c>
      <c r="N1220" s="164" t="n">
        <v>30</v>
      </c>
      <c r="O1220" s="164" t="n">
        <v>8</v>
      </c>
      <c r="P1220" t="inlineStr">
        <is>
          <t>Liberado</t>
        </is>
      </c>
      <c r="Q1220" s="165" t="n">
        <v>1</v>
      </c>
      <c r="R1220" s="165" t="n">
        <v>1</v>
      </c>
      <c r="S1220" s="165" t="n">
        <v>1</v>
      </c>
      <c r="T1220" s="165" t="n">
        <v>0</v>
      </c>
      <c r="U1220" s="166" t="n">
        <v>1</v>
      </c>
      <c r="V1220" s="166" t="n">
        <v>0</v>
      </c>
      <c r="W1220" t="inlineStr">
        <is>
          <t>X</t>
        </is>
      </c>
      <c r="X1220" t="inlineStr">
        <is>
          <t>0.00</t>
        </is>
      </c>
      <c r="Y1220" t="inlineStr"/>
      <c r="Z1220" t="inlineStr">
        <is>
          <t>INFORMATICA CALCULO Y TECNICA, S.A.</t>
        </is>
      </c>
      <c r="AA1220" t="inlineStr">
        <is>
          <t>MANFROTTO</t>
        </is>
      </c>
      <c r="AB1220" t="inlineStr">
        <is>
          <t>MAN035</t>
        </is>
      </c>
      <c r="AC1220" t="inlineStr"/>
      <c r="AD1220" s="164" t="n">
        <v>0</v>
      </c>
      <c r="AE1220" s="185" t="n">
        <v>0</v>
      </c>
      <c r="AG1220" s="167" t="inlineStr">
        <is>
          <t>7218|JA2584_1001</t>
        </is>
      </c>
      <c r="AH1220" s="47">
        <f>IF(M1220=0,"-",M1220-J1220)</f>
        <v/>
      </c>
      <c r="AI1220" s="46">
        <f>IF(AND(S1220=0,M1220&gt;0,L1220=0),IF(AH1220&gt;=120,"VERY HIGH",IF(AH1220&gt;=90,"HIGH",IF(AH1220&gt;=60,"MEDIUM",IF(AH1220&lt;60,"LOW")))),"-")</f>
        <v/>
      </c>
      <c r="AJ1220" s="12" t="n"/>
      <c r="AK1220" s="53">
        <f>IF(AND(W1220="X",M1220&lt;=$AJ$2),"YES","")</f>
        <v/>
      </c>
      <c r="AL1220" s="54">
        <f>IF(AND(W1220="X",M1220&lt;=$AJ$2),S1220,"")</f>
        <v/>
      </c>
      <c r="AM1220" s="35" t="n"/>
      <c r="AN1220" s="35">
        <f>IF(AND(W1220="X",M1220&gt;$AJ$2),S1220,"")</f>
        <v/>
      </c>
      <c r="AO1220" s="35">
        <f>IF(AND(W1220="",M1220&gt;0,$AJ$2&gt;M1220,L1220=""),1,0)</f>
        <v/>
      </c>
      <c r="AP1220" s="35">
        <f>IF(AND(AK1220="YES",W1220="X"),"X","")</f>
        <v/>
      </c>
      <c r="AQ1220" s="55">
        <f>IF(AP1220="X",100%,0%)</f>
        <v/>
      </c>
      <c r="AR1220" s="25">
        <f>IF(AND(T1220&gt;0,L1220=""),H1220,"")</f>
        <v/>
      </c>
      <c r="AS1220" s="25">
        <f>IF(AND(D1220&gt;0,H1220=0,G1220=""),1,"")</f>
        <v/>
      </c>
      <c r="AT1220" s="25">
        <f>IF(G1220="BLOQ",1,"")</f>
        <v/>
      </c>
      <c r="AU1220" s="25">
        <f>IF(L1220="BLOQ",1,"")</f>
        <v/>
      </c>
      <c r="AV1220" s="25">
        <f>MONTH(F1220)</f>
        <v/>
      </c>
      <c r="AW1220" s="65">
        <f>IF(AP1220="",100%,0%)</f>
        <v/>
      </c>
      <c r="AX1220" s="56" t="n"/>
      <c r="AY1220" s="24">
        <f>IF(M1220=0,"",M1220-$AX$2)</f>
        <v/>
      </c>
      <c r="AZ1220" s="66">
        <f>IF(AND(W1220="",AY1220&gt;0,AY1220&lt;15),1,0)</f>
        <v/>
      </c>
      <c r="BA1220" s="24">
        <f>IF(AND(W1220="",AY1220&gt;0,AY1220&lt;15),T1220,"")</f>
        <v/>
      </c>
      <c r="BB1220" s="87">
        <f>IF(R1220&lt;Q1220,"X","")</f>
        <v/>
      </c>
      <c r="BC1220" s="190" t="inlineStr">
        <is>
          <t>NO</t>
        </is>
      </c>
      <c r="BD1220" s="191" t="inlineStr">
        <is>
          <t>SI</t>
        </is>
      </c>
    </row>
    <row r="1221" ht="15" customHeight="1" s="162">
      <c r="A1221" s="7" t="n">
        <v>1220</v>
      </c>
      <c r="B1221" t="inlineStr">
        <is>
          <t>1589991012400</t>
        </is>
      </c>
      <c r="C1221" t="inlineStr">
        <is>
          <t>PASADOR CORTO REV M/M 3/8"-1/4" BRONCE</t>
        </is>
      </c>
      <c r="D1221" t="inlineStr">
        <is>
          <t>1800110423</t>
        </is>
      </c>
      <c r="E1221" t="inlineStr">
        <is>
          <t>260</t>
        </is>
      </c>
      <c r="F1221" s="163" t="n">
        <v>45490</v>
      </c>
      <c r="G1221" t="inlineStr"/>
      <c r="H1221" t="inlineStr">
        <is>
          <t>4200583543</t>
        </is>
      </c>
      <c r="I1221" t="inlineStr">
        <is>
          <t>20</t>
        </is>
      </c>
      <c r="J1221" s="163" t="n">
        <v>45594</v>
      </c>
      <c r="K1221" s="163" t="n">
        <v>45596</v>
      </c>
      <c r="L1221" t="inlineStr"/>
      <c r="M1221" s="163" t="n">
        <v>45604</v>
      </c>
      <c r="N1221" s="164" t="n">
        <v>30</v>
      </c>
      <c r="O1221" s="164" t="n">
        <v>8</v>
      </c>
      <c r="P1221" t="inlineStr">
        <is>
          <t>Liberado</t>
        </is>
      </c>
      <c r="Q1221" s="165" t="n">
        <v>1</v>
      </c>
      <c r="R1221" s="165" t="n">
        <v>1</v>
      </c>
      <c r="S1221" s="165" t="n">
        <v>1</v>
      </c>
      <c r="T1221" s="165" t="n">
        <v>0</v>
      </c>
      <c r="U1221" s="166" t="n">
        <v>1</v>
      </c>
      <c r="V1221" s="166" t="n">
        <v>0</v>
      </c>
      <c r="W1221" t="inlineStr">
        <is>
          <t>X</t>
        </is>
      </c>
      <c r="X1221" t="inlineStr">
        <is>
          <t>0.00</t>
        </is>
      </c>
      <c r="Y1221" t="inlineStr"/>
      <c r="Z1221" t="inlineStr">
        <is>
          <t>INFORMATICA CALCULO Y TECNICA, S.A.</t>
        </is>
      </c>
      <c r="AA1221" t="inlineStr">
        <is>
          <t>MANFROTTO</t>
        </is>
      </c>
      <c r="AB1221" t="inlineStr">
        <is>
          <t>MAN037</t>
        </is>
      </c>
      <c r="AC1221" t="inlineStr"/>
      <c r="AD1221" s="164" t="n">
        <v>0</v>
      </c>
      <c r="AE1221" s="185" t="n">
        <v>0</v>
      </c>
      <c r="AG1221" s="167" t="inlineStr">
        <is>
          <t>7218|JA2584_1001</t>
        </is>
      </c>
      <c r="AH1221" s="47">
        <f>IF(M1221=0,"-",M1221-J1221)</f>
        <v/>
      </c>
      <c r="AI1221" s="46">
        <f>IF(AND(S1221=0,M1221&gt;0,L1221=0),IF(AH1221&gt;=120,"VERY HIGH",IF(AH1221&gt;=90,"HIGH",IF(AH1221&gt;=60,"MEDIUM",IF(AH1221&lt;60,"LOW")))),"-")</f>
        <v/>
      </c>
      <c r="AJ1221" s="12" t="n"/>
      <c r="AK1221" s="53">
        <f>IF(AND(W1221="X",M1221&lt;=$AJ$2),"YES","")</f>
        <v/>
      </c>
      <c r="AL1221" s="54">
        <f>IF(AND(W1221="X",M1221&lt;=$AJ$2),S1221,"")</f>
        <v/>
      </c>
      <c r="AM1221" s="35" t="n"/>
      <c r="AN1221" s="35">
        <f>IF(AND(W1221="X",M1221&gt;$AJ$2),S1221,"")</f>
        <v/>
      </c>
      <c r="AO1221" s="35">
        <f>IF(AND(W1221="",M1221&gt;0,$AJ$2&gt;M1221,L1221=""),1,0)</f>
        <v/>
      </c>
      <c r="AP1221" s="35">
        <f>IF(AND(AK1221="YES",W1221="X"),"X","")</f>
        <v/>
      </c>
      <c r="AQ1221" s="55">
        <f>IF(AP1221="X",100%,0%)</f>
        <v/>
      </c>
      <c r="AR1221" s="25">
        <f>IF(AND(T1221&gt;0,L1221=""),H1221,"")</f>
        <v/>
      </c>
      <c r="AS1221" s="25">
        <f>IF(AND(D1221&gt;0,H1221=0,G1221=""),1,"")</f>
        <v/>
      </c>
      <c r="AT1221" s="25">
        <f>IF(G1221="BLOQ",1,"")</f>
        <v/>
      </c>
      <c r="AU1221" s="25">
        <f>IF(L1221="BLOQ",1,"")</f>
        <v/>
      </c>
      <c r="AV1221" s="25">
        <f>MONTH(F1221)</f>
        <v/>
      </c>
      <c r="AW1221" s="65">
        <f>IF(AP1221="",100%,0%)</f>
        <v/>
      </c>
      <c r="AX1221" s="56" t="n"/>
      <c r="AY1221" s="24">
        <f>IF(M1221=0,"",M1221-$AX$2)</f>
        <v/>
      </c>
      <c r="AZ1221" s="66">
        <f>IF(AND(W1221="",AY1221&gt;0,AY1221&lt;15),1,0)</f>
        <v/>
      </c>
      <c r="BA1221" s="24">
        <f>IF(AND(W1221="",AY1221&gt;0,AY1221&lt;15),T1221,"")</f>
        <v/>
      </c>
      <c r="BB1221" s="87">
        <f>IF(R1221&lt;Q1221,"X","")</f>
        <v/>
      </c>
      <c r="BC1221" s="190" t="inlineStr">
        <is>
          <t>NO</t>
        </is>
      </c>
      <c r="BD1221" s="191" t="inlineStr">
        <is>
          <t>SI</t>
        </is>
      </c>
    </row>
    <row r="1222" ht="15" customHeight="1" s="162">
      <c r="A1222" s="7" t="n">
        <v>1221</v>
      </c>
      <c r="B1222" t="inlineStr">
        <is>
          <t>3170412070000</t>
        </is>
      </c>
      <c r="C1222" t="inlineStr">
        <is>
          <t>MOD SFP MADI MULTIMOD C/CBL2M/ACOP-SC-SC</t>
        </is>
      </c>
      <c r="D1222" t="inlineStr">
        <is>
          <t>1800110423</t>
        </is>
      </c>
      <c r="E1222" t="inlineStr">
        <is>
          <t>270</t>
        </is>
      </c>
      <c r="F1222" s="163" t="n">
        <v>45490</v>
      </c>
      <c r="G1222" t="inlineStr"/>
      <c r="H1222" t="inlineStr">
        <is>
          <t>4200573419</t>
        </is>
      </c>
      <c r="I1222" t="inlineStr">
        <is>
          <t>20</t>
        </is>
      </c>
      <c r="J1222" s="163" t="n">
        <v>45506</v>
      </c>
      <c r="K1222" s="163" t="n">
        <v>45507</v>
      </c>
      <c r="L1222" t="inlineStr"/>
      <c r="M1222" s="163" t="n">
        <v>45539</v>
      </c>
      <c r="N1222" s="164" t="n">
        <v>40</v>
      </c>
      <c r="O1222" s="164" t="n">
        <v>8</v>
      </c>
      <c r="P1222" t="inlineStr">
        <is>
          <t>Liberado</t>
        </is>
      </c>
      <c r="Q1222" s="165" t="n">
        <v>2</v>
      </c>
      <c r="R1222" s="165" t="n">
        <v>2</v>
      </c>
      <c r="S1222" s="165" t="n">
        <v>2</v>
      </c>
      <c r="T1222" s="165" t="n">
        <v>0</v>
      </c>
      <c r="U1222" s="166" t="n">
        <v>2</v>
      </c>
      <c r="V1222" s="166" t="n">
        <v>0</v>
      </c>
      <c r="W1222" t="inlineStr">
        <is>
          <t>X</t>
        </is>
      </c>
      <c r="X1222" t="inlineStr">
        <is>
          <t>0.00</t>
        </is>
      </c>
      <c r="Y1222" t="inlineStr"/>
      <c r="Z1222" t="inlineStr">
        <is>
          <t>MILEXIA IBÉRICA, S.A.U.</t>
        </is>
      </c>
      <c r="AA1222" t="inlineStr">
        <is>
          <t>RME INTELLIGENT AUDI</t>
        </is>
      </c>
      <c r="AB1222" t="inlineStr">
        <is>
          <t>1001059</t>
        </is>
      </c>
      <c r="AC1222" t="inlineStr"/>
      <c r="AD1222" s="164" t="n">
        <v>1</v>
      </c>
      <c r="AE1222" s="185" t="n">
        <v>1</v>
      </c>
      <c r="AG1222" s="167" t="inlineStr">
        <is>
          <t>7218|JA2584_1001</t>
        </is>
      </c>
      <c r="AH1222" s="47">
        <f>IF(M1222=0,"-",M1222-J1222)</f>
        <v/>
      </c>
      <c r="AI1222" s="46">
        <f>IF(AND(S1222=0,M1222&gt;0,L1222=0),IF(AH1222&gt;=120,"VERY HIGH",IF(AH1222&gt;=90,"HIGH",IF(AH1222&gt;=60,"MEDIUM",IF(AH1222&lt;60,"LOW")))),"-")</f>
        <v/>
      </c>
      <c r="AJ1222" s="12" t="n"/>
      <c r="AK1222" s="53">
        <f>IF(AND(W1222="X",M1222&lt;=$AJ$2),"YES","")</f>
        <v/>
      </c>
      <c r="AL1222" s="54">
        <f>IF(AND(W1222="X",M1222&lt;=$AJ$2),S1222,"")</f>
        <v/>
      </c>
      <c r="AM1222" s="35" t="n"/>
      <c r="AN1222" s="35">
        <f>IF(AND(W1222="X",M1222&gt;$AJ$2),S1222,"")</f>
        <v/>
      </c>
      <c r="AO1222" s="35">
        <f>IF(AND(W1222="",M1222&gt;0,$AJ$2&gt;M1222,L1222=""),1,0)</f>
        <v/>
      </c>
      <c r="AP1222" s="35">
        <f>IF(AND(AK1222="YES",W1222="X"),"X","")</f>
        <v/>
      </c>
      <c r="AQ1222" s="55">
        <f>IF(AP1222="X",100%,0%)</f>
        <v/>
      </c>
      <c r="AR1222" s="25">
        <f>IF(AND(T1222&gt;0,L1222=""),H1222,"")</f>
        <v/>
      </c>
      <c r="AS1222" s="25">
        <f>IF(AND(D1222&gt;0,H1222=0,G1222=""),1,"")</f>
        <v/>
      </c>
      <c r="AT1222" s="25">
        <f>IF(G1222="BLOQ",1,"")</f>
        <v/>
      </c>
      <c r="AU1222" s="25">
        <f>IF(L1222="BLOQ",1,"")</f>
        <v/>
      </c>
      <c r="AV1222" s="25">
        <f>MONTH(F1222)</f>
        <v/>
      </c>
      <c r="AW1222" s="65">
        <f>IF(AP1222="",100%,0%)</f>
        <v/>
      </c>
      <c r="AX1222" s="56" t="n"/>
      <c r="AY1222" s="24">
        <f>IF(M1222=0,"",M1222-$AX$2)</f>
        <v/>
      </c>
      <c r="AZ1222" s="66">
        <f>IF(AND(W1222="",AY1222&gt;0,AY1222&lt;15),1,0)</f>
        <v/>
      </c>
      <c r="BA1222" s="24">
        <f>IF(AND(W1222="",AY1222&gt;0,AY1222&lt;15),T1222,"")</f>
        <v/>
      </c>
      <c r="BB1222" s="87">
        <f>IF(R1222&lt;Q1222,"X","")</f>
        <v/>
      </c>
      <c r="BC1222" s="191" t="inlineStr">
        <is>
          <t>SI</t>
        </is>
      </c>
      <c r="BD1222" s="191" t="inlineStr">
        <is>
          <t>SI</t>
        </is>
      </c>
    </row>
    <row r="1223" ht="15" customHeight="1" s="162">
      <c r="A1223" s="7" t="n">
        <v>1222</v>
      </c>
      <c r="B1223" t="inlineStr">
        <is>
          <t>7279902131200</t>
        </is>
      </c>
      <c r="C1223" t="inlineStr">
        <is>
          <t>CALIBRADOR ACUSTICO 94-114DB 1KHZ</t>
        </is>
      </c>
      <c r="D1223" t="inlineStr">
        <is>
          <t>1800110423</t>
        </is>
      </c>
      <c r="E1223" t="inlineStr">
        <is>
          <t>280</t>
        </is>
      </c>
      <c r="F1223" s="163" t="n">
        <v>45490</v>
      </c>
      <c r="G1223" t="inlineStr"/>
      <c r="H1223" t="inlineStr">
        <is>
          <t>4200574241</t>
        </is>
      </c>
      <c r="I1223" t="inlineStr">
        <is>
          <t>20</t>
        </is>
      </c>
      <c r="J1223" s="163" t="n">
        <v>45516</v>
      </c>
      <c r="K1223" s="163" t="n">
        <v>45517</v>
      </c>
      <c r="L1223" t="inlineStr"/>
      <c r="M1223" s="163" t="n">
        <v>45523</v>
      </c>
      <c r="N1223" s="164" t="n">
        <v>55</v>
      </c>
      <c r="O1223" s="164" t="n">
        <v>8</v>
      </c>
      <c r="P1223" t="inlineStr">
        <is>
          <t>Liberado</t>
        </is>
      </c>
      <c r="Q1223" s="165" t="n">
        <v>1</v>
      </c>
      <c r="R1223" s="165" t="n">
        <v>1</v>
      </c>
      <c r="S1223" s="165" t="n">
        <v>1</v>
      </c>
      <c r="T1223" s="165" t="n">
        <v>0</v>
      </c>
      <c r="U1223" s="166" t="n">
        <v>1</v>
      </c>
      <c r="V1223" s="166" t="n">
        <v>0</v>
      </c>
      <c r="W1223" t="inlineStr">
        <is>
          <t>X</t>
        </is>
      </c>
      <c r="X1223" t="inlineStr">
        <is>
          <t>0.00</t>
        </is>
      </c>
      <c r="Y1223" t="inlineStr"/>
      <c r="Z1223" t="inlineStr">
        <is>
          <t>INFORMATICA CALCULO Y TECNICA, S.A.</t>
        </is>
      </c>
      <c r="AA1223" t="inlineStr">
        <is>
          <t>GRAS SOUND &amp; VIBRATI</t>
        </is>
      </c>
      <c r="AB1223" t="inlineStr">
        <is>
          <t>42AG</t>
        </is>
      </c>
      <c r="AC1223" t="inlineStr"/>
      <c r="AD1223" s="164" t="n">
        <v>0</v>
      </c>
      <c r="AE1223" s="185" t="n">
        <v>0</v>
      </c>
      <c r="AG1223" s="167" t="inlineStr">
        <is>
          <t>7218|JA2584_1001</t>
        </is>
      </c>
      <c r="AH1223" s="47">
        <f>IF(M1223=0,"-",M1223-J1223)</f>
        <v/>
      </c>
      <c r="AI1223" s="46">
        <f>IF(AND(S1223=0,M1223&gt;0,L1223=0),IF(AH1223&gt;=120,"VERY HIGH",IF(AH1223&gt;=90,"HIGH",IF(AH1223&gt;=60,"MEDIUM",IF(AH1223&lt;60,"LOW")))),"-")</f>
        <v/>
      </c>
      <c r="AJ1223" s="12" t="n"/>
      <c r="AK1223" s="53">
        <f>IF(AND(W1223="X",M1223&lt;=$AJ$2),"YES","")</f>
        <v/>
      </c>
      <c r="AL1223" s="54">
        <f>IF(AND(W1223="X",M1223&lt;=$AJ$2),S1223,"")</f>
        <v/>
      </c>
      <c r="AM1223" s="35" t="n"/>
      <c r="AN1223" s="35">
        <f>IF(AND(W1223="X",M1223&gt;$AJ$2),S1223,"")</f>
        <v/>
      </c>
      <c r="AO1223" s="35">
        <f>IF(AND(W1223="",M1223&gt;0,$AJ$2&gt;M1223,L1223=""),1,0)</f>
        <v/>
      </c>
      <c r="AP1223" s="35">
        <f>IF(AND(AK1223="YES",W1223="X"),"X","")</f>
        <v/>
      </c>
      <c r="AQ1223" s="55">
        <f>IF(AP1223="X",100%,0%)</f>
        <v/>
      </c>
      <c r="AR1223" s="25">
        <f>IF(AND(T1223&gt;0,L1223=""),H1223,"")</f>
        <v/>
      </c>
      <c r="AS1223" s="25">
        <f>IF(AND(D1223&gt;0,H1223=0,G1223=""),1,"")</f>
        <v/>
      </c>
      <c r="AT1223" s="25">
        <f>IF(G1223="BLOQ",1,"")</f>
        <v/>
      </c>
      <c r="AU1223" s="25">
        <f>IF(L1223="BLOQ",1,"")</f>
        <v/>
      </c>
      <c r="AV1223" s="25">
        <f>MONTH(F1223)</f>
        <v/>
      </c>
      <c r="AW1223" s="65">
        <f>IF(AP1223="",100%,0%)</f>
        <v/>
      </c>
      <c r="AX1223" s="56" t="n"/>
      <c r="AY1223" s="24">
        <f>IF(M1223=0,"",M1223-$AX$2)</f>
        <v/>
      </c>
      <c r="AZ1223" s="66">
        <f>IF(AND(W1223="",AY1223&gt;0,AY1223&lt;15),1,0)</f>
        <v/>
      </c>
      <c r="BA1223" s="24">
        <f>IF(AND(W1223="",AY1223&gt;0,AY1223&lt;15),T1223,"")</f>
        <v/>
      </c>
      <c r="BB1223" s="87">
        <f>IF(R1223&lt;Q1223,"X","")</f>
        <v/>
      </c>
      <c r="BC1223" s="190" t="inlineStr">
        <is>
          <t>NO</t>
        </is>
      </c>
      <c r="BD1223" s="191" t="inlineStr">
        <is>
          <t>SI</t>
        </is>
      </c>
    </row>
    <row r="1224" ht="15" customHeight="1" s="162">
      <c r="A1224" s="7" t="n">
        <v>1223</v>
      </c>
      <c r="B1224" t="inlineStr">
        <is>
          <t>7279902131290</t>
        </is>
      </c>
      <c r="C1224" t="inlineStr">
        <is>
          <t>ACC ADAPT CALIBRADOR/PREAMPLIFICADOR XLR</t>
        </is>
      </c>
      <c r="D1224" t="inlineStr">
        <is>
          <t>1800110423</t>
        </is>
      </c>
      <c r="E1224" t="inlineStr">
        <is>
          <t>290</t>
        </is>
      </c>
      <c r="F1224" s="163" t="n">
        <v>45490</v>
      </c>
      <c r="G1224" t="inlineStr"/>
      <c r="H1224" t="inlineStr">
        <is>
          <t>4200574241</t>
        </is>
      </c>
      <c r="I1224" t="inlineStr">
        <is>
          <t>30</t>
        </is>
      </c>
      <c r="J1224" s="163" t="n">
        <v>45516</v>
      </c>
      <c r="K1224" s="163" t="n">
        <v>45517</v>
      </c>
      <c r="L1224" t="inlineStr"/>
      <c r="M1224" s="163" t="n">
        <v>45523</v>
      </c>
      <c r="N1224" s="164" t="n">
        <v>55</v>
      </c>
      <c r="O1224" s="164" t="n">
        <v>8</v>
      </c>
      <c r="P1224" t="inlineStr">
        <is>
          <t>Liberado</t>
        </is>
      </c>
      <c r="Q1224" s="165" t="n">
        <v>1</v>
      </c>
      <c r="R1224" s="165" t="n">
        <v>1</v>
      </c>
      <c r="S1224" s="165" t="n">
        <v>1</v>
      </c>
      <c r="T1224" s="165" t="n">
        <v>0</v>
      </c>
      <c r="U1224" s="166" t="n">
        <v>1</v>
      </c>
      <c r="V1224" s="166" t="n">
        <v>0</v>
      </c>
      <c r="W1224" t="inlineStr">
        <is>
          <t>X</t>
        </is>
      </c>
      <c r="X1224" t="inlineStr">
        <is>
          <t>0.00</t>
        </is>
      </c>
      <c r="Y1224" t="inlineStr"/>
      <c r="Z1224" t="inlineStr">
        <is>
          <t>INFORMATICA CALCULO Y TECNICA, S.A.</t>
        </is>
      </c>
      <c r="AA1224" t="inlineStr">
        <is>
          <t>GRAS SOUND &amp; VIBRATI</t>
        </is>
      </c>
      <c r="AB1224" t="inlineStr">
        <is>
          <t>AG0003</t>
        </is>
      </c>
      <c r="AC1224" t="inlineStr"/>
      <c r="AD1224" s="164" t="n">
        <v>0</v>
      </c>
      <c r="AE1224" s="185" t="n">
        <v>0</v>
      </c>
      <c r="AG1224" s="167" t="inlineStr">
        <is>
          <t>7218|JA2584_1001</t>
        </is>
      </c>
      <c r="AH1224" s="47">
        <f>IF(M1224=0,"-",M1224-J1224)</f>
        <v/>
      </c>
      <c r="AI1224" s="46">
        <f>IF(AND(S1224=0,M1224&gt;0,L1224=0),IF(AH1224&gt;=120,"VERY HIGH",IF(AH1224&gt;=90,"HIGH",IF(AH1224&gt;=60,"MEDIUM",IF(AH1224&lt;60,"LOW")))),"-")</f>
        <v/>
      </c>
      <c r="AJ1224" s="12" t="n"/>
      <c r="AK1224" s="53">
        <f>IF(AND(W1224="X",M1224&lt;=$AJ$2),"YES","")</f>
        <v/>
      </c>
      <c r="AL1224" s="54">
        <f>IF(AND(W1224="X",M1224&lt;=$AJ$2),S1224,"")</f>
        <v/>
      </c>
      <c r="AM1224" s="35" t="n"/>
      <c r="AN1224" s="35">
        <f>IF(AND(W1224="X",M1224&gt;$AJ$2),S1224,"")</f>
        <v/>
      </c>
      <c r="AO1224" s="35">
        <f>IF(AND(W1224="",M1224&gt;0,$AJ$2&gt;M1224,L1224=""),1,0)</f>
        <v/>
      </c>
      <c r="AP1224" s="35">
        <f>IF(AND(AK1224="YES",W1224="X"),"X","")</f>
        <v/>
      </c>
      <c r="AQ1224" s="55">
        <f>IF(AP1224="X",100%,0%)</f>
        <v/>
      </c>
      <c r="AR1224" s="25">
        <f>IF(AND(T1224&gt;0,L1224=""),H1224,"")</f>
        <v/>
      </c>
      <c r="AS1224" s="25">
        <f>IF(AND(D1224&gt;0,H1224=0,G1224=""),1,"")</f>
        <v/>
      </c>
      <c r="AT1224" s="25">
        <f>IF(G1224="BLOQ",1,"")</f>
        <v/>
      </c>
      <c r="AU1224" s="25">
        <f>IF(L1224="BLOQ",1,"")</f>
        <v/>
      </c>
      <c r="AV1224" s="25">
        <f>MONTH(F1224)</f>
        <v/>
      </c>
      <c r="AW1224" s="65">
        <f>IF(AP1224="",100%,0%)</f>
        <v/>
      </c>
      <c r="AX1224" s="56" t="n"/>
      <c r="AY1224" s="24">
        <f>IF(M1224=0,"",M1224-$AX$2)</f>
        <v/>
      </c>
      <c r="AZ1224" s="66">
        <f>IF(AND(W1224="",AY1224&gt;0,AY1224&lt;15),1,0)</f>
        <v/>
      </c>
      <c r="BA1224" s="24">
        <f>IF(AND(W1224="",AY1224&gt;0,AY1224&lt;15),T1224,"")</f>
        <v/>
      </c>
      <c r="BB1224" s="87">
        <f>IF(R1224&lt;Q1224,"X","")</f>
        <v/>
      </c>
      <c r="BC1224" s="190" t="inlineStr">
        <is>
          <t>NO</t>
        </is>
      </c>
      <c r="BD1224" s="191" t="inlineStr">
        <is>
          <t>SI</t>
        </is>
      </c>
    </row>
    <row r="1225" ht="15" customHeight="1" s="162">
      <c r="A1225" s="7" t="n">
        <v>1224</v>
      </c>
      <c r="B1225" t="inlineStr">
        <is>
          <t>3010201822301</t>
        </is>
      </c>
      <c r="C1225" t="inlineStr">
        <is>
          <t>WS Z4 RACK G5 2X 675W RTXA6000 RCTO S/OF</t>
        </is>
      </c>
      <c r="D1225" t="inlineStr">
        <is>
          <t>1800111048</t>
        </is>
      </c>
      <c r="E1225" t="inlineStr">
        <is>
          <t>10</t>
        </is>
      </c>
      <c r="F1225" s="163" t="n">
        <v>45499</v>
      </c>
      <c r="G1225" t="inlineStr"/>
      <c r="H1225" t="inlineStr">
        <is>
          <t>4200573319</t>
        </is>
      </c>
      <c r="I1225" t="inlineStr">
        <is>
          <t>40</t>
        </is>
      </c>
      <c r="J1225" s="163" t="n">
        <v>45506</v>
      </c>
      <c r="K1225" s="163" t="n">
        <v>45506</v>
      </c>
      <c r="L1225" t="inlineStr"/>
      <c r="M1225" s="163" t="n">
        <v>45565</v>
      </c>
      <c r="N1225" s="164" t="n">
        <v>40</v>
      </c>
      <c r="O1225" s="164" t="n">
        <v>8</v>
      </c>
      <c r="P1225" t="inlineStr">
        <is>
          <t>Liberado</t>
        </is>
      </c>
      <c r="Q1225" s="165" t="n">
        <v>6</v>
      </c>
      <c r="R1225" s="165" t="n">
        <v>6</v>
      </c>
      <c r="S1225" s="165" t="n">
        <v>6</v>
      </c>
      <c r="T1225" s="165" t="n">
        <v>0</v>
      </c>
      <c r="U1225" s="166" t="n">
        <v>6</v>
      </c>
      <c r="V1225" s="166" t="n">
        <v>0</v>
      </c>
      <c r="W1225" t="inlineStr">
        <is>
          <t>X</t>
        </is>
      </c>
      <c r="X1225" t="inlineStr">
        <is>
          <t>0.00</t>
        </is>
      </c>
      <c r="Y1225" t="inlineStr"/>
      <c r="Z1225" t="inlineStr">
        <is>
          <t>HP PRINTING AND COMPUTING SOLUTIONS</t>
        </is>
      </c>
      <c r="AA1225" t="inlineStr">
        <is>
          <t>HEWLETT PACKARD</t>
        </is>
      </c>
      <c r="AB1225" t="inlineStr">
        <is>
          <t>52258736/7178862</t>
        </is>
      </c>
      <c r="AC1225" t="inlineStr"/>
      <c r="AD1225" s="164" t="n">
        <v>1</v>
      </c>
      <c r="AE1225" s="185" t="n">
        <v>1</v>
      </c>
      <c r="AG1225" s="167" t="inlineStr">
        <is>
          <t>7218|JA2585_1001</t>
        </is>
      </c>
      <c r="AH1225" s="47">
        <f>IF(M1225=0,"-",M1225-J1225)</f>
        <v/>
      </c>
      <c r="AI1225" s="46">
        <f>IF(AND(S1225=0,M1225&gt;0,L1225=0),IF(AH1225&gt;=120,"VERY HIGH",IF(AH1225&gt;=90,"HIGH",IF(AH1225&gt;=60,"MEDIUM",IF(AH1225&lt;60,"LOW")))),"-")</f>
        <v/>
      </c>
      <c r="AJ1225" s="12" t="n"/>
      <c r="AK1225" s="53">
        <f>IF(AND(W1225="X",M1225&lt;=$AJ$2),"YES","")</f>
        <v/>
      </c>
      <c r="AL1225" s="54">
        <f>IF(AND(W1225="X",M1225&lt;=$AJ$2),S1225,"")</f>
        <v/>
      </c>
      <c r="AM1225" s="35" t="n"/>
      <c r="AN1225" s="35">
        <f>IF(AND(W1225="X",M1225&gt;$AJ$2),S1225,"")</f>
        <v/>
      </c>
      <c r="AO1225" s="35">
        <f>IF(AND(W1225="",M1225&gt;0,$AJ$2&gt;M1225,L1225=""),1,0)</f>
        <v/>
      </c>
      <c r="AP1225" s="35">
        <f>IF(AND(AK1225="YES",W1225="X"),"X","")</f>
        <v/>
      </c>
      <c r="AQ1225" s="55">
        <f>IF(AP1225="X",100%,0%)</f>
        <v/>
      </c>
      <c r="AR1225" s="25">
        <f>IF(AND(T1225&gt;0,L1225=""),H1225,"")</f>
        <v/>
      </c>
      <c r="AS1225" s="25">
        <f>IF(AND(D1225&gt;0,H1225=0,G1225=""),1,"")</f>
        <v/>
      </c>
      <c r="AT1225" s="25">
        <f>IF(G1225="BLOQ",1,"")</f>
        <v/>
      </c>
      <c r="AU1225" s="25">
        <f>IF(L1225="BLOQ",1,"")</f>
        <v/>
      </c>
      <c r="AV1225" s="25">
        <f>MONTH(F1225)</f>
        <v/>
      </c>
      <c r="AW1225" s="65">
        <f>IF(AP1225="",100%,0%)</f>
        <v/>
      </c>
      <c r="AX1225" s="56" t="n"/>
      <c r="AY1225" s="24">
        <f>IF(M1225=0,"",M1225-$AX$2)</f>
        <v/>
      </c>
      <c r="AZ1225" s="66">
        <f>IF(AND(W1225="",AY1225&gt;0,AY1225&lt;15),1,0)</f>
        <v/>
      </c>
      <c r="BA1225" s="24">
        <f>IF(AND(W1225="",AY1225&gt;0,AY1225&lt;15),T1225,"")</f>
        <v/>
      </c>
      <c r="BB1225" s="87">
        <f>IF(R1225&lt;Q1225,"X","")</f>
        <v/>
      </c>
      <c r="BC1225" s="191" t="inlineStr">
        <is>
          <t>SI</t>
        </is>
      </c>
      <c r="BD1225" s="191" t="inlineStr">
        <is>
          <t>SI</t>
        </is>
      </c>
    </row>
    <row r="1226" ht="15" customHeight="1" s="162">
      <c r="A1226" s="7" t="n">
        <v>1225</v>
      </c>
      <c r="B1226" t="inlineStr">
        <is>
          <t>3010201822302</t>
        </is>
      </c>
      <c r="C1226" t="inlineStr">
        <is>
          <t>WS Z4 RACK G5 2X 675W T1000 RCTO S/OF</t>
        </is>
      </c>
      <c r="D1226" t="inlineStr">
        <is>
          <t>1800111048</t>
        </is>
      </c>
      <c r="E1226" t="inlineStr">
        <is>
          <t>20</t>
        </is>
      </c>
      <c r="F1226" s="163" t="n">
        <v>45499</v>
      </c>
      <c r="G1226" t="inlineStr"/>
      <c r="H1226" t="inlineStr">
        <is>
          <t>4200573319</t>
        </is>
      </c>
      <c r="I1226" t="inlineStr">
        <is>
          <t>50</t>
        </is>
      </c>
      <c r="J1226" s="163" t="n">
        <v>45506</v>
      </c>
      <c r="K1226" s="163" t="n">
        <v>45506</v>
      </c>
      <c r="L1226" t="inlineStr"/>
      <c r="M1226" s="163" t="n">
        <v>45565</v>
      </c>
      <c r="N1226" s="164" t="n">
        <v>40</v>
      </c>
      <c r="O1226" s="164" t="n">
        <v>8</v>
      </c>
      <c r="P1226" t="inlineStr">
        <is>
          <t>Liberado</t>
        </is>
      </c>
      <c r="Q1226" s="165" t="n">
        <v>8</v>
      </c>
      <c r="R1226" s="165" t="n">
        <v>8</v>
      </c>
      <c r="S1226" s="165" t="n">
        <v>8</v>
      </c>
      <c r="T1226" s="165" t="n">
        <v>0</v>
      </c>
      <c r="U1226" s="166" t="n">
        <v>8</v>
      </c>
      <c r="V1226" s="166" t="n">
        <v>0</v>
      </c>
      <c r="W1226" t="inlineStr">
        <is>
          <t>X</t>
        </is>
      </c>
      <c r="X1226" t="inlineStr">
        <is>
          <t>0.00</t>
        </is>
      </c>
      <c r="Y1226" t="inlineStr"/>
      <c r="Z1226" t="inlineStr">
        <is>
          <t>HP PRINTING AND COMPUTING SOLUTIONS</t>
        </is>
      </c>
      <c r="AA1226" t="inlineStr">
        <is>
          <t>HEWLETT PACKARD</t>
        </is>
      </c>
      <c r="AB1226" t="inlineStr">
        <is>
          <t>52258775/7178862</t>
        </is>
      </c>
      <c r="AC1226" t="inlineStr"/>
      <c r="AD1226" s="164" t="n">
        <v>1</v>
      </c>
      <c r="AE1226" s="185" t="n">
        <v>1</v>
      </c>
      <c r="AG1226" s="167" t="inlineStr">
        <is>
          <t>7218|JA2585_1001</t>
        </is>
      </c>
      <c r="AH1226" s="47">
        <f>IF(M1226=0,"-",M1226-J1226)</f>
        <v/>
      </c>
      <c r="AI1226" s="46">
        <f>IF(AND(S1226=0,M1226&gt;0,L1226=0),IF(AH1226&gt;=120,"VERY HIGH",IF(AH1226&gt;=90,"HIGH",IF(AH1226&gt;=60,"MEDIUM",IF(AH1226&lt;60,"LOW")))),"-")</f>
        <v/>
      </c>
      <c r="AJ1226" s="12" t="n"/>
      <c r="AK1226" s="53">
        <f>IF(AND(W1226="X",M1226&lt;=$AJ$2),"YES","")</f>
        <v/>
      </c>
      <c r="AL1226" s="54">
        <f>IF(AND(W1226="X",M1226&lt;=$AJ$2),S1226,"")</f>
        <v/>
      </c>
      <c r="AM1226" s="35" t="n"/>
      <c r="AN1226" s="35">
        <f>IF(AND(W1226="X",M1226&gt;$AJ$2),S1226,"")</f>
        <v/>
      </c>
      <c r="AO1226" s="35">
        <f>IF(AND(W1226="",M1226&gt;0,$AJ$2&gt;M1226,L1226=""),1,0)</f>
        <v/>
      </c>
      <c r="AP1226" s="35">
        <f>IF(AND(AK1226="YES",W1226="X"),"X","")</f>
        <v/>
      </c>
      <c r="AQ1226" s="55">
        <f>IF(AP1226="X",100%,0%)</f>
        <v/>
      </c>
      <c r="AR1226" s="25">
        <f>IF(AND(T1226&gt;0,L1226=""),H1226,"")</f>
        <v/>
      </c>
      <c r="AS1226" s="25">
        <f>IF(AND(D1226&gt;0,H1226=0,G1226=""),1,"")</f>
        <v/>
      </c>
      <c r="AT1226" s="25">
        <f>IF(G1226="BLOQ",1,"")</f>
        <v/>
      </c>
      <c r="AU1226" s="25">
        <f>IF(L1226="BLOQ",1,"")</f>
        <v/>
      </c>
      <c r="AV1226" s="25">
        <f>MONTH(F1226)</f>
        <v/>
      </c>
      <c r="AW1226" s="65">
        <f>IF(AP1226="",100%,0%)</f>
        <v/>
      </c>
      <c r="AX1226" s="56" t="n"/>
      <c r="AY1226" s="24">
        <f>IF(M1226=0,"",M1226-$AX$2)</f>
        <v/>
      </c>
      <c r="AZ1226" s="66">
        <f>IF(AND(W1226="",AY1226&gt;0,AY1226&lt;15),1,0)</f>
        <v/>
      </c>
      <c r="BA1226" s="24">
        <f>IF(AND(W1226="",AY1226&gt;0,AY1226&lt;15),T1226,"")</f>
        <v/>
      </c>
      <c r="BB1226" s="87">
        <f>IF(R1226&lt;Q1226,"X","")</f>
        <v/>
      </c>
      <c r="BC1226" s="191" t="inlineStr">
        <is>
          <t>SI</t>
        </is>
      </c>
      <c r="BD1226" s="191" t="inlineStr">
        <is>
          <t>SI</t>
        </is>
      </c>
    </row>
    <row r="1227" ht="15" customHeight="1" s="162">
      <c r="A1227" s="7" t="n">
        <v>1226</v>
      </c>
      <c r="B1227" t="inlineStr">
        <is>
          <t>3170408510000</t>
        </is>
      </c>
      <c r="C1227" t="inlineStr">
        <is>
          <t>MOD ETH I350-T4 4P 10/100/1000MBPS 1GB N</t>
        </is>
      </c>
      <c r="D1227" t="inlineStr">
        <is>
          <t>1800111111</t>
        </is>
      </c>
      <c r="E1227" t="inlineStr">
        <is>
          <t>10</t>
        </is>
      </c>
      <c r="F1227" s="163" t="n">
        <v>45499</v>
      </c>
      <c r="G1227" t="inlineStr"/>
      <c r="H1227" t="inlineStr">
        <is>
          <t>4200573319</t>
        </is>
      </c>
      <c r="I1227" t="inlineStr">
        <is>
          <t>100</t>
        </is>
      </c>
      <c r="J1227" s="163" t="n">
        <v>45506</v>
      </c>
      <c r="K1227" s="163" t="n">
        <v>45506</v>
      </c>
      <c r="L1227" t="inlineStr"/>
      <c r="M1227" s="163" t="n">
        <v>45541</v>
      </c>
      <c r="N1227" s="164" t="n">
        <v>40</v>
      </c>
      <c r="O1227" s="164" t="n">
        <v>8</v>
      </c>
      <c r="P1227" t="inlineStr">
        <is>
          <t>Liberado</t>
        </is>
      </c>
      <c r="Q1227" s="165" t="n">
        <v>14</v>
      </c>
      <c r="R1227" s="165" t="n">
        <v>14</v>
      </c>
      <c r="S1227" s="165" t="n">
        <v>14</v>
      </c>
      <c r="T1227" s="165" t="n">
        <v>0</v>
      </c>
      <c r="U1227" s="166" t="n">
        <v>0</v>
      </c>
      <c r="V1227" s="166" t="n">
        <v>0</v>
      </c>
      <c r="W1227" t="inlineStr">
        <is>
          <t>X</t>
        </is>
      </c>
      <c r="X1227" t="inlineStr">
        <is>
          <t>0.00</t>
        </is>
      </c>
      <c r="Y1227" t="inlineStr"/>
      <c r="Z1227" t="inlineStr">
        <is>
          <t>HP PRINTING AND COMPUTING SOLUTIONS</t>
        </is>
      </c>
      <c r="AA1227" t="inlineStr">
        <is>
          <t>HEWLETT PACKARD</t>
        </is>
      </c>
      <c r="AB1227" t="inlineStr">
        <is>
          <t>W8X25AA</t>
        </is>
      </c>
      <c r="AC1227" t="inlineStr"/>
      <c r="AD1227" s="164" t="n">
        <v>0</v>
      </c>
      <c r="AE1227" s="185" t="n">
        <v>0</v>
      </c>
      <c r="AG1227" s="167" t="inlineStr">
        <is>
          <t>7218|JA2585_1001</t>
        </is>
      </c>
      <c r="AH1227" s="47">
        <f>IF(M1227=0,"-",M1227-J1227)</f>
        <v/>
      </c>
      <c r="AI1227" s="46">
        <f>IF(AND(S1227=0,M1227&gt;0,L1227=0),IF(AH1227&gt;=120,"VERY HIGH",IF(AH1227&gt;=90,"HIGH",IF(AH1227&gt;=60,"MEDIUM",IF(AH1227&lt;60,"LOW")))),"-")</f>
        <v/>
      </c>
      <c r="AJ1227" s="12" t="n"/>
      <c r="AK1227" s="53">
        <f>IF(AND(W1227="X",M1227&lt;=$AJ$2),"YES","")</f>
        <v/>
      </c>
      <c r="AL1227" s="54">
        <f>IF(AND(W1227="X",M1227&lt;=$AJ$2),S1227,"")</f>
        <v/>
      </c>
      <c r="AM1227" s="35" t="n"/>
      <c r="AN1227" s="35">
        <f>IF(AND(W1227="X",M1227&gt;$AJ$2),S1227,"")</f>
        <v/>
      </c>
      <c r="AO1227" s="35">
        <f>IF(AND(W1227="",M1227&gt;0,$AJ$2&gt;M1227,L1227=""),1,0)</f>
        <v/>
      </c>
      <c r="AP1227" s="35">
        <f>IF(AND(AK1227="YES",W1227="X"),"X","")</f>
        <v/>
      </c>
      <c r="AQ1227" s="55">
        <f>IF(AP1227="X",100%,0%)</f>
        <v/>
      </c>
      <c r="AR1227" s="25">
        <f>IF(AND(T1227&gt;0,L1227=""),H1227,"")</f>
        <v/>
      </c>
      <c r="AS1227" s="25">
        <f>IF(AND(D1227&gt;0,H1227=0,G1227=""),1,"")</f>
        <v/>
      </c>
      <c r="AT1227" s="25">
        <f>IF(G1227="BLOQ",1,"")</f>
        <v/>
      </c>
      <c r="AU1227" s="25">
        <f>IF(L1227="BLOQ",1,"")</f>
        <v/>
      </c>
      <c r="AV1227" s="25">
        <f>MONTH(F1227)</f>
        <v/>
      </c>
      <c r="AW1227" s="65">
        <f>IF(AP1227="",100%,0%)</f>
        <v/>
      </c>
      <c r="AX1227" s="56" t="n"/>
      <c r="AY1227" s="24">
        <f>IF(M1227=0,"",M1227-$AX$2)</f>
        <v/>
      </c>
      <c r="AZ1227" s="66">
        <f>IF(AND(W1227="",AY1227&gt;0,AY1227&lt;15),1,0)</f>
        <v/>
      </c>
      <c r="BA1227" s="24">
        <f>IF(AND(W1227="",AY1227&gt;0,AY1227&lt;15),T1227,"")</f>
        <v/>
      </c>
      <c r="BB1227" s="87">
        <f>IF(R1227&lt;Q1227,"X","")</f>
        <v/>
      </c>
      <c r="BC1227" s="191" t="inlineStr">
        <is>
          <t>SI</t>
        </is>
      </c>
      <c r="BD1227" s="191" t="inlineStr">
        <is>
          <t>SI</t>
        </is>
      </c>
    </row>
    <row r="1228" ht="15" customHeight="1" s="162">
      <c r="A1228" s="7" t="n">
        <v>1227</v>
      </c>
      <c r="B1228" t="inlineStr">
        <is>
          <t>3010201822302</t>
        </is>
      </c>
      <c r="C1228" t="inlineStr">
        <is>
          <t>WS Z4 RACK G5 2X 675W T1000 RCTO S/OF</t>
        </is>
      </c>
      <c r="D1228" t="inlineStr">
        <is>
          <t>1800111329</t>
        </is>
      </c>
      <c r="E1228" t="inlineStr">
        <is>
          <t>10</t>
        </is>
      </c>
      <c r="F1228" s="163" t="n">
        <v>45503</v>
      </c>
      <c r="G1228" t="inlineStr"/>
      <c r="H1228" t="inlineStr">
        <is>
          <t>4200573319</t>
        </is>
      </c>
      <c r="I1228" t="inlineStr">
        <is>
          <t>130</t>
        </is>
      </c>
      <c r="J1228" s="163" t="n">
        <v>45506</v>
      </c>
      <c r="K1228" s="163" t="n">
        <v>45506</v>
      </c>
      <c r="L1228" t="inlineStr"/>
      <c r="M1228" s="163" t="n">
        <v>45565</v>
      </c>
      <c r="N1228" s="164" t="n">
        <v>40</v>
      </c>
      <c r="O1228" s="164" t="n">
        <v>8</v>
      </c>
      <c r="P1228" t="inlineStr">
        <is>
          <t>Liberado</t>
        </is>
      </c>
      <c r="Q1228" s="165" t="n">
        <v>2</v>
      </c>
      <c r="R1228" s="165" t="n">
        <v>2</v>
      </c>
      <c r="S1228" s="165" t="n">
        <v>2</v>
      </c>
      <c r="T1228" s="165" t="n">
        <v>0</v>
      </c>
      <c r="U1228" s="166" t="n">
        <v>2</v>
      </c>
      <c r="V1228" s="166" t="n">
        <v>0</v>
      </c>
      <c r="W1228" t="inlineStr">
        <is>
          <t>X</t>
        </is>
      </c>
      <c r="X1228" t="inlineStr">
        <is>
          <t>0.00</t>
        </is>
      </c>
      <c r="Y1228" t="inlineStr"/>
      <c r="Z1228" t="inlineStr">
        <is>
          <t>HP PRINTING AND COMPUTING SOLUTIONS</t>
        </is>
      </c>
      <c r="AA1228" t="inlineStr">
        <is>
          <t>HEWLETT PACKARD</t>
        </is>
      </c>
      <c r="AB1228" t="inlineStr">
        <is>
          <t>52258775/7178862</t>
        </is>
      </c>
      <c r="AC1228" t="inlineStr"/>
      <c r="AD1228" s="164" t="n">
        <v>1</v>
      </c>
      <c r="AE1228" s="185" t="n">
        <v>1</v>
      </c>
      <c r="AG1228" s="167" t="inlineStr">
        <is>
          <t>7218|JA2585_1001</t>
        </is>
      </c>
      <c r="AH1228" s="47">
        <f>IF(M1228=0,"-",M1228-J1228)</f>
        <v/>
      </c>
      <c r="AI1228" s="46">
        <f>IF(AND(S1228=0,M1228&gt;0,L1228=0),IF(AH1228&gt;=120,"VERY HIGH",IF(AH1228&gt;=90,"HIGH",IF(AH1228&gt;=60,"MEDIUM",IF(AH1228&lt;60,"LOW")))),"-")</f>
        <v/>
      </c>
      <c r="AJ1228" s="12" t="n"/>
      <c r="AK1228" s="53">
        <f>IF(AND(W1228="X",M1228&lt;=$AJ$2),"YES","")</f>
        <v/>
      </c>
      <c r="AL1228" s="54">
        <f>IF(AND(W1228="X",M1228&lt;=$AJ$2),S1228,"")</f>
        <v/>
      </c>
      <c r="AM1228" s="35" t="n"/>
      <c r="AN1228" s="35">
        <f>IF(AND(W1228="X",M1228&gt;$AJ$2),S1228,"")</f>
        <v/>
      </c>
      <c r="AO1228" s="35">
        <f>IF(AND(W1228="",M1228&gt;0,$AJ$2&gt;M1228,L1228=""),1,0)</f>
        <v/>
      </c>
      <c r="AP1228" s="35">
        <f>IF(AND(AK1228="YES",W1228="X"),"X","")</f>
        <v/>
      </c>
      <c r="AQ1228" s="55">
        <f>IF(AP1228="X",100%,0%)</f>
        <v/>
      </c>
      <c r="AR1228" s="25">
        <f>IF(AND(T1228&gt;0,L1228=""),H1228,"")</f>
        <v/>
      </c>
      <c r="AS1228" s="25">
        <f>IF(AND(D1228&gt;0,H1228=0,G1228=""),1,"")</f>
        <v/>
      </c>
      <c r="AT1228" s="25">
        <f>IF(G1228="BLOQ",1,"")</f>
        <v/>
      </c>
      <c r="AU1228" s="25">
        <f>IF(L1228="BLOQ",1,"")</f>
        <v/>
      </c>
      <c r="AV1228" s="25">
        <f>MONTH(F1228)</f>
        <v/>
      </c>
      <c r="AW1228" s="65">
        <f>IF(AP1228="",100%,0%)</f>
        <v/>
      </c>
      <c r="AX1228" s="56" t="n"/>
      <c r="AY1228" s="24">
        <f>IF(M1228=0,"",M1228-$AX$2)</f>
        <v/>
      </c>
      <c r="AZ1228" s="66">
        <f>IF(AND(W1228="",AY1228&gt;0,AY1228&lt;15),1,0)</f>
        <v/>
      </c>
      <c r="BA1228" s="24">
        <f>IF(AND(W1228="",AY1228&gt;0,AY1228&lt;15),T1228,"")</f>
        <v/>
      </c>
      <c r="BB1228" s="87">
        <f>IF(R1228&lt;Q1228,"X","")</f>
        <v/>
      </c>
      <c r="BC1228" s="191" t="inlineStr">
        <is>
          <t>SI</t>
        </is>
      </c>
      <c r="BD1228" s="191" t="inlineStr">
        <is>
          <t>SI</t>
        </is>
      </c>
    </row>
    <row r="1229" ht="15" customHeight="1" s="162">
      <c r="A1229" s="7" t="n">
        <v>1228</v>
      </c>
      <c r="B1229" t="inlineStr">
        <is>
          <t>1229599576000</t>
        </is>
      </c>
      <c r="C1229" t="inlineStr">
        <is>
          <t>CBL EQ P/MOD SERV INTERFACE KVM</t>
        </is>
      </c>
      <c r="D1229" t="inlineStr">
        <is>
          <t>1800111380</t>
        </is>
      </c>
      <c r="E1229" t="inlineStr">
        <is>
          <t>10</t>
        </is>
      </c>
      <c r="F1229" s="163" t="n">
        <v>45504</v>
      </c>
      <c r="G1229" t="inlineStr"/>
      <c r="H1229" t="inlineStr">
        <is>
          <t>4200574815</t>
        </is>
      </c>
      <c r="I1229" t="inlineStr">
        <is>
          <t>50</t>
        </is>
      </c>
      <c r="J1229" s="163" t="n">
        <v>45524</v>
      </c>
      <c r="K1229" s="163" t="n">
        <v>45527</v>
      </c>
      <c r="L1229" t="inlineStr"/>
      <c r="M1229" s="163" t="n">
        <v>45549</v>
      </c>
      <c r="N1229" s="164" t="n">
        <v>135</v>
      </c>
      <c r="O1229" s="164" t="n">
        <v>8</v>
      </c>
      <c r="P1229" t="inlineStr">
        <is>
          <t>Liberado</t>
        </is>
      </c>
      <c r="Q1229" s="165" t="n">
        <v>2</v>
      </c>
      <c r="R1229" s="165" t="n">
        <v>2</v>
      </c>
      <c r="S1229" s="165" t="n">
        <v>2</v>
      </c>
      <c r="T1229" s="165" t="n">
        <v>0</v>
      </c>
      <c r="U1229" s="166" t="n">
        <v>2</v>
      </c>
      <c r="V1229" s="166" t="n">
        <v>0</v>
      </c>
      <c r="W1229" t="inlineStr">
        <is>
          <t>X</t>
        </is>
      </c>
      <c r="X1229" t="inlineStr">
        <is>
          <t>0.00</t>
        </is>
      </c>
      <c r="Y1229" t="inlineStr"/>
      <c r="Z1229" t="inlineStr">
        <is>
          <t>ICOMPPLUS ELECTRONICS S.L</t>
        </is>
      </c>
      <c r="AA1229" t="inlineStr">
        <is>
          <t>DELL COMPUTER</t>
        </is>
      </c>
      <c r="AB1229" t="inlineStr">
        <is>
          <t>DMPUIQ-VMCHS-G01</t>
        </is>
      </c>
      <c r="AC1229" t="inlineStr"/>
      <c r="AD1229" s="164" t="n">
        <v>0</v>
      </c>
      <c r="AE1229" s="185" t="n">
        <v>0</v>
      </c>
      <c r="AG1229" s="167" t="inlineStr">
        <is>
          <t>7218|JA2585_1001</t>
        </is>
      </c>
      <c r="AH1229" s="47">
        <f>IF(M1229=0,"-",M1229-J1229)</f>
        <v/>
      </c>
      <c r="AI1229" s="46">
        <f>IF(AND(S1229=0,M1229&gt;0,L1229=0),IF(AH1229&gt;=120,"VERY HIGH",IF(AH1229&gt;=90,"HIGH",IF(AH1229&gt;=60,"MEDIUM",IF(AH1229&lt;60,"LOW")))),"-")</f>
        <v/>
      </c>
      <c r="AJ1229" s="12" t="n"/>
      <c r="AK1229" s="53">
        <f>IF(AND(W1229="X",M1229&lt;=$AJ$2),"YES","")</f>
        <v/>
      </c>
      <c r="AL1229" s="54">
        <f>IF(AND(W1229="X",M1229&lt;=$AJ$2),S1229,"")</f>
        <v/>
      </c>
      <c r="AM1229" s="35" t="n"/>
      <c r="AN1229" s="35">
        <f>IF(AND(W1229="X",M1229&gt;$AJ$2),S1229,"")</f>
        <v/>
      </c>
      <c r="AO1229" s="35">
        <f>IF(AND(W1229="",M1229&gt;0,$AJ$2&gt;M1229,L1229=""),1,0)</f>
        <v/>
      </c>
      <c r="AP1229" s="35">
        <f>IF(AND(AK1229="YES",W1229="X"),"X","")</f>
        <v/>
      </c>
      <c r="AQ1229" s="55">
        <f>IF(AP1229="X",100%,0%)</f>
        <v/>
      </c>
      <c r="AR1229" s="25">
        <f>IF(AND(T1229&gt;0,L1229=""),H1229,"")</f>
        <v/>
      </c>
      <c r="AS1229" s="25">
        <f>IF(AND(D1229&gt;0,H1229=0,G1229=""),1,"")</f>
        <v/>
      </c>
      <c r="AT1229" s="25">
        <f>IF(G1229="BLOQ",1,"")</f>
        <v/>
      </c>
      <c r="AU1229" s="25">
        <f>IF(L1229="BLOQ",1,"")</f>
        <v/>
      </c>
      <c r="AV1229" s="25">
        <f>MONTH(F1229)</f>
        <v/>
      </c>
      <c r="AW1229" s="65">
        <f>IF(AP1229="",100%,0%)</f>
        <v/>
      </c>
      <c r="AX1229" s="56" t="n"/>
      <c r="AY1229" s="24">
        <f>IF(M1229=0,"",M1229-$AX$2)</f>
        <v/>
      </c>
      <c r="AZ1229" s="66">
        <f>IF(AND(W1229="",AY1229&gt;0,AY1229&lt;15),1,0)</f>
        <v/>
      </c>
      <c r="BA1229" s="24">
        <f>IF(AND(W1229="",AY1229&gt;0,AY1229&lt;15),T1229,"")</f>
        <v/>
      </c>
      <c r="BB1229" s="87">
        <f>IF(R1229&lt;Q1229,"X","")</f>
        <v/>
      </c>
      <c r="BC1229" s="191" t="inlineStr">
        <is>
          <t>SI</t>
        </is>
      </c>
      <c r="BD1229" s="191" t="inlineStr">
        <is>
          <t>SI</t>
        </is>
      </c>
    </row>
    <row r="1230" ht="15" customHeight="1" s="162">
      <c r="A1230" s="7" t="n">
        <v>1229</v>
      </c>
      <c r="B1230" t="inlineStr">
        <is>
          <t>1706201180000</t>
        </is>
      </c>
      <c r="C1230" t="inlineStr">
        <is>
          <t>KIT SOPORTE MJE. RED 1U P/ KVM FPM185</t>
        </is>
      </c>
      <c r="D1230" t="inlineStr">
        <is>
          <t>1800111380</t>
        </is>
      </c>
      <c r="E1230" t="inlineStr">
        <is>
          <t>20</t>
        </is>
      </c>
      <c r="F1230" s="163" t="n">
        <v>45504</v>
      </c>
      <c r="G1230" t="inlineStr"/>
      <c r="H1230" t="inlineStr">
        <is>
          <t>4200574079</t>
        </is>
      </c>
      <c r="I1230" t="inlineStr">
        <is>
          <t>10</t>
        </is>
      </c>
      <c r="J1230" s="163" t="n">
        <v>45512</v>
      </c>
      <c r="K1230" s="163" t="n">
        <v>45512</v>
      </c>
      <c r="L1230" t="inlineStr"/>
      <c r="M1230" s="163" t="n">
        <v>45535</v>
      </c>
      <c r="N1230" s="164" t="n">
        <v>105</v>
      </c>
      <c r="O1230" s="164" t="n">
        <v>8</v>
      </c>
      <c r="P1230" t="inlineStr">
        <is>
          <t>Liberado</t>
        </is>
      </c>
      <c r="Q1230" s="165" t="n">
        <v>1</v>
      </c>
      <c r="R1230" s="165" t="n">
        <v>1</v>
      </c>
      <c r="S1230" s="165" t="n">
        <v>1</v>
      </c>
      <c r="T1230" s="165" t="n">
        <v>0</v>
      </c>
      <c r="U1230" s="166" t="n">
        <v>0</v>
      </c>
      <c r="V1230" s="166" t="n">
        <v>0</v>
      </c>
      <c r="W1230" t="inlineStr">
        <is>
          <t>X</t>
        </is>
      </c>
      <c r="X1230" t="inlineStr">
        <is>
          <t>0.00</t>
        </is>
      </c>
      <c r="Y1230" t="inlineStr"/>
      <c r="Z1230" t="inlineStr">
        <is>
          <t>DELL COMPUTER, S.A.</t>
        </is>
      </c>
      <c r="AA1230" t="inlineStr">
        <is>
          <t>DELL COMPUTER</t>
        </is>
      </c>
      <c r="AB1230" t="inlineStr">
        <is>
          <t>DRMK-77</t>
        </is>
      </c>
      <c r="AC1230" t="inlineStr"/>
      <c r="AD1230" s="164" t="n">
        <v>1</v>
      </c>
      <c r="AE1230" s="185" t="n">
        <v>1</v>
      </c>
      <c r="AG1230" s="167" t="inlineStr">
        <is>
          <t>7218|JA2585_1001</t>
        </is>
      </c>
      <c r="AH1230" s="47">
        <f>IF(M1230=0,"-",M1230-J1230)</f>
        <v/>
      </c>
      <c r="AI1230" s="46">
        <f>IF(AND(S1230=0,M1230&gt;0,L1230=0),IF(AH1230&gt;=120,"VERY HIGH",IF(AH1230&gt;=90,"HIGH",IF(AH1230&gt;=60,"MEDIUM",IF(AH1230&lt;60,"LOW")))),"-")</f>
        <v/>
      </c>
      <c r="AJ1230" s="12" t="n"/>
      <c r="AK1230" s="53">
        <f>IF(AND(W1230="X",M1230&lt;=$AJ$2),"YES","")</f>
        <v/>
      </c>
      <c r="AL1230" s="54">
        <f>IF(AND(W1230="X",M1230&lt;=$AJ$2),S1230,"")</f>
        <v/>
      </c>
      <c r="AM1230" s="35" t="n"/>
      <c r="AN1230" s="35">
        <f>IF(AND(W1230="X",M1230&gt;$AJ$2),S1230,"")</f>
        <v/>
      </c>
      <c r="AO1230" s="35">
        <f>IF(AND(W1230="",M1230&gt;0,$AJ$2&gt;M1230,L1230=""),1,0)</f>
        <v/>
      </c>
      <c r="AP1230" s="35">
        <f>IF(AND(AK1230="YES",W1230="X"),"X","")</f>
        <v/>
      </c>
      <c r="AQ1230" s="55">
        <f>IF(AP1230="X",100%,0%)</f>
        <v/>
      </c>
      <c r="AR1230" s="25">
        <f>IF(AND(T1230&gt;0,L1230=""),H1230,"")</f>
        <v/>
      </c>
      <c r="AS1230" s="25">
        <f>IF(AND(D1230&gt;0,H1230=0,G1230=""),1,"")</f>
        <v/>
      </c>
      <c r="AT1230" s="25">
        <f>IF(G1230="BLOQ",1,"")</f>
        <v/>
      </c>
      <c r="AU1230" s="25">
        <f>IF(L1230="BLOQ",1,"")</f>
        <v/>
      </c>
      <c r="AV1230" s="25">
        <f>MONTH(F1230)</f>
        <v/>
      </c>
      <c r="AW1230" s="65">
        <f>IF(AP1230="",100%,0%)</f>
        <v/>
      </c>
      <c r="AX1230" s="56" t="n"/>
      <c r="AY1230" s="24">
        <f>IF(M1230=0,"",M1230-$AX$2)</f>
        <v/>
      </c>
      <c r="AZ1230" s="66">
        <f>IF(AND(W1230="",AY1230&gt;0,AY1230&lt;15),1,0)</f>
        <v/>
      </c>
      <c r="BA1230" s="24">
        <f>IF(AND(W1230="",AY1230&gt;0,AY1230&lt;15),T1230,"")</f>
        <v/>
      </c>
      <c r="BB1230" s="87">
        <f>IF(R1230&lt;Q1230,"X","")</f>
        <v/>
      </c>
      <c r="BC1230" s="190" t="inlineStr">
        <is>
          <t>NO</t>
        </is>
      </c>
      <c r="BD1230" s="191" t="inlineStr">
        <is>
          <t>SI</t>
        </is>
      </c>
    </row>
    <row r="1231" ht="15" customHeight="1" s="162">
      <c r="A1231" s="7" t="n">
        <v>1230</v>
      </c>
      <c r="B1231" t="inlineStr">
        <is>
          <t>3120201290701</t>
        </is>
      </c>
      <c r="C1231" t="inlineStr">
        <is>
          <t>RACK VX IT 80X200X120CM RAL7035 S/OF</t>
        </is>
      </c>
      <c r="D1231" t="inlineStr">
        <is>
          <t>1800111380</t>
        </is>
      </c>
      <c r="E1231" t="inlineStr">
        <is>
          <t>30</t>
        </is>
      </c>
      <c r="F1231" s="163" t="n">
        <v>45504</v>
      </c>
      <c r="G1231" t="inlineStr"/>
      <c r="H1231" t="inlineStr">
        <is>
          <t>4200574840</t>
        </is>
      </c>
      <c r="I1231" t="inlineStr">
        <is>
          <t>20</t>
        </is>
      </c>
      <c r="J1231" s="163" t="n">
        <v>45524</v>
      </c>
      <c r="K1231" s="163" t="n">
        <v>45558</v>
      </c>
      <c r="L1231" t="inlineStr"/>
      <c r="M1231" s="163" t="n">
        <v>45595</v>
      </c>
      <c r="N1231" s="164" t="n">
        <v>40</v>
      </c>
      <c r="O1231" s="164" t="n">
        <v>8</v>
      </c>
      <c r="P1231" t="inlineStr">
        <is>
          <t>Liberado</t>
        </is>
      </c>
      <c r="Q1231" s="165" t="n">
        <v>1</v>
      </c>
      <c r="R1231" s="165" t="n">
        <v>1</v>
      </c>
      <c r="S1231" s="165" t="n">
        <v>1</v>
      </c>
      <c r="T1231" s="165" t="n">
        <v>0</v>
      </c>
      <c r="U1231" s="166" t="n">
        <v>1</v>
      </c>
      <c r="V1231" s="166" t="n">
        <v>0</v>
      </c>
      <c r="W1231" t="inlineStr">
        <is>
          <t>X</t>
        </is>
      </c>
      <c r="X1231" t="inlineStr">
        <is>
          <t>0.00</t>
        </is>
      </c>
      <c r="Y1231" t="inlineStr"/>
      <c r="Z1231" t="inlineStr">
        <is>
          <t>RITTAL, S.A</t>
        </is>
      </c>
      <c r="AA1231" t="inlineStr">
        <is>
          <t>RITTAL</t>
        </is>
      </c>
      <c r="AB1231" t="inlineStr">
        <is>
          <t>5311099/1080079921</t>
        </is>
      </c>
      <c r="AC1231" t="inlineStr"/>
      <c r="AD1231" s="164" t="n">
        <v>2</v>
      </c>
      <c r="AE1231" s="185" t="n">
        <v>1</v>
      </c>
      <c r="AG1231" s="167" t="inlineStr">
        <is>
          <t>7218|JA2585_1001</t>
        </is>
      </c>
      <c r="AH1231" s="47">
        <f>IF(M1231=0,"-",M1231-J1231)</f>
        <v/>
      </c>
      <c r="AI1231" s="46">
        <f>IF(AND(S1231=0,M1231&gt;0,L1231=0),IF(AH1231&gt;=120,"VERY HIGH",IF(AH1231&gt;=90,"HIGH",IF(AH1231&gt;=60,"MEDIUM",IF(AH1231&lt;60,"LOW")))),"-")</f>
        <v/>
      </c>
      <c r="AJ1231" s="12" t="n"/>
      <c r="AK1231" s="53">
        <f>IF(AND(W1231="X",M1231&lt;=$AJ$2),"YES","")</f>
        <v/>
      </c>
      <c r="AL1231" s="54">
        <f>IF(AND(W1231="X",M1231&lt;=$AJ$2),S1231,"")</f>
        <v/>
      </c>
      <c r="AM1231" s="35" t="n"/>
      <c r="AN1231" s="35">
        <f>IF(AND(W1231="X",M1231&gt;$AJ$2),S1231,"")</f>
        <v/>
      </c>
      <c r="AO1231" s="35">
        <f>IF(AND(W1231="",M1231&gt;0,$AJ$2&gt;M1231,L1231=""),1,0)</f>
        <v/>
      </c>
      <c r="AP1231" s="35">
        <f>IF(AND(AK1231="YES",W1231="X"),"X","")</f>
        <v/>
      </c>
      <c r="AQ1231" s="55">
        <f>IF(AP1231="X",100%,0%)</f>
        <v/>
      </c>
      <c r="AR1231" s="25">
        <f>IF(AND(T1231&gt;0,L1231=""),H1231,"")</f>
        <v/>
      </c>
      <c r="AS1231" s="25">
        <f>IF(AND(D1231&gt;0,H1231=0,G1231=""),1,"")</f>
        <v/>
      </c>
      <c r="AT1231" s="25">
        <f>IF(G1231="BLOQ",1,"")</f>
        <v/>
      </c>
      <c r="AU1231" s="25">
        <f>IF(L1231="BLOQ",1,"")</f>
        <v/>
      </c>
      <c r="AV1231" s="25">
        <f>MONTH(F1231)</f>
        <v/>
      </c>
      <c r="AW1231" s="65">
        <f>IF(AP1231="",100%,0%)</f>
        <v/>
      </c>
      <c r="AX1231" s="56" t="n"/>
      <c r="AY1231" s="24">
        <f>IF(M1231=0,"",M1231-$AX$2)</f>
        <v/>
      </c>
      <c r="AZ1231" s="66">
        <f>IF(AND(W1231="",AY1231&gt;0,AY1231&lt;15),1,0)</f>
        <v/>
      </c>
      <c r="BA1231" s="24">
        <f>IF(AND(W1231="",AY1231&gt;0,AY1231&lt;15),T1231,"")</f>
        <v/>
      </c>
      <c r="BB1231" s="87">
        <f>IF(R1231&lt;Q1231,"X","")</f>
        <v/>
      </c>
      <c r="BC1231" s="191" t="inlineStr">
        <is>
          <t>SI</t>
        </is>
      </c>
      <c r="BD1231" s="191" t="inlineStr">
        <is>
          <t>SI</t>
        </is>
      </c>
    </row>
    <row r="1232" ht="15" customHeight="1" s="162">
      <c r="A1232" s="7" t="n">
        <v>1231</v>
      </c>
      <c r="B1232" t="inlineStr">
        <is>
          <t>3170107821000</t>
        </is>
      </c>
      <c r="C1232" t="inlineStr">
        <is>
          <t>SWITCH P/RACK KVM 8P 1600X1200P</t>
        </is>
      </c>
      <c r="D1232" t="inlineStr">
        <is>
          <t>1800111380</t>
        </is>
      </c>
      <c r="E1232" t="inlineStr">
        <is>
          <t>40</t>
        </is>
      </c>
      <c r="F1232" s="163" t="n">
        <v>45504</v>
      </c>
      <c r="G1232" t="inlineStr"/>
      <c r="H1232" t="inlineStr">
        <is>
          <t>4200573684</t>
        </is>
      </c>
      <c r="I1232" t="inlineStr">
        <is>
          <t>20</t>
        </is>
      </c>
      <c r="J1232" s="163" t="n">
        <v>45510</v>
      </c>
      <c r="K1232" s="163" t="n">
        <v>45511</v>
      </c>
      <c r="L1232" t="inlineStr"/>
      <c r="M1232" s="163" t="n">
        <v>45531</v>
      </c>
      <c r="N1232" s="164" t="n">
        <v>40</v>
      </c>
      <c r="O1232" s="164" t="n">
        <v>8</v>
      </c>
      <c r="P1232" t="inlineStr">
        <is>
          <t>Liberado</t>
        </is>
      </c>
      <c r="Q1232" s="165" t="n">
        <v>1</v>
      </c>
      <c r="R1232" s="165" t="n">
        <v>1</v>
      </c>
      <c r="S1232" s="165" t="n">
        <v>1</v>
      </c>
      <c r="T1232" s="165" t="n">
        <v>0</v>
      </c>
      <c r="U1232" s="166" t="n">
        <v>1</v>
      </c>
      <c r="V1232" s="166" t="n">
        <v>0</v>
      </c>
      <c r="W1232" t="inlineStr">
        <is>
          <t>X</t>
        </is>
      </c>
      <c r="X1232" t="inlineStr">
        <is>
          <t>0.00</t>
        </is>
      </c>
      <c r="Y1232" t="inlineStr"/>
      <c r="Z1232" t="inlineStr">
        <is>
          <t>DAKOTA COMPUTER SOLUTIONS, S.L.</t>
        </is>
      </c>
      <c r="AA1232" t="inlineStr">
        <is>
          <t>AVOCENT CORPORATION</t>
        </is>
      </c>
      <c r="AB1232" t="inlineStr">
        <is>
          <t>AV3108</t>
        </is>
      </c>
      <c r="AC1232" t="inlineStr"/>
      <c r="AD1232" s="164" t="n">
        <v>1</v>
      </c>
      <c r="AE1232" s="185" t="n">
        <v>1</v>
      </c>
      <c r="AG1232" s="167" t="inlineStr">
        <is>
          <t>7218|JA2585_1001</t>
        </is>
      </c>
      <c r="AH1232" s="47">
        <f>IF(M1232=0,"-",M1232-J1232)</f>
        <v/>
      </c>
      <c r="AI1232" s="46">
        <f>IF(AND(S1232=0,M1232&gt;0,L1232=0),IF(AH1232&gt;=120,"VERY HIGH",IF(AH1232&gt;=90,"HIGH",IF(AH1232&gt;=60,"MEDIUM",IF(AH1232&lt;60,"LOW")))),"-")</f>
        <v/>
      </c>
      <c r="AJ1232" s="12" t="n"/>
      <c r="AK1232" s="53">
        <f>IF(AND(W1232="X",M1232&lt;=$AJ$2),"YES","")</f>
        <v/>
      </c>
      <c r="AL1232" s="54">
        <f>IF(AND(W1232="X",M1232&lt;=$AJ$2),S1232,"")</f>
        <v/>
      </c>
      <c r="AM1232" s="35" t="n"/>
      <c r="AN1232" s="35">
        <f>IF(AND(W1232="X",M1232&gt;$AJ$2),S1232,"")</f>
        <v/>
      </c>
      <c r="AO1232" s="35">
        <f>IF(AND(W1232="",M1232&gt;0,$AJ$2&gt;M1232,L1232=""),1,0)</f>
        <v/>
      </c>
      <c r="AP1232" s="35">
        <f>IF(AND(AK1232="YES",W1232="X"),"X","")</f>
        <v/>
      </c>
      <c r="AQ1232" s="55">
        <f>IF(AP1232="X",100%,0%)</f>
        <v/>
      </c>
      <c r="AR1232" s="25">
        <f>IF(AND(T1232&gt;0,L1232=""),H1232,"")</f>
        <v/>
      </c>
      <c r="AS1232" s="25">
        <f>IF(AND(D1232&gt;0,H1232=0,G1232=""),1,"")</f>
        <v/>
      </c>
      <c r="AT1232" s="25">
        <f>IF(G1232="BLOQ",1,"")</f>
        <v/>
      </c>
      <c r="AU1232" s="25">
        <f>IF(L1232="BLOQ",1,"")</f>
        <v/>
      </c>
      <c r="AV1232" s="25">
        <f>MONTH(F1232)</f>
        <v/>
      </c>
      <c r="AW1232" s="65">
        <f>IF(AP1232="",100%,0%)</f>
        <v/>
      </c>
      <c r="AX1232" s="56" t="n"/>
      <c r="AY1232" s="24">
        <f>IF(M1232=0,"",M1232-$AX$2)</f>
        <v/>
      </c>
      <c r="AZ1232" s="66">
        <f>IF(AND(W1232="",AY1232&gt;0,AY1232&lt;15),1,0)</f>
        <v/>
      </c>
      <c r="BA1232" s="24">
        <f>IF(AND(W1232="",AY1232&gt;0,AY1232&lt;15),T1232,"")</f>
        <v/>
      </c>
      <c r="BB1232" s="87">
        <f>IF(R1232&lt;Q1232,"X","")</f>
        <v/>
      </c>
      <c r="BC1232" s="191" t="inlineStr">
        <is>
          <t>SI</t>
        </is>
      </c>
      <c r="BD1232" s="191" t="inlineStr">
        <is>
          <t>SI</t>
        </is>
      </c>
    </row>
    <row r="1233" ht="15" customHeight="1" s="162">
      <c r="A1233" s="7" t="n">
        <v>1232</v>
      </c>
      <c r="B1233" t="inlineStr">
        <is>
          <t>3170107821090</t>
        </is>
      </c>
      <c r="C1233" t="inlineStr">
        <is>
          <t>CBL EQ PARA SWITCH KVM 4,572MM</t>
        </is>
      </c>
      <c r="D1233" t="inlineStr">
        <is>
          <t>1800111380</t>
        </is>
      </c>
      <c r="E1233" t="inlineStr">
        <is>
          <t>50</t>
        </is>
      </c>
      <c r="F1233" s="163" t="n">
        <v>45504</v>
      </c>
      <c r="G1233" t="inlineStr"/>
      <c r="H1233" t="inlineStr">
        <is>
          <t>4200574863</t>
        </is>
      </c>
      <c r="I1233" t="inlineStr">
        <is>
          <t>10</t>
        </is>
      </c>
      <c r="J1233" s="163" t="n">
        <v>45524</v>
      </c>
      <c r="K1233" s="163" t="n">
        <v>45560</v>
      </c>
      <c r="L1233" t="inlineStr"/>
      <c r="M1233" s="163" t="n">
        <v>45569</v>
      </c>
      <c r="N1233" s="164" t="n">
        <v>40</v>
      </c>
      <c r="O1233" s="164" t="n">
        <v>8</v>
      </c>
      <c r="P1233" t="inlineStr">
        <is>
          <t>Liberado</t>
        </is>
      </c>
      <c r="Q1233" s="165" t="n">
        <v>2</v>
      </c>
      <c r="R1233" s="165" t="n">
        <v>2</v>
      </c>
      <c r="S1233" s="165" t="n">
        <v>2</v>
      </c>
      <c r="T1233" s="165" t="n">
        <v>0</v>
      </c>
      <c r="U1233" s="166" t="n">
        <v>2</v>
      </c>
      <c r="V1233" s="166" t="n">
        <v>0</v>
      </c>
      <c r="W1233" t="inlineStr">
        <is>
          <t>X</t>
        </is>
      </c>
      <c r="X1233" t="inlineStr">
        <is>
          <t>0.00</t>
        </is>
      </c>
      <c r="Y1233" t="inlineStr"/>
      <c r="Z1233" t="inlineStr">
        <is>
          <t>DAKOTA COMPUTER SOLUTIONS, S.L.</t>
        </is>
      </c>
      <c r="AA1233" t="inlineStr">
        <is>
          <t>EMERSON NETWORK POWE</t>
        </is>
      </c>
      <c r="AB1233" t="inlineStr">
        <is>
          <t>USBIAC-15</t>
        </is>
      </c>
      <c r="AC1233" t="inlineStr"/>
      <c r="AD1233" s="164" t="n">
        <v>1</v>
      </c>
      <c r="AE1233" s="185" t="n">
        <v>1</v>
      </c>
      <c r="AG1233" s="167" t="inlineStr">
        <is>
          <t>7218|JA2585_1001</t>
        </is>
      </c>
      <c r="AH1233" s="47">
        <f>IF(M1233=0,"-",M1233-J1233)</f>
        <v/>
      </c>
      <c r="AI1233" s="46">
        <f>IF(AND(S1233=0,M1233&gt;0,L1233=0),IF(AH1233&gt;=120,"VERY HIGH",IF(AH1233&gt;=90,"HIGH",IF(AH1233&gt;=60,"MEDIUM",IF(AH1233&lt;60,"LOW")))),"-")</f>
        <v/>
      </c>
      <c r="AJ1233" s="12" t="n"/>
      <c r="AK1233" s="53">
        <f>IF(AND(W1233="X",M1233&lt;=$AJ$2),"YES","")</f>
        <v/>
      </c>
      <c r="AL1233" s="54">
        <f>IF(AND(W1233="X",M1233&lt;=$AJ$2),S1233,"")</f>
        <v/>
      </c>
      <c r="AM1233" s="35" t="n"/>
      <c r="AN1233" s="35">
        <f>IF(AND(W1233="X",M1233&gt;$AJ$2),S1233,"")</f>
        <v/>
      </c>
      <c r="AO1233" s="35">
        <f>IF(AND(W1233="",M1233&gt;0,$AJ$2&gt;M1233,L1233=""),1,0)</f>
        <v/>
      </c>
      <c r="AP1233" s="35">
        <f>IF(AND(AK1233="YES",W1233="X"),"X","")</f>
        <v/>
      </c>
      <c r="AQ1233" s="55">
        <f>IF(AP1233="X",100%,0%)</f>
        <v/>
      </c>
      <c r="AR1233" s="25">
        <f>IF(AND(T1233&gt;0,L1233=""),H1233,"")</f>
        <v/>
      </c>
      <c r="AS1233" s="25">
        <f>IF(AND(D1233&gt;0,H1233=0,G1233=""),1,"")</f>
        <v/>
      </c>
      <c r="AT1233" s="25">
        <f>IF(G1233="BLOQ",1,"")</f>
        <v/>
      </c>
      <c r="AU1233" s="25">
        <f>IF(L1233="BLOQ",1,"")</f>
        <v/>
      </c>
      <c r="AV1233" s="25">
        <f>MONTH(F1233)</f>
        <v/>
      </c>
      <c r="AW1233" s="65">
        <f>IF(AP1233="",100%,0%)</f>
        <v/>
      </c>
      <c r="AX1233" s="56" t="n"/>
      <c r="AY1233" s="24">
        <f>IF(M1233=0,"",M1233-$AX$2)</f>
        <v/>
      </c>
      <c r="AZ1233" s="66">
        <f>IF(AND(W1233="",AY1233&gt;0,AY1233&lt;15),1,0)</f>
        <v/>
      </c>
      <c r="BA1233" s="24">
        <f>IF(AND(W1233="",AY1233&gt;0,AY1233&lt;15),T1233,"")</f>
        <v/>
      </c>
      <c r="BB1233" s="87">
        <f>IF(R1233&lt;Q1233,"X","")</f>
        <v/>
      </c>
      <c r="BC1233" s="190" t="inlineStr">
        <is>
          <t>NO</t>
        </is>
      </c>
      <c r="BD1233" s="191" t="inlineStr">
        <is>
          <t>SI</t>
        </is>
      </c>
    </row>
    <row r="1234" ht="15" customHeight="1" s="162">
      <c r="A1234" s="7" t="n">
        <v>1233</v>
      </c>
      <c r="B1234" t="inlineStr">
        <is>
          <t>3170108870000</t>
        </is>
      </c>
      <c r="C1234" t="inlineStr">
        <is>
          <t>MOD SWITCH KVM ANALOG 16-PORT S/OFERTA</t>
        </is>
      </c>
      <c r="D1234" t="inlineStr">
        <is>
          <t>1800111380</t>
        </is>
      </c>
      <c r="E1234" t="inlineStr">
        <is>
          <t>60</t>
        </is>
      </c>
      <c r="F1234" s="163" t="n">
        <v>45504</v>
      </c>
      <c r="G1234" t="inlineStr"/>
      <c r="H1234" t="inlineStr">
        <is>
          <t>4200574079</t>
        </is>
      </c>
      <c r="I1234" t="inlineStr">
        <is>
          <t>20</t>
        </is>
      </c>
      <c r="J1234" s="163" t="n">
        <v>45512</v>
      </c>
      <c r="K1234" s="163" t="n">
        <v>45512</v>
      </c>
      <c r="L1234" t="inlineStr"/>
      <c r="M1234" s="163" t="n">
        <v>45535</v>
      </c>
      <c r="N1234" s="164" t="n">
        <v>60</v>
      </c>
      <c r="O1234" s="164" t="n">
        <v>8</v>
      </c>
      <c r="P1234" t="inlineStr">
        <is>
          <t>Liberado</t>
        </is>
      </c>
      <c r="Q1234" s="165" t="n">
        <v>1</v>
      </c>
      <c r="R1234" s="165" t="n">
        <v>1</v>
      </c>
      <c r="S1234" s="165" t="n">
        <v>1</v>
      </c>
      <c r="T1234" s="165" t="n">
        <v>0</v>
      </c>
      <c r="U1234" s="166" t="n">
        <v>0</v>
      </c>
      <c r="V1234" s="166" t="n">
        <v>0</v>
      </c>
      <c r="W1234" t="inlineStr">
        <is>
          <t>X</t>
        </is>
      </c>
      <c r="X1234" t="inlineStr">
        <is>
          <t>0.00</t>
        </is>
      </c>
      <c r="Y1234" t="inlineStr"/>
      <c r="Z1234" t="inlineStr">
        <is>
          <t>DELL COMPUTER, S.A.</t>
        </is>
      </c>
      <c r="AA1234" t="inlineStr">
        <is>
          <t>DELL COMPUTER</t>
        </is>
      </c>
      <c r="AB1234" t="inlineStr">
        <is>
          <t>DAV2216-G01/16745028-4</t>
        </is>
      </c>
      <c r="AC1234" t="inlineStr"/>
      <c r="AD1234" s="164" t="n">
        <v>1</v>
      </c>
      <c r="AE1234" s="185" t="n">
        <v>1</v>
      </c>
      <c r="AG1234" s="167" t="inlineStr">
        <is>
          <t>7218|JA2585_1001</t>
        </is>
      </c>
      <c r="AH1234" s="47">
        <f>IF(M1234=0,"-",M1234-J1234)</f>
        <v/>
      </c>
      <c r="AI1234" s="46">
        <f>IF(AND(S1234=0,M1234&gt;0,L1234=0),IF(AH1234&gt;=120,"VERY HIGH",IF(AH1234&gt;=90,"HIGH",IF(AH1234&gt;=60,"MEDIUM",IF(AH1234&lt;60,"LOW")))),"-")</f>
        <v/>
      </c>
      <c r="AJ1234" s="12" t="n"/>
      <c r="AK1234" s="53">
        <f>IF(AND(W1234="X",M1234&lt;=$AJ$2),"YES","")</f>
        <v/>
      </c>
      <c r="AL1234" s="54">
        <f>IF(AND(W1234="X",M1234&lt;=$AJ$2),S1234,"")</f>
        <v/>
      </c>
      <c r="AM1234" s="35" t="n"/>
      <c r="AN1234" s="35">
        <f>IF(AND(W1234="X",M1234&gt;$AJ$2),S1234,"")</f>
        <v/>
      </c>
      <c r="AO1234" s="35">
        <f>IF(AND(W1234="",M1234&gt;0,$AJ$2&gt;M1234,L1234=""),1,0)</f>
        <v/>
      </c>
      <c r="AP1234" s="35">
        <f>IF(AND(AK1234="YES",W1234="X"),"X","")</f>
        <v/>
      </c>
      <c r="AQ1234" s="55">
        <f>IF(AP1234="X",100%,0%)</f>
        <v/>
      </c>
      <c r="AR1234" s="25">
        <f>IF(AND(T1234&gt;0,L1234=""),H1234,"")</f>
        <v/>
      </c>
      <c r="AS1234" s="25">
        <f>IF(AND(D1234&gt;0,H1234=0,G1234=""),1,"")</f>
        <v/>
      </c>
      <c r="AT1234" s="25">
        <f>IF(G1234="BLOQ",1,"")</f>
        <v/>
      </c>
      <c r="AU1234" s="25">
        <f>IF(L1234="BLOQ",1,"")</f>
        <v/>
      </c>
      <c r="AV1234" s="25">
        <f>MONTH(F1234)</f>
        <v/>
      </c>
      <c r="AW1234" s="65">
        <f>IF(AP1234="",100%,0%)</f>
        <v/>
      </c>
      <c r="AX1234" s="56" t="n"/>
      <c r="AY1234" s="24">
        <f>IF(M1234=0,"",M1234-$AX$2)</f>
        <v/>
      </c>
      <c r="AZ1234" s="66">
        <f>IF(AND(W1234="",AY1234&gt;0,AY1234&lt;15),1,0)</f>
        <v/>
      </c>
      <c r="BA1234" s="24">
        <f>IF(AND(W1234="",AY1234&gt;0,AY1234&lt;15),T1234,"")</f>
        <v/>
      </c>
      <c r="BB1234" s="87">
        <f>IF(R1234&lt;Q1234,"X","")</f>
        <v/>
      </c>
      <c r="BC1234" s="191" t="inlineStr">
        <is>
          <t>SI</t>
        </is>
      </c>
      <c r="BD1234" s="191" t="inlineStr">
        <is>
          <t>SI</t>
        </is>
      </c>
    </row>
    <row r="1235" ht="15" customHeight="1" s="162">
      <c r="A1235" s="7" t="n">
        <v>1234</v>
      </c>
      <c r="B1235" t="inlineStr">
        <is>
          <t>3170108880000</t>
        </is>
      </c>
      <c r="C1235" t="inlineStr">
        <is>
          <t>CONSOLA KVM-USB-18,5" 1U</t>
        </is>
      </c>
      <c r="D1235" t="inlineStr">
        <is>
          <t>1800111380</t>
        </is>
      </c>
      <c r="E1235" t="inlineStr">
        <is>
          <t>70</t>
        </is>
      </c>
      <c r="F1235" s="163" t="n">
        <v>45504</v>
      </c>
      <c r="G1235" t="inlineStr"/>
      <c r="H1235" t="inlineStr">
        <is>
          <t>4200574079</t>
        </is>
      </c>
      <c r="I1235" t="inlineStr">
        <is>
          <t>30</t>
        </is>
      </c>
      <c r="J1235" s="163" t="n">
        <v>45512</v>
      </c>
      <c r="K1235" s="163" t="n">
        <v>45512</v>
      </c>
      <c r="L1235" t="inlineStr"/>
      <c r="M1235" s="163" t="n">
        <v>45535</v>
      </c>
      <c r="N1235" s="164" t="n">
        <v>135</v>
      </c>
      <c r="O1235" s="164" t="n">
        <v>8</v>
      </c>
      <c r="P1235" t="inlineStr">
        <is>
          <t>Liberado</t>
        </is>
      </c>
      <c r="Q1235" s="165" t="n">
        <v>1</v>
      </c>
      <c r="R1235" s="165" t="n">
        <v>1</v>
      </c>
      <c r="S1235" s="165" t="n">
        <v>1</v>
      </c>
      <c r="T1235" s="165" t="n">
        <v>0</v>
      </c>
      <c r="U1235" s="166" t="n">
        <v>0</v>
      </c>
      <c r="V1235" s="166" t="n">
        <v>0</v>
      </c>
      <c r="W1235" t="inlineStr">
        <is>
          <t>X</t>
        </is>
      </c>
      <c r="X1235" t="inlineStr">
        <is>
          <t>0.00</t>
        </is>
      </c>
      <c r="Y1235" t="inlineStr"/>
      <c r="Z1235" t="inlineStr">
        <is>
          <t>DELL COMPUTER, S.A.</t>
        </is>
      </c>
      <c r="AA1235" t="inlineStr">
        <is>
          <t>DELL COMPUTER</t>
        </is>
      </c>
      <c r="AB1235" t="inlineStr">
        <is>
          <t>A7485910</t>
        </is>
      </c>
      <c r="AC1235" t="inlineStr"/>
      <c r="AD1235" s="164" t="n">
        <v>1</v>
      </c>
      <c r="AE1235" s="185" t="n">
        <v>1</v>
      </c>
      <c r="AG1235" s="167" t="inlineStr">
        <is>
          <t>7218|JA2585_1001</t>
        </is>
      </c>
      <c r="AH1235" s="47">
        <f>IF(M1235=0,"-",M1235-J1235)</f>
        <v/>
      </c>
      <c r="AI1235" s="46">
        <f>IF(AND(S1235=0,M1235&gt;0,L1235=0),IF(AH1235&gt;=120,"VERY HIGH",IF(AH1235&gt;=90,"HIGH",IF(AH1235&gt;=60,"MEDIUM",IF(AH1235&lt;60,"LOW")))),"-")</f>
        <v/>
      </c>
      <c r="AJ1235" s="12" t="n"/>
      <c r="AK1235" s="53">
        <f>IF(AND(W1235="X",M1235&lt;=$AJ$2),"YES","")</f>
        <v/>
      </c>
      <c r="AL1235" s="54">
        <f>IF(AND(W1235="X",M1235&lt;=$AJ$2),S1235,"")</f>
        <v/>
      </c>
      <c r="AM1235" s="35" t="n"/>
      <c r="AN1235" s="35">
        <f>IF(AND(W1235="X",M1235&gt;$AJ$2),S1235,"")</f>
        <v/>
      </c>
      <c r="AO1235" s="35">
        <f>IF(AND(W1235="",M1235&gt;0,$AJ$2&gt;M1235,L1235=""),1,0)</f>
        <v/>
      </c>
      <c r="AP1235" s="35">
        <f>IF(AND(AK1235="YES",W1235="X"),"X","")</f>
        <v/>
      </c>
      <c r="AQ1235" s="55">
        <f>IF(AP1235="X",100%,0%)</f>
        <v/>
      </c>
      <c r="AR1235" s="25">
        <f>IF(AND(T1235&gt;0,L1235=""),H1235,"")</f>
        <v/>
      </c>
      <c r="AS1235" s="25">
        <f>IF(AND(D1235&gt;0,H1235=0,G1235=""),1,"")</f>
        <v/>
      </c>
      <c r="AT1235" s="25">
        <f>IF(G1235="BLOQ",1,"")</f>
        <v/>
      </c>
      <c r="AU1235" s="25">
        <f>IF(L1235="BLOQ",1,"")</f>
        <v/>
      </c>
      <c r="AV1235" s="25">
        <f>MONTH(F1235)</f>
        <v/>
      </c>
      <c r="AW1235" s="65">
        <f>IF(AP1235="",100%,0%)</f>
        <v/>
      </c>
      <c r="AX1235" s="56" t="n"/>
      <c r="AY1235" s="24">
        <f>IF(M1235=0,"",M1235-$AX$2)</f>
        <v/>
      </c>
      <c r="AZ1235" s="66">
        <f>IF(AND(W1235="",AY1235&gt;0,AY1235&lt;15),1,0)</f>
        <v/>
      </c>
      <c r="BA1235" s="24">
        <f>IF(AND(W1235="",AY1235&gt;0,AY1235&lt;15),T1235,"")</f>
        <v/>
      </c>
      <c r="BB1235" s="87">
        <f>IF(R1235&lt;Q1235,"X","")</f>
        <v/>
      </c>
      <c r="BC1235" s="191" t="inlineStr">
        <is>
          <t>SI</t>
        </is>
      </c>
      <c r="BD1235" s="191" t="inlineStr">
        <is>
          <t>SI</t>
        </is>
      </c>
    </row>
    <row r="1236" ht="15" customHeight="1" s="162">
      <c r="A1236" s="7" t="n">
        <v>1235</v>
      </c>
      <c r="B1236" t="inlineStr">
        <is>
          <t>3210505150000</t>
        </is>
      </c>
      <c r="C1236" t="inlineStr">
        <is>
          <t>CBL EQ SERV INTERF DISP USB MED-VIRT CAC</t>
        </is>
      </c>
      <c r="D1236" t="inlineStr">
        <is>
          <t>1800111380</t>
        </is>
      </c>
      <c r="E1236" t="inlineStr">
        <is>
          <t>80</t>
        </is>
      </c>
      <c r="F1236" s="163" t="n">
        <v>45504</v>
      </c>
      <c r="G1236" t="inlineStr"/>
      <c r="H1236" t="inlineStr">
        <is>
          <t>4200573684</t>
        </is>
      </c>
      <c r="I1236" t="inlineStr">
        <is>
          <t>30</t>
        </is>
      </c>
      <c r="J1236" s="163" t="n">
        <v>45510</v>
      </c>
      <c r="K1236" s="163" t="n">
        <v>45511</v>
      </c>
      <c r="L1236" t="inlineStr"/>
      <c r="M1236" s="163" t="n">
        <v>45531</v>
      </c>
      <c r="N1236" s="164" t="n">
        <v>40</v>
      </c>
      <c r="O1236" s="164" t="n">
        <v>8</v>
      </c>
      <c r="P1236" t="inlineStr">
        <is>
          <t>Liberado</t>
        </is>
      </c>
      <c r="Q1236" s="165" t="n">
        <v>20</v>
      </c>
      <c r="R1236" s="165" t="n">
        <v>20</v>
      </c>
      <c r="S1236" s="165" t="n">
        <v>20</v>
      </c>
      <c r="T1236" s="165" t="n">
        <v>0</v>
      </c>
      <c r="U1236" s="166" t="n">
        <v>20</v>
      </c>
      <c r="V1236" s="166" t="n">
        <v>0</v>
      </c>
      <c r="W1236" t="inlineStr">
        <is>
          <t>X</t>
        </is>
      </c>
      <c r="X1236" t="inlineStr">
        <is>
          <t>0.00</t>
        </is>
      </c>
      <c r="Y1236" t="inlineStr"/>
      <c r="Z1236" t="inlineStr">
        <is>
          <t>DAKOTA COMPUTER SOLUTIONS, S.L.</t>
        </is>
      </c>
      <c r="AA1236" t="inlineStr">
        <is>
          <t>AVOCENT CORPORATION</t>
        </is>
      </c>
      <c r="AB1236" t="inlineStr">
        <is>
          <t>MPUIQ-VMCDP</t>
        </is>
      </c>
      <c r="AC1236" t="inlineStr"/>
      <c r="AD1236" s="164" t="n">
        <v>1</v>
      </c>
      <c r="AE1236" s="185" t="n">
        <v>1</v>
      </c>
      <c r="AG1236" s="167" t="inlineStr">
        <is>
          <t>7218|JA2585_1001</t>
        </is>
      </c>
      <c r="AH1236" s="47">
        <f>IF(M1236=0,"-",M1236-J1236)</f>
        <v/>
      </c>
      <c r="AI1236" s="46">
        <f>IF(AND(S1236=0,M1236&gt;0,L1236=0),IF(AH1236&gt;=120,"VERY HIGH",IF(AH1236&gt;=90,"HIGH",IF(AH1236&gt;=60,"MEDIUM",IF(AH1236&lt;60,"LOW")))),"-")</f>
        <v/>
      </c>
      <c r="AJ1236" s="12" t="n"/>
      <c r="AK1236" s="53">
        <f>IF(AND(W1236="X",M1236&lt;=$AJ$2),"YES","")</f>
        <v/>
      </c>
      <c r="AL1236" s="54">
        <f>IF(AND(W1236="X",M1236&lt;=$AJ$2),S1236,"")</f>
        <v/>
      </c>
      <c r="AM1236" s="35" t="n"/>
      <c r="AN1236" s="35">
        <f>IF(AND(W1236="X",M1236&gt;$AJ$2),S1236,"")</f>
        <v/>
      </c>
      <c r="AO1236" s="35">
        <f>IF(AND(W1236="",M1236&gt;0,$AJ$2&gt;M1236,L1236=""),1,0)</f>
        <v/>
      </c>
      <c r="AP1236" s="35">
        <f>IF(AND(AK1236="YES",W1236="X"),"X","")</f>
        <v/>
      </c>
      <c r="AQ1236" s="55">
        <f>IF(AP1236="X",100%,0%)</f>
        <v/>
      </c>
      <c r="AR1236" s="25">
        <f>IF(AND(T1236&gt;0,L1236=""),H1236,"")</f>
        <v/>
      </c>
      <c r="AS1236" s="25">
        <f>IF(AND(D1236&gt;0,H1236=0,G1236=""),1,"")</f>
        <v/>
      </c>
      <c r="AT1236" s="25">
        <f>IF(G1236="BLOQ",1,"")</f>
        <v/>
      </c>
      <c r="AU1236" s="25">
        <f>IF(L1236="BLOQ",1,"")</f>
        <v/>
      </c>
      <c r="AV1236" s="25">
        <f>MONTH(F1236)</f>
        <v/>
      </c>
      <c r="AW1236" s="65">
        <f>IF(AP1236="",100%,0%)</f>
        <v/>
      </c>
      <c r="AX1236" s="56" t="n"/>
      <c r="AY1236" s="24">
        <f>IF(M1236=0,"",M1236-$AX$2)</f>
        <v/>
      </c>
      <c r="AZ1236" s="66">
        <f>IF(AND(W1236="",AY1236&gt;0,AY1236&lt;15),1,0)</f>
        <v/>
      </c>
      <c r="BA1236" s="24">
        <f>IF(AND(W1236="",AY1236&gt;0,AY1236&lt;15),T1236,"")</f>
        <v/>
      </c>
      <c r="BB1236" s="87">
        <f>IF(R1236&lt;Q1236,"X","")</f>
        <v/>
      </c>
      <c r="BC1236" s="191" t="inlineStr">
        <is>
          <t>SI</t>
        </is>
      </c>
      <c r="BD1236" s="191" t="inlineStr">
        <is>
          <t>SI</t>
        </is>
      </c>
    </row>
    <row r="1237" ht="15" customHeight="1" s="162">
      <c r="A1237" s="7" t="n">
        <v>1236</v>
      </c>
      <c r="B1237" t="inlineStr">
        <is>
          <t>3210505160000</t>
        </is>
      </c>
      <c r="C1237" t="inlineStr">
        <is>
          <t>MODULO SERV INTERF DVI USB MED-VIRT CAC</t>
        </is>
      </c>
      <c r="D1237" t="inlineStr">
        <is>
          <t>1800111380</t>
        </is>
      </c>
      <c r="E1237" t="inlineStr">
        <is>
          <t>90</t>
        </is>
      </c>
      <c r="F1237" s="163" t="n">
        <v>45504</v>
      </c>
      <c r="G1237" t="inlineStr"/>
      <c r="H1237" t="inlineStr">
        <is>
          <t>4200573684</t>
        </is>
      </c>
      <c r="I1237" t="inlineStr">
        <is>
          <t>40</t>
        </is>
      </c>
      <c r="J1237" s="163" t="n">
        <v>45510</v>
      </c>
      <c r="K1237" s="163" t="n">
        <v>45511</v>
      </c>
      <c r="L1237" t="inlineStr"/>
      <c r="M1237" s="163" t="n">
        <v>45531</v>
      </c>
      <c r="N1237" s="164" t="n">
        <v>75</v>
      </c>
      <c r="O1237" s="164" t="n">
        <v>8</v>
      </c>
      <c r="P1237" t="inlineStr">
        <is>
          <t>Liberado</t>
        </is>
      </c>
      <c r="Q1237" s="165" t="n">
        <v>2</v>
      </c>
      <c r="R1237" s="165" t="n">
        <v>2</v>
      </c>
      <c r="S1237" s="165" t="n">
        <v>2</v>
      </c>
      <c r="T1237" s="165" t="n">
        <v>0</v>
      </c>
      <c r="U1237" s="166" t="n">
        <v>2</v>
      </c>
      <c r="V1237" s="166" t="n">
        <v>0</v>
      </c>
      <c r="W1237" t="inlineStr">
        <is>
          <t>X</t>
        </is>
      </c>
      <c r="X1237" t="inlineStr">
        <is>
          <t>0.00</t>
        </is>
      </c>
      <c r="Y1237" t="inlineStr"/>
      <c r="Z1237" t="inlineStr">
        <is>
          <t>DAKOTA COMPUTER SOLUTIONS, S.L.</t>
        </is>
      </c>
      <c r="AA1237" t="inlineStr">
        <is>
          <t>AVOCENT CORPORATION</t>
        </is>
      </c>
      <c r="AB1237" t="inlineStr">
        <is>
          <t>MPUIQ-VMCDV</t>
        </is>
      </c>
      <c r="AC1237" t="inlineStr"/>
      <c r="AD1237" s="164" t="n">
        <v>1</v>
      </c>
      <c r="AE1237" s="185" t="n">
        <v>1</v>
      </c>
      <c r="AG1237" s="167" t="inlineStr">
        <is>
          <t>7218|JA2585_1001</t>
        </is>
      </c>
      <c r="AH1237" s="47">
        <f>IF(M1237=0,"-",M1237-J1237)</f>
        <v/>
      </c>
      <c r="AI1237" s="46">
        <f>IF(AND(S1237=0,M1237&gt;0,L1237=0),IF(AH1237&gt;=120,"VERY HIGH",IF(AH1237&gt;=90,"HIGH",IF(AH1237&gt;=60,"MEDIUM",IF(AH1237&lt;60,"LOW")))),"-")</f>
        <v/>
      </c>
      <c r="AJ1237" s="12" t="n"/>
      <c r="AK1237" s="53">
        <f>IF(AND(W1237="X",M1237&lt;=$AJ$2),"YES","")</f>
        <v/>
      </c>
      <c r="AL1237" s="54">
        <f>IF(AND(W1237="X",M1237&lt;=$AJ$2),S1237,"")</f>
        <v/>
      </c>
      <c r="AM1237" s="35" t="n"/>
      <c r="AN1237" s="35">
        <f>IF(AND(W1237="X",M1237&gt;$AJ$2),S1237,"")</f>
        <v/>
      </c>
      <c r="AO1237" s="35">
        <f>IF(AND(W1237="",M1237&gt;0,$AJ$2&gt;M1237,L1237=""),1,0)</f>
        <v/>
      </c>
      <c r="AP1237" s="35">
        <f>IF(AND(AK1237="YES",W1237="X"),"X","")</f>
        <v/>
      </c>
      <c r="AQ1237" s="55">
        <f>IF(AP1237="X",100%,0%)</f>
        <v/>
      </c>
      <c r="AR1237" s="25">
        <f>IF(AND(T1237&gt;0,L1237=""),H1237,"")</f>
        <v/>
      </c>
      <c r="AS1237" s="25">
        <f>IF(AND(D1237&gt;0,H1237=0,G1237=""),1,"")</f>
        <v/>
      </c>
      <c r="AT1237" s="25">
        <f>IF(G1237="BLOQ",1,"")</f>
        <v/>
      </c>
      <c r="AU1237" s="25">
        <f>IF(L1237="BLOQ",1,"")</f>
        <v/>
      </c>
      <c r="AV1237" s="25">
        <f>MONTH(F1237)</f>
        <v/>
      </c>
      <c r="AW1237" s="65">
        <f>IF(AP1237="",100%,0%)</f>
        <v/>
      </c>
      <c r="AX1237" s="56" t="n"/>
      <c r="AY1237" s="24">
        <f>IF(M1237=0,"",M1237-$AX$2)</f>
        <v/>
      </c>
      <c r="AZ1237" s="66">
        <f>IF(AND(W1237="",AY1237&gt;0,AY1237&lt;15),1,0)</f>
        <v/>
      </c>
      <c r="BA1237" s="24">
        <f>IF(AND(W1237="",AY1237&gt;0,AY1237&lt;15),T1237,"")</f>
        <v/>
      </c>
      <c r="BB1237" s="87">
        <f>IF(R1237&lt;Q1237,"X","")</f>
        <v/>
      </c>
      <c r="BC1237" s="190" t="inlineStr">
        <is>
          <t>NO</t>
        </is>
      </c>
      <c r="BD1237" s="191" t="inlineStr">
        <is>
          <t>SI</t>
        </is>
      </c>
    </row>
    <row r="1238" ht="15" customHeight="1" s="162">
      <c r="A1238" s="7" t="n">
        <v>1237</v>
      </c>
      <c r="B1238" t="inlineStr">
        <is>
          <t>3210512000200</t>
        </is>
      </c>
      <c r="C1238" t="inlineStr">
        <is>
          <t>ADAPT USB-C/DISPLAYPORT 4K 60HZ CBL=14CM</t>
        </is>
      </c>
      <c r="D1238" t="inlineStr">
        <is>
          <t>1800111380</t>
        </is>
      </c>
      <c r="E1238" t="inlineStr">
        <is>
          <t>100</t>
        </is>
      </c>
      <c r="F1238" s="163" t="n">
        <v>45504</v>
      </c>
      <c r="G1238" t="inlineStr"/>
      <c r="H1238" t="inlineStr">
        <is>
          <t>4200575188</t>
        </is>
      </c>
      <c r="I1238" t="inlineStr">
        <is>
          <t>10</t>
        </is>
      </c>
      <c r="J1238" s="163" t="n">
        <v>45530</v>
      </c>
      <c r="K1238" s="163" t="n">
        <v>45530</v>
      </c>
      <c r="L1238" t="inlineStr"/>
      <c r="M1238" s="163" t="n">
        <v>45558</v>
      </c>
      <c r="N1238" s="164" t="n">
        <v>40</v>
      </c>
      <c r="O1238" s="164" t="n">
        <v>8</v>
      </c>
      <c r="P1238" t="inlineStr">
        <is>
          <t>Liberado</t>
        </is>
      </c>
      <c r="Q1238" s="165" t="n">
        <v>15</v>
      </c>
      <c r="R1238" s="165" t="n">
        <v>15</v>
      </c>
      <c r="S1238" s="165" t="n">
        <v>15</v>
      </c>
      <c r="T1238" s="165" t="n">
        <v>0</v>
      </c>
      <c r="U1238" s="166" t="n">
        <v>15</v>
      </c>
      <c r="V1238" s="166" t="n">
        <v>0</v>
      </c>
      <c r="W1238" t="inlineStr">
        <is>
          <t>X</t>
        </is>
      </c>
      <c r="X1238" t="inlineStr">
        <is>
          <t>0.00</t>
        </is>
      </c>
      <c r="Y1238" t="inlineStr"/>
      <c r="Z1238" t="inlineStr">
        <is>
          <t>TD SYNNEX SPAIN, S.L.U.</t>
        </is>
      </c>
      <c r="AA1238" t="inlineStr">
        <is>
          <t>STARTECH.COM LTD</t>
        </is>
      </c>
      <c r="AB1238" t="inlineStr">
        <is>
          <t>CDP2DP</t>
        </is>
      </c>
      <c r="AC1238" t="inlineStr"/>
      <c r="AD1238" s="164" t="n">
        <v>0</v>
      </c>
      <c r="AE1238" s="185" t="n">
        <v>0</v>
      </c>
      <c r="AG1238" s="167" t="inlineStr">
        <is>
          <t>7218|JA2585_1001</t>
        </is>
      </c>
      <c r="AH1238" s="47">
        <f>IF(M1238=0,"-",M1238-J1238)</f>
        <v/>
      </c>
      <c r="AI1238" s="46">
        <f>IF(AND(S1238=0,M1238&gt;0,L1238=0),IF(AH1238&gt;=120,"VERY HIGH",IF(AH1238&gt;=90,"HIGH",IF(AH1238&gt;=60,"MEDIUM",IF(AH1238&lt;60,"LOW")))),"-")</f>
        <v/>
      </c>
      <c r="AJ1238" s="12" t="n"/>
      <c r="AK1238" s="53">
        <f>IF(AND(W1238="X",M1238&lt;=$AJ$2),"YES","")</f>
        <v/>
      </c>
      <c r="AL1238" s="54">
        <f>IF(AND(W1238="X",M1238&lt;=$AJ$2),S1238,"")</f>
        <v/>
      </c>
      <c r="AM1238" s="35" t="n"/>
      <c r="AN1238" s="35">
        <f>IF(AND(W1238="X",M1238&gt;$AJ$2),S1238,"")</f>
        <v/>
      </c>
      <c r="AO1238" s="35">
        <f>IF(AND(W1238="",M1238&gt;0,$AJ$2&gt;M1238,L1238=""),1,0)</f>
        <v/>
      </c>
      <c r="AP1238" s="35">
        <f>IF(AND(AK1238="YES",W1238="X"),"X","")</f>
        <v/>
      </c>
      <c r="AQ1238" s="55">
        <f>IF(AP1238="X",100%,0%)</f>
        <v/>
      </c>
      <c r="AR1238" s="25">
        <f>IF(AND(T1238&gt;0,L1238=""),H1238,"")</f>
        <v/>
      </c>
      <c r="AS1238" s="25">
        <f>IF(AND(D1238&gt;0,H1238=0,G1238=""),1,"")</f>
        <v/>
      </c>
      <c r="AT1238" s="25">
        <f>IF(G1238="BLOQ",1,"")</f>
        <v/>
      </c>
      <c r="AU1238" s="25">
        <f>IF(L1238="BLOQ",1,"")</f>
        <v/>
      </c>
      <c r="AV1238" s="25">
        <f>MONTH(F1238)</f>
        <v/>
      </c>
      <c r="AW1238" s="65">
        <f>IF(AP1238="",100%,0%)</f>
        <v/>
      </c>
      <c r="AX1238" s="56" t="n"/>
      <c r="AY1238" s="24">
        <f>IF(M1238=0,"",M1238-$AX$2)</f>
        <v/>
      </c>
      <c r="AZ1238" s="66">
        <f>IF(AND(W1238="",AY1238&gt;0,AY1238&lt;15),1,0)</f>
        <v/>
      </c>
      <c r="BA1238" s="24">
        <f>IF(AND(W1238="",AY1238&gt;0,AY1238&lt;15),T1238,"")</f>
        <v/>
      </c>
      <c r="BB1238" s="87">
        <f>IF(R1238&lt;Q1238,"X","")</f>
        <v/>
      </c>
      <c r="BC1238" s="191" t="inlineStr">
        <is>
          <t>SI</t>
        </is>
      </c>
      <c r="BD1238" s="191" t="inlineStr">
        <is>
          <t>SI</t>
        </is>
      </c>
    </row>
    <row r="1239" ht="15" customHeight="1" s="162">
      <c r="A1239" s="7" t="n">
        <v>1238</v>
      </c>
      <c r="B1239" t="inlineStr">
        <is>
          <t>1218000070000</t>
        </is>
      </c>
      <c r="C1239" t="inlineStr">
        <is>
          <t>REGLETA RED 9 TOMAS 2P+T 250VAC 10/16A L</t>
        </is>
      </c>
      <c r="D1239" t="inlineStr">
        <is>
          <t>1800111381</t>
        </is>
      </c>
      <c r="E1239" t="inlineStr">
        <is>
          <t>10</t>
        </is>
      </c>
      <c r="F1239" s="163" t="n">
        <v>45504</v>
      </c>
      <c r="G1239" t="inlineStr"/>
      <c r="H1239" t="inlineStr">
        <is>
          <t>4200574096</t>
        </is>
      </c>
      <c r="I1239" t="inlineStr">
        <is>
          <t>10</t>
        </is>
      </c>
      <c r="J1239" s="163" t="n">
        <v>45512</v>
      </c>
      <c r="K1239" s="163" t="n">
        <v>45524</v>
      </c>
      <c r="L1239" t="inlineStr"/>
      <c r="M1239" s="163" t="n">
        <v>45543</v>
      </c>
      <c r="N1239" s="164" t="n">
        <v>35</v>
      </c>
      <c r="O1239" s="164" t="n">
        <v>8</v>
      </c>
      <c r="P1239" t="inlineStr">
        <is>
          <t>Liberado</t>
        </is>
      </c>
      <c r="Q1239" s="166" t="n">
        <v>12</v>
      </c>
      <c r="R1239" s="166" t="n">
        <v>12</v>
      </c>
      <c r="S1239" s="166" t="n">
        <v>12</v>
      </c>
      <c r="T1239" s="166" t="n">
        <v>0</v>
      </c>
      <c r="U1239" s="166" t="n">
        <v>12</v>
      </c>
      <c r="V1239" s="166" t="n">
        <v>0</v>
      </c>
      <c r="W1239" t="inlineStr">
        <is>
          <t>X</t>
        </is>
      </c>
      <c r="X1239" t="inlineStr">
        <is>
          <t>0.00</t>
        </is>
      </c>
      <c r="Y1239" t="inlineStr"/>
      <c r="Z1239" t="inlineStr">
        <is>
          <t>CENVALSA, S.L.</t>
        </is>
      </c>
      <c r="AA1239" t="inlineStr">
        <is>
          <t>SCHROFF</t>
        </is>
      </c>
      <c r="AB1239" t="inlineStr">
        <is>
          <t>60110-202</t>
        </is>
      </c>
      <c r="AC1239" t="inlineStr"/>
      <c r="AD1239" s="164" t="n">
        <v>0</v>
      </c>
      <c r="AE1239" s="185" t="n">
        <v>0</v>
      </c>
      <c r="AG1239" s="167" t="inlineStr">
        <is>
          <t>7218|JA2585_1001</t>
        </is>
      </c>
      <c r="AH1239" s="47">
        <f>IF(M1239=0,"-",M1239-J1239)</f>
        <v/>
      </c>
      <c r="AI1239" s="46">
        <f>IF(AND(S1239=0,M1239&gt;0,L1239=0),IF(AH1239&gt;=120,"VERY HIGH",IF(AH1239&gt;=90,"HIGH",IF(AH1239&gt;=60,"MEDIUM",IF(AH1239&lt;60,"LOW")))),"-")</f>
        <v/>
      </c>
      <c r="AJ1239" s="12" t="n"/>
      <c r="AK1239" s="53">
        <f>IF(AND(W1239="X",M1239&lt;=$AJ$2),"YES","")</f>
        <v/>
      </c>
      <c r="AL1239" s="54">
        <f>IF(AND(W1239="X",M1239&lt;=$AJ$2),S1239,"")</f>
        <v/>
      </c>
      <c r="AM1239" s="35" t="n"/>
      <c r="AN1239" s="35">
        <f>IF(AND(W1239="X",M1239&gt;$AJ$2),S1239,"")</f>
        <v/>
      </c>
      <c r="AO1239" s="35">
        <f>IF(AND(W1239="",M1239&gt;0,$AJ$2&gt;M1239,L1239=""),1,0)</f>
        <v/>
      </c>
      <c r="AP1239" s="35">
        <f>IF(AND(AK1239="YES",W1239="X"),"X","")</f>
        <v/>
      </c>
      <c r="AQ1239" s="55">
        <f>IF(AP1239="X",100%,0%)</f>
        <v/>
      </c>
      <c r="AR1239" s="25">
        <f>IF(AND(T1239&gt;0,L1239=""),H1239,"")</f>
        <v/>
      </c>
      <c r="AS1239" s="25">
        <f>IF(AND(D1239&gt;0,H1239=0,G1239=""),1,"")</f>
        <v/>
      </c>
      <c r="AT1239" s="25">
        <f>IF(G1239="BLOQ",1,"")</f>
        <v/>
      </c>
      <c r="AU1239" s="25">
        <f>IF(L1239="BLOQ",1,"")</f>
        <v/>
      </c>
      <c r="AV1239" s="25">
        <f>MONTH(F1239)</f>
        <v/>
      </c>
      <c r="AW1239" s="65">
        <f>IF(AP1239="",100%,0%)</f>
        <v/>
      </c>
      <c r="AX1239" s="56" t="n"/>
      <c r="AY1239" s="24">
        <f>IF(M1239=0,"",M1239-$AX$2)</f>
        <v/>
      </c>
      <c r="AZ1239" s="66">
        <f>IF(AND(W1239="",AY1239&gt;0,AY1239&lt;15),1,0)</f>
        <v/>
      </c>
      <c r="BA1239" s="24">
        <f>IF(AND(W1239="",AY1239&gt;0,AY1239&lt;15),T1239,"")</f>
        <v/>
      </c>
      <c r="BB1239" s="87">
        <f>IF(R1239&lt;Q1239,"X","")</f>
        <v/>
      </c>
      <c r="BC1239" s="191" t="inlineStr">
        <is>
          <t>SI</t>
        </is>
      </c>
      <c r="BD1239" s="191" t="inlineStr">
        <is>
          <t>SI</t>
        </is>
      </c>
    </row>
    <row r="1240" ht="15" customHeight="1" s="162">
      <c r="A1240" s="7" t="n">
        <v>1239</v>
      </c>
      <c r="B1240" t="inlineStr">
        <is>
          <t>1214003233731</t>
        </is>
      </c>
      <c r="C1240" t="inlineStr">
        <is>
          <t>CNC CIR 18-32  32P/H PLUG MS3476L18-32SX</t>
        </is>
      </c>
      <c r="D1240" t="inlineStr">
        <is>
          <t>1800111382</t>
        </is>
      </c>
      <c r="E1240" t="inlineStr">
        <is>
          <t>10</t>
        </is>
      </c>
      <c r="F1240" s="163" t="n">
        <v>45504</v>
      </c>
      <c r="G1240" t="inlineStr"/>
      <c r="H1240" t="inlineStr">
        <is>
          <t>4200579210</t>
        </is>
      </c>
      <c r="I1240" t="inlineStr">
        <is>
          <t>40</t>
        </is>
      </c>
      <c r="J1240" s="163" t="n">
        <v>45565</v>
      </c>
      <c r="K1240" s="163" t="n">
        <v>45569</v>
      </c>
      <c r="L1240" t="inlineStr"/>
      <c r="M1240" s="163" t="n">
        <v>45576</v>
      </c>
      <c r="N1240" s="164" t="n">
        <v>40</v>
      </c>
      <c r="O1240" s="164" t="n">
        <v>8</v>
      </c>
      <c r="P1240" t="inlineStr">
        <is>
          <t>Liberado</t>
        </is>
      </c>
      <c r="Q1240" s="166" t="n">
        <v>1</v>
      </c>
      <c r="R1240" s="166" t="n">
        <v>1</v>
      </c>
      <c r="S1240" s="166" t="n">
        <v>1</v>
      </c>
      <c r="T1240" s="166" t="n">
        <v>0</v>
      </c>
      <c r="U1240" s="166" t="n">
        <v>1</v>
      </c>
      <c r="V1240" s="166" t="n">
        <v>0</v>
      </c>
      <c r="W1240" t="inlineStr">
        <is>
          <t>X</t>
        </is>
      </c>
      <c r="X1240" t="inlineStr">
        <is>
          <t>0.00</t>
        </is>
      </c>
      <c r="Y1240" t="inlineStr"/>
      <c r="Z1240" t="inlineStr">
        <is>
          <t>SUMINISTROS CONECTORES PROF.,SA.</t>
        </is>
      </c>
      <c r="AA1240" t="inlineStr">
        <is>
          <t>MILITARY STANDARDS</t>
        </is>
      </c>
      <c r="AB1240" t="inlineStr">
        <is>
          <t>MS3476L18-32SX</t>
        </is>
      </c>
      <c r="AC1240" t="inlineStr"/>
      <c r="AD1240" s="164" t="n">
        <v>0</v>
      </c>
      <c r="AE1240" s="185" t="n">
        <v>0</v>
      </c>
      <c r="AG1240" s="167" t="inlineStr">
        <is>
          <t>7218|JA2581_1001</t>
        </is>
      </c>
      <c r="AH1240" s="47">
        <f>IF(M1240=0,"-",M1240-J1240)</f>
        <v/>
      </c>
      <c r="AI1240" s="46">
        <f>IF(AND(S1240=0,M1240&gt;0,L1240=0),IF(AH1240&gt;=120,"VERY HIGH",IF(AH1240&gt;=90,"HIGH",IF(AH1240&gt;=60,"MEDIUM",IF(AH1240&lt;60,"LOW")))),"-")</f>
        <v/>
      </c>
      <c r="AJ1240" s="12" t="n"/>
      <c r="AK1240" s="53">
        <f>IF(AND(W1240="X",M1240&lt;=$AJ$2),"YES","")</f>
        <v/>
      </c>
      <c r="AL1240" s="54">
        <f>IF(AND(W1240="X",M1240&lt;=$AJ$2),S1240,"")</f>
        <v/>
      </c>
      <c r="AM1240" s="35" t="n"/>
      <c r="AN1240" s="35">
        <f>IF(AND(W1240="X",M1240&gt;$AJ$2),S1240,"")</f>
        <v/>
      </c>
      <c r="AO1240" s="35">
        <f>IF(AND(W1240="",M1240&gt;0,$AJ$2&gt;M1240,L1240=""),1,0)</f>
        <v/>
      </c>
      <c r="AP1240" s="35">
        <f>IF(AND(AK1240="YES",W1240="X"),"X","")</f>
        <v/>
      </c>
      <c r="AQ1240" s="55">
        <f>IF(AP1240="X",100%,0%)</f>
        <v/>
      </c>
      <c r="AR1240" s="25">
        <f>IF(AND(T1240&gt;0,L1240=""),H1240,"")</f>
        <v/>
      </c>
      <c r="AS1240" s="25">
        <f>IF(AND(D1240&gt;0,H1240=0,G1240=""),1,"")</f>
        <v/>
      </c>
      <c r="AT1240" s="25">
        <f>IF(G1240="BLOQ",1,"")</f>
        <v/>
      </c>
      <c r="AU1240" s="25">
        <f>IF(L1240="BLOQ",1,"")</f>
        <v/>
      </c>
      <c r="AV1240" s="25">
        <f>MONTH(F1240)</f>
        <v/>
      </c>
      <c r="AW1240" s="65">
        <f>IF(AP1240="",100%,0%)</f>
        <v/>
      </c>
      <c r="AX1240" s="56" t="n"/>
      <c r="AY1240" s="24">
        <f>IF(M1240=0,"",M1240-$AX$2)</f>
        <v/>
      </c>
      <c r="AZ1240" s="66">
        <f>IF(AND(W1240="",AY1240&gt;0,AY1240&lt;15),1,0)</f>
        <v/>
      </c>
      <c r="BA1240" s="24">
        <f>IF(AND(W1240="",AY1240&gt;0,AY1240&lt;15),T1240,"")</f>
        <v/>
      </c>
      <c r="BB1240" s="87">
        <f>IF(R1240&lt;Q1240,"X","")</f>
        <v/>
      </c>
      <c r="BC1240" s="190" t="inlineStr">
        <is>
          <t>NO</t>
        </is>
      </c>
      <c r="BD1240" s="191" t="inlineStr">
        <is>
          <t>SI</t>
        </is>
      </c>
    </row>
    <row r="1241" ht="15" customHeight="1" s="162">
      <c r="A1241" s="7" t="n">
        <v>1240</v>
      </c>
      <c r="B1241" t="inlineStr">
        <is>
          <t>1214103233621</t>
        </is>
      </c>
      <c r="C1241" t="inlineStr">
        <is>
          <t>CNC CIR 18-32 32P (H) MS3470L18-32SW</t>
        </is>
      </c>
      <c r="D1241" t="inlineStr">
        <is>
          <t>1800111382</t>
        </is>
      </c>
      <c r="E1241" t="inlineStr">
        <is>
          <t>20</t>
        </is>
      </c>
      <c r="F1241" s="163" t="n">
        <v>45504</v>
      </c>
      <c r="G1241" t="inlineStr"/>
      <c r="H1241" t="inlineStr">
        <is>
          <t>4200578014</t>
        </is>
      </c>
      <c r="I1241" t="inlineStr">
        <is>
          <t>20</t>
        </is>
      </c>
      <c r="J1241" s="163" t="n">
        <v>45554</v>
      </c>
      <c r="K1241" s="163" t="n">
        <v>45569</v>
      </c>
      <c r="L1241" t="inlineStr"/>
      <c r="M1241" s="163" t="n">
        <v>45575</v>
      </c>
      <c r="N1241" s="164" t="n">
        <v>30</v>
      </c>
      <c r="O1241" s="164" t="n">
        <v>8</v>
      </c>
      <c r="P1241" t="inlineStr">
        <is>
          <t>Liberado</t>
        </is>
      </c>
      <c r="Q1241" s="166" t="n">
        <v>2</v>
      </c>
      <c r="R1241" s="166" t="n">
        <v>2</v>
      </c>
      <c r="S1241" s="166" t="n">
        <v>2</v>
      </c>
      <c r="T1241" s="166" t="n">
        <v>0</v>
      </c>
      <c r="U1241" s="166" t="n">
        <v>2</v>
      </c>
      <c r="V1241" s="166" t="n">
        <v>0</v>
      </c>
      <c r="W1241" t="inlineStr">
        <is>
          <t>X</t>
        </is>
      </c>
      <c r="X1241" t="inlineStr">
        <is>
          <t>0.00</t>
        </is>
      </c>
      <c r="Y1241" t="inlineStr"/>
      <c r="Z1241" t="inlineStr">
        <is>
          <t>TTI, INC.</t>
        </is>
      </c>
      <c r="AA1241" t="inlineStr">
        <is>
          <t>MILITARY STANDARDS</t>
        </is>
      </c>
      <c r="AB1241" t="inlineStr">
        <is>
          <t>MS3470L18-32SW</t>
        </is>
      </c>
      <c r="AC1241" t="inlineStr"/>
      <c r="AD1241" s="164" t="n">
        <v>0</v>
      </c>
      <c r="AE1241" s="185" t="n">
        <v>0</v>
      </c>
      <c r="AG1241" s="167" t="inlineStr">
        <is>
          <t>7218|JA2581_1001</t>
        </is>
      </c>
      <c r="AH1241" s="47">
        <f>IF(M1241=0,"-",M1241-J1241)</f>
        <v/>
      </c>
      <c r="AI1241" s="46">
        <f>IF(AND(S1241=0,M1241&gt;0,L1241=0),IF(AH1241&gt;=120,"VERY HIGH",IF(AH1241&gt;=90,"HIGH",IF(AH1241&gt;=60,"MEDIUM",IF(AH1241&lt;60,"LOW")))),"-")</f>
        <v/>
      </c>
      <c r="AJ1241" s="12" t="n"/>
      <c r="AK1241" s="53">
        <f>IF(AND(W1241="X",M1241&lt;=$AJ$2),"YES","")</f>
        <v/>
      </c>
      <c r="AL1241" s="54">
        <f>IF(AND(W1241="X",M1241&lt;=$AJ$2),S1241,"")</f>
        <v/>
      </c>
      <c r="AM1241" s="35" t="n"/>
      <c r="AN1241" s="35">
        <f>IF(AND(W1241="X",M1241&gt;$AJ$2),S1241,"")</f>
        <v/>
      </c>
      <c r="AO1241" s="35">
        <f>IF(AND(W1241="",M1241&gt;0,$AJ$2&gt;M1241,L1241=""),1,0)</f>
        <v/>
      </c>
      <c r="AP1241" s="35">
        <f>IF(AND(AK1241="YES",W1241="X"),"X","")</f>
        <v/>
      </c>
      <c r="AQ1241" s="55">
        <f>IF(AP1241="X",100%,0%)</f>
        <v/>
      </c>
      <c r="AR1241" s="25">
        <f>IF(AND(T1241&gt;0,L1241=""),H1241,"")</f>
        <v/>
      </c>
      <c r="AS1241" s="25">
        <f>IF(AND(D1241&gt;0,H1241=0,G1241=""),1,"")</f>
        <v/>
      </c>
      <c r="AT1241" s="25">
        <f>IF(G1241="BLOQ",1,"")</f>
        <v/>
      </c>
      <c r="AU1241" s="25">
        <f>IF(L1241="BLOQ",1,"")</f>
        <v/>
      </c>
      <c r="AV1241" s="25">
        <f>MONTH(F1241)</f>
        <v/>
      </c>
      <c r="AW1241" s="65">
        <f>IF(AP1241="",100%,0%)</f>
        <v/>
      </c>
      <c r="AX1241" s="56" t="n"/>
      <c r="AY1241" s="24">
        <f>IF(M1241=0,"",M1241-$AX$2)</f>
        <v/>
      </c>
      <c r="AZ1241" s="66">
        <f>IF(AND(W1241="",AY1241&gt;0,AY1241&lt;15),1,0)</f>
        <v/>
      </c>
      <c r="BA1241" s="24">
        <f>IF(AND(W1241="",AY1241&gt;0,AY1241&lt;15),T1241,"")</f>
        <v/>
      </c>
      <c r="BB1241" s="87">
        <f>IF(R1241&lt;Q1241,"X","")</f>
        <v/>
      </c>
      <c r="BC1241" s="190" t="inlineStr">
        <is>
          <t>NO</t>
        </is>
      </c>
      <c r="BD1241" s="191" t="inlineStr">
        <is>
          <t>SI</t>
        </is>
      </c>
    </row>
    <row r="1242" ht="15" customHeight="1" s="162">
      <c r="A1242" s="7" t="n">
        <v>1241</v>
      </c>
      <c r="B1242" t="inlineStr">
        <is>
          <t>1214103233627</t>
        </is>
      </c>
      <c r="C1242" t="inlineStr">
        <is>
          <t>CNC CIR 18-32  32P/H CRIMP RECEPT MS3470</t>
        </is>
      </c>
      <c r="D1242" t="inlineStr">
        <is>
          <t>1800111382</t>
        </is>
      </c>
      <c r="E1242" t="inlineStr">
        <is>
          <t>30</t>
        </is>
      </c>
      <c r="F1242" s="163" t="n">
        <v>45504</v>
      </c>
      <c r="G1242" t="inlineStr"/>
      <c r="H1242" t="inlineStr">
        <is>
          <t>4200578014</t>
        </is>
      </c>
      <c r="I1242" t="inlineStr">
        <is>
          <t>30</t>
        </is>
      </c>
      <c r="J1242" s="163" t="n">
        <v>45554</v>
      </c>
      <c r="K1242" s="163" t="n">
        <v>45569</v>
      </c>
      <c r="L1242" t="inlineStr"/>
      <c r="M1242" s="163" t="n">
        <v>45575</v>
      </c>
      <c r="N1242" s="164" t="n">
        <v>40</v>
      </c>
      <c r="O1242" s="164" t="n">
        <v>8</v>
      </c>
      <c r="P1242" t="inlineStr">
        <is>
          <t>Liberado</t>
        </is>
      </c>
      <c r="Q1242" s="166" t="n">
        <v>2</v>
      </c>
      <c r="R1242" s="166" t="n">
        <v>2</v>
      </c>
      <c r="S1242" s="166" t="n">
        <v>2</v>
      </c>
      <c r="T1242" s="166" t="n">
        <v>0</v>
      </c>
      <c r="U1242" s="166" t="n">
        <v>2</v>
      </c>
      <c r="V1242" s="166" t="n">
        <v>0</v>
      </c>
      <c r="W1242" t="inlineStr">
        <is>
          <t>X</t>
        </is>
      </c>
      <c r="X1242" t="inlineStr">
        <is>
          <t>0.00</t>
        </is>
      </c>
      <c r="Y1242" t="inlineStr"/>
      <c r="Z1242" t="inlineStr">
        <is>
          <t>TTI, INC.</t>
        </is>
      </c>
      <c r="AA1242" t="inlineStr">
        <is>
          <t>MILITARY STANDARDS</t>
        </is>
      </c>
      <c r="AB1242" t="inlineStr">
        <is>
          <t>MS3470L18-32S</t>
        </is>
      </c>
      <c r="AC1242" t="inlineStr"/>
      <c r="AD1242" s="164" t="n">
        <v>0</v>
      </c>
      <c r="AE1242" s="185" t="n">
        <v>0</v>
      </c>
      <c r="AG1242" s="167" t="inlineStr">
        <is>
          <t>7218|JA2581_1001</t>
        </is>
      </c>
      <c r="AH1242" s="47">
        <f>IF(M1242=0,"-",M1242-J1242)</f>
        <v/>
      </c>
      <c r="AI1242" s="46">
        <f>IF(AND(S1242=0,M1242&gt;0,L1242=0),IF(AH1242&gt;=120,"VERY HIGH",IF(AH1242&gt;=90,"HIGH",IF(AH1242&gt;=60,"MEDIUM",IF(AH1242&lt;60,"LOW")))),"-")</f>
        <v/>
      </c>
      <c r="AJ1242" s="12" t="n"/>
      <c r="AK1242" s="53">
        <f>IF(AND(W1242="X",M1242&lt;=$AJ$2),"YES","")</f>
        <v/>
      </c>
      <c r="AL1242" s="54">
        <f>IF(AND(W1242="X",M1242&lt;=$AJ$2),S1242,"")</f>
        <v/>
      </c>
      <c r="AM1242" s="35" t="n"/>
      <c r="AN1242" s="35">
        <f>IF(AND(W1242="X",M1242&gt;$AJ$2),S1242,"")</f>
        <v/>
      </c>
      <c r="AO1242" s="35">
        <f>IF(AND(W1242="",M1242&gt;0,$AJ$2&gt;M1242,L1242=""),1,0)</f>
        <v/>
      </c>
      <c r="AP1242" s="35">
        <f>IF(AND(AK1242="YES",W1242="X"),"X","")</f>
        <v/>
      </c>
      <c r="AQ1242" s="55">
        <f>IF(AP1242="X",100%,0%)</f>
        <v/>
      </c>
      <c r="AR1242" s="25">
        <f>IF(AND(T1242&gt;0,L1242=""),H1242,"")</f>
        <v/>
      </c>
      <c r="AS1242" s="25">
        <f>IF(AND(D1242&gt;0,H1242=0,G1242=""),1,"")</f>
        <v/>
      </c>
      <c r="AT1242" s="25">
        <f>IF(G1242="BLOQ",1,"")</f>
        <v/>
      </c>
      <c r="AU1242" s="25">
        <f>IF(L1242="BLOQ",1,"")</f>
        <v/>
      </c>
      <c r="AV1242" s="25">
        <f>MONTH(F1242)</f>
        <v/>
      </c>
      <c r="AW1242" s="65">
        <f>IF(AP1242="",100%,0%)</f>
        <v/>
      </c>
      <c r="AX1242" s="56" t="n"/>
      <c r="AY1242" s="24">
        <f>IF(M1242=0,"",M1242-$AX$2)</f>
        <v/>
      </c>
      <c r="AZ1242" s="66">
        <f>IF(AND(W1242="",AY1242&gt;0,AY1242&lt;15),1,0)</f>
        <v/>
      </c>
      <c r="BA1242" s="24">
        <f>IF(AND(W1242="",AY1242&gt;0,AY1242&lt;15),T1242,"")</f>
        <v/>
      </c>
      <c r="BB1242" s="87">
        <f>IF(R1242&lt;Q1242,"X","")</f>
        <v/>
      </c>
      <c r="BC1242" s="190" t="inlineStr">
        <is>
          <t>NO</t>
        </is>
      </c>
      <c r="BD1242" s="191" t="inlineStr">
        <is>
          <t>SI</t>
        </is>
      </c>
    </row>
    <row r="1243" ht="15" customHeight="1" s="162">
      <c r="A1243" s="7" t="n">
        <v>1242</v>
      </c>
      <c r="B1243" t="inlineStr">
        <is>
          <t>1214003132620</t>
        </is>
      </c>
      <c r="C1243" t="inlineStr">
        <is>
          <t>CNC CIR 18-31 31P (H) PLUG M83723/75R183</t>
        </is>
      </c>
      <c r="D1243" t="inlineStr">
        <is>
          <t>1800111383</t>
        </is>
      </c>
      <c r="E1243" t="inlineStr">
        <is>
          <t>10</t>
        </is>
      </c>
      <c r="F1243" s="163" t="n">
        <v>45504</v>
      </c>
      <c r="G1243" t="inlineStr"/>
      <c r="H1243" t="inlineStr">
        <is>
          <t>4200574818</t>
        </is>
      </c>
      <c r="I1243" t="inlineStr">
        <is>
          <t>500</t>
        </is>
      </c>
      <c r="J1243" s="163" t="n">
        <v>45524</v>
      </c>
      <c r="K1243" s="163" t="n">
        <v>45527</v>
      </c>
      <c r="L1243" t="inlineStr"/>
      <c r="M1243" s="163" t="n">
        <v>45549</v>
      </c>
      <c r="N1243" s="164" t="n">
        <v>56</v>
      </c>
      <c r="O1243" s="164" t="n">
        <v>8</v>
      </c>
      <c r="P1243" t="inlineStr">
        <is>
          <t>Liberado</t>
        </is>
      </c>
      <c r="Q1243" s="165" t="n">
        <v>3</v>
      </c>
      <c r="R1243" s="165" t="n">
        <v>3</v>
      </c>
      <c r="S1243" s="165" t="n">
        <v>3</v>
      </c>
      <c r="T1243" s="165" t="n">
        <v>0</v>
      </c>
      <c r="U1243" s="166" t="n">
        <v>3</v>
      </c>
      <c r="V1243" s="166" t="n">
        <v>0</v>
      </c>
      <c r="W1243" t="inlineStr">
        <is>
          <t>X</t>
        </is>
      </c>
      <c r="X1243" t="inlineStr">
        <is>
          <t>0.00</t>
        </is>
      </c>
      <c r="Y1243" t="inlineStr"/>
      <c r="Z1243" t="inlineStr">
        <is>
          <t>Electro Enterprises New York</t>
        </is>
      </c>
      <c r="AA1243" t="inlineStr">
        <is>
          <t>MILITARY SPECS.</t>
        </is>
      </c>
      <c r="AB1243" t="inlineStr">
        <is>
          <t>M83723/75R1831N</t>
        </is>
      </c>
      <c r="AC1243" t="inlineStr"/>
      <c r="AD1243" s="164" t="n">
        <v>0</v>
      </c>
      <c r="AE1243" s="185" t="n">
        <v>0</v>
      </c>
      <c r="AG1243" s="167" t="inlineStr">
        <is>
          <t>7218|JA2581_1001</t>
        </is>
      </c>
      <c r="AH1243" s="47">
        <f>IF(M1243=0,"-",M1243-J1243)</f>
        <v/>
      </c>
      <c r="AI1243" s="46">
        <f>IF(AND(S1243=0,M1243&gt;0,L1243=0),IF(AH1243&gt;=120,"VERY HIGH",IF(AH1243&gt;=90,"HIGH",IF(AH1243&gt;=60,"MEDIUM",IF(AH1243&lt;60,"LOW")))),"-")</f>
        <v/>
      </c>
      <c r="AJ1243" s="12" t="n"/>
      <c r="AK1243" s="53">
        <f>IF(AND(W1243="X",M1243&lt;=$AJ$2),"YES","")</f>
        <v/>
      </c>
      <c r="AL1243" s="54">
        <f>IF(AND(W1243="X",M1243&lt;=$AJ$2),S1243,"")</f>
        <v/>
      </c>
      <c r="AM1243" s="35" t="n"/>
      <c r="AN1243" s="35">
        <f>IF(AND(W1243="X",M1243&gt;$AJ$2),S1243,"")</f>
        <v/>
      </c>
      <c r="AO1243" s="35">
        <f>IF(AND(W1243="",M1243&gt;0,$AJ$2&gt;M1243,L1243=""),1,0)</f>
        <v/>
      </c>
      <c r="AP1243" s="35">
        <f>IF(AND(AK1243="YES",W1243="X"),"X","")</f>
        <v/>
      </c>
      <c r="AQ1243" s="55">
        <f>IF(AP1243="X",100%,0%)</f>
        <v/>
      </c>
      <c r="AR1243" s="25">
        <f>IF(AND(T1243&gt;0,L1243=""),H1243,"")</f>
        <v/>
      </c>
      <c r="AS1243" s="25">
        <f>IF(AND(D1243&gt;0,H1243=0,G1243=""),1,"")</f>
        <v/>
      </c>
      <c r="AT1243" s="25">
        <f>IF(G1243="BLOQ",1,"")</f>
        <v/>
      </c>
      <c r="AU1243" s="25">
        <f>IF(L1243="BLOQ",1,"")</f>
        <v/>
      </c>
      <c r="AV1243" s="25">
        <f>MONTH(F1243)</f>
        <v/>
      </c>
      <c r="AW1243" s="65">
        <f>IF(AP1243="",100%,0%)</f>
        <v/>
      </c>
      <c r="AX1243" s="56" t="n"/>
      <c r="AY1243" s="24">
        <f>IF(M1243=0,"",M1243-$AX$2)</f>
        <v/>
      </c>
      <c r="AZ1243" s="66">
        <f>IF(AND(W1243="",AY1243&gt;0,AY1243&lt;15),1,0)</f>
        <v/>
      </c>
      <c r="BA1243" s="24">
        <f>IF(AND(W1243="",AY1243&gt;0,AY1243&lt;15),T1243,"")</f>
        <v/>
      </c>
      <c r="BB1243" s="87">
        <f>IF(R1243&lt;Q1243,"X","")</f>
        <v/>
      </c>
      <c r="BC1243" s="190" t="inlineStr">
        <is>
          <t>NO</t>
        </is>
      </c>
      <c r="BD1243" s="191" t="inlineStr">
        <is>
          <t>SI</t>
        </is>
      </c>
    </row>
    <row r="1244" ht="15" customHeight="1" s="162">
      <c r="A1244" s="7" t="n">
        <v>1243</v>
      </c>
      <c r="B1244" t="inlineStr">
        <is>
          <t>1232025385900</t>
        </is>
      </c>
      <c r="C1244" t="inlineStr">
        <is>
          <t>MANG IDENTIF TERMO 1-1/2" 3:1 POLIO BLAN</t>
        </is>
      </c>
      <c r="D1244" t="inlineStr">
        <is>
          <t>1800111383</t>
        </is>
      </c>
      <c r="E1244" t="inlineStr">
        <is>
          <t>20</t>
        </is>
      </c>
      <c r="F1244" s="163" t="n">
        <v>45504</v>
      </c>
      <c r="G1244" t="inlineStr"/>
      <c r="H1244" t="inlineStr">
        <is>
          <t>4200578517</t>
        </is>
      </c>
      <c r="I1244" t="inlineStr">
        <is>
          <t>300</t>
        </is>
      </c>
      <c r="J1244" s="163" t="n">
        <v>45559</v>
      </c>
      <c r="K1244" s="163" t="n">
        <v>45839</v>
      </c>
      <c r="L1244" t="inlineStr"/>
      <c r="M1244" s="163" t="n">
        <v>45601</v>
      </c>
      <c r="N1244" s="164" t="n">
        <v>40</v>
      </c>
      <c r="O1244" s="164" t="n">
        <v>8</v>
      </c>
      <c r="P1244" t="inlineStr">
        <is>
          <t>Liberado</t>
        </is>
      </c>
      <c r="Q1244" s="165" t="n">
        <v>1</v>
      </c>
      <c r="R1244" s="165" t="n">
        <v>250</v>
      </c>
      <c r="S1244" s="165" t="n">
        <v>250</v>
      </c>
      <c r="T1244" s="165" t="n">
        <v>0</v>
      </c>
      <c r="U1244" s="166" t="n">
        <v>0</v>
      </c>
      <c r="V1244" s="166" t="n">
        <v>0</v>
      </c>
      <c r="W1244" t="inlineStr">
        <is>
          <t>X</t>
        </is>
      </c>
      <c r="X1244" t="inlineStr">
        <is>
          <t>0.00</t>
        </is>
      </c>
      <c r="Y1244" t="inlineStr"/>
      <c r="Z1244" t="inlineStr">
        <is>
          <t>SUMINISTROS CONECTORES PROF.,SA.</t>
        </is>
      </c>
      <c r="AA1244" t="inlineStr">
        <is>
          <t>TE CONNECTIVITY</t>
        </is>
      </c>
      <c r="AB1244" t="inlineStr">
        <is>
          <t>TMS-SCE-1-1/2-2.0-9</t>
        </is>
      </c>
      <c r="AC1244" t="inlineStr"/>
      <c r="AD1244" s="164" t="n">
        <v>0</v>
      </c>
      <c r="AE1244" s="185" t="n">
        <v>0</v>
      </c>
      <c r="AG1244" s="167" t="inlineStr">
        <is>
          <t>7218|JA2581_1001</t>
        </is>
      </c>
      <c r="AH1244" s="47">
        <f>IF(M1244=0,"-",M1244-J1244)</f>
        <v/>
      </c>
      <c r="AI1244" s="46">
        <f>IF(AND(S1244=0,M1244&gt;0,L1244=0),IF(AH1244&gt;=120,"VERY HIGH",IF(AH1244&gt;=90,"HIGH",IF(AH1244&gt;=60,"MEDIUM",IF(AH1244&lt;60,"LOW")))),"-")</f>
        <v/>
      </c>
      <c r="AJ1244" s="12" t="n"/>
      <c r="AK1244" s="53">
        <f>IF(AND(W1244="X",M1244&lt;=$AJ$2),"YES","")</f>
        <v/>
      </c>
      <c r="AL1244" s="54">
        <f>IF(AND(W1244="X",M1244&lt;=$AJ$2),S1244,"")</f>
        <v/>
      </c>
      <c r="AM1244" s="35" t="n"/>
      <c r="AN1244" s="35">
        <f>IF(AND(W1244="X",M1244&gt;$AJ$2),S1244,"")</f>
        <v/>
      </c>
      <c r="AO1244" s="35">
        <f>IF(AND(W1244="",M1244&gt;0,$AJ$2&gt;M1244,L1244=""),1,0)</f>
        <v/>
      </c>
      <c r="AP1244" s="35">
        <f>IF(AND(AK1244="YES",W1244="X"),"X","")</f>
        <v/>
      </c>
      <c r="AQ1244" s="55">
        <f>IF(AP1244="X",100%,0%)</f>
        <v/>
      </c>
      <c r="AR1244" s="25">
        <f>IF(AND(T1244&gt;0,L1244=""),H1244,"")</f>
        <v/>
      </c>
      <c r="AS1244" s="25">
        <f>IF(AND(D1244&gt;0,H1244=0,G1244=""),1,"")</f>
        <v/>
      </c>
      <c r="AT1244" s="25">
        <f>IF(G1244="BLOQ",1,"")</f>
        <v/>
      </c>
      <c r="AU1244" s="25">
        <f>IF(L1244="BLOQ",1,"")</f>
        <v/>
      </c>
      <c r="AV1244" s="25">
        <f>MONTH(F1244)</f>
        <v/>
      </c>
      <c r="AW1244" s="65">
        <f>IF(AP1244="",100%,0%)</f>
        <v/>
      </c>
      <c r="AX1244" s="56" t="n"/>
      <c r="AY1244" s="24">
        <f>IF(M1244=0,"",M1244-$AX$2)</f>
        <v/>
      </c>
      <c r="AZ1244" s="66">
        <f>IF(AND(W1244="",AY1244&gt;0,AY1244&lt;15),1,0)</f>
        <v/>
      </c>
      <c r="BA1244" s="24">
        <f>IF(AND(W1244="",AY1244&gt;0,AY1244&lt;15),T1244,"")</f>
        <v/>
      </c>
      <c r="BB1244" s="87">
        <f>IF(R1244&lt;Q1244,"X","")</f>
        <v/>
      </c>
      <c r="BC1244" s="190" t="inlineStr">
        <is>
          <t>NO</t>
        </is>
      </c>
      <c r="BD1244" s="191" t="inlineStr">
        <is>
          <t>SI</t>
        </is>
      </c>
    </row>
    <row r="1245" ht="15" customHeight="1" s="162">
      <c r="A1245" s="7" t="n">
        <v>1244</v>
      </c>
      <c r="B1245" t="inlineStr">
        <is>
          <t>1204206631120</t>
        </is>
      </c>
      <c r="C1245" t="inlineStr">
        <is>
          <t>CNC CIR 19-35 66M STRAIGHT PLUG D38999</t>
        </is>
      </c>
      <c r="D1245" t="inlineStr">
        <is>
          <t>1800111384</t>
        </is>
      </c>
      <c r="E1245" t="inlineStr">
        <is>
          <t>10</t>
        </is>
      </c>
      <c r="F1245" s="163" t="n">
        <v>45504</v>
      </c>
      <c r="G1245" t="inlineStr"/>
      <c r="H1245" t="inlineStr">
        <is>
          <t>4200574818</t>
        </is>
      </c>
      <c r="I1245" t="inlineStr">
        <is>
          <t>510</t>
        </is>
      </c>
      <c r="J1245" s="163" t="n">
        <v>45524</v>
      </c>
      <c r="K1245" s="163" t="n">
        <v>45527</v>
      </c>
      <c r="L1245" t="inlineStr"/>
      <c r="M1245" s="163" t="n">
        <v>45549</v>
      </c>
      <c r="N1245" s="164" t="n">
        <v>55</v>
      </c>
      <c r="O1245" s="164" t="n">
        <v>8</v>
      </c>
      <c r="P1245" t="inlineStr">
        <is>
          <t>Liberado</t>
        </is>
      </c>
      <c r="Q1245" s="165" t="n">
        <v>2</v>
      </c>
      <c r="R1245" s="165" t="n">
        <v>2</v>
      </c>
      <c r="S1245" s="165" t="n">
        <v>2</v>
      </c>
      <c r="T1245" s="165" t="n">
        <v>0</v>
      </c>
      <c r="U1245" s="166" t="n">
        <v>2</v>
      </c>
      <c r="V1245" s="166" t="n">
        <v>0</v>
      </c>
      <c r="W1245" t="inlineStr">
        <is>
          <t>X</t>
        </is>
      </c>
      <c r="X1245" t="inlineStr">
        <is>
          <t>0.00</t>
        </is>
      </c>
      <c r="Y1245" t="inlineStr"/>
      <c r="Z1245" t="inlineStr">
        <is>
          <t>Electro Enterprises New York</t>
        </is>
      </c>
      <c r="AA1245" t="inlineStr">
        <is>
          <t>MILITARY SPECS.</t>
        </is>
      </c>
      <c r="AB1245" t="inlineStr">
        <is>
          <t>D38999/26ZF35PN</t>
        </is>
      </c>
      <c r="AC1245" t="inlineStr"/>
      <c r="AD1245" s="164" t="n">
        <v>0</v>
      </c>
      <c r="AE1245" s="185" t="n">
        <v>0</v>
      </c>
      <c r="AG1245" s="167" t="inlineStr">
        <is>
          <t>7218|JA2584_1001</t>
        </is>
      </c>
      <c r="AH1245" s="47">
        <f>IF(M1245=0,"-",M1245-J1245)</f>
        <v/>
      </c>
      <c r="AI1245" s="46">
        <f>IF(AND(S1245=0,M1245&gt;0,L1245=0),IF(AH1245&gt;=120,"VERY HIGH",IF(AH1245&gt;=90,"HIGH",IF(AH1245&gt;=60,"MEDIUM",IF(AH1245&lt;60,"LOW")))),"-")</f>
        <v/>
      </c>
      <c r="AJ1245" s="12" t="n"/>
      <c r="AK1245" s="53">
        <f>IF(AND(W1245="X",M1245&lt;=$AJ$2),"YES","")</f>
        <v/>
      </c>
      <c r="AL1245" s="54">
        <f>IF(AND(W1245="X",M1245&lt;=$AJ$2),S1245,"")</f>
        <v/>
      </c>
      <c r="AM1245" s="35" t="n"/>
      <c r="AN1245" s="35">
        <f>IF(AND(W1245="X",M1245&gt;$AJ$2),S1245,"")</f>
        <v/>
      </c>
      <c r="AO1245" s="35">
        <f>IF(AND(W1245="",M1245&gt;0,$AJ$2&gt;M1245,L1245=""),1,0)</f>
        <v/>
      </c>
      <c r="AP1245" s="35">
        <f>IF(AND(AK1245="YES",W1245="X"),"X","")</f>
        <v/>
      </c>
      <c r="AQ1245" s="55">
        <f>IF(AP1245="X",100%,0%)</f>
        <v/>
      </c>
      <c r="AR1245" s="25">
        <f>IF(AND(T1245&gt;0,L1245=""),H1245,"")</f>
        <v/>
      </c>
      <c r="AS1245" s="25">
        <f>IF(AND(D1245&gt;0,H1245=0,G1245=""),1,"")</f>
        <v/>
      </c>
      <c r="AT1245" s="25">
        <f>IF(G1245="BLOQ",1,"")</f>
        <v/>
      </c>
      <c r="AU1245" s="25">
        <f>IF(L1245="BLOQ",1,"")</f>
        <v/>
      </c>
      <c r="AV1245" s="25">
        <f>MONTH(F1245)</f>
        <v/>
      </c>
      <c r="AW1245" s="65">
        <f>IF(AP1245="",100%,0%)</f>
        <v/>
      </c>
      <c r="AX1245" s="56" t="n"/>
      <c r="AY1245" s="24">
        <f>IF(M1245=0,"",M1245-$AX$2)</f>
        <v/>
      </c>
      <c r="AZ1245" s="66">
        <f>IF(AND(W1245="",AY1245&gt;0,AY1245&lt;15),1,0)</f>
        <v/>
      </c>
      <c r="BA1245" s="24">
        <f>IF(AND(W1245="",AY1245&gt;0,AY1245&lt;15),T1245,"")</f>
        <v/>
      </c>
      <c r="BB1245" s="87">
        <f>IF(R1245&lt;Q1245,"X","")</f>
        <v/>
      </c>
      <c r="BC1245" s="190" t="inlineStr">
        <is>
          <t>NO</t>
        </is>
      </c>
      <c r="BD1245" s="191" t="inlineStr">
        <is>
          <t>SI</t>
        </is>
      </c>
    </row>
    <row r="1246" ht="15" customHeight="1" s="162">
      <c r="A1246" s="7" t="n">
        <v>1245</v>
      </c>
      <c r="B1246" t="inlineStr">
        <is>
          <t>1214306631920</t>
        </is>
      </c>
      <c r="C1246" t="inlineStr">
        <is>
          <t>CNC CIR 19-35 66H RECPT CRMP ZN/NI ROT-N</t>
        </is>
      </c>
      <c r="D1246" t="inlineStr">
        <is>
          <t>1800111384</t>
        </is>
      </c>
      <c r="E1246" t="inlineStr">
        <is>
          <t>20</t>
        </is>
      </c>
      <c r="F1246" s="163" t="n">
        <v>45504</v>
      </c>
      <c r="G1246" t="inlineStr"/>
      <c r="H1246" t="inlineStr">
        <is>
          <t>4200574818</t>
        </is>
      </c>
      <c r="I1246" t="inlineStr">
        <is>
          <t>520</t>
        </is>
      </c>
      <c r="J1246" s="163" t="n">
        <v>45524</v>
      </c>
      <c r="K1246" s="163" t="n">
        <v>45527</v>
      </c>
      <c r="L1246" t="inlineStr"/>
      <c r="M1246" s="163" t="n">
        <v>45549</v>
      </c>
      <c r="N1246" s="164" t="n">
        <v>40</v>
      </c>
      <c r="O1246" s="164" t="n">
        <v>8</v>
      </c>
      <c r="P1246" t="inlineStr">
        <is>
          <t>Liberado</t>
        </is>
      </c>
      <c r="Q1246" s="165" t="n">
        <v>2</v>
      </c>
      <c r="R1246" s="165" t="n">
        <v>2</v>
      </c>
      <c r="S1246" s="165" t="n">
        <v>2</v>
      </c>
      <c r="T1246" s="165" t="n">
        <v>0</v>
      </c>
      <c r="U1246" s="166" t="n">
        <v>2</v>
      </c>
      <c r="V1246" s="166" t="n">
        <v>0</v>
      </c>
      <c r="W1246" t="inlineStr">
        <is>
          <t>X</t>
        </is>
      </c>
      <c r="X1246" t="inlineStr">
        <is>
          <t>0.00</t>
        </is>
      </c>
      <c r="Y1246" t="inlineStr"/>
      <c r="Z1246" t="inlineStr">
        <is>
          <t>Electro Enterprises New York</t>
        </is>
      </c>
      <c r="AA1246" t="inlineStr">
        <is>
          <t>MILITARY SPECS.</t>
        </is>
      </c>
      <c r="AB1246" t="inlineStr">
        <is>
          <t>D38999/20ZF35SN</t>
        </is>
      </c>
      <c r="AC1246" t="inlineStr"/>
      <c r="AD1246" s="164" t="n">
        <v>0</v>
      </c>
      <c r="AE1246" s="185" t="n">
        <v>0</v>
      </c>
      <c r="AG1246" s="167" t="inlineStr">
        <is>
          <t>7218|JA2584_1001</t>
        </is>
      </c>
      <c r="AH1246" s="47">
        <f>IF(M1246=0,"-",M1246-J1246)</f>
        <v/>
      </c>
      <c r="AI1246" s="46">
        <f>IF(AND(S1246=0,M1246&gt;0,L1246=0),IF(AH1246&gt;=120,"VERY HIGH",IF(AH1246&gt;=90,"HIGH",IF(AH1246&gt;=60,"MEDIUM",IF(AH1246&lt;60,"LOW")))),"-")</f>
        <v/>
      </c>
      <c r="AJ1246" s="12" t="n"/>
      <c r="AK1246" s="53">
        <f>IF(AND(W1246="X",M1246&lt;=$AJ$2),"YES","")</f>
        <v/>
      </c>
      <c r="AL1246" s="54">
        <f>IF(AND(W1246="X",M1246&lt;=$AJ$2),S1246,"")</f>
        <v/>
      </c>
      <c r="AM1246" s="35" t="n"/>
      <c r="AN1246" s="35">
        <f>IF(AND(W1246="X",M1246&gt;$AJ$2),S1246,"")</f>
        <v/>
      </c>
      <c r="AO1246" s="35">
        <f>IF(AND(W1246="",M1246&gt;0,$AJ$2&gt;M1246,L1246=""),1,0)</f>
        <v/>
      </c>
      <c r="AP1246" s="35">
        <f>IF(AND(AK1246="YES",W1246="X"),"X","")</f>
        <v/>
      </c>
      <c r="AQ1246" s="55">
        <f>IF(AP1246="X",100%,0%)</f>
        <v/>
      </c>
      <c r="AR1246" s="25">
        <f>IF(AND(T1246&gt;0,L1246=""),H1246,"")</f>
        <v/>
      </c>
      <c r="AS1246" s="25">
        <f>IF(AND(D1246&gt;0,H1246=0,G1246=""),1,"")</f>
        <v/>
      </c>
      <c r="AT1246" s="25">
        <f>IF(G1246="BLOQ",1,"")</f>
        <v/>
      </c>
      <c r="AU1246" s="25">
        <f>IF(L1246="BLOQ",1,"")</f>
        <v/>
      </c>
      <c r="AV1246" s="25">
        <f>MONTH(F1246)</f>
        <v/>
      </c>
      <c r="AW1246" s="65">
        <f>IF(AP1246="",100%,0%)</f>
        <v/>
      </c>
      <c r="AX1246" s="56" t="n"/>
      <c r="AY1246" s="24">
        <f>IF(M1246=0,"",M1246-$AX$2)</f>
        <v/>
      </c>
      <c r="AZ1246" s="66">
        <f>IF(AND(W1246="",AY1246&gt;0,AY1246&lt;15),1,0)</f>
        <v/>
      </c>
      <c r="BA1246" s="24">
        <f>IF(AND(W1246="",AY1246&gt;0,AY1246&lt;15),T1246,"")</f>
        <v/>
      </c>
      <c r="BB1246" s="87">
        <f>IF(R1246&lt;Q1246,"X","")</f>
        <v/>
      </c>
      <c r="BC1246" s="190" t="inlineStr">
        <is>
          <t>NO</t>
        </is>
      </c>
      <c r="BD1246" s="191" t="inlineStr">
        <is>
          <t>SI</t>
        </is>
      </c>
    </row>
    <row r="1247" ht="15" customHeight="1" s="162">
      <c r="A1247" s="7" t="n">
        <v>1246</v>
      </c>
      <c r="B1247" t="inlineStr">
        <is>
          <t>1581200080000</t>
        </is>
      </c>
      <c r="C1247" t="inlineStr">
        <is>
          <t>NIVELADOR PIES 30-80MM C/AJUSTE INTERIOR</t>
        </is>
      </c>
      <c r="D1247" t="inlineStr">
        <is>
          <t>1800111385</t>
        </is>
      </c>
      <c r="E1247" t="inlineStr">
        <is>
          <t>10</t>
        </is>
      </c>
      <c r="F1247" s="163" t="n">
        <v>45504</v>
      </c>
      <c r="G1247" t="inlineStr"/>
      <c r="H1247" t="inlineStr">
        <is>
          <t>4200573990</t>
        </is>
      </c>
      <c r="I1247" t="inlineStr">
        <is>
          <t>50</t>
        </is>
      </c>
      <c r="J1247" s="163" t="n">
        <v>45512</v>
      </c>
      <c r="K1247" s="163" t="n">
        <v>45512</v>
      </c>
      <c r="L1247" t="inlineStr"/>
      <c r="M1247" s="163" t="n">
        <v>45538</v>
      </c>
      <c r="N1247" s="164" t="n">
        <v>40</v>
      </c>
      <c r="O1247" s="164" t="n">
        <v>8</v>
      </c>
      <c r="P1247" t="inlineStr">
        <is>
          <t>Liberado</t>
        </is>
      </c>
      <c r="Q1247" s="165" t="n">
        <v>1</v>
      </c>
      <c r="R1247" s="165" t="n">
        <v>1</v>
      </c>
      <c r="S1247" s="165" t="n">
        <v>1</v>
      </c>
      <c r="T1247" s="165" t="n">
        <v>0</v>
      </c>
      <c r="U1247" s="166" t="n">
        <v>1</v>
      </c>
      <c r="V1247" s="166" t="n">
        <v>0</v>
      </c>
      <c r="W1247" t="inlineStr">
        <is>
          <t>X</t>
        </is>
      </c>
      <c r="X1247" t="inlineStr">
        <is>
          <t>0.00</t>
        </is>
      </c>
      <c r="Y1247" t="inlineStr"/>
      <c r="Z1247" t="inlineStr">
        <is>
          <t>RITTAL, S.A</t>
        </is>
      </c>
      <c r="AA1247" t="inlineStr">
        <is>
          <t>RITTAL</t>
        </is>
      </c>
      <c r="AB1247" t="inlineStr">
        <is>
          <t>VX 5301.326</t>
        </is>
      </c>
      <c r="AC1247" t="inlineStr"/>
      <c r="AD1247" s="164" t="n">
        <v>0</v>
      </c>
      <c r="AE1247" s="185" t="n">
        <v>0</v>
      </c>
      <c r="AG1247" s="167" t="inlineStr">
        <is>
          <t>7218|JA2585_1001</t>
        </is>
      </c>
      <c r="AH1247" s="47">
        <f>IF(M1247=0,"-",M1247-J1247)</f>
        <v/>
      </c>
      <c r="AI1247" s="46">
        <f>IF(AND(S1247=0,M1247&gt;0,L1247=0),IF(AH1247&gt;=120,"VERY HIGH",IF(AH1247&gt;=90,"HIGH",IF(AH1247&gt;=60,"MEDIUM",IF(AH1247&lt;60,"LOW")))),"-")</f>
        <v/>
      </c>
      <c r="AJ1247" s="12" t="n"/>
      <c r="AK1247" s="53">
        <f>IF(AND(W1247="X",M1247&lt;=$AJ$2),"YES","")</f>
        <v/>
      </c>
      <c r="AL1247" s="54">
        <f>IF(AND(W1247="X",M1247&lt;=$AJ$2),S1247,"")</f>
        <v/>
      </c>
      <c r="AM1247" s="35" t="n"/>
      <c r="AN1247" s="35">
        <f>IF(AND(W1247="X",M1247&gt;$AJ$2),S1247,"")</f>
        <v/>
      </c>
      <c r="AO1247" s="35">
        <f>IF(AND(W1247="",M1247&gt;0,$AJ$2&gt;M1247,L1247=""),1,0)</f>
        <v/>
      </c>
      <c r="AP1247" s="35">
        <f>IF(AND(AK1247="YES",W1247="X"),"X","")</f>
        <v/>
      </c>
      <c r="AQ1247" s="55">
        <f>IF(AP1247="X",100%,0%)</f>
        <v/>
      </c>
      <c r="AR1247" s="25">
        <f>IF(AND(T1247&gt;0,L1247=""),H1247,"")</f>
        <v/>
      </c>
      <c r="AS1247" s="25">
        <f>IF(AND(D1247&gt;0,H1247=0,G1247=""),1,"")</f>
        <v/>
      </c>
      <c r="AT1247" s="25">
        <f>IF(G1247="BLOQ",1,"")</f>
        <v/>
      </c>
      <c r="AU1247" s="25">
        <f>IF(L1247="BLOQ",1,"")</f>
        <v/>
      </c>
      <c r="AV1247" s="25">
        <f>MONTH(F1247)</f>
        <v/>
      </c>
      <c r="AW1247" s="65">
        <f>IF(AP1247="",100%,0%)</f>
        <v/>
      </c>
      <c r="AX1247" s="56" t="n"/>
      <c r="AY1247" s="24">
        <f>IF(M1247=0,"",M1247-$AX$2)</f>
        <v/>
      </c>
      <c r="AZ1247" s="66">
        <f>IF(AND(W1247="",AY1247&gt;0,AY1247&lt;15),1,0)</f>
        <v/>
      </c>
      <c r="BA1247" s="24">
        <f>IF(AND(W1247="",AY1247&gt;0,AY1247&lt;15),T1247,"")</f>
        <v/>
      </c>
      <c r="BB1247" s="87">
        <f>IF(R1247&lt;Q1247,"X","")</f>
        <v/>
      </c>
      <c r="BC1247" s="191" t="inlineStr">
        <is>
          <t>SI</t>
        </is>
      </c>
      <c r="BD1247" s="191" t="inlineStr">
        <is>
          <t>SI</t>
        </is>
      </c>
    </row>
    <row r="1248" ht="15" customHeight="1" s="162">
      <c r="A1248" s="7" t="n">
        <v>1247</v>
      </c>
      <c r="B1248" t="inlineStr">
        <is>
          <t>1706700040700</t>
        </is>
      </c>
      <c r="C1248" t="inlineStr">
        <is>
          <t>KIT/GUIA MONTAJE P/RACK NAS INSTALACION</t>
        </is>
      </c>
      <c r="D1248" t="inlineStr">
        <is>
          <t>1800111385</t>
        </is>
      </c>
      <c r="E1248" t="inlineStr">
        <is>
          <t>20</t>
        </is>
      </c>
      <c r="F1248" s="163" t="n">
        <v>45504</v>
      </c>
      <c r="G1248" t="inlineStr"/>
      <c r="H1248" t="inlineStr">
        <is>
          <t>4200573989</t>
        </is>
      </c>
      <c r="I1248" t="inlineStr">
        <is>
          <t>30</t>
        </is>
      </c>
      <c r="J1248" s="163" t="n">
        <v>45512</v>
      </c>
      <c r="K1248" s="163" t="n">
        <v>45513</v>
      </c>
      <c r="L1248" t="inlineStr"/>
      <c r="M1248" s="163" t="n">
        <v>45538</v>
      </c>
      <c r="N1248" s="164" t="n">
        <v>30</v>
      </c>
      <c r="O1248" s="164" t="n">
        <v>8</v>
      </c>
      <c r="P1248" t="inlineStr">
        <is>
          <t>Liberado</t>
        </is>
      </c>
      <c r="Q1248" s="166" t="n">
        <v>2</v>
      </c>
      <c r="R1248" s="166" t="n">
        <v>2</v>
      </c>
      <c r="S1248" s="166" t="n">
        <v>2</v>
      </c>
      <c r="T1248" s="166" t="n">
        <v>0</v>
      </c>
      <c r="U1248" s="166" t="n">
        <v>2</v>
      </c>
      <c r="V1248" s="166" t="n">
        <v>0</v>
      </c>
      <c r="W1248" t="inlineStr">
        <is>
          <t>X</t>
        </is>
      </c>
      <c r="X1248" t="inlineStr">
        <is>
          <t>0.00</t>
        </is>
      </c>
      <c r="Y1248" t="inlineStr"/>
      <c r="Z1248" t="inlineStr">
        <is>
          <t>V-VALLEY ADVANCED SOLUTIONS</t>
        </is>
      </c>
      <c r="AA1248" t="inlineStr">
        <is>
          <t>QNAP SYSTEMS, INC</t>
        </is>
      </c>
      <c r="AB1248" t="inlineStr">
        <is>
          <t>RAIL-B02</t>
        </is>
      </c>
      <c r="AC1248" t="inlineStr"/>
      <c r="AD1248" s="164" t="n">
        <v>0</v>
      </c>
      <c r="AE1248" s="185" t="n">
        <v>0</v>
      </c>
      <c r="AG1248" s="167" t="inlineStr">
        <is>
          <t>7218|JA2585_1001</t>
        </is>
      </c>
      <c r="AH1248" s="47">
        <f>IF(M1248=0,"-",M1248-J1248)</f>
        <v/>
      </c>
      <c r="AI1248" s="46">
        <f>IF(AND(S1248=0,M1248&gt;0,L1248=0),IF(AH1248&gt;=120,"VERY HIGH",IF(AH1248&gt;=90,"HIGH",IF(AH1248&gt;=60,"MEDIUM",IF(AH1248&lt;60,"LOW")))),"-")</f>
        <v/>
      </c>
      <c r="AJ1248" s="12" t="n"/>
      <c r="AK1248" s="53">
        <f>IF(AND(W1248="X",M1248&lt;=$AJ$2),"YES","")</f>
        <v/>
      </c>
      <c r="AL1248" s="54">
        <f>IF(AND(W1248="X",M1248&lt;=$AJ$2),S1248,"")</f>
        <v/>
      </c>
      <c r="AM1248" s="35" t="n"/>
      <c r="AN1248" s="35">
        <f>IF(AND(W1248="X",M1248&gt;$AJ$2),S1248,"")</f>
        <v/>
      </c>
      <c r="AO1248" s="35">
        <f>IF(AND(W1248="",M1248&gt;0,$AJ$2&gt;M1248,L1248=""),1,0)</f>
        <v/>
      </c>
      <c r="AP1248" s="35">
        <f>IF(AND(AK1248="YES",W1248="X"),"X","")</f>
        <v/>
      </c>
      <c r="AQ1248" s="55">
        <f>IF(AP1248="X",100%,0%)</f>
        <v/>
      </c>
      <c r="AR1248" s="25">
        <f>IF(AND(T1248&gt;0,L1248=""),H1248,"")</f>
        <v/>
      </c>
      <c r="AS1248" s="25">
        <f>IF(AND(D1248&gt;0,H1248=0,G1248=""),1,"")</f>
        <v/>
      </c>
      <c r="AT1248" s="25">
        <f>IF(G1248="BLOQ",1,"")</f>
        <v/>
      </c>
      <c r="AU1248" s="25">
        <f>IF(L1248="BLOQ",1,"")</f>
        <v/>
      </c>
      <c r="AV1248" s="25">
        <f>MONTH(F1248)</f>
        <v/>
      </c>
      <c r="AW1248" s="65">
        <f>IF(AP1248="",100%,0%)</f>
        <v/>
      </c>
      <c r="AX1248" s="56" t="n"/>
      <c r="AY1248" s="24">
        <f>IF(M1248=0,"",M1248-$AX$2)</f>
        <v/>
      </c>
      <c r="AZ1248" s="66">
        <f>IF(AND(W1248="",AY1248&gt;0,AY1248&lt;15),1,0)</f>
        <v/>
      </c>
      <c r="BA1248" s="24">
        <f>IF(AND(W1248="",AY1248&gt;0,AY1248&lt;15),T1248,"")</f>
        <v/>
      </c>
      <c r="BB1248" s="87">
        <f>IF(R1248&lt;Q1248,"X","")</f>
        <v/>
      </c>
      <c r="BC1248" s="190" t="inlineStr">
        <is>
          <t>NO</t>
        </is>
      </c>
      <c r="BD1248" s="191" t="inlineStr">
        <is>
          <t>SI</t>
        </is>
      </c>
    </row>
    <row r="1249" ht="15" customHeight="1" s="162">
      <c r="A1249" s="7" t="n">
        <v>1248</v>
      </c>
      <c r="B1249" t="inlineStr">
        <is>
          <t>1709904970600</t>
        </is>
      </c>
      <c r="C1249" t="inlineStr">
        <is>
          <t>MOD C/RUEDAS P/800MM VX IT</t>
        </is>
      </c>
      <c r="D1249" t="inlineStr">
        <is>
          <t>1800111385</t>
        </is>
      </c>
      <c r="E1249" t="inlineStr">
        <is>
          <t>30</t>
        </is>
      </c>
      <c r="F1249" s="163" t="n">
        <v>45504</v>
      </c>
      <c r="G1249" t="inlineStr"/>
      <c r="H1249" t="inlineStr">
        <is>
          <t>4200573990</t>
        </is>
      </c>
      <c r="I1249" t="inlineStr">
        <is>
          <t>60</t>
        </is>
      </c>
      <c r="J1249" s="163" t="n">
        <v>45512</v>
      </c>
      <c r="K1249" s="163" t="n">
        <v>45512</v>
      </c>
      <c r="L1249" t="inlineStr"/>
      <c r="M1249" s="163" t="n">
        <v>45538</v>
      </c>
      <c r="N1249" s="164" t="n">
        <v>75</v>
      </c>
      <c r="O1249" s="164" t="n">
        <v>8</v>
      </c>
      <c r="P1249" t="inlineStr">
        <is>
          <t>Liberado</t>
        </is>
      </c>
      <c r="Q1249" s="165" t="n">
        <v>1</v>
      </c>
      <c r="R1249" s="165" t="n">
        <v>1</v>
      </c>
      <c r="S1249" s="165" t="n">
        <v>1</v>
      </c>
      <c r="T1249" s="165" t="n">
        <v>0</v>
      </c>
      <c r="U1249" s="166" t="n">
        <v>1</v>
      </c>
      <c r="V1249" s="166" t="n">
        <v>0</v>
      </c>
      <c r="W1249" t="inlineStr">
        <is>
          <t>X</t>
        </is>
      </c>
      <c r="X1249" t="inlineStr">
        <is>
          <t>0.00</t>
        </is>
      </c>
      <c r="Y1249" t="inlineStr"/>
      <c r="Z1249" t="inlineStr">
        <is>
          <t>RITTAL, S.A</t>
        </is>
      </c>
      <c r="AA1249" t="inlineStr">
        <is>
          <t>RITTAL</t>
        </is>
      </c>
      <c r="AB1249" t="inlineStr">
        <is>
          <t>5301.518</t>
        </is>
      </c>
      <c r="AC1249" t="inlineStr"/>
      <c r="AD1249" s="164" t="n">
        <v>0</v>
      </c>
      <c r="AE1249" s="185" t="n">
        <v>0</v>
      </c>
      <c r="AG1249" s="167" t="inlineStr">
        <is>
          <t>7218|JA2585_1001</t>
        </is>
      </c>
      <c r="AH1249" s="47">
        <f>IF(M1249=0,"-",M1249-J1249)</f>
        <v/>
      </c>
      <c r="AI1249" s="46">
        <f>IF(AND(S1249=0,M1249&gt;0,L1249=0),IF(AH1249&gt;=120,"VERY HIGH",IF(AH1249&gt;=90,"HIGH",IF(AH1249&gt;=60,"MEDIUM",IF(AH1249&lt;60,"LOW")))),"-")</f>
        <v/>
      </c>
      <c r="AJ1249" s="12" t="n"/>
      <c r="AK1249" s="53">
        <f>IF(AND(W1249="X",M1249&lt;=$AJ$2),"YES","")</f>
        <v/>
      </c>
      <c r="AL1249" s="54">
        <f>IF(AND(W1249="X",M1249&lt;=$AJ$2),S1249,"")</f>
        <v/>
      </c>
      <c r="AM1249" s="35" t="n"/>
      <c r="AN1249" s="35">
        <f>IF(AND(W1249="X",M1249&gt;$AJ$2),S1249,"")</f>
        <v/>
      </c>
      <c r="AO1249" s="35">
        <f>IF(AND(W1249="",M1249&gt;0,$AJ$2&gt;M1249,L1249=""),1,0)</f>
        <v/>
      </c>
      <c r="AP1249" s="35">
        <f>IF(AND(AK1249="YES",W1249="X"),"X","")</f>
        <v/>
      </c>
      <c r="AQ1249" s="55">
        <f>IF(AP1249="X",100%,0%)</f>
        <v/>
      </c>
      <c r="AR1249" s="25">
        <f>IF(AND(T1249&gt;0,L1249=""),H1249,"")</f>
        <v/>
      </c>
      <c r="AS1249" s="25">
        <f>IF(AND(D1249&gt;0,H1249=0,G1249=""),1,"")</f>
        <v/>
      </c>
      <c r="AT1249" s="25">
        <f>IF(G1249="BLOQ",1,"")</f>
        <v/>
      </c>
      <c r="AU1249" s="25">
        <f>IF(L1249="BLOQ",1,"")</f>
        <v/>
      </c>
      <c r="AV1249" s="25">
        <f>MONTH(F1249)</f>
        <v/>
      </c>
      <c r="AW1249" s="65">
        <f>IF(AP1249="",100%,0%)</f>
        <v/>
      </c>
      <c r="AX1249" s="56" t="n"/>
      <c r="AY1249" s="24">
        <f>IF(M1249=0,"",M1249-$AX$2)</f>
        <v/>
      </c>
      <c r="AZ1249" s="66">
        <f>IF(AND(W1249="",AY1249&gt;0,AY1249&lt;15),1,0)</f>
        <v/>
      </c>
      <c r="BA1249" s="24">
        <f>IF(AND(W1249="",AY1249&gt;0,AY1249&lt;15),T1249,"")</f>
        <v/>
      </c>
      <c r="BB1249" s="87">
        <f>IF(R1249&lt;Q1249,"X","")</f>
        <v/>
      </c>
      <c r="BC1249" s="191" t="inlineStr">
        <is>
          <t>SI</t>
        </is>
      </c>
      <c r="BD1249" s="191" t="inlineStr">
        <is>
          <t>SI</t>
        </is>
      </c>
    </row>
    <row r="1250" ht="15" customHeight="1" s="162">
      <c r="A1250" s="7" t="n">
        <v>1249</v>
      </c>
      <c r="B1250" t="inlineStr">
        <is>
          <t>3030700470000</t>
        </is>
      </c>
      <c r="C1250" t="inlineStr">
        <is>
          <t>PROCESADOR INTEL XEON D-1622 3.2GHZ 32GB</t>
        </is>
      </c>
      <c r="D1250" t="inlineStr">
        <is>
          <t>1800111385</t>
        </is>
      </c>
      <c r="E1250" t="inlineStr">
        <is>
          <t>40</t>
        </is>
      </c>
      <c r="F1250" s="163" t="n">
        <v>45504</v>
      </c>
      <c r="G1250" t="inlineStr"/>
      <c r="H1250" t="inlineStr">
        <is>
          <t>4200575187</t>
        </is>
      </c>
      <c r="I1250" t="inlineStr">
        <is>
          <t>20</t>
        </is>
      </c>
      <c r="J1250" s="163" t="n">
        <v>45530</v>
      </c>
      <c r="K1250" s="163" t="n">
        <v>45530</v>
      </c>
      <c r="L1250" t="inlineStr"/>
      <c r="M1250" s="163" t="n">
        <v>45576</v>
      </c>
      <c r="N1250" s="164" t="n">
        <v>40</v>
      </c>
      <c r="O1250" s="164" t="n">
        <v>8</v>
      </c>
      <c r="P1250" t="inlineStr">
        <is>
          <t>Liberado</t>
        </is>
      </c>
      <c r="Q1250" s="166" t="n">
        <v>2</v>
      </c>
      <c r="R1250" s="166" t="n">
        <v>2</v>
      </c>
      <c r="S1250" s="166" t="n">
        <v>2</v>
      </c>
      <c r="T1250" s="166" t="n">
        <v>0</v>
      </c>
      <c r="U1250" s="166" t="n">
        <v>2</v>
      </c>
      <c r="V1250" s="166" t="n">
        <v>0</v>
      </c>
      <c r="W1250" t="inlineStr">
        <is>
          <t>X</t>
        </is>
      </c>
      <c r="X1250" t="inlineStr">
        <is>
          <t>0.00</t>
        </is>
      </c>
      <c r="Y1250" t="inlineStr"/>
      <c r="Z1250" t="inlineStr">
        <is>
          <t>TD SYNNEX SPAIN, S.L.U.</t>
        </is>
      </c>
      <c r="AA1250" t="inlineStr">
        <is>
          <t>QNAP SYSTEMS, INC</t>
        </is>
      </c>
      <c r="AB1250" t="inlineStr">
        <is>
          <t>TS-H1886XU-RP-R2-D1622-32G</t>
        </is>
      </c>
      <c r="AC1250" t="inlineStr"/>
      <c r="AD1250" s="164" t="n">
        <v>1</v>
      </c>
      <c r="AE1250" s="185" t="n">
        <v>1</v>
      </c>
      <c r="AG1250" s="167" t="inlineStr">
        <is>
          <t>7218|JA2585_1001</t>
        </is>
      </c>
      <c r="AH1250" s="47">
        <f>IF(M1250=0,"-",M1250-J1250)</f>
        <v/>
      </c>
      <c r="AI1250" s="46">
        <f>IF(AND(S1250=0,M1250&gt;0,L1250=0),IF(AH1250&gt;=120,"VERY HIGH",IF(AH1250&gt;=90,"HIGH",IF(AH1250&gt;=60,"MEDIUM",IF(AH1250&lt;60,"LOW")))),"-")</f>
        <v/>
      </c>
      <c r="AJ1250" s="12" t="n"/>
      <c r="AK1250" s="53">
        <f>IF(AND(W1250="X",M1250&lt;=$AJ$2),"YES","")</f>
        <v/>
      </c>
      <c r="AL1250" s="54">
        <f>IF(AND(W1250="X",M1250&lt;=$AJ$2),S1250,"")</f>
        <v/>
      </c>
      <c r="AM1250" s="35" t="n"/>
      <c r="AN1250" s="35">
        <f>IF(AND(W1250="X",M1250&gt;$AJ$2),S1250,"")</f>
        <v/>
      </c>
      <c r="AO1250" s="35">
        <f>IF(AND(W1250="",M1250&gt;0,$AJ$2&gt;M1250,L1250=""),1,0)</f>
        <v/>
      </c>
      <c r="AP1250" s="35">
        <f>IF(AND(AK1250="YES",W1250="X"),"X","")</f>
        <v/>
      </c>
      <c r="AQ1250" s="55">
        <f>IF(AP1250="X",100%,0%)</f>
        <v/>
      </c>
      <c r="AR1250" s="25">
        <f>IF(AND(T1250&gt;0,L1250=""),H1250,"")</f>
        <v/>
      </c>
      <c r="AS1250" s="25">
        <f>IF(AND(D1250&gt;0,H1250=0,G1250=""),1,"")</f>
        <v/>
      </c>
      <c r="AT1250" s="25">
        <f>IF(G1250="BLOQ",1,"")</f>
        <v/>
      </c>
      <c r="AU1250" s="25">
        <f>IF(L1250="BLOQ",1,"")</f>
        <v/>
      </c>
      <c r="AV1250" s="25">
        <f>MONTH(F1250)</f>
        <v/>
      </c>
      <c r="AW1250" s="65">
        <f>IF(AP1250="",100%,0%)</f>
        <v/>
      </c>
      <c r="AX1250" s="56" t="n"/>
      <c r="AY1250" s="24">
        <f>IF(M1250=0,"",M1250-$AX$2)</f>
        <v/>
      </c>
      <c r="AZ1250" s="66">
        <f>IF(AND(W1250="",AY1250&gt;0,AY1250&lt;15),1,0)</f>
        <v/>
      </c>
      <c r="BA1250" s="24">
        <f>IF(AND(W1250="",AY1250&gt;0,AY1250&lt;15),T1250,"")</f>
        <v/>
      </c>
      <c r="BB1250" s="87">
        <f>IF(R1250&lt;Q1250,"X","")</f>
        <v/>
      </c>
      <c r="BC1250" s="191" t="inlineStr">
        <is>
          <t>SI</t>
        </is>
      </c>
      <c r="BD1250" s="191" t="inlineStr">
        <is>
          <t>SI</t>
        </is>
      </c>
    </row>
    <row r="1251" ht="15" customHeight="1" s="162">
      <c r="A1251" s="7" t="n">
        <v>1250</v>
      </c>
      <c r="B1251" t="inlineStr">
        <is>
          <t>3060301930600</t>
        </is>
      </c>
      <c r="C1251" t="inlineStr">
        <is>
          <t>DISCO DURO SSD 2TB SATA3 2.5" 870QVO NEG</t>
        </is>
      </c>
      <c r="D1251" t="inlineStr">
        <is>
          <t>1800111385</t>
        </is>
      </c>
      <c r="E1251" t="inlineStr">
        <is>
          <t>50</t>
        </is>
      </c>
      <c r="F1251" s="163" t="n">
        <v>45504</v>
      </c>
      <c r="G1251" t="inlineStr"/>
      <c r="H1251" t="inlineStr">
        <is>
          <t>4200574133</t>
        </is>
      </c>
      <c r="I1251" t="inlineStr">
        <is>
          <t>10</t>
        </is>
      </c>
      <c r="J1251" s="163" t="n">
        <v>45513</v>
      </c>
      <c r="K1251" s="163" t="n">
        <v>45513</v>
      </c>
      <c r="L1251" t="inlineStr"/>
      <c r="M1251" s="163" t="n">
        <v>45534</v>
      </c>
      <c r="N1251" s="164" t="n">
        <v>40</v>
      </c>
      <c r="O1251" s="164" t="n">
        <v>8</v>
      </c>
      <c r="P1251" t="inlineStr">
        <is>
          <t>Liberado</t>
        </is>
      </c>
      <c r="Q1251" s="165" t="n">
        <v>24</v>
      </c>
      <c r="R1251" s="165" t="n">
        <v>24</v>
      </c>
      <c r="S1251" s="165" t="n">
        <v>24</v>
      </c>
      <c r="T1251" s="165" t="n">
        <v>0</v>
      </c>
      <c r="U1251" s="166" t="n">
        <v>24</v>
      </c>
      <c r="V1251" s="166" t="n">
        <v>0</v>
      </c>
      <c r="W1251" t="inlineStr">
        <is>
          <t>X</t>
        </is>
      </c>
      <c r="X1251" t="inlineStr">
        <is>
          <t>0.00</t>
        </is>
      </c>
      <c r="Y1251" t="inlineStr"/>
      <c r="Z1251" t="inlineStr">
        <is>
          <t>INFORMATICA CALCULO Y TECNICA, S.A.</t>
        </is>
      </c>
      <c r="AA1251" t="inlineStr">
        <is>
          <t>SAMSUNG</t>
        </is>
      </c>
      <c r="AB1251" t="inlineStr">
        <is>
          <t>MZ-77Q2T0BW</t>
        </is>
      </c>
      <c r="AC1251" t="inlineStr"/>
      <c r="AD1251" s="164" t="n">
        <v>1</v>
      </c>
      <c r="AE1251" s="185" t="n">
        <v>1</v>
      </c>
      <c r="AG1251" s="167" t="inlineStr">
        <is>
          <t>7218|JA2585_1001</t>
        </is>
      </c>
      <c r="AH1251" s="47">
        <f>IF(M1251=0,"-",M1251-J1251)</f>
        <v/>
      </c>
      <c r="AI1251" s="46">
        <f>IF(AND(S1251=0,M1251&gt;0,L1251=0),IF(AH1251&gt;=120,"VERY HIGH",IF(AH1251&gt;=90,"HIGH",IF(AH1251&gt;=60,"MEDIUM",IF(AH1251&lt;60,"LOW")))),"-")</f>
        <v/>
      </c>
      <c r="AJ1251" s="12" t="n"/>
      <c r="AK1251" s="53">
        <f>IF(AND(W1251="X",M1251&lt;=$AJ$2),"YES","")</f>
        <v/>
      </c>
      <c r="AL1251" s="54">
        <f>IF(AND(W1251="X",M1251&lt;=$AJ$2),S1251,"")</f>
        <v/>
      </c>
      <c r="AM1251" s="35" t="n"/>
      <c r="AN1251" s="35">
        <f>IF(AND(W1251="X",M1251&gt;$AJ$2),S1251,"")</f>
        <v/>
      </c>
      <c r="AO1251" s="35">
        <f>IF(AND(W1251="",M1251&gt;0,$AJ$2&gt;M1251,L1251=""),1,0)</f>
        <v/>
      </c>
      <c r="AP1251" s="35">
        <f>IF(AND(AK1251="YES",W1251="X"),"X","")</f>
        <v/>
      </c>
      <c r="AQ1251" s="55">
        <f>IF(AP1251="X",100%,0%)</f>
        <v/>
      </c>
      <c r="AR1251" s="25">
        <f>IF(AND(T1251&gt;0,L1251=""),H1251,"")</f>
        <v/>
      </c>
      <c r="AS1251" s="25">
        <f>IF(AND(D1251&gt;0,H1251=0,G1251=""),1,"")</f>
        <v/>
      </c>
      <c r="AT1251" s="25">
        <f>IF(G1251="BLOQ",1,"")</f>
        <v/>
      </c>
      <c r="AU1251" s="25">
        <f>IF(L1251="BLOQ",1,"")</f>
        <v/>
      </c>
      <c r="AV1251" s="25">
        <f>MONTH(F1251)</f>
        <v/>
      </c>
      <c r="AW1251" s="65">
        <f>IF(AP1251="",100%,0%)</f>
        <v/>
      </c>
      <c r="AX1251" s="56" t="n"/>
      <c r="AY1251" s="24">
        <f>IF(M1251=0,"",M1251-$AX$2)</f>
        <v/>
      </c>
      <c r="AZ1251" s="66">
        <f>IF(AND(W1251="",AY1251&gt;0,AY1251&lt;15),1,0)</f>
        <v/>
      </c>
      <c r="BA1251" s="24">
        <f>IF(AND(W1251="",AY1251&gt;0,AY1251&lt;15),T1251,"")</f>
        <v/>
      </c>
      <c r="BB1251" s="87">
        <f>IF(R1251&lt;Q1251,"X","")</f>
        <v/>
      </c>
      <c r="BC1251" s="191" t="inlineStr">
        <is>
          <t>SI</t>
        </is>
      </c>
      <c r="BD1251" s="191" t="inlineStr">
        <is>
          <t>SI</t>
        </is>
      </c>
    </row>
    <row r="1252" ht="15" customHeight="1" s="162">
      <c r="A1252" s="7" t="n">
        <v>1251</v>
      </c>
      <c r="B1252" t="inlineStr">
        <is>
          <t>3170408510000</t>
        </is>
      </c>
      <c r="C1252" t="inlineStr">
        <is>
          <t>MOD ETH I350-T4 4P 10/100/1000MBPS 1GB N</t>
        </is>
      </c>
      <c r="D1252" t="inlineStr">
        <is>
          <t>1800111385</t>
        </is>
      </c>
      <c r="E1252" t="inlineStr">
        <is>
          <t>60</t>
        </is>
      </c>
      <c r="F1252" s="163" t="n">
        <v>45504</v>
      </c>
      <c r="G1252" t="inlineStr"/>
      <c r="H1252" t="inlineStr">
        <is>
          <t>4200575061</t>
        </is>
      </c>
      <c r="I1252" t="inlineStr">
        <is>
          <t>10</t>
        </is>
      </c>
      <c r="J1252" s="163" t="n">
        <v>45526</v>
      </c>
      <c r="K1252" s="163" t="n">
        <v>45526</v>
      </c>
      <c r="L1252" t="inlineStr"/>
      <c r="M1252" s="163" t="n">
        <v>45538</v>
      </c>
      <c r="N1252" s="164" t="n">
        <v>40</v>
      </c>
      <c r="O1252" s="164" t="n">
        <v>8</v>
      </c>
      <c r="P1252" t="inlineStr">
        <is>
          <t>Liberado</t>
        </is>
      </c>
      <c r="Q1252" s="165" t="n">
        <v>14</v>
      </c>
      <c r="R1252" s="165" t="n">
        <v>14</v>
      </c>
      <c r="S1252" s="165" t="n">
        <v>14</v>
      </c>
      <c r="T1252" s="165" t="n">
        <v>0</v>
      </c>
      <c r="U1252" s="166" t="n">
        <v>0</v>
      </c>
      <c r="V1252" s="166" t="n">
        <v>0</v>
      </c>
      <c r="W1252" t="inlineStr">
        <is>
          <t>X</t>
        </is>
      </c>
      <c r="X1252" t="inlineStr">
        <is>
          <t>0.00</t>
        </is>
      </c>
      <c r="Y1252" t="inlineStr"/>
      <c r="Z1252" t="inlineStr">
        <is>
          <t>HP PRINTING AND COMPUTING SOLUTIONS</t>
        </is>
      </c>
      <c r="AA1252" t="inlineStr">
        <is>
          <t>HEWLETT PACKARD</t>
        </is>
      </c>
      <c r="AB1252" t="inlineStr">
        <is>
          <t>W8X25AA</t>
        </is>
      </c>
      <c r="AC1252" t="inlineStr"/>
      <c r="AD1252" s="164" t="n">
        <v>0</v>
      </c>
      <c r="AE1252" s="185" t="n">
        <v>0</v>
      </c>
      <c r="AG1252" s="167" t="inlineStr">
        <is>
          <t>7218|JA2585_1001</t>
        </is>
      </c>
      <c r="AH1252" s="47">
        <f>IF(M1252=0,"-",M1252-J1252)</f>
        <v/>
      </c>
      <c r="AI1252" s="46">
        <f>IF(AND(S1252=0,M1252&gt;0,L1252=0),IF(AH1252&gt;=120,"VERY HIGH",IF(AH1252&gt;=90,"HIGH",IF(AH1252&gt;=60,"MEDIUM",IF(AH1252&lt;60,"LOW")))),"-")</f>
        <v/>
      </c>
      <c r="AJ1252" s="12" t="n"/>
      <c r="AK1252" s="53">
        <f>IF(AND(W1252="X",M1252&lt;=$AJ$2),"YES","")</f>
        <v/>
      </c>
      <c r="AL1252" s="54">
        <f>IF(AND(W1252="X",M1252&lt;=$AJ$2),S1252,"")</f>
        <v/>
      </c>
      <c r="AM1252" s="35" t="n"/>
      <c r="AN1252" s="35">
        <f>IF(AND(W1252="X",M1252&gt;$AJ$2),S1252,"")</f>
        <v/>
      </c>
      <c r="AO1252" s="35">
        <f>IF(AND(W1252="",M1252&gt;0,$AJ$2&gt;M1252,L1252=""),1,0)</f>
        <v/>
      </c>
      <c r="AP1252" s="35">
        <f>IF(AND(AK1252="YES",W1252="X"),"X","")</f>
        <v/>
      </c>
      <c r="AQ1252" s="55">
        <f>IF(AP1252="X",100%,0%)</f>
        <v/>
      </c>
      <c r="AR1252" s="25">
        <f>IF(AND(T1252&gt;0,L1252=""),H1252,"")</f>
        <v/>
      </c>
      <c r="AS1252" s="25">
        <f>IF(AND(D1252&gt;0,H1252=0,G1252=""),1,"")</f>
        <v/>
      </c>
      <c r="AT1252" s="25">
        <f>IF(G1252="BLOQ",1,"")</f>
        <v/>
      </c>
      <c r="AU1252" s="25">
        <f>IF(L1252="BLOQ",1,"")</f>
        <v/>
      </c>
      <c r="AV1252" s="25">
        <f>MONTH(F1252)</f>
        <v/>
      </c>
      <c r="AW1252" s="65">
        <f>IF(AP1252="",100%,0%)</f>
        <v/>
      </c>
      <c r="AX1252" s="56" t="n"/>
      <c r="AY1252" s="24">
        <f>IF(M1252=0,"",M1252-$AX$2)</f>
        <v/>
      </c>
      <c r="AZ1252" s="66">
        <f>IF(AND(W1252="",AY1252&gt;0,AY1252&lt;15),1,0)</f>
        <v/>
      </c>
      <c r="BA1252" s="24">
        <f>IF(AND(W1252="",AY1252&gt;0,AY1252&lt;15),T1252,"")</f>
        <v/>
      </c>
      <c r="BB1252" s="87">
        <f>IF(R1252&lt;Q1252,"X","")</f>
        <v/>
      </c>
      <c r="BC1252" s="191" t="inlineStr">
        <is>
          <t>SI</t>
        </is>
      </c>
      <c r="BD1252" s="191" t="inlineStr">
        <is>
          <t>SI</t>
        </is>
      </c>
    </row>
    <row r="1253" ht="15" customHeight="1" s="162">
      <c r="A1253" s="7" t="n">
        <v>1252</v>
      </c>
      <c r="B1253" t="inlineStr">
        <is>
          <t>3170101514700</t>
        </is>
      </c>
      <c r="C1253" t="inlineStr">
        <is>
          <t>SWICHT 28 PORT 10-GB PRO 4 SFP+</t>
        </is>
      </c>
      <c r="D1253" t="inlineStr">
        <is>
          <t>1800111813</t>
        </is>
      </c>
      <c r="E1253" t="inlineStr">
        <is>
          <t>10</t>
        </is>
      </c>
      <c r="F1253" s="163" t="n">
        <v>45517</v>
      </c>
      <c r="G1253" t="inlineStr"/>
      <c r="H1253" t="inlineStr">
        <is>
          <t>4200575920</t>
        </is>
      </c>
      <c r="I1253" t="inlineStr">
        <is>
          <t>10</t>
        </is>
      </c>
      <c r="J1253" s="163" t="n">
        <v>45538</v>
      </c>
      <c r="K1253" s="163" t="n">
        <v>45575</v>
      </c>
      <c r="L1253" t="inlineStr"/>
      <c r="M1253" s="163" t="n">
        <v>45596</v>
      </c>
      <c r="N1253" s="164" t="n">
        <v>50</v>
      </c>
      <c r="O1253" s="164" t="n">
        <v>8</v>
      </c>
      <c r="P1253" t="inlineStr">
        <is>
          <t>Liberado</t>
        </is>
      </c>
      <c r="Q1253" s="165" t="n">
        <v>1</v>
      </c>
      <c r="R1253" s="165" t="n">
        <v>1</v>
      </c>
      <c r="S1253" s="165" t="n">
        <v>1</v>
      </c>
      <c r="T1253" s="165" t="n">
        <v>0</v>
      </c>
      <c r="U1253" s="166" t="n">
        <v>1</v>
      </c>
      <c r="V1253" s="166" t="n">
        <v>0</v>
      </c>
      <c r="W1253" t="inlineStr">
        <is>
          <t>X</t>
        </is>
      </c>
      <c r="X1253" t="inlineStr">
        <is>
          <t>0.00</t>
        </is>
      </c>
      <c r="Y1253" t="inlineStr"/>
      <c r="Z1253" t="inlineStr">
        <is>
          <t>ESPRINET IBERICA, S.L.U.</t>
        </is>
      </c>
      <c r="AA1253" t="inlineStr">
        <is>
          <t>NETGEAR</t>
        </is>
      </c>
      <c r="AB1253" t="inlineStr">
        <is>
          <t>XS728T-100NES</t>
        </is>
      </c>
      <c r="AC1253" t="inlineStr"/>
      <c r="AD1253" s="164" t="n">
        <v>1</v>
      </c>
      <c r="AE1253" s="185" t="n">
        <v>1</v>
      </c>
      <c r="AG1253" s="167" t="inlineStr">
        <is>
          <t>7218|JA2585_1001</t>
        </is>
      </c>
      <c r="AH1253" s="47">
        <f>IF(M1253=0,"-",M1253-J1253)</f>
        <v/>
      </c>
      <c r="AI1253" s="46">
        <f>IF(AND(S1253=0,M1253&gt;0,L1253=0),IF(AH1253&gt;=120,"VERY HIGH",IF(AH1253&gt;=90,"HIGH",IF(AH1253&gt;=60,"MEDIUM",IF(AH1253&lt;60,"LOW")))),"-")</f>
        <v/>
      </c>
      <c r="AJ1253" s="12" t="n"/>
      <c r="AK1253" s="53">
        <f>IF(AND(W1253="X",M1253&lt;=$AJ$2),"YES","")</f>
        <v/>
      </c>
      <c r="AL1253" s="54">
        <f>IF(AND(W1253="X",M1253&lt;=$AJ$2),S1253,"")</f>
        <v/>
      </c>
      <c r="AM1253" s="35" t="n"/>
      <c r="AN1253" s="35">
        <f>IF(AND(W1253="X",M1253&gt;$AJ$2),S1253,"")</f>
        <v/>
      </c>
      <c r="AO1253" s="35">
        <f>IF(AND(W1253="",M1253&gt;0,$AJ$2&gt;M1253,L1253=""),1,0)</f>
        <v/>
      </c>
      <c r="AP1253" s="35">
        <f>IF(AND(AK1253="YES",W1253="X"),"X","")</f>
        <v/>
      </c>
      <c r="AQ1253" s="55">
        <f>IF(AP1253="X",100%,0%)</f>
        <v/>
      </c>
      <c r="AR1253" s="25">
        <f>IF(AND(T1253&gt;0,L1253=""),H1253,"")</f>
        <v/>
      </c>
      <c r="AS1253" s="25">
        <f>IF(AND(D1253&gt;0,H1253=0,G1253=""),1,"")</f>
        <v/>
      </c>
      <c r="AT1253" s="25">
        <f>IF(G1253="BLOQ",1,"")</f>
        <v/>
      </c>
      <c r="AU1253" s="25">
        <f>IF(L1253="BLOQ",1,"")</f>
        <v/>
      </c>
      <c r="AV1253" s="25">
        <f>MONTH(F1253)</f>
        <v/>
      </c>
      <c r="AW1253" s="65">
        <f>IF(AP1253="",100%,0%)</f>
        <v/>
      </c>
      <c r="AX1253" s="56" t="n"/>
      <c r="AY1253" s="24">
        <f>IF(M1253=0,"",M1253-$AX$2)</f>
        <v/>
      </c>
      <c r="AZ1253" s="66">
        <f>IF(AND(W1253="",AY1253&gt;0,AY1253&lt;15),1,0)</f>
        <v/>
      </c>
      <c r="BA1253" s="24">
        <f>IF(AND(W1253="",AY1253&gt;0,AY1253&lt;15),T1253,"")</f>
        <v/>
      </c>
      <c r="BB1253" s="87">
        <f>IF(R1253&lt;Q1253,"X","")</f>
        <v/>
      </c>
      <c r="BC1253" s="191" t="inlineStr">
        <is>
          <t>SI</t>
        </is>
      </c>
      <c r="BD1253" s="191" t="inlineStr">
        <is>
          <t>SI</t>
        </is>
      </c>
    </row>
    <row r="1254" ht="15" customHeight="1" s="162">
      <c r="A1254" s="7" t="n">
        <v>1253</v>
      </c>
      <c r="B1254" t="inlineStr">
        <is>
          <t>3170102910900</t>
        </is>
      </c>
      <c r="C1254" t="inlineStr">
        <is>
          <t>SWITCH 24 PORT 10X100X1000BASE-T SFP+</t>
        </is>
      </c>
      <c r="D1254" t="inlineStr">
        <is>
          <t>1800111813</t>
        </is>
      </c>
      <c r="E1254" t="inlineStr">
        <is>
          <t>20</t>
        </is>
      </c>
      <c r="F1254" s="163" t="n">
        <v>45517</v>
      </c>
      <c r="G1254" t="inlineStr"/>
      <c r="H1254" t="inlineStr">
        <is>
          <t>4200575920</t>
        </is>
      </c>
      <c r="I1254" t="inlineStr">
        <is>
          <t>20</t>
        </is>
      </c>
      <c r="J1254" s="163" t="n">
        <v>45538</v>
      </c>
      <c r="K1254" s="163" t="n">
        <v>45575</v>
      </c>
      <c r="L1254" t="inlineStr"/>
      <c r="M1254" s="163" t="n">
        <v>45596</v>
      </c>
      <c r="N1254" s="164" t="n">
        <v>45</v>
      </c>
      <c r="O1254" s="164" t="n">
        <v>8</v>
      </c>
      <c r="P1254" t="inlineStr">
        <is>
          <t>Liberado</t>
        </is>
      </c>
      <c r="Q1254" s="165" t="n">
        <v>4</v>
      </c>
      <c r="R1254" s="165" t="n">
        <v>4</v>
      </c>
      <c r="S1254" s="165" t="n">
        <v>4</v>
      </c>
      <c r="T1254" s="165" t="n">
        <v>0</v>
      </c>
      <c r="U1254" s="166" t="n">
        <v>4</v>
      </c>
      <c r="V1254" s="166" t="n">
        <v>0</v>
      </c>
      <c r="W1254" t="inlineStr">
        <is>
          <t>X</t>
        </is>
      </c>
      <c r="X1254" t="inlineStr">
        <is>
          <t>0.00</t>
        </is>
      </c>
      <c r="Y1254" t="inlineStr"/>
      <c r="Z1254" t="inlineStr">
        <is>
          <t>ESPRINET IBERICA, S.L.U.</t>
        </is>
      </c>
      <c r="AA1254" t="inlineStr">
        <is>
          <t>NETGEAR</t>
        </is>
      </c>
      <c r="AB1254" t="inlineStr">
        <is>
          <t>GSM4328S-100NES</t>
        </is>
      </c>
      <c r="AC1254" t="inlineStr"/>
      <c r="AD1254" s="164" t="n">
        <v>1</v>
      </c>
      <c r="AE1254" s="185" t="n">
        <v>1</v>
      </c>
      <c r="AG1254" s="167" t="inlineStr">
        <is>
          <t>7218|JA2585_1001</t>
        </is>
      </c>
      <c r="AH1254" s="47">
        <f>IF(M1254=0,"-",M1254-J1254)</f>
        <v/>
      </c>
      <c r="AI1254" s="46">
        <f>IF(AND(S1254=0,M1254&gt;0,L1254=0),IF(AH1254&gt;=120,"VERY HIGH",IF(AH1254&gt;=90,"HIGH",IF(AH1254&gt;=60,"MEDIUM",IF(AH1254&lt;60,"LOW")))),"-")</f>
        <v/>
      </c>
      <c r="AJ1254" s="12" t="n"/>
      <c r="AK1254" s="53">
        <f>IF(AND(W1254="X",M1254&lt;=$AJ$2),"YES","")</f>
        <v/>
      </c>
      <c r="AL1254" s="54">
        <f>IF(AND(W1254="X",M1254&lt;=$AJ$2),S1254,"")</f>
        <v/>
      </c>
      <c r="AM1254" s="35" t="n"/>
      <c r="AN1254" s="35">
        <f>IF(AND(W1254="X",M1254&gt;$AJ$2),S1254,"")</f>
        <v/>
      </c>
      <c r="AO1254" s="35">
        <f>IF(AND(W1254="",M1254&gt;0,$AJ$2&gt;M1254,L1254=""),1,0)</f>
        <v/>
      </c>
      <c r="AP1254" s="35">
        <f>IF(AND(AK1254="YES",W1254="X"),"X","")</f>
        <v/>
      </c>
      <c r="AQ1254" s="55">
        <f>IF(AP1254="X",100%,0%)</f>
        <v/>
      </c>
      <c r="AR1254" s="25">
        <f>IF(AND(T1254&gt;0,L1254=""),H1254,"")</f>
        <v/>
      </c>
      <c r="AS1254" s="25">
        <f>IF(AND(D1254&gt;0,H1254=0,G1254=""),1,"")</f>
        <v/>
      </c>
      <c r="AT1254" s="25">
        <f>IF(G1254="BLOQ",1,"")</f>
        <v/>
      </c>
      <c r="AU1254" s="25">
        <f>IF(L1254="BLOQ",1,"")</f>
        <v/>
      </c>
      <c r="AV1254" s="25">
        <f>MONTH(F1254)</f>
        <v/>
      </c>
      <c r="AW1254" s="65">
        <f>IF(AP1254="",100%,0%)</f>
        <v/>
      </c>
      <c r="AX1254" s="56" t="n"/>
      <c r="AY1254" s="24">
        <f>IF(M1254=0,"",M1254-$AX$2)</f>
        <v/>
      </c>
      <c r="AZ1254" s="66">
        <f>IF(AND(W1254="",AY1254&gt;0,AY1254&lt;15),1,0)</f>
        <v/>
      </c>
      <c r="BA1254" s="24">
        <f>IF(AND(W1254="",AY1254&gt;0,AY1254&lt;15),T1254,"")</f>
        <v/>
      </c>
      <c r="BB1254" s="87">
        <f>IF(R1254&lt;Q1254,"X","")</f>
        <v/>
      </c>
      <c r="BC1254" s="191" t="inlineStr">
        <is>
          <t>SI</t>
        </is>
      </c>
      <c r="BD1254" s="191" t="inlineStr">
        <is>
          <t>SI</t>
        </is>
      </c>
    </row>
    <row r="1255" ht="15" customHeight="1" s="162">
      <c r="A1255" s="7" t="n">
        <v>1254</v>
      </c>
      <c r="B1255" t="inlineStr">
        <is>
          <t>3170106020100</t>
        </is>
      </c>
      <c r="C1255" t="inlineStr">
        <is>
          <t>SWITCH 52P 176GBPS 10/1000GBASE US/EU</t>
        </is>
      </c>
      <c r="D1255" t="inlineStr">
        <is>
          <t>1800111813</t>
        </is>
      </c>
      <c r="E1255" t="inlineStr">
        <is>
          <t>30</t>
        </is>
      </c>
      <c r="F1255" s="163" t="n">
        <v>45517</v>
      </c>
      <c r="G1255" t="inlineStr"/>
      <c r="H1255" t="inlineStr">
        <is>
          <t>4200575920</t>
        </is>
      </c>
      <c r="I1255" t="inlineStr">
        <is>
          <t>30</t>
        </is>
      </c>
      <c r="J1255" s="163" t="n">
        <v>45538</v>
      </c>
      <c r="K1255" s="163" t="n">
        <v>45575</v>
      </c>
      <c r="L1255" t="inlineStr"/>
      <c r="M1255" s="163" t="n">
        <v>45596</v>
      </c>
      <c r="N1255" s="164" t="n">
        <v>40</v>
      </c>
      <c r="O1255" s="164" t="n">
        <v>8</v>
      </c>
      <c r="P1255" t="inlineStr">
        <is>
          <t>Liberado</t>
        </is>
      </c>
      <c r="Q1255" s="165" t="n">
        <v>1</v>
      </c>
      <c r="R1255" s="165" t="n">
        <v>1</v>
      </c>
      <c r="S1255" s="165" t="n">
        <v>1</v>
      </c>
      <c r="T1255" s="165" t="n">
        <v>0</v>
      </c>
      <c r="U1255" s="166" t="n">
        <v>1</v>
      </c>
      <c r="V1255" s="166" t="n">
        <v>0</v>
      </c>
      <c r="W1255" t="inlineStr">
        <is>
          <t>X</t>
        </is>
      </c>
      <c r="X1255" t="inlineStr">
        <is>
          <t>0.00</t>
        </is>
      </c>
      <c r="Y1255" t="inlineStr"/>
      <c r="Z1255" t="inlineStr">
        <is>
          <t>ESPRINET IBERICA, S.L.U.</t>
        </is>
      </c>
      <c r="AA1255" t="inlineStr">
        <is>
          <t>NETGEAR</t>
        </is>
      </c>
      <c r="AB1255" t="inlineStr">
        <is>
          <t>GSM4352S-100NES</t>
        </is>
      </c>
      <c r="AC1255" t="inlineStr"/>
      <c r="AD1255" s="164" t="n">
        <v>1</v>
      </c>
      <c r="AE1255" s="185" t="n">
        <v>1</v>
      </c>
      <c r="AG1255" s="167" t="inlineStr">
        <is>
          <t>7218|JA2585_1001</t>
        </is>
      </c>
      <c r="AH1255" s="47">
        <f>IF(M1255=0,"-",M1255-J1255)</f>
        <v/>
      </c>
      <c r="AI1255" s="46">
        <f>IF(AND(S1255=0,M1255&gt;0,L1255=0),IF(AH1255&gt;=120,"VERY HIGH",IF(AH1255&gt;=90,"HIGH",IF(AH1255&gt;=60,"MEDIUM",IF(AH1255&lt;60,"LOW")))),"-")</f>
        <v/>
      </c>
      <c r="AJ1255" s="12" t="n"/>
      <c r="AK1255" s="53">
        <f>IF(AND(W1255="X",M1255&lt;=$AJ$2),"YES","")</f>
        <v/>
      </c>
      <c r="AL1255" s="54">
        <f>IF(AND(W1255="X",M1255&lt;=$AJ$2),S1255,"")</f>
        <v/>
      </c>
      <c r="AM1255" s="35" t="n"/>
      <c r="AN1255" s="35">
        <f>IF(AND(W1255="X",M1255&gt;$AJ$2),S1255,"")</f>
        <v/>
      </c>
      <c r="AO1255" s="35">
        <f>IF(AND(W1255="",M1255&gt;0,$AJ$2&gt;M1255,L1255=""),1,0)</f>
        <v/>
      </c>
      <c r="AP1255" s="35">
        <f>IF(AND(AK1255="YES",W1255="X"),"X","")</f>
        <v/>
      </c>
      <c r="AQ1255" s="55">
        <f>IF(AP1255="X",100%,0%)</f>
        <v/>
      </c>
      <c r="AR1255" s="25">
        <f>IF(AND(T1255&gt;0,L1255=""),H1255,"")</f>
        <v/>
      </c>
      <c r="AS1255" s="25">
        <f>IF(AND(D1255&gt;0,H1255=0,G1255=""),1,"")</f>
        <v/>
      </c>
      <c r="AT1255" s="25">
        <f>IF(G1255="BLOQ",1,"")</f>
        <v/>
      </c>
      <c r="AU1255" s="25">
        <f>IF(L1255="BLOQ",1,"")</f>
        <v/>
      </c>
      <c r="AV1255" s="25">
        <f>MONTH(F1255)</f>
        <v/>
      </c>
      <c r="AW1255" s="65">
        <f>IF(AP1255="",100%,0%)</f>
        <v/>
      </c>
      <c r="AX1255" s="56" t="n"/>
      <c r="AY1255" s="24">
        <f>IF(M1255=0,"",M1255-$AX$2)</f>
        <v/>
      </c>
      <c r="AZ1255" s="66">
        <f>IF(AND(W1255="",AY1255&gt;0,AY1255&lt;15),1,0)</f>
        <v/>
      </c>
      <c r="BA1255" s="24">
        <f>IF(AND(W1255="",AY1255&gt;0,AY1255&lt;15),T1255,"")</f>
        <v/>
      </c>
      <c r="BB1255" s="87">
        <f>IF(R1255&lt;Q1255,"X","")</f>
        <v/>
      </c>
      <c r="BC1255" s="191" t="inlineStr">
        <is>
          <t>SI</t>
        </is>
      </c>
      <c r="BD1255" s="191" t="inlineStr">
        <is>
          <t>SI</t>
        </is>
      </c>
    </row>
    <row r="1256" ht="15" customHeight="1" s="162">
      <c r="A1256" s="7" t="n">
        <v>1255</v>
      </c>
      <c r="B1256" t="inlineStr">
        <is>
          <t>1390706230000</t>
        </is>
      </c>
      <c r="C1256" t="inlineStr">
        <is>
          <t>A320 UPDATE DATA PACKAGE AND SIMULATOR S</t>
        </is>
      </c>
      <c r="D1256" t="inlineStr">
        <is>
          <t>1800111872</t>
        </is>
      </c>
      <c r="E1256" t="inlineStr">
        <is>
          <t>10</t>
        </is>
      </c>
      <c r="F1256" s="163" t="n">
        <v>45523</v>
      </c>
      <c r="G1256" t="inlineStr"/>
      <c r="H1256" t="inlineStr">
        <is>
          <t>4200577940</t>
        </is>
      </c>
      <c r="I1256" t="inlineStr">
        <is>
          <t>10</t>
        </is>
      </c>
      <c r="J1256" s="163" t="n">
        <v>45554</v>
      </c>
      <c r="K1256" s="163" t="n">
        <v>45588</v>
      </c>
      <c r="L1256" t="inlineStr"/>
      <c r="M1256" s="163" t="n">
        <v>45611</v>
      </c>
      <c r="N1256" s="164" t="n">
        <v>40</v>
      </c>
      <c r="O1256" s="164" t="n">
        <v>8</v>
      </c>
      <c r="P1256" t="inlineStr">
        <is>
          <t>Liberado</t>
        </is>
      </c>
      <c r="Q1256" s="165" t="n">
        <v>1</v>
      </c>
      <c r="R1256" s="165" t="n">
        <v>1</v>
      </c>
      <c r="S1256" s="165" t="n">
        <v>1</v>
      </c>
      <c r="T1256" s="165" t="n">
        <v>0</v>
      </c>
      <c r="U1256" s="166" t="n">
        <v>1</v>
      </c>
      <c r="V1256" s="166" t="n">
        <v>0</v>
      </c>
      <c r="W1256" t="inlineStr">
        <is>
          <t>X</t>
        </is>
      </c>
      <c r="X1256" t="inlineStr">
        <is>
          <t>0.00</t>
        </is>
      </c>
      <c r="Y1256" t="inlineStr"/>
      <c r="Z1256" t="inlineStr">
        <is>
          <t>AIRBUS OPERATIONS SAS</t>
        </is>
      </c>
      <c r="AA1256" t="inlineStr">
        <is>
          <t>AIRBUS INDUSTRIE</t>
        </is>
      </c>
      <c r="AB1256" t="inlineStr">
        <is>
          <t>UPDATE DATA PACK/SIM SW PACK A320/ CT240</t>
        </is>
      </c>
      <c r="AC1256" t="inlineStr"/>
      <c r="AD1256" s="164" t="n">
        <v>1</v>
      </c>
      <c r="AE1256" s="185" t="n">
        <v>0</v>
      </c>
      <c r="AG1256" s="167" t="inlineStr">
        <is>
          <t>7218|JA2576_1001</t>
        </is>
      </c>
      <c r="AH1256" s="47">
        <f>IF(M1256=0,"-",M1256-J1256)</f>
        <v/>
      </c>
      <c r="AI1256" s="46">
        <f>IF(AND(S1256=0,M1256&gt;0,L1256=0),IF(AH1256&gt;=120,"VERY HIGH",IF(AH1256&gt;=90,"HIGH",IF(AH1256&gt;=60,"MEDIUM",IF(AH1256&lt;60,"LOW")))),"-")</f>
        <v/>
      </c>
      <c r="AJ1256" s="12" t="n"/>
      <c r="AK1256" s="53">
        <f>IF(AND(W1256="X",M1256&lt;=$AJ$2),"YES","")</f>
        <v/>
      </c>
      <c r="AL1256" s="54">
        <f>IF(AND(W1256="X",M1256&lt;=$AJ$2),S1256,"")</f>
        <v/>
      </c>
      <c r="AM1256" s="35" t="n"/>
      <c r="AN1256" s="35">
        <f>IF(AND(W1256="X",M1256&gt;$AJ$2),S1256,"")</f>
        <v/>
      </c>
      <c r="AO1256" s="35">
        <f>IF(AND(W1256="",M1256&gt;0,$AJ$2&gt;M1256,L1256=""),1,0)</f>
        <v/>
      </c>
      <c r="AP1256" s="35">
        <f>IF(AND(AK1256="YES",W1256="X"),"X","")</f>
        <v/>
      </c>
      <c r="AQ1256" s="55">
        <f>IF(AP1256="X",100%,0%)</f>
        <v/>
      </c>
      <c r="AR1256" s="25">
        <f>IF(AND(T1256&gt;0,L1256=""),H1256,"")</f>
        <v/>
      </c>
      <c r="AS1256" s="25">
        <f>IF(AND(D1256&gt;0,H1256=0,G1256=""),1,"")</f>
        <v/>
      </c>
      <c r="AT1256" s="25">
        <f>IF(G1256="BLOQ",1,"")</f>
        <v/>
      </c>
      <c r="AU1256" s="25">
        <f>IF(L1256="BLOQ",1,"")</f>
        <v/>
      </c>
      <c r="AV1256" s="25">
        <f>MONTH(F1256)</f>
        <v/>
      </c>
      <c r="AW1256" s="65">
        <f>IF(AP1256="",100%,0%)</f>
        <v/>
      </c>
      <c r="AX1256" s="56" t="n"/>
      <c r="AY1256" s="24">
        <f>IF(M1256=0,"",M1256-$AX$2)</f>
        <v/>
      </c>
      <c r="AZ1256" s="66">
        <f>IF(AND(W1256="",AY1256&gt;0,AY1256&lt;15),1,0)</f>
        <v/>
      </c>
      <c r="BA1256" s="24">
        <f>IF(AND(W1256="",AY1256&gt;0,AY1256&lt;15),T1256,"")</f>
        <v/>
      </c>
      <c r="BB1256" s="87">
        <f>IF(R1256&lt;Q1256,"X","")</f>
        <v/>
      </c>
      <c r="BC1256" s="190" t="inlineStr">
        <is>
          <t>NO</t>
        </is>
      </c>
      <c r="BD1256" s="190" t="inlineStr">
        <is>
          <t>NO</t>
        </is>
      </c>
    </row>
    <row r="1257" ht="15" customHeight="1" s="162">
      <c r="A1257" s="7" t="n">
        <v>1256</v>
      </c>
      <c r="B1257" t="inlineStr">
        <is>
          <t>1390706240000</t>
        </is>
      </c>
      <c r="C1257" t="inlineStr">
        <is>
          <t>A320 DOCUMENTATION AND PERFORMANCE PACKA</t>
        </is>
      </c>
      <c r="D1257" t="inlineStr">
        <is>
          <t>1800111872</t>
        </is>
      </c>
      <c r="E1257" t="inlineStr">
        <is>
          <t>20</t>
        </is>
      </c>
      <c r="F1257" s="163" t="n">
        <v>45523</v>
      </c>
      <c r="G1257" t="inlineStr"/>
      <c r="H1257" t="inlineStr">
        <is>
          <t>4200577940</t>
        </is>
      </c>
      <c r="I1257" t="inlineStr">
        <is>
          <t>50</t>
        </is>
      </c>
      <c r="J1257" s="163" t="n">
        <v>45554</v>
      </c>
      <c r="K1257" s="163" t="n">
        <v>45588</v>
      </c>
      <c r="L1257" t="inlineStr">
        <is>
          <t>BORR</t>
        </is>
      </c>
      <c r="M1257" s="163" t="n">
        <v>45735</v>
      </c>
      <c r="N1257" s="164" t="n">
        <v>40</v>
      </c>
      <c r="O1257" s="164" t="n">
        <v>8</v>
      </c>
      <c r="P1257" t="inlineStr">
        <is>
          <t>Liberado</t>
        </is>
      </c>
      <c r="Q1257" s="165" t="n">
        <v>2</v>
      </c>
      <c r="R1257" s="165" t="n">
        <v>1</v>
      </c>
      <c r="S1257" s="165" t="n">
        <v>0</v>
      </c>
      <c r="T1257" s="165" t="n">
        <v>1</v>
      </c>
      <c r="U1257" s="166" t="n">
        <v>0</v>
      </c>
      <c r="V1257" s="166" t="n">
        <v>0</v>
      </c>
      <c r="W1257" t="inlineStr"/>
      <c r="X1257" t="inlineStr">
        <is>
          <t>11600.00</t>
        </is>
      </c>
      <c r="Y1257" t="inlineStr"/>
      <c r="Z1257" t="inlineStr">
        <is>
          <t>AIRBUS OPERATIONS SAS</t>
        </is>
      </c>
      <c r="AA1257" t="inlineStr">
        <is>
          <t>AIRBUS INDUSTRIE</t>
        </is>
      </c>
      <c r="AB1257" t="inlineStr">
        <is>
          <t>DOC/PERFOR PACKAGE A320/ CT2402857_V1</t>
        </is>
      </c>
      <c r="AC1257" t="inlineStr">
        <is>
          <t>X</t>
        </is>
      </c>
      <c r="AD1257" s="164" t="n">
        <v>0</v>
      </c>
      <c r="AE1257" s="185" t="n">
        <v>0</v>
      </c>
      <c r="AG1257" s="167" t="inlineStr">
        <is>
          <t>7218|JA2576_1001</t>
        </is>
      </c>
      <c r="AH1257" s="47">
        <f>IF(M1257=0,"-",M1257-J1257)</f>
        <v/>
      </c>
      <c r="AI1257" s="46">
        <f>IF(AND(S1257=0,M1257&gt;0,L1257=0),IF(AH1257&gt;=120,"VERY HIGH",IF(AH1257&gt;=90,"HIGH",IF(AH1257&gt;=60,"MEDIUM",IF(AH1257&lt;60,"LOW")))),"-")</f>
        <v/>
      </c>
      <c r="AJ1257" s="12" t="n"/>
      <c r="AK1257" s="53">
        <f>IF(AND(W1257="X",M1257&lt;=$AJ$2),"YES","")</f>
        <v/>
      </c>
      <c r="AL1257" s="54">
        <f>IF(AND(W1257="X",M1257&lt;=$AJ$2),S1257,"")</f>
        <v/>
      </c>
      <c r="AM1257" s="35" t="n"/>
      <c r="AN1257" s="35">
        <f>IF(AND(W1257="X",M1257&gt;$AJ$2),S1257,"")</f>
        <v/>
      </c>
      <c r="AO1257" s="35">
        <f>IF(AND(W1257="",M1257&gt;0,$AJ$2&gt;M1257,L1257=""),1,0)</f>
        <v/>
      </c>
      <c r="AP1257" s="35">
        <f>IF(AND(AK1257="YES",W1257="X"),"X","")</f>
        <v/>
      </c>
      <c r="AQ1257" s="55">
        <f>IF(AP1257="X",100%,0%)</f>
        <v/>
      </c>
      <c r="AR1257" s="25">
        <f>IF(AND(T1257&gt;0,L1257=""),H1257,"")</f>
        <v/>
      </c>
      <c r="AS1257" s="25">
        <f>IF(AND(D1257&gt;0,H1257=0,G1257=""),1,"")</f>
        <v/>
      </c>
      <c r="AT1257" s="25">
        <f>IF(G1257="BLOQ",1,"")</f>
        <v/>
      </c>
      <c r="AU1257" s="25">
        <f>IF(L1257="BLOQ",1,"")</f>
        <v/>
      </c>
      <c r="AV1257" s="25">
        <f>MONTH(F1257)</f>
        <v/>
      </c>
      <c r="AW1257" s="65">
        <f>IF(AP1257="",100%,0%)</f>
        <v/>
      </c>
      <c r="AX1257" s="56" t="n"/>
      <c r="AY1257" s="24">
        <f>IF(M1257=0,"",M1257-$AX$2)</f>
        <v/>
      </c>
      <c r="AZ1257" s="66">
        <f>IF(AND(W1257="",AY1257&gt;0,AY1257&lt;15),1,0)</f>
        <v/>
      </c>
      <c r="BA1257" s="24">
        <f>IF(AND(W1257="",AY1257&gt;0,AY1257&lt;15),T1257,"")</f>
        <v/>
      </c>
      <c r="BB1257" s="87">
        <f>IF(R1257&lt;Q1257,"X","")</f>
        <v/>
      </c>
      <c r="BC1257" s="190" t="inlineStr">
        <is>
          <t>NO</t>
        </is>
      </c>
      <c r="BD1257" s="190" t="inlineStr">
        <is>
          <t>NO</t>
        </is>
      </c>
    </row>
    <row r="1258" ht="15" customHeight="1" s="162">
      <c r="A1258" s="7" t="n">
        <v>1257</v>
      </c>
      <c r="B1258" t="inlineStr">
        <is>
          <t>1390706240000</t>
        </is>
      </c>
      <c r="C1258" t="inlineStr">
        <is>
          <t>A320 DOCUMENTATION AND PERFORMANCE PACKA</t>
        </is>
      </c>
      <c r="D1258" t="inlineStr">
        <is>
          <t>1800111872</t>
        </is>
      </c>
      <c r="E1258" t="inlineStr">
        <is>
          <t>20</t>
        </is>
      </c>
      <c r="F1258" s="163" t="n">
        <v>45523</v>
      </c>
      <c r="G1258" t="inlineStr"/>
      <c r="H1258" t="inlineStr">
        <is>
          <t>4200577940</t>
        </is>
      </c>
      <c r="I1258" t="inlineStr">
        <is>
          <t>20</t>
        </is>
      </c>
      <c r="J1258" s="163" t="n">
        <v>45554</v>
      </c>
      <c r="K1258" s="163" t="n">
        <v>45588</v>
      </c>
      <c r="L1258" t="inlineStr"/>
      <c r="M1258" s="163" t="n">
        <v>45611</v>
      </c>
      <c r="N1258" s="164" t="n">
        <v>40</v>
      </c>
      <c r="O1258" s="164" t="n">
        <v>8</v>
      </c>
      <c r="P1258" t="inlineStr">
        <is>
          <t>Liberado</t>
        </is>
      </c>
      <c r="Q1258" s="165" t="n">
        <v>2</v>
      </c>
      <c r="R1258" s="165" t="n">
        <v>1</v>
      </c>
      <c r="S1258" s="165" t="n">
        <v>1</v>
      </c>
      <c r="T1258" s="165" t="n">
        <v>0</v>
      </c>
      <c r="U1258" s="166" t="n">
        <v>1</v>
      </c>
      <c r="V1258" s="166" t="n">
        <v>0</v>
      </c>
      <c r="W1258" t="inlineStr">
        <is>
          <t>X</t>
        </is>
      </c>
      <c r="X1258" t="inlineStr">
        <is>
          <t>0.00</t>
        </is>
      </c>
      <c r="Y1258" t="inlineStr"/>
      <c r="Z1258" t="inlineStr">
        <is>
          <t>AIRBUS OPERATIONS SAS</t>
        </is>
      </c>
      <c r="AA1258" t="inlineStr">
        <is>
          <t>AIRBUS INDUSTRIE</t>
        </is>
      </c>
      <c r="AB1258" t="inlineStr">
        <is>
          <t>DOC/PERFOR PACKAGE A320/ CT2402857_V1</t>
        </is>
      </c>
      <c r="AC1258" t="inlineStr">
        <is>
          <t>X</t>
        </is>
      </c>
      <c r="AD1258" s="164" t="n">
        <v>1</v>
      </c>
      <c r="AE1258" s="185" t="n">
        <v>0</v>
      </c>
      <c r="AG1258" s="167" t="inlineStr">
        <is>
          <t>7218|JA2576_1001</t>
        </is>
      </c>
      <c r="AH1258" s="47">
        <f>IF(M1258=0,"-",M1258-J1258)</f>
        <v/>
      </c>
      <c r="AI1258" s="46">
        <f>IF(AND(S1258=0,M1258&gt;0,L1258=0),IF(AH1258&gt;=120,"VERY HIGH",IF(AH1258&gt;=90,"HIGH",IF(AH1258&gt;=60,"MEDIUM",IF(AH1258&lt;60,"LOW")))),"-")</f>
        <v/>
      </c>
      <c r="AJ1258" s="12" t="n"/>
      <c r="AK1258" s="53">
        <f>IF(AND(W1258="X",M1258&lt;=$AJ$2),"YES","")</f>
        <v/>
      </c>
      <c r="AL1258" s="54">
        <f>IF(AND(W1258="X",M1258&lt;=$AJ$2),S1258,"")</f>
        <v/>
      </c>
      <c r="AM1258" s="35" t="n"/>
      <c r="AN1258" s="35">
        <f>IF(AND(W1258="X",M1258&gt;$AJ$2),S1258,"")</f>
        <v/>
      </c>
      <c r="AO1258" s="35">
        <f>IF(AND(W1258="",M1258&gt;0,$AJ$2&gt;M1258,L1258=""),1,0)</f>
        <v/>
      </c>
      <c r="AP1258" s="35">
        <f>IF(AND(AK1258="YES",W1258="X"),"X","")</f>
        <v/>
      </c>
      <c r="AQ1258" s="55">
        <f>IF(AP1258="X",100%,0%)</f>
        <v/>
      </c>
      <c r="AR1258" s="25">
        <f>IF(AND(T1258&gt;0,L1258=""),H1258,"")</f>
        <v/>
      </c>
      <c r="AS1258" s="25">
        <f>IF(AND(D1258&gt;0,H1258=0,G1258=""),1,"")</f>
        <v/>
      </c>
      <c r="AT1258" s="25">
        <f>IF(G1258="BLOQ",1,"")</f>
        <v/>
      </c>
      <c r="AU1258" s="25">
        <f>IF(L1258="BLOQ",1,"")</f>
        <v/>
      </c>
      <c r="AV1258" s="25">
        <f>MONTH(F1258)</f>
        <v/>
      </c>
      <c r="AW1258" s="65">
        <f>IF(AP1258="",100%,0%)</f>
        <v/>
      </c>
      <c r="AX1258" s="56" t="n"/>
      <c r="AY1258" s="24">
        <f>IF(M1258=0,"",M1258-$AX$2)</f>
        <v/>
      </c>
      <c r="AZ1258" s="66">
        <f>IF(AND(W1258="",AY1258&gt;0,AY1258&lt;15),1,0)</f>
        <v/>
      </c>
      <c r="BA1258" s="24">
        <f>IF(AND(W1258="",AY1258&gt;0,AY1258&lt;15),T1258,"")</f>
        <v/>
      </c>
      <c r="BB1258" s="87">
        <f>IF(R1258&lt;Q1258,"X","")</f>
        <v/>
      </c>
      <c r="BC1258" s="190" t="inlineStr">
        <is>
          <t>NO</t>
        </is>
      </c>
      <c r="BD1258" s="190" t="inlineStr">
        <is>
          <t>NO</t>
        </is>
      </c>
    </row>
    <row r="1259" ht="15" customHeight="1" s="162">
      <c r="A1259" s="7" t="n">
        <v>1258</v>
      </c>
      <c r="B1259" t="inlineStr">
        <is>
          <t>1390706250000</t>
        </is>
      </c>
      <c r="C1259" t="inlineStr">
        <is>
          <t>A320 HARDWARE COMPLETE KIT</t>
        </is>
      </c>
      <c r="D1259" t="inlineStr">
        <is>
          <t>1800111872</t>
        </is>
      </c>
      <c r="E1259" t="inlineStr">
        <is>
          <t>30</t>
        </is>
      </c>
      <c r="F1259" s="163" t="n">
        <v>45523</v>
      </c>
      <c r="G1259" t="inlineStr"/>
      <c r="H1259" t="inlineStr">
        <is>
          <t>4200577940</t>
        </is>
      </c>
      <c r="I1259" t="inlineStr">
        <is>
          <t>30</t>
        </is>
      </c>
      <c r="J1259" s="163" t="n">
        <v>45554</v>
      </c>
      <c r="K1259" s="163" t="n">
        <v>45588</v>
      </c>
      <c r="L1259" t="inlineStr">
        <is>
          <t>BORR</t>
        </is>
      </c>
      <c r="M1259" s="163" t="n">
        <v>45735</v>
      </c>
      <c r="N1259" s="164" t="n">
        <v>40</v>
      </c>
      <c r="O1259" s="164" t="n">
        <v>8</v>
      </c>
      <c r="P1259" t="inlineStr">
        <is>
          <t>Liberado</t>
        </is>
      </c>
      <c r="Q1259" s="165" t="n">
        <v>1</v>
      </c>
      <c r="R1259" s="165" t="n">
        <v>1</v>
      </c>
      <c r="S1259" s="165" t="n">
        <v>0</v>
      </c>
      <c r="T1259" s="165" t="n">
        <v>1</v>
      </c>
      <c r="U1259" s="166" t="n">
        <v>0</v>
      </c>
      <c r="V1259" s="166" t="n">
        <v>0</v>
      </c>
      <c r="W1259" t="inlineStr"/>
      <c r="X1259" t="inlineStr">
        <is>
          <t>38300.00</t>
        </is>
      </c>
      <c r="Y1259" t="inlineStr"/>
      <c r="Z1259" t="inlineStr">
        <is>
          <t>AIRBUS OPERATIONS SAS</t>
        </is>
      </c>
      <c r="AA1259" t="inlineStr">
        <is>
          <t>AIRBUS INDUSTRIE</t>
        </is>
      </c>
      <c r="AB1259" t="inlineStr">
        <is>
          <t>HARDWARE COMPLETE KIT A320/ D24022442_V1</t>
        </is>
      </c>
      <c r="AC1259" t="inlineStr"/>
      <c r="AD1259" s="164" t="n">
        <v>0</v>
      </c>
      <c r="AE1259" s="185" t="n">
        <v>0</v>
      </c>
      <c r="AG1259" s="167" t="inlineStr">
        <is>
          <t>7218|JA2576_1001</t>
        </is>
      </c>
      <c r="AH1259" s="47">
        <f>IF(M1259=0,"-",M1259-J1259)</f>
        <v/>
      </c>
      <c r="AI1259" s="46">
        <f>IF(AND(S1259=0,M1259&gt;0,L1259=0),IF(AH1259&gt;=120,"VERY HIGH",IF(AH1259&gt;=90,"HIGH",IF(AH1259&gt;=60,"MEDIUM",IF(AH1259&lt;60,"LOW")))),"-")</f>
        <v/>
      </c>
      <c r="AJ1259" s="12" t="n"/>
      <c r="AK1259" s="53">
        <f>IF(AND(W1259="X",M1259&lt;=$AJ$2),"YES","")</f>
        <v/>
      </c>
      <c r="AL1259" s="54">
        <f>IF(AND(W1259="X",M1259&lt;=$AJ$2),S1259,"")</f>
        <v/>
      </c>
      <c r="AM1259" s="35" t="n"/>
      <c r="AN1259" s="35">
        <f>IF(AND(W1259="X",M1259&gt;$AJ$2),S1259,"")</f>
        <v/>
      </c>
      <c r="AO1259" s="35">
        <f>IF(AND(W1259="",M1259&gt;0,$AJ$2&gt;M1259,L1259=""),1,0)</f>
        <v/>
      </c>
      <c r="AP1259" s="35">
        <f>IF(AND(AK1259="YES",W1259="X"),"X","")</f>
        <v/>
      </c>
      <c r="AQ1259" s="55">
        <f>IF(AP1259="X",100%,0%)</f>
        <v/>
      </c>
      <c r="AR1259" s="25">
        <f>IF(AND(T1259&gt;0,L1259=""),H1259,"")</f>
        <v/>
      </c>
      <c r="AS1259" s="25">
        <f>IF(AND(D1259&gt;0,H1259=0,G1259=""),1,"")</f>
        <v/>
      </c>
      <c r="AT1259" s="25">
        <f>IF(G1259="BLOQ",1,"")</f>
        <v/>
      </c>
      <c r="AU1259" s="25">
        <f>IF(L1259="BLOQ",1,"")</f>
        <v/>
      </c>
      <c r="AV1259" s="25">
        <f>MONTH(F1259)</f>
        <v/>
      </c>
      <c r="AW1259" s="65">
        <f>IF(AP1259="",100%,0%)</f>
        <v/>
      </c>
      <c r="AX1259" s="56" t="n"/>
      <c r="AY1259" s="24">
        <f>IF(M1259=0,"",M1259-$AX$2)</f>
        <v/>
      </c>
      <c r="AZ1259" s="66">
        <f>IF(AND(W1259="",AY1259&gt;0,AY1259&lt;15),1,0)</f>
        <v/>
      </c>
      <c r="BA1259" s="24">
        <f>IF(AND(W1259="",AY1259&gt;0,AY1259&lt;15),T1259,"")</f>
        <v/>
      </c>
      <c r="BB1259" s="87">
        <f>IF(R1259&lt;Q1259,"X","")</f>
        <v/>
      </c>
      <c r="BC1259" s="190" t="inlineStr">
        <is>
          <t>NO</t>
        </is>
      </c>
      <c r="BD1259" s="190" t="inlineStr">
        <is>
          <t>NO</t>
        </is>
      </c>
    </row>
    <row r="1260" ht="15" customHeight="1" s="162">
      <c r="A1260" s="7" t="n">
        <v>1259</v>
      </c>
      <c r="B1260" t="inlineStr">
        <is>
          <t>1390706250000</t>
        </is>
      </c>
      <c r="C1260" t="inlineStr">
        <is>
          <t>A320 HARDWARE COMPLETE KIT</t>
        </is>
      </c>
      <c r="D1260" t="inlineStr">
        <is>
          <t>1800111872</t>
        </is>
      </c>
      <c r="E1260" t="inlineStr">
        <is>
          <t>30</t>
        </is>
      </c>
      <c r="F1260" s="163" t="n">
        <v>45523</v>
      </c>
      <c r="G1260" t="inlineStr"/>
      <c r="H1260" t="inlineStr">
        <is>
          <t>4200582116</t>
        </is>
      </c>
      <c r="I1260" t="inlineStr">
        <is>
          <t>10</t>
        </is>
      </c>
      <c r="J1260" s="163" t="n">
        <v>45586</v>
      </c>
      <c r="K1260" s="163" t="n">
        <v>45586</v>
      </c>
      <c r="L1260" t="inlineStr"/>
      <c r="M1260" s="163" t="n">
        <v>45735</v>
      </c>
      <c r="N1260" s="164" t="n">
        <v>40</v>
      </c>
      <c r="O1260" s="164" t="n">
        <v>8</v>
      </c>
      <c r="P1260" t="inlineStr">
        <is>
          <t>Liberado</t>
        </is>
      </c>
      <c r="Q1260" s="165" t="n">
        <v>1</v>
      </c>
      <c r="R1260" s="165" t="n">
        <v>1</v>
      </c>
      <c r="S1260" s="165" t="n">
        <v>1</v>
      </c>
      <c r="T1260" s="165" t="n">
        <v>0</v>
      </c>
      <c r="U1260" s="166" t="n">
        <v>1</v>
      </c>
      <c r="V1260" s="166" t="n">
        <v>0</v>
      </c>
      <c r="W1260" t="inlineStr">
        <is>
          <t>X</t>
        </is>
      </c>
      <c r="X1260" t="inlineStr">
        <is>
          <t>0.00</t>
        </is>
      </c>
      <c r="Y1260" t="inlineStr"/>
      <c r="Z1260" t="inlineStr">
        <is>
          <t>AIRBUS OPERATIONS SAS</t>
        </is>
      </c>
      <c r="AA1260" t="inlineStr">
        <is>
          <t>AIRBUS INDUSTRIE</t>
        </is>
      </c>
      <c r="AB1260" t="inlineStr">
        <is>
          <t>HARDWARE COMPLETE KIT A320/ D24022442_V1</t>
        </is>
      </c>
      <c r="AC1260" t="inlineStr"/>
      <c r="AD1260" s="164" t="n">
        <v>0</v>
      </c>
      <c r="AE1260" s="185" t="n">
        <v>0</v>
      </c>
      <c r="AG1260" s="167" t="inlineStr">
        <is>
          <t>7218|JA2576_1001</t>
        </is>
      </c>
      <c r="AH1260" s="47">
        <f>IF(M1260=0,"-",M1260-J1260)</f>
        <v/>
      </c>
      <c r="AI1260" s="46">
        <f>IF(AND(S1260=0,M1260&gt;0,L1260=0),IF(AH1260&gt;=120,"VERY HIGH",IF(AH1260&gt;=90,"HIGH",IF(AH1260&gt;=60,"MEDIUM",IF(AH1260&lt;60,"LOW")))),"-")</f>
        <v/>
      </c>
      <c r="AJ1260" s="12" t="n"/>
      <c r="AK1260" s="53">
        <f>IF(AND(W1260="X",M1260&lt;=$AJ$2),"YES","")</f>
        <v/>
      </c>
      <c r="AL1260" s="54">
        <f>IF(AND(W1260="X",M1260&lt;=$AJ$2),S1260,"")</f>
        <v/>
      </c>
      <c r="AM1260" s="35" t="n"/>
      <c r="AN1260" s="35">
        <f>IF(AND(W1260="X",M1260&gt;$AJ$2),S1260,"")</f>
        <v/>
      </c>
      <c r="AO1260" s="35">
        <f>IF(AND(W1260="",M1260&gt;0,$AJ$2&gt;M1260,L1260=""),1,0)</f>
        <v/>
      </c>
      <c r="AP1260" s="35">
        <f>IF(AND(AK1260="YES",W1260="X"),"X","")</f>
        <v/>
      </c>
      <c r="AQ1260" s="55">
        <f>IF(AP1260="X",100%,0%)</f>
        <v/>
      </c>
      <c r="AR1260" s="25">
        <f>IF(AND(T1260&gt;0,L1260=""),H1260,"")</f>
        <v/>
      </c>
      <c r="AS1260" s="25">
        <f>IF(AND(D1260&gt;0,H1260=0,G1260=""),1,"")</f>
        <v/>
      </c>
      <c r="AT1260" s="25">
        <f>IF(G1260="BLOQ",1,"")</f>
        <v/>
      </c>
      <c r="AU1260" s="25">
        <f>IF(L1260="BLOQ",1,"")</f>
        <v/>
      </c>
      <c r="AV1260" s="25">
        <f>MONTH(F1260)</f>
        <v/>
      </c>
      <c r="AW1260" s="65">
        <f>IF(AP1260="",100%,0%)</f>
        <v/>
      </c>
      <c r="AX1260" s="56" t="n"/>
      <c r="AY1260" s="24">
        <f>IF(M1260=0,"",M1260-$AX$2)</f>
        <v/>
      </c>
      <c r="AZ1260" s="66">
        <f>IF(AND(W1260="",AY1260&gt;0,AY1260&lt;15),1,0)</f>
        <v/>
      </c>
      <c r="BA1260" s="24">
        <f>IF(AND(W1260="",AY1260&gt;0,AY1260&lt;15),T1260,"")</f>
        <v/>
      </c>
      <c r="BB1260" s="87">
        <f>IF(R1260&lt;Q1260,"X","")</f>
        <v/>
      </c>
      <c r="BC1260" s="190" t="inlineStr">
        <is>
          <t>NO</t>
        </is>
      </c>
      <c r="BD1260" s="190" t="inlineStr">
        <is>
          <t>NO</t>
        </is>
      </c>
    </row>
    <row r="1261" ht="15" customHeight="1" s="162">
      <c r="A1261" s="7" t="n">
        <v>1260</v>
      </c>
      <c r="B1261" t="inlineStr">
        <is>
          <t>1390706270000</t>
        </is>
      </c>
      <c r="C1261" t="inlineStr">
        <is>
          <t>A320 SUPPLEMENTARY ENGINE</t>
        </is>
      </c>
      <c r="D1261" t="inlineStr">
        <is>
          <t>1800111872</t>
        </is>
      </c>
      <c r="E1261" t="inlineStr">
        <is>
          <t>40</t>
        </is>
      </c>
      <c r="F1261" s="163" t="n">
        <v>45523</v>
      </c>
      <c r="G1261" t="inlineStr"/>
      <c r="H1261" t="inlineStr">
        <is>
          <t>4200577940</t>
        </is>
      </c>
      <c r="I1261" t="inlineStr">
        <is>
          <t>40</t>
        </is>
      </c>
      <c r="J1261" s="163" t="n">
        <v>45554</v>
      </c>
      <c r="K1261" s="163" t="n">
        <v>45588</v>
      </c>
      <c r="L1261" t="inlineStr"/>
      <c r="M1261" s="163" t="n">
        <v>45611</v>
      </c>
      <c r="N1261" s="164" t="n">
        <v>40</v>
      </c>
      <c r="O1261" s="164" t="n">
        <v>8</v>
      </c>
      <c r="P1261" t="inlineStr">
        <is>
          <t>Liberado</t>
        </is>
      </c>
      <c r="Q1261" s="165" t="n">
        <v>1</v>
      </c>
      <c r="R1261" s="165" t="n">
        <v>1</v>
      </c>
      <c r="S1261" s="165" t="n">
        <v>1</v>
      </c>
      <c r="T1261" s="165" t="n">
        <v>0</v>
      </c>
      <c r="U1261" s="166" t="n">
        <v>1</v>
      </c>
      <c r="V1261" s="166" t="n">
        <v>0</v>
      </c>
      <c r="W1261" t="inlineStr">
        <is>
          <t>X</t>
        </is>
      </c>
      <c r="X1261" t="inlineStr">
        <is>
          <t>0.00</t>
        </is>
      </c>
      <c r="Y1261" t="inlineStr"/>
      <c r="Z1261" t="inlineStr">
        <is>
          <t>AIRBUS OPERATIONS SAS</t>
        </is>
      </c>
      <c r="AA1261" t="inlineStr">
        <is>
          <t>AIRBUS INDUSTRIE</t>
        </is>
      </c>
      <c r="AB1261" t="inlineStr">
        <is>
          <t>SUPPLEMENTARY ENGINE A320/ D24022442_V1</t>
        </is>
      </c>
      <c r="AC1261" t="inlineStr"/>
      <c r="AD1261" s="164" t="n">
        <v>1</v>
      </c>
      <c r="AE1261" s="185" t="n">
        <v>0</v>
      </c>
      <c r="AG1261" s="167" t="inlineStr">
        <is>
          <t>7218|JA2576_1001</t>
        </is>
      </c>
      <c r="AH1261" s="47">
        <f>IF(M1261=0,"-",M1261-J1261)</f>
        <v/>
      </c>
      <c r="AI1261" s="46">
        <f>IF(AND(S1261=0,M1261&gt;0,L1261=0),IF(AH1261&gt;=120,"VERY HIGH",IF(AH1261&gt;=90,"HIGH",IF(AH1261&gt;=60,"MEDIUM",IF(AH1261&lt;60,"LOW")))),"-")</f>
        <v/>
      </c>
      <c r="AJ1261" s="12" t="n"/>
      <c r="AK1261" s="53">
        <f>IF(AND(W1261="X",M1261&lt;=$AJ$2),"YES","")</f>
        <v/>
      </c>
      <c r="AL1261" s="54">
        <f>IF(AND(W1261="X",M1261&lt;=$AJ$2),S1261,"")</f>
        <v/>
      </c>
      <c r="AM1261" s="35" t="n"/>
      <c r="AN1261" s="35">
        <f>IF(AND(W1261="X",M1261&gt;$AJ$2),S1261,"")</f>
        <v/>
      </c>
      <c r="AO1261" s="35">
        <f>IF(AND(W1261="",M1261&gt;0,$AJ$2&gt;M1261,L1261=""),1,0)</f>
        <v/>
      </c>
      <c r="AP1261" s="35">
        <f>IF(AND(AK1261="YES",W1261="X"),"X","")</f>
        <v/>
      </c>
      <c r="AQ1261" s="55">
        <f>IF(AP1261="X",100%,0%)</f>
        <v/>
      </c>
      <c r="AR1261" s="25">
        <f>IF(AND(T1261&gt;0,L1261=""),H1261,"")</f>
        <v/>
      </c>
      <c r="AS1261" s="25">
        <f>IF(AND(D1261&gt;0,H1261=0,G1261=""),1,"")</f>
        <v/>
      </c>
      <c r="AT1261" s="25">
        <f>IF(G1261="BLOQ",1,"")</f>
        <v/>
      </c>
      <c r="AU1261" s="25">
        <f>IF(L1261="BLOQ",1,"")</f>
        <v/>
      </c>
      <c r="AV1261" s="25">
        <f>MONTH(F1261)</f>
        <v/>
      </c>
      <c r="AW1261" s="65">
        <f>IF(AP1261="",100%,0%)</f>
        <v/>
      </c>
      <c r="AX1261" s="56" t="n"/>
      <c r="AY1261" s="24">
        <f>IF(M1261=0,"",M1261-$AX$2)</f>
        <v/>
      </c>
      <c r="AZ1261" s="66">
        <f>IF(AND(W1261="",AY1261&gt;0,AY1261&lt;15),1,0)</f>
        <v/>
      </c>
      <c r="BA1261" s="24">
        <f>IF(AND(W1261="",AY1261&gt;0,AY1261&lt;15),T1261,"")</f>
        <v/>
      </c>
      <c r="BB1261" s="87">
        <f>IF(R1261&lt;Q1261,"X","")</f>
        <v/>
      </c>
      <c r="BC1261" s="190" t="inlineStr">
        <is>
          <t>NO</t>
        </is>
      </c>
      <c r="BD1261" s="190" t="inlineStr">
        <is>
          <t>NO</t>
        </is>
      </c>
    </row>
    <row r="1262" ht="15" customHeight="1" s="162">
      <c r="A1262" s="7" t="n">
        <v>1261</v>
      </c>
      <c r="B1262" t="inlineStr">
        <is>
          <t>1580160200000</t>
        </is>
      </c>
      <c r="C1262" t="inlineStr">
        <is>
          <t>SEPARADOR HEXAG M3X25MM LATON M/H</t>
        </is>
      </c>
      <c r="D1262" t="inlineStr">
        <is>
          <t>1800111887</t>
        </is>
      </c>
      <c r="E1262" t="inlineStr">
        <is>
          <t>10</t>
        </is>
      </c>
      <c r="F1262" s="163" t="n">
        <v>45524</v>
      </c>
      <c r="G1262" t="inlineStr"/>
      <c r="H1262" t="inlineStr">
        <is>
          <t>4200576702</t>
        </is>
      </c>
      <c r="I1262" t="inlineStr">
        <is>
          <t>10</t>
        </is>
      </c>
      <c r="J1262" s="163" t="n">
        <v>45545</v>
      </c>
      <c r="K1262" s="163" t="n">
        <v>45545</v>
      </c>
      <c r="L1262" t="inlineStr"/>
      <c r="M1262" s="163" t="n">
        <v>45565</v>
      </c>
      <c r="N1262" s="164" t="n">
        <v>42</v>
      </c>
      <c r="O1262" s="164" t="n">
        <v>8</v>
      </c>
      <c r="P1262" t="inlineStr">
        <is>
          <t>Liberado</t>
        </is>
      </c>
      <c r="Q1262" s="165" t="n">
        <v>200</v>
      </c>
      <c r="R1262" s="165" t="n">
        <v>200</v>
      </c>
      <c r="S1262" s="165" t="n">
        <v>200</v>
      </c>
      <c r="T1262" s="165" t="n">
        <v>0</v>
      </c>
      <c r="U1262" s="166" t="n">
        <v>200</v>
      </c>
      <c r="V1262" s="166" t="n">
        <v>0</v>
      </c>
      <c r="W1262" t="inlineStr">
        <is>
          <t>X</t>
        </is>
      </c>
      <c r="X1262" t="inlineStr">
        <is>
          <t>0.00</t>
        </is>
      </c>
      <c r="Y1262" t="inlineStr"/>
      <c r="Z1262" t="inlineStr">
        <is>
          <t>INFORMATICA CALCULO Y TECNICA, S.A.</t>
        </is>
      </c>
      <c r="AA1262" t="inlineStr">
        <is>
          <t>RS</t>
        </is>
      </c>
      <c r="AB1262" t="inlineStr">
        <is>
          <t>606-709</t>
        </is>
      </c>
      <c r="AC1262" t="inlineStr"/>
      <c r="AD1262" s="164" t="n">
        <v>0</v>
      </c>
      <c r="AE1262" s="185" t="n">
        <v>0</v>
      </c>
      <c r="AG1262" s="167" t="inlineStr">
        <is>
          <t>7218|JA2583_1001</t>
        </is>
      </c>
      <c r="AH1262" s="47">
        <f>IF(M1262=0,"-",M1262-J1262)</f>
        <v/>
      </c>
      <c r="AI1262" s="46">
        <f>IF(AND(S1262=0,M1262&gt;0,L1262=0),IF(AH1262&gt;=120,"VERY HIGH",IF(AH1262&gt;=90,"HIGH",IF(AH1262&gt;=60,"MEDIUM",IF(AH1262&lt;60,"LOW")))),"-")</f>
        <v/>
      </c>
      <c r="AJ1262" s="12" t="n"/>
      <c r="AK1262" s="53">
        <f>IF(AND(W1262="X",M1262&lt;=$AJ$2),"YES","")</f>
        <v/>
      </c>
      <c r="AL1262" s="54">
        <f>IF(AND(W1262="X",M1262&lt;=$AJ$2),S1262,"")</f>
        <v/>
      </c>
      <c r="AM1262" s="35" t="n"/>
      <c r="AN1262" s="35">
        <f>IF(AND(W1262="X",M1262&gt;$AJ$2),S1262,"")</f>
        <v/>
      </c>
      <c r="AO1262" s="35">
        <f>IF(AND(W1262="",M1262&gt;0,$AJ$2&gt;M1262,L1262=""),1,0)</f>
        <v/>
      </c>
      <c r="AP1262" s="35">
        <f>IF(AND(AK1262="YES",W1262="X"),"X","")</f>
        <v/>
      </c>
      <c r="AQ1262" s="55">
        <f>IF(AP1262="X",100%,0%)</f>
        <v/>
      </c>
      <c r="AR1262" s="25">
        <f>IF(AND(T1262&gt;0,L1262=""),H1262,"")</f>
        <v/>
      </c>
      <c r="AS1262" s="25">
        <f>IF(AND(D1262&gt;0,H1262=0,G1262=""),1,"")</f>
        <v/>
      </c>
      <c r="AT1262" s="25">
        <f>IF(G1262="BLOQ",1,"")</f>
        <v/>
      </c>
      <c r="AU1262" s="25">
        <f>IF(L1262="BLOQ",1,"")</f>
        <v/>
      </c>
      <c r="AV1262" s="25">
        <f>MONTH(F1262)</f>
        <v/>
      </c>
      <c r="AW1262" s="65">
        <f>IF(AP1262="",100%,0%)</f>
        <v/>
      </c>
      <c r="AX1262" s="56" t="n"/>
      <c r="AY1262" s="24">
        <f>IF(M1262=0,"",M1262-$AX$2)</f>
        <v/>
      </c>
      <c r="AZ1262" s="66">
        <f>IF(AND(W1262="",AY1262&gt;0,AY1262&lt;15),1,0)</f>
        <v/>
      </c>
      <c r="BA1262" s="24">
        <f>IF(AND(W1262="",AY1262&gt;0,AY1262&lt;15),T1262,"")</f>
        <v/>
      </c>
      <c r="BB1262" s="87">
        <f>IF(R1262&lt;Q1262,"X","")</f>
        <v/>
      </c>
      <c r="BC1262" s="190" t="inlineStr">
        <is>
          <t>NO</t>
        </is>
      </c>
      <c r="BD1262" s="191" t="inlineStr">
        <is>
          <t>SI</t>
        </is>
      </c>
    </row>
    <row r="1263" ht="15" customHeight="1" s="162">
      <c r="A1263" s="7" t="n">
        <v>1262</v>
      </c>
      <c r="B1263" t="inlineStr">
        <is>
          <t>1000242000103</t>
        </is>
      </c>
      <c r="C1263" t="inlineStr">
        <is>
          <t>RST PELMET AXI 2K00 0.1% 15PPM 1/4W ROHS</t>
        </is>
      </c>
      <c r="D1263" t="inlineStr">
        <is>
          <t>1800111888</t>
        </is>
      </c>
      <c r="E1263" t="inlineStr">
        <is>
          <t>10</t>
        </is>
      </c>
      <c r="F1263" s="163" t="n">
        <v>45524</v>
      </c>
      <c r="G1263" t="inlineStr"/>
      <c r="H1263" t="inlineStr">
        <is>
          <t>4200575813</t>
        </is>
      </c>
      <c r="I1263" t="inlineStr">
        <is>
          <t>530</t>
        </is>
      </c>
      <c r="J1263" s="163" t="n">
        <v>45537</v>
      </c>
      <c r="K1263" s="163" t="n">
        <v>45538</v>
      </c>
      <c r="L1263" t="inlineStr"/>
      <c r="M1263" s="163" t="n">
        <v>45586</v>
      </c>
      <c r="N1263" s="164" t="n">
        <v>100</v>
      </c>
      <c r="O1263" s="164" t="n">
        <v>8</v>
      </c>
      <c r="P1263" t="inlineStr">
        <is>
          <t>Liberado</t>
        </is>
      </c>
      <c r="Q1263" s="165" t="n">
        <v>50</v>
      </c>
      <c r="R1263" s="165" t="n">
        <v>50</v>
      </c>
      <c r="S1263" s="165" t="n">
        <v>50</v>
      </c>
      <c r="T1263" s="165" t="n">
        <v>0</v>
      </c>
      <c r="U1263" s="166" t="n">
        <v>50</v>
      </c>
      <c r="V1263" s="166" t="n">
        <v>0</v>
      </c>
      <c r="W1263" t="inlineStr">
        <is>
          <t>X</t>
        </is>
      </c>
      <c r="X1263" t="inlineStr">
        <is>
          <t>0.00</t>
        </is>
      </c>
      <c r="Y1263" t="inlineStr"/>
      <c r="Z1263" t="inlineStr">
        <is>
          <t>ICOMPPLUS ELECTRONICS S.L</t>
        </is>
      </c>
      <c r="AA1263" t="inlineStr">
        <is>
          <t>TE CONNECTIVITY</t>
        </is>
      </c>
      <c r="AB1263" t="inlineStr">
        <is>
          <t>YR1B2K0CC</t>
        </is>
      </c>
      <c r="AC1263" t="inlineStr"/>
      <c r="AD1263" s="164" t="n">
        <v>1</v>
      </c>
      <c r="AE1263" s="185" t="n">
        <v>0</v>
      </c>
      <c r="AG1263" s="167" t="inlineStr">
        <is>
          <t>7218|JA2581_1001</t>
        </is>
      </c>
      <c r="AH1263" s="47">
        <f>IF(M1263=0,"-",M1263-J1263)</f>
        <v/>
      </c>
      <c r="AI1263" s="46">
        <f>IF(AND(S1263=0,M1263&gt;0,L1263=0),IF(AH1263&gt;=120,"VERY HIGH",IF(AH1263&gt;=90,"HIGH",IF(AH1263&gt;=60,"MEDIUM",IF(AH1263&lt;60,"LOW")))),"-")</f>
        <v/>
      </c>
      <c r="AJ1263" s="12" t="n"/>
      <c r="AK1263" s="53">
        <f>IF(AND(W1263="X",M1263&lt;=$AJ$2),"YES","")</f>
        <v/>
      </c>
      <c r="AL1263" s="54">
        <f>IF(AND(W1263="X",M1263&lt;=$AJ$2),S1263,"")</f>
        <v/>
      </c>
      <c r="AM1263" s="35" t="n"/>
      <c r="AN1263" s="35">
        <f>IF(AND(W1263="X",M1263&gt;$AJ$2),S1263,"")</f>
        <v/>
      </c>
      <c r="AO1263" s="35">
        <f>IF(AND(W1263="",M1263&gt;0,$AJ$2&gt;M1263,L1263=""),1,0)</f>
        <v/>
      </c>
      <c r="AP1263" s="35">
        <f>IF(AND(AK1263="YES",W1263="X"),"X","")</f>
        <v/>
      </c>
      <c r="AQ1263" s="55">
        <f>IF(AP1263="X",100%,0%)</f>
        <v/>
      </c>
      <c r="AR1263" s="25">
        <f>IF(AND(T1263&gt;0,L1263=""),H1263,"")</f>
        <v/>
      </c>
      <c r="AS1263" s="25">
        <f>IF(AND(D1263&gt;0,H1263=0,G1263=""),1,"")</f>
        <v/>
      </c>
      <c r="AT1263" s="25">
        <f>IF(G1263="BLOQ",1,"")</f>
        <v/>
      </c>
      <c r="AU1263" s="25">
        <f>IF(L1263="BLOQ",1,"")</f>
        <v/>
      </c>
      <c r="AV1263" s="25">
        <f>MONTH(F1263)</f>
        <v/>
      </c>
      <c r="AW1263" s="65">
        <f>IF(AP1263="",100%,0%)</f>
        <v/>
      </c>
      <c r="AX1263" s="56" t="n"/>
      <c r="AY1263" s="24">
        <f>IF(M1263=0,"",M1263-$AX$2)</f>
        <v/>
      </c>
      <c r="AZ1263" s="66">
        <f>IF(AND(W1263="",AY1263&gt;0,AY1263&lt;15),1,0)</f>
        <v/>
      </c>
      <c r="BA1263" s="24">
        <f>IF(AND(W1263="",AY1263&gt;0,AY1263&lt;15),T1263,"")</f>
        <v/>
      </c>
      <c r="BB1263" s="87">
        <f>IF(R1263&lt;Q1263,"X","")</f>
        <v/>
      </c>
      <c r="BC1263" s="190" t="inlineStr">
        <is>
          <t>NO</t>
        </is>
      </c>
      <c r="BD1263" s="191" t="inlineStr">
        <is>
          <t>SI</t>
        </is>
      </c>
    </row>
    <row r="1264" ht="15" customHeight="1" s="162">
      <c r="A1264" s="7" t="n">
        <v>1263</v>
      </c>
      <c r="B1264" t="inlineStr">
        <is>
          <t>1004743006009</t>
        </is>
      </c>
      <c r="C1264" t="inlineStr">
        <is>
          <t>TERMISTOR NTC 3K0 +-0.2K 60MW 2.41X6.5MM</t>
        </is>
      </c>
      <c r="D1264" t="inlineStr">
        <is>
          <t>1800111888</t>
        </is>
      </c>
      <c r="E1264" t="inlineStr">
        <is>
          <t>20</t>
        </is>
      </c>
      <c r="F1264" s="163" t="n">
        <v>45524</v>
      </c>
      <c r="G1264" t="inlineStr"/>
      <c r="H1264" t="inlineStr">
        <is>
          <t>4200575669</t>
        </is>
      </c>
      <c r="I1264" t="inlineStr">
        <is>
          <t>20</t>
        </is>
      </c>
      <c r="J1264" s="163" t="n">
        <v>45533</v>
      </c>
      <c r="K1264" s="163" t="n">
        <v>45533</v>
      </c>
      <c r="L1264" t="inlineStr"/>
      <c r="M1264" s="163" t="n">
        <v>45548</v>
      </c>
      <c r="N1264" s="164" t="n">
        <v>100</v>
      </c>
      <c r="O1264" s="164" t="n">
        <v>8</v>
      </c>
      <c r="P1264" t="inlineStr">
        <is>
          <t>Liberado</t>
        </is>
      </c>
      <c r="Q1264" s="165" t="n">
        <v>50</v>
      </c>
      <c r="R1264" s="165" t="n">
        <v>50</v>
      </c>
      <c r="S1264" s="165" t="n">
        <v>50</v>
      </c>
      <c r="T1264" s="165" t="n">
        <v>0</v>
      </c>
      <c r="U1264" s="166" t="n">
        <v>50</v>
      </c>
      <c r="V1264" s="166" t="n">
        <v>0</v>
      </c>
      <c r="W1264" t="inlineStr">
        <is>
          <t>X</t>
        </is>
      </c>
      <c r="X1264" t="inlineStr">
        <is>
          <t>0.00</t>
        </is>
      </c>
      <c r="Y1264" t="inlineStr"/>
      <c r="Z1264" t="inlineStr">
        <is>
          <t>OMNIAELECTRONICS, S.L.</t>
        </is>
      </c>
      <c r="AA1264" t="inlineStr">
        <is>
          <t>EPCOS AG</t>
        </is>
      </c>
      <c r="AB1264" t="inlineStr">
        <is>
          <t>B57863S0302F040</t>
        </is>
      </c>
      <c r="AC1264" t="inlineStr"/>
      <c r="AD1264" s="164" t="n">
        <v>0</v>
      </c>
      <c r="AE1264" s="185" t="n">
        <v>0</v>
      </c>
      <c r="AG1264" s="167" t="inlineStr">
        <is>
          <t>7218|JA2581_1001</t>
        </is>
      </c>
      <c r="AH1264" s="47">
        <f>IF(M1264=0,"-",M1264-J1264)</f>
        <v/>
      </c>
      <c r="AI1264" s="46">
        <f>IF(AND(S1264=0,M1264&gt;0,L1264=0),IF(AH1264&gt;=120,"VERY HIGH",IF(AH1264&gt;=90,"HIGH",IF(AH1264&gt;=60,"MEDIUM",IF(AH1264&lt;60,"LOW")))),"-")</f>
        <v/>
      </c>
      <c r="AJ1264" s="12" t="n"/>
      <c r="AK1264" s="53">
        <f>IF(AND(W1264="X",M1264&lt;=$AJ$2),"YES","")</f>
        <v/>
      </c>
      <c r="AL1264" s="54">
        <f>IF(AND(W1264="X",M1264&lt;=$AJ$2),S1264,"")</f>
        <v/>
      </c>
      <c r="AM1264" s="35" t="n"/>
      <c r="AN1264" s="35">
        <f>IF(AND(W1264="X",M1264&gt;$AJ$2),S1264,"")</f>
        <v/>
      </c>
      <c r="AO1264" s="35">
        <f>IF(AND(W1264="",M1264&gt;0,$AJ$2&gt;M1264,L1264=""),1,0)</f>
        <v/>
      </c>
      <c r="AP1264" s="35">
        <f>IF(AND(AK1264="YES",W1264="X"),"X","")</f>
        <v/>
      </c>
      <c r="AQ1264" s="55">
        <f>IF(AP1264="X",100%,0%)</f>
        <v/>
      </c>
      <c r="AR1264" s="25">
        <f>IF(AND(T1264&gt;0,L1264=""),H1264,"")</f>
        <v/>
      </c>
      <c r="AS1264" s="25">
        <f>IF(AND(D1264&gt;0,H1264=0,G1264=""),1,"")</f>
        <v/>
      </c>
      <c r="AT1264" s="25">
        <f>IF(G1264="BLOQ",1,"")</f>
        <v/>
      </c>
      <c r="AU1264" s="25">
        <f>IF(L1264="BLOQ",1,"")</f>
        <v/>
      </c>
      <c r="AV1264" s="25">
        <f>MONTH(F1264)</f>
        <v/>
      </c>
      <c r="AW1264" s="65">
        <f>IF(AP1264="",100%,0%)</f>
        <v/>
      </c>
      <c r="AX1264" s="56" t="n"/>
      <c r="AY1264" s="24">
        <f>IF(M1264=0,"",M1264-$AX$2)</f>
        <v/>
      </c>
      <c r="AZ1264" s="66">
        <f>IF(AND(W1264="",AY1264&gt;0,AY1264&lt;15),1,0)</f>
        <v/>
      </c>
      <c r="BA1264" s="24">
        <f>IF(AND(W1264="",AY1264&gt;0,AY1264&lt;15),T1264,"")</f>
        <v/>
      </c>
      <c r="BB1264" s="87">
        <f>IF(R1264&lt;Q1264,"X","")</f>
        <v/>
      </c>
      <c r="BC1264" s="190" t="inlineStr">
        <is>
          <t>NO</t>
        </is>
      </c>
      <c r="BD1264" s="191" t="inlineStr">
        <is>
          <t>SI</t>
        </is>
      </c>
    </row>
    <row r="1265" ht="15" customHeight="1" s="162">
      <c r="A1265" s="7" t="n">
        <v>1264</v>
      </c>
      <c r="B1265" t="inlineStr">
        <is>
          <t>1231024570900</t>
        </is>
      </c>
      <c r="C1265" t="inlineStr">
        <is>
          <t>TAPA TERMO 4:1 POLEO 5,72-1,27MM L=30MM</t>
        </is>
      </c>
      <c r="D1265" t="inlineStr">
        <is>
          <t>1800111888</t>
        </is>
      </c>
      <c r="E1265" t="inlineStr">
        <is>
          <t>30</t>
        </is>
      </c>
      <c r="F1265" s="163" t="n">
        <v>45524</v>
      </c>
      <c r="G1265" t="inlineStr"/>
      <c r="H1265" t="inlineStr">
        <is>
          <t>4200577486</t>
        </is>
      </c>
      <c r="I1265" t="inlineStr">
        <is>
          <t>50</t>
        </is>
      </c>
      <c r="J1265" s="163" t="n">
        <v>45551</v>
      </c>
      <c r="K1265" s="163" t="n">
        <v>45560</v>
      </c>
      <c r="L1265" t="inlineStr">
        <is>
          <t>BORR</t>
        </is>
      </c>
      <c r="M1265" s="163" t="n">
        <v>45556</v>
      </c>
      <c r="N1265" s="164" t="n">
        <v>60</v>
      </c>
      <c r="O1265" s="164" t="n">
        <v>8</v>
      </c>
      <c r="P1265" t="inlineStr">
        <is>
          <t>Liberado</t>
        </is>
      </c>
      <c r="Q1265" s="165" t="n">
        <v>500</v>
      </c>
      <c r="R1265" s="165" t="n">
        <v>500</v>
      </c>
      <c r="S1265" s="165" t="n">
        <v>0</v>
      </c>
      <c r="T1265" s="165" t="n">
        <v>500</v>
      </c>
      <c r="U1265" s="166" t="n">
        <v>0</v>
      </c>
      <c r="V1265" s="166" t="n">
        <v>0</v>
      </c>
      <c r="W1265" t="inlineStr"/>
      <c r="X1265" t="inlineStr">
        <is>
          <t>61.35</t>
        </is>
      </c>
      <c r="Y1265" t="inlineStr"/>
      <c r="Z1265" t="inlineStr">
        <is>
          <t>FARNELL COMPONENTS, S.L.</t>
        </is>
      </c>
      <c r="AA1265" t="inlineStr">
        <is>
          <t>TE CONNECTIVITY</t>
        </is>
      </c>
      <c r="AB1265" t="inlineStr">
        <is>
          <t>ES-CAP-NO.1-C1-X-30MM</t>
        </is>
      </c>
      <c r="AC1265" t="inlineStr"/>
      <c r="AD1265" s="164" t="n">
        <v>0</v>
      </c>
      <c r="AE1265" s="185" t="n">
        <v>0</v>
      </c>
      <c r="AG1265" s="167" t="inlineStr">
        <is>
          <t>7218|JA2581_1001</t>
        </is>
      </c>
      <c r="AH1265" s="47">
        <f>IF(M1265=0,"-",M1265-J1265)</f>
        <v/>
      </c>
      <c r="AI1265" s="46">
        <f>IF(AND(S1265=0,M1265&gt;0,L1265=0),IF(AH1265&gt;=120,"VERY HIGH",IF(AH1265&gt;=90,"HIGH",IF(AH1265&gt;=60,"MEDIUM",IF(AH1265&lt;60,"LOW")))),"-")</f>
        <v/>
      </c>
      <c r="AJ1265" s="12" t="n"/>
      <c r="AK1265" s="53">
        <f>IF(AND(W1265="X",M1265&lt;=$AJ$2),"YES","")</f>
        <v/>
      </c>
      <c r="AL1265" s="54">
        <f>IF(AND(W1265="X",M1265&lt;=$AJ$2),S1265,"")</f>
        <v/>
      </c>
      <c r="AM1265" s="35" t="n"/>
      <c r="AN1265" s="35">
        <f>IF(AND(W1265="X",M1265&gt;$AJ$2),S1265,"")</f>
        <v/>
      </c>
      <c r="AO1265" s="35">
        <f>IF(AND(W1265="",M1265&gt;0,$AJ$2&gt;M1265,L1265=""),1,0)</f>
        <v/>
      </c>
      <c r="AP1265" s="35">
        <f>IF(AND(AK1265="YES",W1265="X"),"X","")</f>
        <v/>
      </c>
      <c r="AQ1265" s="55">
        <f>IF(AP1265="X",100%,0%)</f>
        <v/>
      </c>
      <c r="AR1265" s="25">
        <f>IF(AND(T1265&gt;0,L1265=""),H1265,"")</f>
        <v/>
      </c>
      <c r="AS1265" s="25">
        <f>IF(AND(D1265&gt;0,H1265=0,G1265=""),1,"")</f>
        <v/>
      </c>
      <c r="AT1265" s="25">
        <f>IF(G1265="BLOQ",1,"")</f>
        <v/>
      </c>
      <c r="AU1265" s="25">
        <f>IF(L1265="BLOQ",1,"")</f>
        <v/>
      </c>
      <c r="AV1265" s="25">
        <f>MONTH(F1265)</f>
        <v/>
      </c>
      <c r="AW1265" s="65">
        <f>IF(AP1265="",100%,0%)</f>
        <v/>
      </c>
      <c r="AX1265" s="56" t="n"/>
      <c r="AY1265" s="24">
        <f>IF(M1265=0,"",M1265-$AX$2)</f>
        <v/>
      </c>
      <c r="AZ1265" s="66">
        <f>IF(AND(W1265="",AY1265&gt;0,AY1265&lt;15),1,0)</f>
        <v/>
      </c>
      <c r="BA1265" s="24">
        <f>IF(AND(W1265="",AY1265&gt;0,AY1265&lt;15),T1265,"")</f>
        <v/>
      </c>
      <c r="BB1265" s="87">
        <f>IF(R1265&lt;Q1265,"X","")</f>
        <v/>
      </c>
      <c r="BC1265" s="190" t="inlineStr">
        <is>
          <t>NO</t>
        </is>
      </c>
      <c r="BD1265" s="191" t="inlineStr">
        <is>
          <t>SI</t>
        </is>
      </c>
    </row>
    <row r="1266" ht="15" customHeight="1" s="162">
      <c r="A1266" s="7" t="n">
        <v>1265</v>
      </c>
      <c r="B1266" t="inlineStr">
        <is>
          <t>1231024570900</t>
        </is>
      </c>
      <c r="C1266" t="inlineStr">
        <is>
          <t>TAPA TERMO 4:1 POLEO 5,72-1,27MM L=30MM</t>
        </is>
      </c>
      <c r="D1266" t="inlineStr">
        <is>
          <t>1800111888</t>
        </is>
      </c>
      <c r="E1266" t="inlineStr">
        <is>
          <t>30</t>
        </is>
      </c>
      <c r="F1266" s="163" t="n">
        <v>45524</v>
      </c>
      <c r="G1266" t="inlineStr"/>
      <c r="H1266" t="inlineStr">
        <is>
          <t>4200579563</t>
        </is>
      </c>
      <c r="I1266" t="inlineStr">
        <is>
          <t>490</t>
        </is>
      </c>
      <c r="J1266" s="163" t="n">
        <v>45567</v>
      </c>
      <c r="K1266" s="163" t="n">
        <v>45580</v>
      </c>
      <c r="L1266" t="inlineStr"/>
      <c r="M1266" s="163" t="n">
        <v>45581</v>
      </c>
      <c r="N1266" s="164" t="n">
        <v>60</v>
      </c>
      <c r="O1266" s="164" t="n">
        <v>8</v>
      </c>
      <c r="P1266" t="inlineStr">
        <is>
          <t>Liberado</t>
        </is>
      </c>
      <c r="Q1266" s="166" t="n">
        <v>500</v>
      </c>
      <c r="R1266" s="166" t="n">
        <v>500</v>
      </c>
      <c r="S1266" s="166" t="n">
        <v>500</v>
      </c>
      <c r="T1266" s="166" t="n">
        <v>0</v>
      </c>
      <c r="U1266" s="166" t="n">
        <v>500</v>
      </c>
      <c r="V1266" s="166" t="n">
        <v>0</v>
      </c>
      <c r="W1266" t="inlineStr">
        <is>
          <t>X</t>
        </is>
      </c>
      <c r="X1266" t="inlineStr">
        <is>
          <t>0.00</t>
        </is>
      </c>
      <c r="Y1266" t="inlineStr"/>
      <c r="Z1266" t="inlineStr">
        <is>
          <t>SUMINISTROS CONECTORES PROF.,SA.</t>
        </is>
      </c>
      <c r="AA1266" t="inlineStr">
        <is>
          <t>TE CONNECTIVITY</t>
        </is>
      </c>
      <c r="AB1266" t="inlineStr">
        <is>
          <t>ES-CAP-NO.1-C1-X-30MM</t>
        </is>
      </c>
      <c r="AC1266" t="inlineStr"/>
      <c r="AD1266" s="164" t="n">
        <v>0</v>
      </c>
      <c r="AE1266" s="185" t="n">
        <v>0</v>
      </c>
      <c r="AG1266" s="167" t="inlineStr">
        <is>
          <t>7218|JA2581_1001</t>
        </is>
      </c>
      <c r="AH1266" s="47">
        <f>IF(M1266=0,"-",M1266-J1266)</f>
        <v/>
      </c>
      <c r="AI1266" s="46">
        <f>IF(AND(S1266=0,M1266&gt;0,L1266=0),IF(AH1266&gt;=120,"VERY HIGH",IF(AH1266&gt;=90,"HIGH",IF(AH1266&gt;=60,"MEDIUM",IF(AH1266&lt;60,"LOW")))),"-")</f>
        <v/>
      </c>
      <c r="AJ1266" s="12" t="n"/>
      <c r="AK1266" s="53">
        <f>IF(AND(W1266="X",M1266&lt;=$AJ$2),"YES","")</f>
        <v/>
      </c>
      <c r="AL1266" s="54">
        <f>IF(AND(W1266="X",M1266&lt;=$AJ$2),S1266,"")</f>
        <v/>
      </c>
      <c r="AM1266" s="35" t="n"/>
      <c r="AN1266" s="35">
        <f>IF(AND(W1266="X",M1266&gt;$AJ$2),S1266,"")</f>
        <v/>
      </c>
      <c r="AO1266" s="35">
        <f>IF(AND(W1266="",M1266&gt;0,$AJ$2&gt;M1266,L1266=""),1,0)</f>
        <v/>
      </c>
      <c r="AP1266" s="35">
        <f>IF(AND(AK1266="YES",W1266="X"),"X","")</f>
        <v/>
      </c>
      <c r="AQ1266" s="55">
        <f>IF(AP1266="X",100%,0%)</f>
        <v/>
      </c>
      <c r="AR1266" s="25">
        <f>IF(AND(T1266&gt;0,L1266=""),H1266,"")</f>
        <v/>
      </c>
      <c r="AS1266" s="25">
        <f>IF(AND(D1266&gt;0,H1266=0,G1266=""),1,"")</f>
        <v/>
      </c>
      <c r="AT1266" s="25">
        <f>IF(G1266="BLOQ",1,"")</f>
        <v/>
      </c>
      <c r="AU1266" s="25">
        <f>IF(L1266="BLOQ",1,"")</f>
        <v/>
      </c>
      <c r="AV1266" s="25">
        <f>MONTH(F1266)</f>
        <v/>
      </c>
      <c r="AW1266" s="65">
        <f>IF(AP1266="",100%,0%)</f>
        <v/>
      </c>
      <c r="AX1266" s="56" t="n"/>
      <c r="AY1266" s="24">
        <f>IF(M1266=0,"",M1266-$AX$2)</f>
        <v/>
      </c>
      <c r="AZ1266" s="66">
        <f>IF(AND(W1266="",AY1266&gt;0,AY1266&lt;15),1,0)</f>
        <v/>
      </c>
      <c r="BA1266" s="24">
        <f>IF(AND(W1266="",AY1266&gt;0,AY1266&lt;15),T1266,"")</f>
        <v/>
      </c>
      <c r="BB1266" s="87">
        <f>IF(R1266&lt;Q1266,"X","")</f>
        <v/>
      </c>
      <c r="BC1266" s="190" t="inlineStr">
        <is>
          <t>NO</t>
        </is>
      </c>
      <c r="BD1266" s="191" t="inlineStr">
        <is>
          <t>SI</t>
        </is>
      </c>
    </row>
    <row r="1267" ht="15" customHeight="1" s="162">
      <c r="A1267" s="7" t="n">
        <v>1266</v>
      </c>
      <c r="B1267" t="inlineStr">
        <is>
          <t>1501233006000</t>
        </is>
      </c>
      <c r="C1267" t="inlineStr">
        <is>
          <t>TOR ALOM CRUC 4-40UNCX6 INOX DIN7985</t>
        </is>
      </c>
      <c r="D1267" t="inlineStr">
        <is>
          <t>1800111888</t>
        </is>
      </c>
      <c r="E1267" t="inlineStr">
        <is>
          <t>40</t>
        </is>
      </c>
      <c r="F1267" s="163" t="n">
        <v>45524</v>
      </c>
      <c r="G1267" t="inlineStr"/>
      <c r="H1267" t="inlineStr">
        <is>
          <t>4200589242</t>
        </is>
      </c>
      <c r="I1267" t="inlineStr">
        <is>
          <t>10</t>
        </is>
      </c>
      <c r="J1267" s="163" t="n">
        <v>45636</v>
      </c>
      <c r="K1267" s="163" t="n">
        <v>45637</v>
      </c>
      <c r="L1267" t="inlineStr"/>
      <c r="M1267" s="163" t="n">
        <v>45664</v>
      </c>
      <c r="N1267" s="164" t="n">
        <v>30</v>
      </c>
      <c r="O1267" s="164" t="n">
        <v>8</v>
      </c>
      <c r="P1267" t="inlineStr">
        <is>
          <t>Liberado</t>
        </is>
      </c>
      <c r="Q1267" s="165" t="n">
        <v>100</v>
      </c>
      <c r="R1267" s="165" t="n">
        <v>100</v>
      </c>
      <c r="S1267" s="165" t="n">
        <v>100</v>
      </c>
      <c r="T1267" s="165" t="n">
        <v>0</v>
      </c>
      <c r="U1267" s="166" t="n">
        <v>100</v>
      </c>
      <c r="V1267" s="166" t="n">
        <v>0</v>
      </c>
      <c r="W1267" t="inlineStr">
        <is>
          <t>X</t>
        </is>
      </c>
      <c r="X1267" t="inlineStr">
        <is>
          <t>0.00</t>
        </is>
      </c>
      <c r="Y1267" t="inlineStr"/>
      <c r="Z1267" t="inlineStr">
        <is>
          <t>TCX MICRO, S.L.U</t>
        </is>
      </c>
      <c r="AA1267" t="inlineStr">
        <is>
          <t>DIN</t>
        </is>
      </c>
      <c r="AB1267" t="inlineStr">
        <is>
          <t>DIN7985-4-40UNCX6-A2-70</t>
        </is>
      </c>
      <c r="AC1267" t="inlineStr"/>
      <c r="AD1267" s="164" t="n">
        <v>0</v>
      </c>
      <c r="AE1267" s="185" t="n">
        <v>0</v>
      </c>
      <c r="AG1267" s="167" t="inlineStr">
        <is>
          <t>7218|JA2581_1001</t>
        </is>
      </c>
      <c r="AH1267" s="47">
        <f>IF(M1267=0,"-",M1267-J1267)</f>
        <v/>
      </c>
      <c r="AI1267" s="46">
        <f>IF(AND(S1267=0,M1267&gt;0,L1267=0),IF(AH1267&gt;=120,"VERY HIGH",IF(AH1267&gt;=90,"HIGH",IF(AH1267&gt;=60,"MEDIUM",IF(AH1267&lt;60,"LOW")))),"-")</f>
        <v/>
      </c>
      <c r="AJ1267" s="12" t="n"/>
      <c r="AK1267" s="53">
        <f>IF(AND(W1267="X",M1267&lt;=$AJ$2),"YES","")</f>
        <v/>
      </c>
      <c r="AL1267" s="54">
        <f>IF(AND(W1267="X",M1267&lt;=$AJ$2),S1267,"")</f>
        <v/>
      </c>
      <c r="AM1267" s="35" t="n"/>
      <c r="AN1267" s="35">
        <f>IF(AND(W1267="X",M1267&gt;$AJ$2),S1267,"")</f>
        <v/>
      </c>
      <c r="AO1267" s="35">
        <f>IF(AND(W1267="",M1267&gt;0,$AJ$2&gt;M1267,L1267=""),1,0)</f>
        <v/>
      </c>
      <c r="AP1267" s="35">
        <f>IF(AND(AK1267="YES",W1267="X"),"X","")</f>
        <v/>
      </c>
      <c r="AQ1267" s="55">
        <f>IF(AP1267="X",100%,0%)</f>
        <v/>
      </c>
      <c r="AR1267" s="25">
        <f>IF(AND(T1267&gt;0,L1267=""),H1267,"")</f>
        <v/>
      </c>
      <c r="AS1267" s="25">
        <f>IF(AND(D1267&gt;0,H1267=0,G1267=""),1,"")</f>
        <v/>
      </c>
      <c r="AT1267" s="25">
        <f>IF(G1267="BLOQ",1,"")</f>
        <v/>
      </c>
      <c r="AU1267" s="25">
        <f>IF(L1267="BLOQ",1,"")</f>
        <v/>
      </c>
      <c r="AV1267" s="25">
        <f>MONTH(F1267)</f>
        <v/>
      </c>
      <c r="AW1267" s="65">
        <f>IF(AP1267="",100%,0%)</f>
        <v/>
      </c>
      <c r="AX1267" s="56" t="n"/>
      <c r="AY1267" s="24">
        <f>IF(M1267=0,"",M1267-$AX$2)</f>
        <v/>
      </c>
      <c r="AZ1267" s="66">
        <f>IF(AND(W1267="",AY1267&gt;0,AY1267&lt;15),1,0)</f>
        <v/>
      </c>
      <c r="BA1267" s="24">
        <f>IF(AND(W1267="",AY1267&gt;0,AY1267&lt;15),T1267,"")</f>
        <v/>
      </c>
      <c r="BB1267" s="87">
        <f>IF(R1267&lt;Q1267,"X","")</f>
        <v/>
      </c>
      <c r="BC1267" s="190" t="inlineStr">
        <is>
          <t>NO</t>
        </is>
      </c>
      <c r="BD1267" s="191" t="inlineStr">
        <is>
          <t>SI</t>
        </is>
      </c>
    </row>
    <row r="1268" ht="15" customHeight="1" s="162">
      <c r="A1268" s="7" t="n">
        <v>1267</v>
      </c>
      <c r="B1268" t="inlineStr">
        <is>
          <t>1540915000001</t>
        </is>
      </c>
      <c r="C1268" t="inlineStr">
        <is>
          <t>ARA ABA EXT P/M5 INOX DIN 6798A</t>
        </is>
      </c>
      <c r="D1268" t="inlineStr">
        <is>
          <t>1800111888</t>
        </is>
      </c>
      <c r="E1268" t="inlineStr">
        <is>
          <t>50</t>
        </is>
      </c>
      <c r="F1268" s="163" t="n">
        <v>45524</v>
      </c>
      <c r="G1268" t="inlineStr"/>
      <c r="H1268" t="inlineStr">
        <is>
          <t>4200585891</t>
        </is>
      </c>
      <c r="I1268" t="inlineStr">
        <is>
          <t>10</t>
        </is>
      </c>
      <c r="J1268" s="163" t="n">
        <v>45611</v>
      </c>
      <c r="K1268" s="163" t="n">
        <v>45621</v>
      </c>
      <c r="L1268" t="inlineStr"/>
      <c r="M1268" s="163" t="n">
        <v>45621</v>
      </c>
      <c r="N1268" s="164" t="n">
        <v>30</v>
      </c>
      <c r="O1268" s="164" t="n">
        <v>8</v>
      </c>
      <c r="P1268" t="inlineStr">
        <is>
          <t>Liberado</t>
        </is>
      </c>
      <c r="Q1268" s="165" t="n">
        <v>150</v>
      </c>
      <c r="R1268" s="165" t="n">
        <v>1000</v>
      </c>
      <c r="S1268" s="165" t="n">
        <v>1000</v>
      </c>
      <c r="T1268" s="165" t="n">
        <v>0</v>
      </c>
      <c r="U1268" s="166" t="n">
        <v>1000</v>
      </c>
      <c r="V1268" s="166" t="n">
        <v>0</v>
      </c>
      <c r="W1268" t="inlineStr">
        <is>
          <t>X</t>
        </is>
      </c>
      <c r="X1268" t="inlineStr">
        <is>
          <t>0.00</t>
        </is>
      </c>
      <c r="Y1268" t="inlineStr"/>
      <c r="Z1268" t="inlineStr">
        <is>
          <t>ALMACENES DELCA, S.A.</t>
        </is>
      </c>
      <c r="AA1268" t="inlineStr">
        <is>
          <t>DIN</t>
        </is>
      </c>
      <c r="AB1268" t="inlineStr">
        <is>
          <t>DIN6798-A5,1-A2</t>
        </is>
      </c>
      <c r="AC1268" t="inlineStr"/>
      <c r="AD1268" s="164" t="n">
        <v>0</v>
      </c>
      <c r="AE1268" s="185" t="n">
        <v>0</v>
      </c>
      <c r="AG1268" s="167" t="inlineStr">
        <is>
          <t>7218|JA2581_1001</t>
        </is>
      </c>
      <c r="AH1268" s="47">
        <f>IF(M1268=0,"-",M1268-J1268)</f>
        <v/>
      </c>
      <c r="AI1268" s="46">
        <f>IF(AND(S1268=0,M1268&gt;0,L1268=0),IF(AH1268&gt;=120,"VERY HIGH",IF(AH1268&gt;=90,"HIGH",IF(AH1268&gt;=60,"MEDIUM",IF(AH1268&lt;60,"LOW")))),"-")</f>
        <v/>
      </c>
      <c r="AJ1268" s="12" t="n"/>
      <c r="AK1268" s="53">
        <f>IF(AND(W1268="X",M1268&lt;=$AJ$2),"YES","")</f>
        <v/>
      </c>
      <c r="AL1268" s="54">
        <f>IF(AND(W1268="X",M1268&lt;=$AJ$2),S1268,"")</f>
        <v/>
      </c>
      <c r="AM1268" s="35" t="n"/>
      <c r="AN1268" s="35">
        <f>IF(AND(W1268="X",M1268&gt;$AJ$2),S1268,"")</f>
        <v/>
      </c>
      <c r="AO1268" s="35">
        <f>IF(AND(W1268="",M1268&gt;0,$AJ$2&gt;M1268,L1268=""),1,0)</f>
        <v/>
      </c>
      <c r="AP1268" s="35">
        <f>IF(AND(AK1268="YES",W1268="X"),"X","")</f>
        <v/>
      </c>
      <c r="AQ1268" s="55">
        <f>IF(AP1268="X",100%,0%)</f>
        <v/>
      </c>
      <c r="AR1268" s="25">
        <f>IF(AND(T1268&gt;0,L1268=""),H1268,"")</f>
        <v/>
      </c>
      <c r="AS1268" s="25">
        <f>IF(AND(D1268&gt;0,H1268=0,G1268=""),1,"")</f>
        <v/>
      </c>
      <c r="AT1268" s="25">
        <f>IF(G1268="BLOQ",1,"")</f>
        <v/>
      </c>
      <c r="AU1268" s="25">
        <f>IF(L1268="BLOQ",1,"")</f>
        <v/>
      </c>
      <c r="AV1268" s="25">
        <f>MONTH(F1268)</f>
        <v/>
      </c>
      <c r="AW1268" s="65">
        <f>IF(AP1268="",100%,0%)</f>
        <v/>
      </c>
      <c r="AX1268" s="56" t="n"/>
      <c r="AY1268" s="24">
        <f>IF(M1268=0,"",M1268-$AX$2)</f>
        <v/>
      </c>
      <c r="AZ1268" s="66">
        <f>IF(AND(W1268="",AY1268&gt;0,AY1268&lt;15),1,0)</f>
        <v/>
      </c>
      <c r="BA1268" s="24">
        <f>IF(AND(W1268="",AY1268&gt;0,AY1268&lt;15),T1268,"")</f>
        <v/>
      </c>
      <c r="BB1268" s="87">
        <f>IF(R1268&lt;Q1268,"X","")</f>
        <v/>
      </c>
      <c r="BC1268" s="190" t="inlineStr">
        <is>
          <t>NO</t>
        </is>
      </c>
      <c r="BD1268" s="191" t="inlineStr">
        <is>
          <t>SI</t>
        </is>
      </c>
    </row>
    <row r="1269" ht="15" customHeight="1" s="162">
      <c r="A1269" s="7" t="n">
        <v>1268</v>
      </c>
      <c r="B1269" t="inlineStr">
        <is>
          <t>1209994000011</t>
        </is>
      </c>
      <c r="C1269" t="inlineStr">
        <is>
          <t>ACC P/CNC SUB-D 4-40UNC ROHS</t>
        </is>
      </c>
      <c r="D1269" t="inlineStr">
        <is>
          <t>1800111889</t>
        </is>
      </c>
      <c r="E1269" t="inlineStr">
        <is>
          <t>10</t>
        </is>
      </c>
      <c r="F1269" s="163" t="n">
        <v>45524</v>
      </c>
      <c r="G1269" t="inlineStr"/>
      <c r="H1269" t="inlineStr">
        <is>
          <t>4200576577</t>
        </is>
      </c>
      <c r="I1269" t="inlineStr">
        <is>
          <t>20</t>
        </is>
      </c>
      <c r="J1269" s="163" t="n">
        <v>45544</v>
      </c>
      <c r="K1269" s="163" t="n">
        <v>45545</v>
      </c>
      <c r="L1269" t="inlineStr"/>
      <c r="M1269" s="163" t="n">
        <v>45757</v>
      </c>
      <c r="N1269" s="164" t="n">
        <v>85</v>
      </c>
      <c r="O1269" s="164" t="n">
        <v>8</v>
      </c>
      <c r="P1269" t="inlineStr">
        <is>
          <t>Liberado</t>
        </is>
      </c>
      <c r="Q1269" s="165" t="n">
        <v>200</v>
      </c>
      <c r="R1269" s="165" t="n">
        <v>210</v>
      </c>
      <c r="S1269" s="165" t="n">
        <v>210</v>
      </c>
      <c r="T1269" s="165" t="n">
        <v>0</v>
      </c>
      <c r="U1269" s="166" t="n">
        <v>210</v>
      </c>
      <c r="V1269" s="166" t="n">
        <v>0</v>
      </c>
      <c r="W1269" t="inlineStr">
        <is>
          <t>X</t>
        </is>
      </c>
      <c r="X1269" t="inlineStr">
        <is>
          <t>0.00</t>
        </is>
      </c>
      <c r="Y1269" t="inlineStr"/>
      <c r="Z1269" t="inlineStr">
        <is>
          <t>ICOMPPLUS ELECTRONICS S.L</t>
        </is>
      </c>
      <c r="AA1269" t="inlineStr">
        <is>
          <t>ITT CANNON</t>
        </is>
      </c>
      <c r="AB1269" t="inlineStr">
        <is>
          <t>D20420-158</t>
        </is>
      </c>
      <c r="AC1269" t="inlineStr"/>
      <c r="AD1269" s="164" t="n">
        <v>0</v>
      </c>
      <c r="AE1269" s="185" t="n">
        <v>0</v>
      </c>
      <c r="AG1269" s="167" t="inlineStr">
        <is>
          <t>7218|JA2581_1001</t>
        </is>
      </c>
      <c r="AH1269" s="47">
        <f>IF(M1269=0,"-",M1269-J1269)</f>
        <v/>
      </c>
      <c r="AI1269" s="46">
        <f>IF(AND(S1269=0,M1269&gt;0,L1269=0),IF(AH1269&gt;=120,"VERY HIGH",IF(AH1269&gt;=90,"HIGH",IF(AH1269&gt;=60,"MEDIUM",IF(AH1269&lt;60,"LOW")))),"-")</f>
        <v/>
      </c>
      <c r="AJ1269" s="12" t="n"/>
      <c r="AK1269" s="53">
        <f>IF(AND(W1269="X",M1269&lt;=$AJ$2),"YES","")</f>
        <v/>
      </c>
      <c r="AL1269" s="54">
        <f>IF(AND(W1269="X",M1269&lt;=$AJ$2),S1269,"")</f>
        <v/>
      </c>
      <c r="AM1269" s="35" t="n"/>
      <c r="AN1269" s="35">
        <f>IF(AND(W1269="X",M1269&gt;$AJ$2),S1269,"")</f>
        <v/>
      </c>
      <c r="AO1269" s="35">
        <f>IF(AND(W1269="",M1269&gt;0,$AJ$2&gt;M1269,L1269=""),1,0)</f>
        <v/>
      </c>
      <c r="AP1269" s="35">
        <f>IF(AND(AK1269="YES",W1269="X"),"X","")</f>
        <v/>
      </c>
      <c r="AQ1269" s="55">
        <f>IF(AP1269="X",100%,0%)</f>
        <v/>
      </c>
      <c r="AR1269" s="25">
        <f>IF(AND(T1269&gt;0,L1269=""),H1269,"")</f>
        <v/>
      </c>
      <c r="AS1269" s="25">
        <f>IF(AND(D1269&gt;0,H1269=0,G1269=""),1,"")</f>
        <v/>
      </c>
      <c r="AT1269" s="25">
        <f>IF(G1269="BLOQ",1,"")</f>
        <v/>
      </c>
      <c r="AU1269" s="25">
        <f>IF(L1269="BLOQ",1,"")</f>
        <v/>
      </c>
      <c r="AV1269" s="25">
        <f>MONTH(F1269)</f>
        <v/>
      </c>
      <c r="AW1269" s="65">
        <f>IF(AP1269="",100%,0%)</f>
        <v/>
      </c>
      <c r="AX1269" s="56" t="n"/>
      <c r="AY1269" s="24">
        <f>IF(M1269=0,"",M1269-$AX$2)</f>
        <v/>
      </c>
      <c r="AZ1269" s="66">
        <f>IF(AND(W1269="",AY1269&gt;0,AY1269&lt;15),1,0)</f>
        <v/>
      </c>
      <c r="BA1269" s="24">
        <f>IF(AND(W1269="",AY1269&gt;0,AY1269&lt;15),T1269,"")</f>
        <v/>
      </c>
      <c r="BB1269" s="87">
        <f>IF(R1269&lt;Q1269,"X","")</f>
        <v/>
      </c>
      <c r="BC1269" s="190" t="inlineStr">
        <is>
          <t>NO</t>
        </is>
      </c>
      <c r="BD1269" s="191" t="inlineStr">
        <is>
          <t>SI</t>
        </is>
      </c>
    </row>
    <row r="1270" ht="15" customHeight="1" s="162">
      <c r="A1270" s="7" t="n">
        <v>1269</v>
      </c>
      <c r="B1270" t="inlineStr">
        <is>
          <t>1130115020300</t>
        </is>
      </c>
      <c r="C1270" t="inlineStr">
        <is>
          <t>RELE SPDT 5V/2A 1/8W S/PCB DIL-6 SELLADO</t>
        </is>
      </c>
      <c r="D1270" t="inlineStr">
        <is>
          <t>1800111910</t>
        </is>
      </c>
      <c r="E1270" t="inlineStr">
        <is>
          <t>10</t>
        </is>
      </c>
      <c r="F1270" s="163" t="n">
        <v>45524</v>
      </c>
      <c r="G1270" t="inlineStr"/>
      <c r="H1270" t="inlineStr">
        <is>
          <t>4200577265</t>
        </is>
      </c>
      <c r="I1270" t="inlineStr">
        <is>
          <t>250</t>
        </is>
      </c>
      <c r="J1270" s="163" t="n">
        <v>45548</v>
      </c>
      <c r="K1270" s="163" t="n">
        <v>45665</v>
      </c>
      <c r="L1270" t="inlineStr">
        <is>
          <t>BORR</t>
        </is>
      </c>
      <c r="M1270" s="163" t="n">
        <v>45555</v>
      </c>
      <c r="N1270" s="164" t="n">
        <v>29</v>
      </c>
      <c r="O1270" s="164" t="n">
        <v>0</v>
      </c>
      <c r="P1270" t="inlineStr">
        <is>
          <t>Liberado</t>
        </is>
      </c>
      <c r="Q1270" s="165" t="n">
        <v>10</v>
      </c>
      <c r="R1270" s="165" t="n">
        <v>10</v>
      </c>
      <c r="S1270" s="165" t="n">
        <v>0</v>
      </c>
      <c r="T1270" s="165" t="n">
        <v>10</v>
      </c>
      <c r="U1270" s="166" t="n">
        <v>0</v>
      </c>
      <c r="V1270" s="166" t="n">
        <v>0</v>
      </c>
      <c r="W1270" t="inlineStr"/>
      <c r="X1270" t="inlineStr">
        <is>
          <t>50.00</t>
        </is>
      </c>
      <c r="Y1270" t="inlineStr"/>
      <c r="Z1270" t="inlineStr">
        <is>
          <t>TELKRON, S.A.</t>
        </is>
      </c>
      <c r="AA1270" t="inlineStr">
        <is>
          <t>RS AMIDATA</t>
        </is>
      </c>
      <c r="AB1270" t="inlineStr">
        <is>
          <t>217-3087</t>
        </is>
      </c>
      <c r="AC1270" t="inlineStr"/>
      <c r="AD1270" s="164" t="n">
        <v>1</v>
      </c>
      <c r="AE1270" s="185" t="n">
        <v>1</v>
      </c>
      <c r="AG1270" s="167" t="inlineStr">
        <is>
          <t>7218|JA2581_1001</t>
        </is>
      </c>
      <c r="AH1270" s="47">
        <f>IF(M1270=0,"-",M1270-J1270)</f>
        <v/>
      </c>
      <c r="AI1270" s="46">
        <f>IF(AND(S1270=0,M1270&gt;0,L1270=0),IF(AH1270&gt;=120,"VERY HIGH",IF(AH1270&gt;=90,"HIGH",IF(AH1270&gt;=60,"MEDIUM",IF(AH1270&lt;60,"LOW")))),"-")</f>
        <v/>
      </c>
      <c r="AJ1270" s="12" t="n"/>
      <c r="AK1270" s="53">
        <f>IF(AND(W1270="X",M1270&lt;=$AJ$2),"YES","")</f>
        <v/>
      </c>
      <c r="AL1270" s="54">
        <f>IF(AND(W1270="X",M1270&lt;=$AJ$2),S1270,"")</f>
        <v/>
      </c>
      <c r="AM1270" s="35" t="n"/>
      <c r="AN1270" s="35">
        <f>IF(AND(W1270="X",M1270&gt;$AJ$2),S1270,"")</f>
        <v/>
      </c>
      <c r="AO1270" s="35">
        <f>IF(AND(W1270="",M1270&gt;0,$AJ$2&gt;M1270,L1270=""),1,0)</f>
        <v/>
      </c>
      <c r="AP1270" s="35">
        <f>IF(AND(AK1270="YES",W1270="X"),"X","")</f>
        <v/>
      </c>
      <c r="AQ1270" s="55">
        <f>IF(AP1270="X",100%,0%)</f>
        <v/>
      </c>
      <c r="AR1270" s="25">
        <f>IF(AND(T1270&gt;0,L1270=""),H1270,"")</f>
        <v/>
      </c>
      <c r="AS1270" s="25">
        <f>IF(AND(D1270&gt;0,H1270=0,G1270=""),1,"")</f>
        <v/>
      </c>
      <c r="AT1270" s="25">
        <f>IF(G1270="BLOQ",1,"")</f>
        <v/>
      </c>
      <c r="AU1270" s="25">
        <f>IF(L1270="BLOQ",1,"")</f>
        <v/>
      </c>
      <c r="AV1270" s="25">
        <f>MONTH(F1270)</f>
        <v/>
      </c>
      <c r="AW1270" s="65">
        <f>IF(AP1270="",100%,0%)</f>
        <v/>
      </c>
      <c r="AX1270" s="56" t="n"/>
      <c r="AY1270" s="24">
        <f>IF(M1270=0,"",M1270-$AX$2)</f>
        <v/>
      </c>
      <c r="AZ1270" s="66">
        <f>IF(AND(W1270="",AY1270&gt;0,AY1270&lt;15),1,0)</f>
        <v/>
      </c>
      <c r="BA1270" s="24">
        <f>IF(AND(W1270="",AY1270&gt;0,AY1270&lt;15),T1270,"")</f>
        <v/>
      </c>
      <c r="BB1270" s="87">
        <f>IF(R1270&lt;Q1270,"X","")</f>
        <v/>
      </c>
      <c r="BC1270" s="190" t="inlineStr">
        <is>
          <t>NO</t>
        </is>
      </c>
      <c r="BD1270" s="191" t="inlineStr">
        <is>
          <t>SI</t>
        </is>
      </c>
    </row>
    <row r="1271" ht="15" customHeight="1" s="162">
      <c r="A1271" s="7" t="n">
        <v>1270</v>
      </c>
      <c r="B1271" t="inlineStr">
        <is>
          <t>1130115020300</t>
        </is>
      </c>
      <c r="C1271" t="inlineStr">
        <is>
          <t>RELE SPDT 5V/2A 1/8W S/PCB DIL-6 SELLADO</t>
        </is>
      </c>
      <c r="D1271" t="inlineStr">
        <is>
          <t>1800111910</t>
        </is>
      </c>
      <c r="E1271" t="inlineStr">
        <is>
          <t>10</t>
        </is>
      </c>
      <c r="F1271" s="163" t="n">
        <v>45524</v>
      </c>
      <c r="G1271" t="inlineStr"/>
      <c r="H1271" t="inlineStr">
        <is>
          <t>4200579213</t>
        </is>
      </c>
      <c r="I1271" t="inlineStr">
        <is>
          <t>60</t>
        </is>
      </c>
      <c r="J1271" s="163" t="n">
        <v>45565</v>
      </c>
      <c r="K1271" s="163" t="n">
        <v>45567</v>
      </c>
      <c r="L1271" t="inlineStr"/>
      <c r="M1271" s="163" t="n">
        <v>45572</v>
      </c>
      <c r="N1271" s="164" t="n">
        <v>29</v>
      </c>
      <c r="O1271" s="164" t="n">
        <v>0</v>
      </c>
      <c r="P1271" t="inlineStr">
        <is>
          <t>Liberado</t>
        </is>
      </c>
      <c r="Q1271" s="165" t="n">
        <v>10</v>
      </c>
      <c r="R1271" s="165" t="n">
        <v>10</v>
      </c>
      <c r="S1271" s="165" t="n">
        <v>20</v>
      </c>
      <c r="T1271" s="165" t="n">
        <v>0</v>
      </c>
      <c r="U1271" s="166" t="n">
        <v>10</v>
      </c>
      <c r="V1271" s="166" t="n">
        <v>10</v>
      </c>
      <c r="W1271" t="inlineStr">
        <is>
          <t>X</t>
        </is>
      </c>
      <c r="X1271" t="inlineStr">
        <is>
          <t>0.00</t>
        </is>
      </c>
      <c r="Y1271" t="inlineStr"/>
      <c r="Z1271" t="inlineStr">
        <is>
          <t>TELKRON, S.A.</t>
        </is>
      </c>
      <c r="AA1271" t="inlineStr">
        <is>
          <t>RS AMIDATA</t>
        </is>
      </c>
      <c r="AB1271" t="inlineStr">
        <is>
          <t>217-3087</t>
        </is>
      </c>
      <c r="AC1271" t="inlineStr"/>
      <c r="AD1271" s="164" t="n">
        <v>0</v>
      </c>
      <c r="AE1271" s="185" t="n">
        <v>0</v>
      </c>
      <c r="AG1271" s="167" t="inlineStr">
        <is>
          <t>7218|JA2581_1001</t>
        </is>
      </c>
      <c r="AH1271" s="47">
        <f>IF(M1271=0,"-",M1271-J1271)</f>
        <v/>
      </c>
      <c r="AI1271" s="46">
        <f>IF(AND(S1271=0,M1271&gt;0,L1271=0),IF(AH1271&gt;=120,"VERY HIGH",IF(AH1271&gt;=90,"HIGH",IF(AH1271&gt;=60,"MEDIUM",IF(AH1271&lt;60,"LOW")))),"-")</f>
        <v/>
      </c>
      <c r="AJ1271" s="12" t="n"/>
      <c r="AK1271" s="53">
        <f>IF(AND(W1271="X",M1271&lt;=$AJ$2),"YES","")</f>
        <v/>
      </c>
      <c r="AL1271" s="54">
        <f>IF(AND(W1271="X",M1271&lt;=$AJ$2),S1271,"")</f>
        <v/>
      </c>
      <c r="AM1271" s="35" t="n"/>
      <c r="AN1271" s="35">
        <f>IF(AND(W1271="X",M1271&gt;$AJ$2),S1271,"")</f>
        <v/>
      </c>
      <c r="AO1271" s="35">
        <f>IF(AND(W1271="",M1271&gt;0,$AJ$2&gt;M1271,L1271=""),1,0)</f>
        <v/>
      </c>
      <c r="AP1271" s="35">
        <f>IF(AND(AK1271="YES",W1271="X"),"X","")</f>
        <v/>
      </c>
      <c r="AQ1271" s="55">
        <f>IF(AP1271="X",100%,0%)</f>
        <v/>
      </c>
      <c r="AR1271" s="25">
        <f>IF(AND(T1271&gt;0,L1271=""),H1271,"")</f>
        <v/>
      </c>
      <c r="AS1271" s="25">
        <f>IF(AND(D1271&gt;0,H1271=0,G1271=""),1,"")</f>
        <v/>
      </c>
      <c r="AT1271" s="25">
        <f>IF(G1271="BLOQ",1,"")</f>
        <v/>
      </c>
      <c r="AU1271" s="25">
        <f>IF(L1271="BLOQ",1,"")</f>
        <v/>
      </c>
      <c r="AV1271" s="25">
        <f>MONTH(F1271)</f>
        <v/>
      </c>
      <c r="AW1271" s="65">
        <f>IF(AP1271="",100%,0%)</f>
        <v/>
      </c>
      <c r="AX1271" s="56" t="n"/>
      <c r="AY1271" s="24">
        <f>IF(M1271=0,"",M1271-$AX$2)</f>
        <v/>
      </c>
      <c r="AZ1271" s="66">
        <f>IF(AND(W1271="",AY1271&gt;0,AY1271&lt;15),1,0)</f>
        <v/>
      </c>
      <c r="BA1271" s="24">
        <f>IF(AND(W1271="",AY1271&gt;0,AY1271&lt;15),T1271,"")</f>
        <v/>
      </c>
      <c r="BB1271" s="87">
        <f>IF(R1271&lt;Q1271,"X","")</f>
        <v/>
      </c>
      <c r="BC1271" s="190" t="inlineStr">
        <is>
          <t>NO</t>
        </is>
      </c>
      <c r="BD1271" s="191" t="inlineStr">
        <is>
          <t>SI</t>
        </is>
      </c>
    </row>
    <row r="1272" ht="15" customHeight="1" s="162">
      <c r="A1272" s="7" t="n">
        <v>1271</v>
      </c>
      <c r="B1272" t="inlineStr">
        <is>
          <t>1351001440100</t>
        </is>
      </c>
      <c r="C1272" t="inlineStr">
        <is>
          <t>T. CPU COMPACTPCI 3U E-2276ML 16GB-DDR4</t>
        </is>
      </c>
      <c r="D1272" t="inlineStr">
        <is>
          <t>1800111911</t>
        </is>
      </c>
      <c r="E1272" t="inlineStr">
        <is>
          <t>10</t>
        </is>
      </c>
      <c r="F1272" s="163" t="n">
        <v>45524</v>
      </c>
      <c r="G1272" t="inlineStr"/>
      <c r="H1272" t="inlineStr">
        <is>
          <t>4200577916</t>
        </is>
      </c>
      <c r="I1272" t="inlineStr">
        <is>
          <t>10</t>
        </is>
      </c>
      <c r="J1272" s="163" t="n">
        <v>45554</v>
      </c>
      <c r="K1272" s="163" t="n">
        <v>45555</v>
      </c>
      <c r="L1272" t="inlineStr"/>
      <c r="M1272" s="163" t="n">
        <v>45625</v>
      </c>
      <c r="N1272" s="164" t="n">
        <v>90</v>
      </c>
      <c r="O1272" s="164" t="n">
        <v>8</v>
      </c>
      <c r="P1272" t="inlineStr">
        <is>
          <t>Liberado</t>
        </is>
      </c>
      <c r="Q1272" s="165" t="n">
        <v>1</v>
      </c>
      <c r="R1272" s="165" t="n">
        <v>1</v>
      </c>
      <c r="S1272" s="165" t="n">
        <v>1</v>
      </c>
      <c r="T1272" s="165" t="n">
        <v>0</v>
      </c>
      <c r="U1272" s="166" t="n">
        <v>1</v>
      </c>
      <c r="V1272" s="166" t="n">
        <v>0</v>
      </c>
      <c r="W1272" t="inlineStr">
        <is>
          <t>X</t>
        </is>
      </c>
      <c r="X1272" t="inlineStr">
        <is>
          <t>0.00</t>
        </is>
      </c>
      <c r="Y1272" t="inlineStr"/>
      <c r="Z1272" t="inlineStr">
        <is>
          <t>QNV, S.L.</t>
        </is>
      </c>
      <c r="AA1272" t="inlineStr">
        <is>
          <t>ADLINK TECHNOLOGY/NU</t>
        </is>
      </c>
      <c r="AB1272" t="inlineStr">
        <is>
          <t>CPCI-3520/2276ML/M16/S128</t>
        </is>
      </c>
      <c r="AC1272" t="inlineStr"/>
      <c r="AD1272" s="164" t="n">
        <v>0</v>
      </c>
      <c r="AE1272" s="185" t="n">
        <v>0</v>
      </c>
      <c r="AG1272" s="167" t="inlineStr">
        <is>
          <t>7218|JA2586_1001</t>
        </is>
      </c>
      <c r="AH1272" s="47">
        <f>IF(M1272=0,"-",M1272-J1272)</f>
        <v/>
      </c>
      <c r="AI1272" s="46">
        <f>IF(AND(S1272=0,M1272&gt;0,L1272=0),IF(AH1272&gt;=120,"VERY HIGH",IF(AH1272&gt;=90,"HIGH",IF(AH1272&gt;=60,"MEDIUM",IF(AH1272&lt;60,"LOW")))),"-")</f>
        <v/>
      </c>
      <c r="AJ1272" s="12" t="n"/>
      <c r="AK1272" s="53">
        <f>IF(AND(W1272="X",M1272&lt;=$AJ$2),"YES","")</f>
        <v/>
      </c>
      <c r="AL1272" s="54">
        <f>IF(AND(W1272="X",M1272&lt;=$AJ$2),S1272,"")</f>
        <v/>
      </c>
      <c r="AM1272" s="35" t="n"/>
      <c r="AN1272" s="35">
        <f>IF(AND(W1272="X",M1272&gt;$AJ$2),S1272,"")</f>
        <v/>
      </c>
      <c r="AO1272" s="35">
        <f>IF(AND(W1272="",M1272&gt;0,$AJ$2&gt;M1272,L1272=""),1,0)</f>
        <v/>
      </c>
      <c r="AP1272" s="35">
        <f>IF(AND(AK1272="YES",W1272="X"),"X","")</f>
        <v/>
      </c>
      <c r="AQ1272" s="55">
        <f>IF(AP1272="X",100%,0%)</f>
        <v/>
      </c>
      <c r="AR1272" s="25">
        <f>IF(AND(T1272&gt;0,L1272=""),H1272,"")</f>
        <v/>
      </c>
      <c r="AS1272" s="25">
        <f>IF(AND(D1272&gt;0,H1272=0,G1272=""),1,"")</f>
        <v/>
      </c>
      <c r="AT1272" s="25">
        <f>IF(G1272="BLOQ",1,"")</f>
        <v/>
      </c>
      <c r="AU1272" s="25">
        <f>IF(L1272="BLOQ",1,"")</f>
        <v/>
      </c>
      <c r="AV1272" s="25">
        <f>MONTH(F1272)</f>
        <v/>
      </c>
      <c r="AW1272" s="65">
        <f>IF(AP1272="",100%,0%)</f>
        <v/>
      </c>
      <c r="AX1272" s="56" t="n"/>
      <c r="AY1272" s="24">
        <f>IF(M1272=0,"",M1272-$AX$2)</f>
        <v/>
      </c>
      <c r="AZ1272" s="66">
        <f>IF(AND(W1272="",AY1272&gt;0,AY1272&lt;15),1,0)</f>
        <v/>
      </c>
      <c r="BA1272" s="24">
        <f>IF(AND(W1272="",AY1272&gt;0,AY1272&lt;15),T1272,"")</f>
        <v/>
      </c>
      <c r="BB1272" s="87">
        <f>IF(R1272&lt;Q1272,"X","")</f>
        <v/>
      </c>
      <c r="BC1272" s="191" t="inlineStr">
        <is>
          <t>SI</t>
        </is>
      </c>
      <c r="BD1272" s="191" t="inlineStr">
        <is>
          <t>SI</t>
        </is>
      </c>
    </row>
    <row r="1273" ht="15" customHeight="1" s="162">
      <c r="A1273" s="7" t="n">
        <v>1272</v>
      </c>
      <c r="B1273" t="inlineStr">
        <is>
          <t>1206500321400</t>
        </is>
      </c>
      <c r="C1273" t="inlineStr">
        <is>
          <t>CNC AUDIO 1/4” 3M PLUG RECT S/CBL PX</t>
        </is>
      </c>
      <c r="D1273" t="inlineStr">
        <is>
          <t>1800111912</t>
        </is>
      </c>
      <c r="E1273" t="inlineStr">
        <is>
          <t>10</t>
        </is>
      </c>
      <c r="F1273" s="163" t="n">
        <v>45524</v>
      </c>
      <c r="G1273" t="inlineStr"/>
      <c r="H1273" t="inlineStr">
        <is>
          <t>4200576736</t>
        </is>
      </c>
      <c r="I1273" t="inlineStr">
        <is>
          <t>80</t>
        </is>
      </c>
      <c r="J1273" s="163" t="n">
        <v>45545</v>
      </c>
      <c r="K1273" s="163" t="n">
        <v>45576</v>
      </c>
      <c r="L1273" t="inlineStr"/>
      <c r="M1273" s="163" t="n">
        <v>45558</v>
      </c>
      <c r="N1273" s="164" t="n">
        <v>30</v>
      </c>
      <c r="O1273" s="164" t="n">
        <v>8</v>
      </c>
      <c r="P1273" t="inlineStr">
        <is>
          <t>Liberado</t>
        </is>
      </c>
      <c r="Q1273" s="165" t="n">
        <v>35</v>
      </c>
      <c r="R1273" s="165" t="n">
        <v>35</v>
      </c>
      <c r="S1273" s="165" t="n">
        <v>35</v>
      </c>
      <c r="T1273" s="165" t="n">
        <v>0</v>
      </c>
      <c r="U1273" s="166" t="n">
        <v>35</v>
      </c>
      <c r="V1273" s="166" t="n">
        <v>0</v>
      </c>
      <c r="W1273" t="inlineStr">
        <is>
          <t>X</t>
        </is>
      </c>
      <c r="X1273" t="inlineStr">
        <is>
          <t>0.00</t>
        </is>
      </c>
      <c r="Y1273" t="inlineStr"/>
      <c r="Z1273" t="inlineStr">
        <is>
          <t>MOUSER ELECTRONICS, INC.</t>
        </is>
      </c>
      <c r="AA1273" t="inlineStr">
        <is>
          <t>NEUTRIK</t>
        </is>
      </c>
      <c r="AB1273" t="inlineStr">
        <is>
          <t>NP3X</t>
        </is>
      </c>
      <c r="AC1273" t="inlineStr"/>
      <c r="AD1273" s="164" t="n">
        <v>0</v>
      </c>
      <c r="AE1273" s="185" t="n">
        <v>0</v>
      </c>
      <c r="AG1273" s="167" t="inlineStr">
        <is>
          <t>7218|JA2584_1001</t>
        </is>
      </c>
      <c r="AH1273" s="47">
        <f>IF(M1273=0,"-",M1273-J1273)</f>
        <v/>
      </c>
      <c r="AI1273" s="46">
        <f>IF(AND(S1273=0,M1273&gt;0,L1273=0),IF(AH1273&gt;=120,"VERY HIGH",IF(AH1273&gt;=90,"HIGH",IF(AH1273&gt;=60,"MEDIUM",IF(AH1273&lt;60,"LOW")))),"-")</f>
        <v/>
      </c>
      <c r="AJ1273" s="12" t="n"/>
      <c r="AK1273" s="53">
        <f>IF(AND(W1273="X",M1273&lt;=$AJ$2),"YES","")</f>
        <v/>
      </c>
      <c r="AL1273" s="54">
        <f>IF(AND(W1273="X",M1273&lt;=$AJ$2),S1273,"")</f>
        <v/>
      </c>
      <c r="AM1273" s="35" t="n"/>
      <c r="AN1273" s="35">
        <f>IF(AND(W1273="X",M1273&gt;$AJ$2),S1273,"")</f>
        <v/>
      </c>
      <c r="AO1273" s="35">
        <f>IF(AND(W1273="",M1273&gt;0,$AJ$2&gt;M1273,L1273=""),1,0)</f>
        <v/>
      </c>
      <c r="AP1273" s="35">
        <f>IF(AND(AK1273="YES",W1273="X"),"X","")</f>
        <v/>
      </c>
      <c r="AQ1273" s="55">
        <f>IF(AP1273="X",100%,0%)</f>
        <v/>
      </c>
      <c r="AR1273" s="25">
        <f>IF(AND(T1273&gt;0,L1273=""),H1273,"")</f>
        <v/>
      </c>
      <c r="AS1273" s="25">
        <f>IF(AND(D1273&gt;0,H1273=0,G1273=""),1,"")</f>
        <v/>
      </c>
      <c r="AT1273" s="25">
        <f>IF(G1273="BLOQ",1,"")</f>
        <v/>
      </c>
      <c r="AU1273" s="25">
        <f>IF(L1273="BLOQ",1,"")</f>
        <v/>
      </c>
      <c r="AV1273" s="25">
        <f>MONTH(F1273)</f>
        <v/>
      </c>
      <c r="AW1273" s="65">
        <f>IF(AP1273="",100%,0%)</f>
        <v/>
      </c>
      <c r="AX1273" s="56" t="n"/>
      <c r="AY1273" s="24">
        <f>IF(M1273=0,"",M1273-$AX$2)</f>
        <v/>
      </c>
      <c r="AZ1273" s="66">
        <f>IF(AND(W1273="",AY1273&gt;0,AY1273&lt;15),1,0)</f>
        <v/>
      </c>
      <c r="BA1273" s="24">
        <f>IF(AND(W1273="",AY1273&gt;0,AY1273&lt;15),T1273,"")</f>
        <v/>
      </c>
      <c r="BB1273" s="87">
        <f>IF(R1273&lt;Q1273,"X","")</f>
        <v/>
      </c>
      <c r="BC1273" s="190" t="inlineStr">
        <is>
          <t>NO</t>
        </is>
      </c>
      <c r="BD1273" s="191" t="inlineStr">
        <is>
          <t>SI</t>
        </is>
      </c>
    </row>
    <row r="1274" ht="15" customHeight="1" s="162">
      <c r="A1274" s="7" t="n">
        <v>1273</v>
      </c>
      <c r="B1274" t="inlineStr">
        <is>
          <t>1219000292300</t>
        </is>
      </c>
      <c r="C1274" t="inlineStr">
        <is>
          <t>CAJA PORTACONTACTOS 10P (H) PASO 3,96MM</t>
        </is>
      </c>
      <c r="D1274" t="inlineStr">
        <is>
          <t>1800111912</t>
        </is>
      </c>
      <c r="E1274" t="inlineStr">
        <is>
          <t>20</t>
        </is>
      </c>
      <c r="F1274" s="163" t="n">
        <v>45524</v>
      </c>
      <c r="G1274" t="inlineStr"/>
      <c r="H1274" t="inlineStr">
        <is>
          <t>4200577705</t>
        </is>
      </c>
      <c r="I1274" t="inlineStr">
        <is>
          <t>300</t>
        </is>
      </c>
      <c r="J1274" s="163" t="n">
        <v>45553</v>
      </c>
      <c r="K1274" s="163" t="n">
        <v>45712</v>
      </c>
      <c r="L1274" t="inlineStr"/>
      <c r="M1274" s="163" t="n">
        <v>45567</v>
      </c>
      <c r="N1274" s="164" t="n">
        <v>80</v>
      </c>
      <c r="O1274" s="164" t="n">
        <v>8</v>
      </c>
      <c r="P1274" t="inlineStr">
        <is>
          <t>Liberado</t>
        </is>
      </c>
      <c r="Q1274" s="165" t="n">
        <v>10</v>
      </c>
      <c r="R1274" s="165" t="n">
        <v>15</v>
      </c>
      <c r="S1274" s="165" t="n">
        <v>15</v>
      </c>
      <c r="T1274" s="165" t="n">
        <v>0</v>
      </c>
      <c r="U1274" s="166" t="n">
        <v>15</v>
      </c>
      <c r="V1274" s="166" t="n">
        <v>0</v>
      </c>
      <c r="W1274" t="inlineStr">
        <is>
          <t>X</t>
        </is>
      </c>
      <c r="X1274" t="inlineStr">
        <is>
          <t>0.00</t>
        </is>
      </c>
      <c r="Y1274" t="inlineStr"/>
      <c r="Z1274" t="inlineStr">
        <is>
          <t>SUMINISTROS CONECTORES PROF.,SA.</t>
        </is>
      </c>
      <c r="AA1274" t="inlineStr">
        <is>
          <t>CONEXCON</t>
        </is>
      </c>
      <c r="AB1274" t="inlineStr">
        <is>
          <t>3940-2101</t>
        </is>
      </c>
      <c r="AC1274" t="inlineStr"/>
      <c r="AD1274" s="164" t="n">
        <v>1</v>
      </c>
      <c r="AE1274" s="185" t="n">
        <v>1</v>
      </c>
      <c r="AG1274" s="167" t="inlineStr">
        <is>
          <t>7218|JA2584_1001</t>
        </is>
      </c>
      <c r="AH1274" s="47">
        <f>IF(M1274=0,"-",M1274-J1274)</f>
        <v/>
      </c>
      <c r="AI1274" s="46">
        <f>IF(AND(S1274=0,M1274&gt;0,L1274=0),IF(AH1274&gt;=120,"VERY HIGH",IF(AH1274&gt;=90,"HIGH",IF(AH1274&gt;=60,"MEDIUM",IF(AH1274&lt;60,"LOW")))),"-")</f>
        <v/>
      </c>
      <c r="AJ1274" s="12" t="n"/>
      <c r="AK1274" s="53">
        <f>IF(AND(W1274="X",M1274&lt;=$AJ$2),"YES","")</f>
        <v/>
      </c>
      <c r="AL1274" s="54">
        <f>IF(AND(W1274="X",M1274&lt;=$AJ$2),S1274,"")</f>
        <v/>
      </c>
      <c r="AM1274" s="35" t="n"/>
      <c r="AN1274" s="35">
        <f>IF(AND(W1274="X",M1274&gt;$AJ$2),S1274,"")</f>
        <v/>
      </c>
      <c r="AO1274" s="35">
        <f>IF(AND(W1274="",M1274&gt;0,$AJ$2&gt;M1274,L1274=""),1,0)</f>
        <v/>
      </c>
      <c r="AP1274" s="35">
        <f>IF(AND(AK1274="YES",W1274="X"),"X","")</f>
        <v/>
      </c>
      <c r="AQ1274" s="55">
        <f>IF(AP1274="X",100%,0%)</f>
        <v/>
      </c>
      <c r="AR1274" s="25">
        <f>IF(AND(T1274&gt;0,L1274=""),H1274,"")</f>
        <v/>
      </c>
      <c r="AS1274" s="25">
        <f>IF(AND(D1274&gt;0,H1274=0,G1274=""),1,"")</f>
        <v/>
      </c>
      <c r="AT1274" s="25">
        <f>IF(G1274="BLOQ",1,"")</f>
        <v/>
      </c>
      <c r="AU1274" s="25">
        <f>IF(L1274="BLOQ",1,"")</f>
        <v/>
      </c>
      <c r="AV1274" s="25">
        <f>MONTH(F1274)</f>
        <v/>
      </c>
      <c r="AW1274" s="65">
        <f>IF(AP1274="",100%,0%)</f>
        <v/>
      </c>
      <c r="AX1274" s="56" t="n"/>
      <c r="AY1274" s="24">
        <f>IF(M1274=0,"",M1274-$AX$2)</f>
        <v/>
      </c>
      <c r="AZ1274" s="66">
        <f>IF(AND(W1274="",AY1274&gt;0,AY1274&lt;15),1,0)</f>
        <v/>
      </c>
      <c r="BA1274" s="24">
        <f>IF(AND(W1274="",AY1274&gt;0,AY1274&lt;15),T1274,"")</f>
        <v/>
      </c>
      <c r="BB1274" s="87">
        <f>IF(R1274&lt;Q1274,"X","")</f>
        <v/>
      </c>
      <c r="BC1274" s="190" t="inlineStr">
        <is>
          <t>NO</t>
        </is>
      </c>
      <c r="BD1274" s="191" t="inlineStr">
        <is>
          <t>SI</t>
        </is>
      </c>
    </row>
    <row r="1275" ht="15" customHeight="1" s="162">
      <c r="A1275" s="7" t="n">
        <v>1274</v>
      </c>
      <c r="B1275" t="inlineStr">
        <is>
          <t>1221100222010</t>
        </is>
      </c>
      <c r="C1275" t="inlineStr">
        <is>
          <t>CBL APANT 1XAWG22 PVDF 600V BL-BL</t>
        </is>
      </c>
      <c r="D1275" t="inlineStr">
        <is>
          <t>1800111912</t>
        </is>
      </c>
      <c r="E1275" t="inlineStr">
        <is>
          <t>30</t>
        </is>
      </c>
      <c r="F1275" s="163" t="n">
        <v>45524</v>
      </c>
      <c r="G1275" t="inlineStr"/>
      <c r="H1275" t="inlineStr">
        <is>
          <t>4200579563</t>
        </is>
      </c>
      <c r="I1275" t="inlineStr">
        <is>
          <t>180</t>
        </is>
      </c>
      <c r="J1275" s="163" t="n">
        <v>45567</v>
      </c>
      <c r="K1275" s="163" t="n">
        <v>45580</v>
      </c>
      <c r="L1275" t="inlineStr"/>
      <c r="M1275" s="163" t="n">
        <v>45595</v>
      </c>
      <c r="N1275" s="164" t="n">
        <v>45</v>
      </c>
      <c r="O1275" s="164" t="n">
        <v>8</v>
      </c>
      <c r="P1275" t="inlineStr">
        <is>
          <t>Liberado</t>
        </is>
      </c>
      <c r="Q1275" s="165" t="n">
        <v>100</v>
      </c>
      <c r="R1275" s="165" t="n">
        <v>100</v>
      </c>
      <c r="S1275" s="165" t="n">
        <v>100</v>
      </c>
      <c r="T1275" s="165" t="n">
        <v>0</v>
      </c>
      <c r="U1275" s="166" t="n">
        <v>100</v>
      </c>
      <c r="V1275" s="166" t="n">
        <v>0</v>
      </c>
      <c r="W1275" t="inlineStr">
        <is>
          <t>X</t>
        </is>
      </c>
      <c r="X1275" t="inlineStr">
        <is>
          <t>0.00</t>
        </is>
      </c>
      <c r="Y1275" t="inlineStr"/>
      <c r="Z1275" t="inlineStr">
        <is>
          <t>SUMINISTROS CONECTORES PROF.,SA.</t>
        </is>
      </c>
      <c r="AA1275" t="inlineStr">
        <is>
          <t>TE CONNECTIVITY</t>
        </is>
      </c>
      <c r="AB1275" t="inlineStr">
        <is>
          <t>44A1111-22-9-9</t>
        </is>
      </c>
      <c r="AC1275" t="inlineStr"/>
      <c r="AD1275" s="164" t="n">
        <v>0</v>
      </c>
      <c r="AE1275" s="185" t="n">
        <v>0</v>
      </c>
      <c r="AG1275" s="167" t="inlineStr">
        <is>
          <t>7218|JA2584_1001</t>
        </is>
      </c>
      <c r="AH1275" s="47">
        <f>IF(M1275=0,"-",M1275-J1275)</f>
        <v/>
      </c>
      <c r="AI1275" s="46">
        <f>IF(AND(S1275=0,M1275&gt;0,L1275=0),IF(AH1275&gt;=120,"VERY HIGH",IF(AH1275&gt;=90,"HIGH",IF(AH1275&gt;=60,"MEDIUM",IF(AH1275&lt;60,"LOW")))),"-")</f>
        <v/>
      </c>
      <c r="AJ1275" s="12" t="n"/>
      <c r="AK1275" s="53">
        <f>IF(AND(W1275="X",M1275&lt;=$AJ$2),"YES","")</f>
        <v/>
      </c>
      <c r="AL1275" s="54">
        <f>IF(AND(W1275="X",M1275&lt;=$AJ$2),S1275,"")</f>
        <v/>
      </c>
      <c r="AM1275" s="35" t="n"/>
      <c r="AN1275" s="35">
        <f>IF(AND(W1275="X",M1275&gt;$AJ$2),S1275,"")</f>
        <v/>
      </c>
      <c r="AO1275" s="35">
        <f>IF(AND(W1275="",M1275&gt;0,$AJ$2&gt;M1275,L1275=""),1,0)</f>
        <v/>
      </c>
      <c r="AP1275" s="35">
        <f>IF(AND(AK1275="YES",W1275="X"),"X","")</f>
        <v/>
      </c>
      <c r="AQ1275" s="55">
        <f>IF(AP1275="X",100%,0%)</f>
        <v/>
      </c>
      <c r="AR1275" s="25">
        <f>IF(AND(T1275&gt;0,L1275=""),H1275,"")</f>
        <v/>
      </c>
      <c r="AS1275" s="25">
        <f>IF(AND(D1275&gt;0,H1275=0,G1275=""),1,"")</f>
        <v/>
      </c>
      <c r="AT1275" s="25">
        <f>IF(G1275="BLOQ",1,"")</f>
        <v/>
      </c>
      <c r="AU1275" s="25">
        <f>IF(L1275="BLOQ",1,"")</f>
        <v/>
      </c>
      <c r="AV1275" s="25">
        <f>MONTH(F1275)</f>
        <v/>
      </c>
      <c r="AW1275" s="65">
        <f>IF(AP1275="",100%,0%)</f>
        <v/>
      </c>
      <c r="AX1275" s="56" t="n"/>
      <c r="AY1275" s="24">
        <f>IF(M1275=0,"",M1275-$AX$2)</f>
        <v/>
      </c>
      <c r="AZ1275" s="66">
        <f>IF(AND(W1275="",AY1275&gt;0,AY1275&lt;15),1,0)</f>
        <v/>
      </c>
      <c r="BA1275" s="24">
        <f>IF(AND(W1275="",AY1275&gt;0,AY1275&lt;15),T1275,"")</f>
        <v/>
      </c>
      <c r="BB1275" s="87">
        <f>IF(R1275&lt;Q1275,"X","")</f>
        <v/>
      </c>
      <c r="BC1275" s="190" t="inlineStr">
        <is>
          <t>NO</t>
        </is>
      </c>
      <c r="BD1275" s="191" t="inlineStr">
        <is>
          <t>SI</t>
        </is>
      </c>
    </row>
    <row r="1276" ht="15" customHeight="1" s="162">
      <c r="A1276" s="7" t="n">
        <v>1275</v>
      </c>
      <c r="B1276" t="inlineStr">
        <is>
          <t>1221200222221</t>
        </is>
      </c>
      <c r="C1276" t="inlineStr">
        <is>
          <t>CBL APAN 2XAWG22 PVDF 600V CUSN NE/BL-BL</t>
        </is>
      </c>
      <c r="D1276" t="inlineStr">
        <is>
          <t>1800111912</t>
        </is>
      </c>
      <c r="E1276" t="inlineStr">
        <is>
          <t>40</t>
        </is>
      </c>
      <c r="F1276" s="163" t="n">
        <v>45524</v>
      </c>
      <c r="G1276" t="inlineStr"/>
      <c r="H1276" t="inlineStr">
        <is>
          <t>4200576351</t>
        </is>
      </c>
      <c r="I1276" t="inlineStr">
        <is>
          <t>30</t>
        </is>
      </c>
      <c r="J1276" s="163" t="n">
        <v>45541</v>
      </c>
      <c r="K1276" s="163" t="n">
        <v>45677</v>
      </c>
      <c r="L1276" t="inlineStr"/>
      <c r="M1276" s="163" t="n">
        <v>45593</v>
      </c>
      <c r="N1276" s="164" t="n">
        <v>55</v>
      </c>
      <c r="O1276" s="164" t="n">
        <v>8</v>
      </c>
      <c r="P1276" t="inlineStr">
        <is>
          <t>Liberado</t>
        </is>
      </c>
      <c r="Q1276" s="165" t="n">
        <v>500</v>
      </c>
      <c r="R1276" s="165" t="n">
        <v>500</v>
      </c>
      <c r="S1276" s="165" t="n">
        <v>500</v>
      </c>
      <c r="T1276" s="165" t="n">
        <v>0</v>
      </c>
      <c r="U1276" s="166" t="n">
        <v>0</v>
      </c>
      <c r="V1276" s="166" t="n">
        <v>0</v>
      </c>
      <c r="W1276" t="inlineStr">
        <is>
          <t>X</t>
        </is>
      </c>
      <c r="X1276" t="inlineStr">
        <is>
          <t>0.00</t>
        </is>
      </c>
      <c r="Y1276" t="inlineStr"/>
      <c r="Z1276" t="inlineStr">
        <is>
          <t>SUMINISTROS CONECTORES PROF.,SA.</t>
        </is>
      </c>
      <c r="AA1276" t="inlineStr">
        <is>
          <t>TE CONNECTIVITY</t>
        </is>
      </c>
      <c r="AB1276" t="inlineStr">
        <is>
          <t>44A1121-22-0/9-9</t>
        </is>
      </c>
      <c r="AC1276" t="inlineStr"/>
      <c r="AD1276" s="164" t="n">
        <v>1</v>
      </c>
      <c r="AE1276" s="185" t="n">
        <v>0</v>
      </c>
      <c r="AG1276" s="167" t="inlineStr">
        <is>
          <t>7218|JA2584_1001</t>
        </is>
      </c>
      <c r="AH1276" s="47">
        <f>IF(M1276=0,"-",M1276-J1276)</f>
        <v/>
      </c>
      <c r="AI1276" s="46">
        <f>IF(AND(S1276=0,M1276&gt;0,L1276=0),IF(AH1276&gt;=120,"VERY HIGH",IF(AH1276&gt;=90,"HIGH",IF(AH1276&gt;=60,"MEDIUM",IF(AH1276&lt;60,"LOW")))),"-")</f>
        <v/>
      </c>
      <c r="AJ1276" s="12" t="n"/>
      <c r="AK1276" s="53">
        <f>IF(AND(W1276="X",M1276&lt;=$AJ$2),"YES","")</f>
        <v/>
      </c>
      <c r="AL1276" s="54">
        <f>IF(AND(W1276="X",M1276&lt;=$AJ$2),S1276,"")</f>
        <v/>
      </c>
      <c r="AM1276" s="35" t="n"/>
      <c r="AN1276" s="35">
        <f>IF(AND(W1276="X",M1276&gt;$AJ$2),S1276,"")</f>
        <v/>
      </c>
      <c r="AO1276" s="35">
        <f>IF(AND(W1276="",M1276&gt;0,$AJ$2&gt;M1276,L1276=""),1,0)</f>
        <v/>
      </c>
      <c r="AP1276" s="35">
        <f>IF(AND(AK1276="YES",W1276="X"),"X","")</f>
        <v/>
      </c>
      <c r="AQ1276" s="55">
        <f>IF(AP1276="X",100%,0%)</f>
        <v/>
      </c>
      <c r="AR1276" s="25">
        <f>IF(AND(T1276&gt;0,L1276=""),H1276,"")</f>
        <v/>
      </c>
      <c r="AS1276" s="25">
        <f>IF(AND(D1276&gt;0,H1276=0,G1276=""),1,"")</f>
        <v/>
      </c>
      <c r="AT1276" s="25">
        <f>IF(G1276="BLOQ",1,"")</f>
        <v/>
      </c>
      <c r="AU1276" s="25">
        <f>IF(L1276="BLOQ",1,"")</f>
        <v/>
      </c>
      <c r="AV1276" s="25">
        <f>MONTH(F1276)</f>
        <v/>
      </c>
      <c r="AW1276" s="65">
        <f>IF(AP1276="",100%,0%)</f>
        <v/>
      </c>
      <c r="AX1276" s="56" t="n"/>
      <c r="AY1276" s="24">
        <f>IF(M1276=0,"",M1276-$AX$2)</f>
        <v/>
      </c>
      <c r="AZ1276" s="66">
        <f>IF(AND(W1276="",AY1276&gt;0,AY1276&lt;15),1,0)</f>
        <v/>
      </c>
      <c r="BA1276" s="24">
        <f>IF(AND(W1276="",AY1276&gt;0,AY1276&lt;15),T1276,"")</f>
        <v/>
      </c>
      <c r="BB1276" s="87">
        <f>IF(R1276&lt;Q1276,"X","")</f>
        <v/>
      </c>
      <c r="BC1276" s="190" t="inlineStr">
        <is>
          <t>NO</t>
        </is>
      </c>
      <c r="BD1276" s="191" t="inlineStr">
        <is>
          <t>SI</t>
        </is>
      </c>
    </row>
    <row r="1277" ht="15" customHeight="1" s="162">
      <c r="A1277" s="7" t="n">
        <v>1276</v>
      </c>
      <c r="B1277" t="inlineStr">
        <is>
          <t>1230524620000</t>
        </is>
      </c>
      <c r="C1277" t="inlineStr">
        <is>
          <t>FUND CBL 1/4" CBL 1/8-1/2" FR POLIES NEG</t>
        </is>
      </c>
      <c r="D1277" t="inlineStr">
        <is>
          <t>1800111912</t>
        </is>
      </c>
      <c r="E1277" t="inlineStr">
        <is>
          <t>50</t>
        </is>
      </c>
      <c r="F1277" s="163" t="n">
        <v>45524</v>
      </c>
      <c r="G1277" t="inlineStr"/>
      <c r="H1277" t="inlineStr">
        <is>
          <t>4200578313</t>
        </is>
      </c>
      <c r="I1277" t="inlineStr">
        <is>
          <t>70</t>
        </is>
      </c>
      <c r="J1277" s="163" t="n">
        <v>45558</v>
      </c>
      <c r="K1277" s="163" t="n">
        <v>45610</v>
      </c>
      <c r="L1277" t="inlineStr"/>
      <c r="M1277" s="163" t="n">
        <v>45628</v>
      </c>
      <c r="N1277" s="164" t="n">
        <v>50</v>
      </c>
      <c r="O1277" s="164" t="n">
        <v>8</v>
      </c>
      <c r="P1277" t="inlineStr">
        <is>
          <t>Liberado</t>
        </is>
      </c>
      <c r="Q1277" s="165" t="n">
        <v>300</v>
      </c>
      <c r="R1277" s="165" t="n">
        <v>300</v>
      </c>
      <c r="S1277" s="165" t="n">
        <v>300</v>
      </c>
      <c r="T1277" s="165" t="n">
        <v>0</v>
      </c>
      <c r="U1277" s="166" t="n">
        <v>0</v>
      </c>
      <c r="V1277" s="166" t="n">
        <v>0</v>
      </c>
      <c r="W1277" t="inlineStr">
        <is>
          <t>X</t>
        </is>
      </c>
      <c r="X1277" t="inlineStr">
        <is>
          <t>0.00</t>
        </is>
      </c>
      <c r="Y1277" t="inlineStr"/>
      <c r="Z1277" t="inlineStr">
        <is>
          <t>SUMINISTROS CONECTORES PROF.,SA.</t>
        </is>
      </c>
      <c r="AA1277" t="inlineStr">
        <is>
          <t>WESTERN FILAMENT, INC</t>
        </is>
      </c>
      <c r="AB1277" t="inlineStr">
        <is>
          <t>FR0250BK</t>
        </is>
      </c>
      <c r="AC1277" t="inlineStr"/>
      <c r="AD1277" s="164" t="n">
        <v>0</v>
      </c>
      <c r="AE1277" s="185" t="n">
        <v>0</v>
      </c>
      <c r="AG1277" s="167" t="inlineStr">
        <is>
          <t>7218|JA2584_1001</t>
        </is>
      </c>
      <c r="AH1277" s="47">
        <f>IF(M1277=0,"-",M1277-J1277)</f>
        <v/>
      </c>
      <c r="AI1277" s="46">
        <f>IF(AND(S1277=0,M1277&gt;0,L1277=0),IF(AH1277&gt;=120,"VERY HIGH",IF(AH1277&gt;=90,"HIGH",IF(AH1277&gt;=60,"MEDIUM",IF(AH1277&lt;60,"LOW")))),"-")</f>
        <v/>
      </c>
      <c r="AJ1277" s="12" t="n"/>
      <c r="AK1277" s="53">
        <f>IF(AND(W1277="X",M1277&lt;=$AJ$2),"YES","")</f>
        <v/>
      </c>
      <c r="AL1277" s="54">
        <f>IF(AND(W1277="X",M1277&lt;=$AJ$2),S1277,"")</f>
        <v/>
      </c>
      <c r="AM1277" s="35" t="n"/>
      <c r="AN1277" s="35">
        <f>IF(AND(W1277="X",M1277&gt;$AJ$2),S1277,"")</f>
        <v/>
      </c>
      <c r="AO1277" s="35">
        <f>IF(AND(W1277="",M1277&gt;0,$AJ$2&gt;M1277,L1277=""),1,0)</f>
        <v/>
      </c>
      <c r="AP1277" s="35">
        <f>IF(AND(AK1277="YES",W1277="X"),"X","")</f>
        <v/>
      </c>
      <c r="AQ1277" s="55">
        <f>IF(AP1277="X",100%,0%)</f>
        <v/>
      </c>
      <c r="AR1277" s="25">
        <f>IF(AND(T1277&gt;0,L1277=""),H1277,"")</f>
        <v/>
      </c>
      <c r="AS1277" s="25">
        <f>IF(AND(D1277&gt;0,H1277=0,G1277=""),1,"")</f>
        <v/>
      </c>
      <c r="AT1277" s="25">
        <f>IF(G1277="BLOQ",1,"")</f>
        <v/>
      </c>
      <c r="AU1277" s="25">
        <f>IF(L1277="BLOQ",1,"")</f>
        <v/>
      </c>
      <c r="AV1277" s="25">
        <f>MONTH(F1277)</f>
        <v/>
      </c>
      <c r="AW1277" s="65">
        <f>IF(AP1277="",100%,0%)</f>
        <v/>
      </c>
      <c r="AX1277" s="56" t="n"/>
      <c r="AY1277" s="24">
        <f>IF(M1277=0,"",M1277-$AX$2)</f>
        <v/>
      </c>
      <c r="AZ1277" s="66">
        <f>IF(AND(W1277="",AY1277&gt;0,AY1277&lt;15),1,0)</f>
        <v/>
      </c>
      <c r="BA1277" s="24">
        <f>IF(AND(W1277="",AY1277&gt;0,AY1277&lt;15),T1277,"")</f>
        <v/>
      </c>
      <c r="BB1277" s="87">
        <f>IF(R1277&lt;Q1277,"X","")</f>
        <v/>
      </c>
      <c r="BC1277" s="190" t="inlineStr">
        <is>
          <t>NO</t>
        </is>
      </c>
      <c r="BD1277" s="191" t="inlineStr">
        <is>
          <t>SI</t>
        </is>
      </c>
    </row>
    <row r="1278" ht="15" customHeight="1" s="162">
      <c r="A1278" s="7" t="n">
        <v>1277</v>
      </c>
      <c r="B1278" t="inlineStr">
        <is>
          <t>1230590020000.LO</t>
        </is>
      </c>
      <c r="C1278" t="inlineStr">
        <is>
          <t xml:space="preserve">FUNDA CABLE EXPAND-A-FLEX 1/2" NEGRA   </t>
        </is>
      </c>
      <c r="D1278" t="inlineStr">
        <is>
          <t>1800111912</t>
        </is>
      </c>
      <c r="E1278" t="inlineStr">
        <is>
          <t>60</t>
        </is>
      </c>
      <c r="F1278" s="163" t="n">
        <v>45524</v>
      </c>
      <c r="G1278" t="inlineStr"/>
      <c r="H1278" t="inlineStr">
        <is>
          <t>4200578313</t>
        </is>
      </c>
      <c r="I1278" t="inlineStr">
        <is>
          <t>10</t>
        </is>
      </c>
      <c r="J1278" s="163" t="n">
        <v>45558</v>
      </c>
      <c r="K1278" s="163" t="n">
        <v>45610</v>
      </c>
      <c r="L1278" t="inlineStr"/>
      <c r="M1278" s="163" t="n">
        <v>45579</v>
      </c>
      <c r="N1278" s="164" t="n">
        <v>45</v>
      </c>
      <c r="O1278" s="164" t="n">
        <v>8</v>
      </c>
      <c r="P1278" t="inlineStr">
        <is>
          <t>Liberado</t>
        </is>
      </c>
      <c r="Q1278" s="165" t="n">
        <v>100</v>
      </c>
      <c r="R1278" s="165" t="n">
        <v>100</v>
      </c>
      <c r="S1278" s="165" t="n">
        <v>100</v>
      </c>
      <c r="T1278" s="165" t="n">
        <v>0</v>
      </c>
      <c r="U1278" s="166" t="n">
        <v>0</v>
      </c>
      <c r="V1278" s="166" t="n">
        <v>0</v>
      </c>
      <c r="W1278" t="inlineStr">
        <is>
          <t>X</t>
        </is>
      </c>
      <c r="X1278" t="inlineStr">
        <is>
          <t>0.00</t>
        </is>
      </c>
      <c r="Y1278" t="inlineStr"/>
      <c r="Z1278" t="inlineStr">
        <is>
          <t>SUMINISTROS CONECTORES PROF.,SA.</t>
        </is>
      </c>
      <c r="AA1278" t="inlineStr">
        <is>
          <t>WESTERN FILAME</t>
        </is>
      </c>
      <c r="AB1278" t="inlineStr">
        <is>
          <t>FR 1/2" NEGRA</t>
        </is>
      </c>
      <c r="AC1278" t="inlineStr"/>
      <c r="AD1278" s="164" t="n">
        <v>0</v>
      </c>
      <c r="AE1278" s="185" t="n">
        <v>0</v>
      </c>
      <c r="AG1278" s="167" t="inlineStr">
        <is>
          <t>7218|JA2584_1001</t>
        </is>
      </c>
      <c r="AH1278" s="47">
        <f>IF(M1278=0,"-",M1278-J1278)</f>
        <v/>
      </c>
      <c r="AI1278" s="46">
        <f>IF(AND(S1278=0,M1278&gt;0,L1278=0),IF(AH1278&gt;=120,"VERY HIGH",IF(AH1278&gt;=90,"HIGH",IF(AH1278&gt;=60,"MEDIUM",IF(AH1278&lt;60,"LOW")))),"-")</f>
        <v/>
      </c>
      <c r="AJ1278" s="12" t="n"/>
      <c r="AK1278" s="53">
        <f>IF(AND(W1278="X",M1278&lt;=$AJ$2),"YES","")</f>
        <v/>
      </c>
      <c r="AL1278" s="54">
        <f>IF(AND(W1278="X",M1278&lt;=$AJ$2),S1278,"")</f>
        <v/>
      </c>
      <c r="AM1278" s="35" t="n"/>
      <c r="AN1278" s="35">
        <f>IF(AND(W1278="X",M1278&gt;$AJ$2),S1278,"")</f>
        <v/>
      </c>
      <c r="AO1278" s="35">
        <f>IF(AND(W1278="",M1278&gt;0,$AJ$2&gt;M1278,L1278=""),1,0)</f>
        <v/>
      </c>
      <c r="AP1278" s="35">
        <f>IF(AND(AK1278="YES",W1278="X"),"X","")</f>
        <v/>
      </c>
      <c r="AQ1278" s="55">
        <f>IF(AP1278="X",100%,0%)</f>
        <v/>
      </c>
      <c r="AR1278" s="25">
        <f>IF(AND(T1278&gt;0,L1278=""),H1278,"")</f>
        <v/>
      </c>
      <c r="AS1278" s="25">
        <f>IF(AND(D1278&gt;0,H1278=0,G1278=""),1,"")</f>
        <v/>
      </c>
      <c r="AT1278" s="25">
        <f>IF(G1278="BLOQ",1,"")</f>
        <v/>
      </c>
      <c r="AU1278" s="25">
        <f>IF(L1278="BLOQ",1,"")</f>
        <v/>
      </c>
      <c r="AV1278" s="25">
        <f>MONTH(F1278)</f>
        <v/>
      </c>
      <c r="AW1278" s="65">
        <f>IF(AP1278="",100%,0%)</f>
        <v/>
      </c>
      <c r="AX1278" s="56" t="n"/>
      <c r="AY1278" s="24">
        <f>IF(M1278=0,"",M1278-$AX$2)</f>
        <v/>
      </c>
      <c r="AZ1278" s="66">
        <f>IF(AND(W1278="",AY1278&gt;0,AY1278&lt;15),1,0)</f>
        <v/>
      </c>
      <c r="BA1278" s="24">
        <f>IF(AND(W1278="",AY1278&gt;0,AY1278&lt;15),T1278,"")</f>
        <v/>
      </c>
      <c r="BB1278" s="87">
        <f>IF(R1278&lt;Q1278,"X","")</f>
        <v/>
      </c>
      <c r="BC1278" s="190" t="inlineStr">
        <is>
          <t>NO</t>
        </is>
      </c>
      <c r="BD1278" s="191" t="inlineStr">
        <is>
          <t>SI</t>
        </is>
      </c>
    </row>
    <row r="1279" ht="15" customHeight="1" s="162">
      <c r="A1279" s="7" t="n">
        <v>1278</v>
      </c>
      <c r="B1279" t="inlineStr">
        <is>
          <t>1250101570000</t>
        </is>
      </c>
      <c r="C1279" t="inlineStr">
        <is>
          <t>ALTAVOZ SUBWOOFER 170W 20-200HZ SUB/HPF</t>
        </is>
      </c>
      <c r="D1279" t="inlineStr">
        <is>
          <t>1800111913</t>
        </is>
      </c>
      <c r="E1279" t="inlineStr">
        <is>
          <t>10</t>
        </is>
      </c>
      <c r="F1279" s="163" t="n">
        <v>45524</v>
      </c>
      <c r="G1279" t="inlineStr"/>
      <c r="H1279" t="inlineStr">
        <is>
          <t>4200579160</t>
        </is>
      </c>
      <c r="I1279" t="inlineStr">
        <is>
          <t>10</t>
        </is>
      </c>
      <c r="J1279" s="163" t="n">
        <v>45565</v>
      </c>
      <c r="K1279" s="163" t="n">
        <v>45565</v>
      </c>
      <c r="L1279" t="inlineStr"/>
      <c r="M1279" s="163" t="n">
        <v>45573</v>
      </c>
      <c r="N1279" s="164" t="n">
        <v>85</v>
      </c>
      <c r="O1279" s="164" t="n">
        <v>8</v>
      </c>
      <c r="P1279" t="inlineStr">
        <is>
          <t>Liberado</t>
        </is>
      </c>
      <c r="Q1279" s="165" t="n">
        <v>1</v>
      </c>
      <c r="R1279" s="165" t="n">
        <v>1</v>
      </c>
      <c r="S1279" s="165" t="n">
        <v>1</v>
      </c>
      <c r="T1279" s="165" t="n">
        <v>0</v>
      </c>
      <c r="U1279" s="166" t="n">
        <v>1</v>
      </c>
      <c r="V1279" s="166" t="n">
        <v>0</v>
      </c>
      <c r="W1279" t="inlineStr">
        <is>
          <t>X</t>
        </is>
      </c>
      <c r="X1279" t="inlineStr">
        <is>
          <t>0.00</t>
        </is>
      </c>
      <c r="Y1279" t="inlineStr"/>
      <c r="Z1279" t="inlineStr">
        <is>
          <t>INFORMATICA CALCULO Y TECNICA, S.A.</t>
        </is>
      </c>
      <c r="AA1279" t="inlineStr">
        <is>
          <t>PRESONUS AUDIO</t>
        </is>
      </c>
      <c r="AB1279" t="inlineStr">
        <is>
          <t>TEMBLOR T10</t>
        </is>
      </c>
      <c r="AC1279" t="inlineStr"/>
      <c r="AD1279" s="164" t="n">
        <v>0</v>
      </c>
      <c r="AE1279" s="185" t="n">
        <v>0</v>
      </c>
      <c r="AG1279" s="167" t="inlineStr">
        <is>
          <t>7218|JA2584_1001</t>
        </is>
      </c>
      <c r="AH1279" s="47">
        <f>IF(M1279=0,"-",M1279-J1279)</f>
        <v/>
      </c>
      <c r="AI1279" s="46">
        <f>IF(AND(S1279=0,M1279&gt;0,L1279=0),IF(AH1279&gt;=120,"VERY HIGH",IF(AH1279&gt;=90,"HIGH",IF(AH1279&gt;=60,"MEDIUM",IF(AH1279&lt;60,"LOW")))),"-")</f>
        <v/>
      </c>
      <c r="AJ1279" s="12" t="n"/>
      <c r="AK1279" s="53">
        <f>IF(AND(W1279="X",M1279&lt;=$AJ$2),"YES","")</f>
        <v/>
      </c>
      <c r="AL1279" s="54">
        <f>IF(AND(W1279="X",M1279&lt;=$AJ$2),S1279,"")</f>
        <v/>
      </c>
      <c r="AM1279" s="35" t="n"/>
      <c r="AN1279" s="35">
        <f>IF(AND(W1279="X",M1279&gt;$AJ$2),S1279,"")</f>
        <v/>
      </c>
      <c r="AO1279" s="35">
        <f>IF(AND(W1279="",M1279&gt;0,$AJ$2&gt;M1279,L1279=""),1,0)</f>
        <v/>
      </c>
      <c r="AP1279" s="35">
        <f>IF(AND(AK1279="YES",W1279="X"),"X","")</f>
        <v/>
      </c>
      <c r="AQ1279" s="55">
        <f>IF(AP1279="X",100%,0%)</f>
        <v/>
      </c>
      <c r="AR1279" s="25">
        <f>IF(AND(T1279&gt;0,L1279=""),H1279,"")</f>
        <v/>
      </c>
      <c r="AS1279" s="25">
        <f>IF(AND(D1279&gt;0,H1279=0,G1279=""),1,"")</f>
        <v/>
      </c>
      <c r="AT1279" s="25">
        <f>IF(G1279="BLOQ",1,"")</f>
        <v/>
      </c>
      <c r="AU1279" s="25">
        <f>IF(L1279="BLOQ",1,"")</f>
        <v/>
      </c>
      <c r="AV1279" s="25">
        <f>MONTH(F1279)</f>
        <v/>
      </c>
      <c r="AW1279" s="65">
        <f>IF(AP1279="",100%,0%)</f>
        <v/>
      </c>
      <c r="AX1279" s="56" t="n"/>
      <c r="AY1279" s="24">
        <f>IF(M1279=0,"",M1279-$AX$2)</f>
        <v/>
      </c>
      <c r="AZ1279" s="66">
        <f>IF(AND(W1279="",AY1279&gt;0,AY1279&lt;15),1,0)</f>
        <v/>
      </c>
      <c r="BA1279" s="24">
        <f>IF(AND(W1279="",AY1279&gt;0,AY1279&lt;15),T1279,"")</f>
        <v/>
      </c>
      <c r="BB1279" s="87">
        <f>IF(R1279&lt;Q1279,"X","")</f>
        <v/>
      </c>
      <c r="BC1279" s="191" t="inlineStr">
        <is>
          <t>SI</t>
        </is>
      </c>
      <c r="BD1279" s="191" t="inlineStr">
        <is>
          <t>SI</t>
        </is>
      </c>
    </row>
    <row r="1280" ht="15" customHeight="1" s="162">
      <c r="A1280" s="7" t="n">
        <v>1279</v>
      </c>
      <c r="B1280" t="inlineStr">
        <is>
          <t>1251000590000</t>
        </is>
      </c>
      <c r="C1280" t="inlineStr">
        <is>
          <t>MICROFONO COND UNIDIREC C/CBL 105DB</t>
        </is>
      </c>
      <c r="D1280" t="inlineStr">
        <is>
          <t>1800111913</t>
        </is>
      </c>
      <c r="E1280" t="inlineStr">
        <is>
          <t>20</t>
        </is>
      </c>
      <c r="F1280" s="163" t="n">
        <v>45524</v>
      </c>
      <c r="G1280" t="inlineStr"/>
      <c r="H1280" t="inlineStr">
        <is>
          <t>4200580721</t>
        </is>
      </c>
      <c r="I1280" t="inlineStr">
        <is>
          <t>10</t>
        </is>
      </c>
      <c r="J1280" s="163" t="n">
        <v>45575</v>
      </c>
      <c r="K1280" s="163" t="n">
        <v>45575</v>
      </c>
      <c r="L1280" t="inlineStr"/>
      <c r="M1280" s="163" t="n">
        <v>45586</v>
      </c>
      <c r="N1280" s="164" t="n">
        <v>40</v>
      </c>
      <c r="O1280" s="164" t="n">
        <v>8</v>
      </c>
      <c r="P1280" t="inlineStr">
        <is>
          <t>Liberado</t>
        </is>
      </c>
      <c r="Q1280" s="165" t="n">
        <v>1</v>
      </c>
      <c r="R1280" s="165" t="n">
        <v>1</v>
      </c>
      <c r="S1280" s="165" t="n">
        <v>1</v>
      </c>
      <c r="T1280" s="165" t="n">
        <v>0</v>
      </c>
      <c r="U1280" s="166" t="n">
        <v>1</v>
      </c>
      <c r="V1280" s="166" t="n">
        <v>0</v>
      </c>
      <c r="W1280" t="inlineStr">
        <is>
          <t>X</t>
        </is>
      </c>
      <c r="X1280" t="inlineStr">
        <is>
          <t>0.00</t>
        </is>
      </c>
      <c r="Y1280" t="inlineStr"/>
      <c r="Z1280" t="inlineStr">
        <is>
          <t>KASILH TELECOM, SL</t>
        </is>
      </c>
      <c r="AA1280" t="inlineStr">
        <is>
          <t>AUDIO-TECHNICA</t>
        </is>
      </c>
      <c r="AB1280" t="inlineStr">
        <is>
          <t>PRO42</t>
        </is>
      </c>
      <c r="AC1280" t="inlineStr"/>
      <c r="AD1280" s="164" t="n">
        <v>0</v>
      </c>
      <c r="AE1280" s="185" t="n">
        <v>0</v>
      </c>
      <c r="AG1280" s="167" t="inlineStr">
        <is>
          <t>7218|JA2584_1001</t>
        </is>
      </c>
      <c r="AH1280" s="47">
        <f>IF(M1280=0,"-",M1280-J1280)</f>
        <v/>
      </c>
      <c r="AI1280" s="46">
        <f>IF(AND(S1280=0,M1280&gt;0,L1280=0),IF(AH1280&gt;=120,"VERY HIGH",IF(AH1280&gt;=90,"HIGH",IF(AH1280&gt;=60,"MEDIUM",IF(AH1280&lt;60,"LOW")))),"-")</f>
        <v/>
      </c>
      <c r="AJ1280" s="12" t="n"/>
      <c r="AK1280" s="53">
        <f>IF(AND(W1280="X",M1280&lt;=$AJ$2),"YES","")</f>
        <v/>
      </c>
      <c r="AL1280" s="54">
        <f>IF(AND(W1280="X",M1280&lt;=$AJ$2),S1280,"")</f>
        <v/>
      </c>
      <c r="AM1280" s="35" t="n"/>
      <c r="AN1280" s="35">
        <f>IF(AND(W1280="X",M1280&gt;$AJ$2),S1280,"")</f>
        <v/>
      </c>
      <c r="AO1280" s="35">
        <f>IF(AND(W1280="",M1280&gt;0,$AJ$2&gt;M1280,L1280=""),1,0)</f>
        <v/>
      </c>
      <c r="AP1280" s="35">
        <f>IF(AND(AK1280="YES",W1280="X"),"X","")</f>
        <v/>
      </c>
      <c r="AQ1280" s="55">
        <f>IF(AP1280="X",100%,0%)</f>
        <v/>
      </c>
      <c r="AR1280" s="25">
        <f>IF(AND(T1280&gt;0,L1280=""),H1280,"")</f>
        <v/>
      </c>
      <c r="AS1280" s="25">
        <f>IF(AND(D1280&gt;0,H1280=0,G1280=""),1,"")</f>
        <v/>
      </c>
      <c r="AT1280" s="25">
        <f>IF(G1280="BLOQ",1,"")</f>
        <v/>
      </c>
      <c r="AU1280" s="25">
        <f>IF(L1280="BLOQ",1,"")</f>
        <v/>
      </c>
      <c r="AV1280" s="25">
        <f>MONTH(F1280)</f>
        <v/>
      </c>
      <c r="AW1280" s="65">
        <f>IF(AP1280="",100%,0%)</f>
        <v/>
      </c>
      <c r="AX1280" s="56" t="n"/>
      <c r="AY1280" s="24">
        <f>IF(M1280=0,"",M1280-$AX$2)</f>
        <v/>
      </c>
      <c r="AZ1280" s="66">
        <f>IF(AND(W1280="",AY1280&gt;0,AY1280&lt;15),1,0)</f>
        <v/>
      </c>
      <c r="BA1280" s="24">
        <f>IF(AND(W1280="",AY1280&gt;0,AY1280&lt;15),T1280,"")</f>
        <v/>
      </c>
      <c r="BB1280" s="87">
        <f>IF(R1280&lt;Q1280,"X","")</f>
        <v/>
      </c>
      <c r="BC1280" s="190" t="inlineStr">
        <is>
          <t>NO</t>
        </is>
      </c>
      <c r="BD1280" s="191" t="inlineStr">
        <is>
          <t>SI</t>
        </is>
      </c>
    </row>
    <row r="1281" ht="15" customHeight="1" s="162">
      <c r="A1281" s="7" t="n">
        <v>1280</v>
      </c>
      <c r="B1281" t="inlineStr">
        <is>
          <t>1580160080000</t>
        </is>
      </c>
      <c r="C1281" t="inlineStr">
        <is>
          <t>SEPARADOR DE LATON ROSCADO Y TORNILLO PR</t>
        </is>
      </c>
      <c r="D1281" t="inlineStr">
        <is>
          <t>1800111913</t>
        </is>
      </c>
      <c r="E1281" t="inlineStr">
        <is>
          <t>30</t>
        </is>
      </c>
      <c r="F1281" s="163" t="n">
        <v>45524</v>
      </c>
      <c r="G1281" t="inlineStr"/>
      <c r="H1281" t="inlineStr">
        <is>
          <t>4200587937</t>
        </is>
      </c>
      <c r="I1281" t="inlineStr">
        <is>
          <t>30</t>
        </is>
      </c>
      <c r="J1281" s="163" t="n">
        <v>45625</v>
      </c>
      <c r="K1281" s="163" t="n">
        <v>45722</v>
      </c>
      <c r="L1281" t="inlineStr"/>
      <c r="M1281" s="163" t="n">
        <v>45670</v>
      </c>
      <c r="N1281" s="164" t="n">
        <v>42</v>
      </c>
      <c r="O1281" s="164" t="n">
        <v>8</v>
      </c>
      <c r="P1281" t="inlineStr">
        <is>
          <t>Liberado</t>
        </is>
      </c>
      <c r="Q1281" s="165" t="n">
        <v>50</v>
      </c>
      <c r="R1281" s="165" t="n">
        <v>50</v>
      </c>
      <c r="S1281" s="165" t="n">
        <v>50</v>
      </c>
      <c r="T1281" s="165" t="n">
        <v>0</v>
      </c>
      <c r="U1281" s="166" t="n">
        <v>50</v>
      </c>
      <c r="V1281" s="166" t="n">
        <v>0</v>
      </c>
      <c r="W1281" t="inlineStr">
        <is>
          <t>X</t>
        </is>
      </c>
      <c r="X1281" t="inlineStr">
        <is>
          <t>0.00</t>
        </is>
      </c>
      <c r="Y1281" t="inlineStr"/>
      <c r="Z1281" t="inlineStr">
        <is>
          <t>AMIDATA, S.A.</t>
        </is>
      </c>
      <c r="AA1281" t="inlineStr">
        <is>
          <t>RS</t>
        </is>
      </c>
      <c r="AB1281" t="inlineStr">
        <is>
          <t>221-162</t>
        </is>
      </c>
      <c r="AC1281" t="inlineStr"/>
      <c r="AD1281" s="164" t="n">
        <v>1</v>
      </c>
      <c r="AE1281" s="185" t="n">
        <v>1</v>
      </c>
      <c r="AG1281" s="167" t="inlineStr">
        <is>
          <t>7218|JA2584_1001</t>
        </is>
      </c>
      <c r="AH1281" s="47">
        <f>IF(M1281=0,"-",M1281-J1281)</f>
        <v/>
      </c>
      <c r="AI1281" s="46">
        <f>IF(AND(S1281=0,M1281&gt;0,L1281=0),IF(AH1281&gt;=120,"VERY HIGH",IF(AH1281&gt;=90,"HIGH",IF(AH1281&gt;=60,"MEDIUM",IF(AH1281&lt;60,"LOW")))),"-")</f>
        <v/>
      </c>
      <c r="AJ1281" s="12" t="n"/>
      <c r="AK1281" s="53">
        <f>IF(AND(W1281="X",M1281&lt;=$AJ$2),"YES","")</f>
        <v/>
      </c>
      <c r="AL1281" s="54">
        <f>IF(AND(W1281="X",M1281&lt;=$AJ$2),S1281,"")</f>
        <v/>
      </c>
      <c r="AM1281" s="35" t="n"/>
      <c r="AN1281" s="35">
        <f>IF(AND(W1281="X",M1281&gt;$AJ$2),S1281,"")</f>
        <v/>
      </c>
      <c r="AO1281" s="35">
        <f>IF(AND(W1281="",M1281&gt;0,$AJ$2&gt;M1281,L1281=""),1,0)</f>
        <v/>
      </c>
      <c r="AP1281" s="35">
        <f>IF(AND(AK1281="YES",W1281="X"),"X","")</f>
        <v/>
      </c>
      <c r="AQ1281" s="55">
        <f>IF(AP1281="X",100%,0%)</f>
        <v/>
      </c>
      <c r="AR1281" s="25">
        <f>IF(AND(T1281&gt;0,L1281=""),H1281,"")</f>
        <v/>
      </c>
      <c r="AS1281" s="25">
        <f>IF(AND(D1281&gt;0,H1281=0,G1281=""),1,"")</f>
        <v/>
      </c>
      <c r="AT1281" s="25">
        <f>IF(G1281="BLOQ",1,"")</f>
        <v/>
      </c>
      <c r="AU1281" s="25">
        <f>IF(L1281="BLOQ",1,"")</f>
        <v/>
      </c>
      <c r="AV1281" s="25">
        <f>MONTH(F1281)</f>
        <v/>
      </c>
      <c r="AW1281" s="65">
        <f>IF(AP1281="",100%,0%)</f>
        <v/>
      </c>
      <c r="AX1281" s="56" t="n"/>
      <c r="AY1281" s="24">
        <f>IF(M1281=0,"",M1281-$AX$2)</f>
        <v/>
      </c>
      <c r="AZ1281" s="66">
        <f>IF(AND(W1281="",AY1281&gt;0,AY1281&lt;15),1,0)</f>
        <v/>
      </c>
      <c r="BA1281" s="24">
        <f>IF(AND(W1281="",AY1281&gt;0,AY1281&lt;15),T1281,"")</f>
        <v/>
      </c>
      <c r="BB1281" s="87">
        <f>IF(R1281&lt;Q1281,"X","")</f>
        <v/>
      </c>
      <c r="BC1281" s="190" t="inlineStr">
        <is>
          <t>NO</t>
        </is>
      </c>
      <c r="BD1281" s="191" t="inlineStr">
        <is>
          <t>SI</t>
        </is>
      </c>
    </row>
    <row r="1282" ht="15" customHeight="1" s="162">
      <c r="A1282" s="7" t="n">
        <v>1281</v>
      </c>
      <c r="B1282" t="inlineStr">
        <is>
          <t>1580160090000</t>
        </is>
      </c>
      <c r="C1282" t="inlineStr">
        <is>
          <t>SEPARADOR HEXAG M3 M/H L=5MM LATON NI</t>
        </is>
      </c>
      <c r="D1282" t="inlineStr">
        <is>
          <t>1800111914</t>
        </is>
      </c>
      <c r="E1282" t="inlineStr">
        <is>
          <t>10</t>
        </is>
      </c>
      <c r="F1282" s="163" t="n">
        <v>45524</v>
      </c>
      <c r="G1282" t="inlineStr"/>
      <c r="H1282" t="inlineStr">
        <is>
          <t>4200587937</t>
        </is>
      </c>
      <c r="I1282" t="inlineStr">
        <is>
          <t>40</t>
        </is>
      </c>
      <c r="J1282" s="163" t="n">
        <v>45625</v>
      </c>
      <c r="K1282" s="163" t="n">
        <v>45722</v>
      </c>
      <c r="L1282" t="inlineStr"/>
      <c r="M1282" s="163" t="n">
        <v>45670</v>
      </c>
      <c r="N1282" s="164" t="n">
        <v>30</v>
      </c>
      <c r="O1282" s="164" t="n">
        <v>8</v>
      </c>
      <c r="P1282" t="inlineStr">
        <is>
          <t>Liberado</t>
        </is>
      </c>
      <c r="Q1282" s="165" t="n">
        <v>400</v>
      </c>
      <c r="R1282" s="165" t="n">
        <v>400</v>
      </c>
      <c r="S1282" s="165" t="n">
        <v>400</v>
      </c>
      <c r="T1282" s="165" t="n">
        <v>0</v>
      </c>
      <c r="U1282" s="166" t="n">
        <v>400</v>
      </c>
      <c r="V1282" s="166" t="n">
        <v>0</v>
      </c>
      <c r="W1282" t="inlineStr">
        <is>
          <t>X</t>
        </is>
      </c>
      <c r="X1282" t="inlineStr">
        <is>
          <t>0.00</t>
        </is>
      </c>
      <c r="Y1282" t="inlineStr"/>
      <c r="Z1282" t="inlineStr">
        <is>
          <t>AMIDATA, S.A.</t>
        </is>
      </c>
      <c r="AA1282" t="inlineStr">
        <is>
          <t>RS</t>
        </is>
      </c>
      <c r="AB1282" t="inlineStr">
        <is>
          <t>606-670</t>
        </is>
      </c>
      <c r="AC1282" t="inlineStr"/>
      <c r="AD1282" s="164" t="n">
        <v>1</v>
      </c>
      <c r="AE1282" s="185" t="n">
        <v>1</v>
      </c>
      <c r="AG1282" s="167" t="inlineStr">
        <is>
          <t>7218|JA2583_1001</t>
        </is>
      </c>
      <c r="AH1282" s="47">
        <f>IF(M1282=0,"-",M1282-J1282)</f>
        <v/>
      </c>
      <c r="AI1282" s="46">
        <f>IF(AND(S1282=0,M1282&gt;0,L1282=0),IF(AH1282&gt;=120,"VERY HIGH",IF(AH1282&gt;=90,"HIGH",IF(AH1282&gt;=60,"MEDIUM",IF(AH1282&lt;60,"LOW")))),"-")</f>
        <v/>
      </c>
      <c r="AJ1282" s="12" t="n"/>
      <c r="AK1282" s="53">
        <f>IF(AND(W1282="X",M1282&lt;=$AJ$2),"YES","")</f>
        <v/>
      </c>
      <c r="AL1282" s="54">
        <f>IF(AND(W1282="X",M1282&lt;=$AJ$2),S1282,"")</f>
        <v/>
      </c>
      <c r="AM1282" s="35" t="n"/>
      <c r="AN1282" s="35">
        <f>IF(AND(W1282="X",M1282&gt;$AJ$2),S1282,"")</f>
        <v/>
      </c>
      <c r="AO1282" s="35">
        <f>IF(AND(W1282="",M1282&gt;0,$AJ$2&gt;M1282,L1282=""),1,0)</f>
        <v/>
      </c>
      <c r="AP1282" s="35">
        <f>IF(AND(AK1282="YES",W1282="X"),"X","")</f>
        <v/>
      </c>
      <c r="AQ1282" s="55">
        <f>IF(AP1282="X",100%,0%)</f>
        <v/>
      </c>
      <c r="AR1282" s="25">
        <f>IF(AND(T1282&gt;0,L1282=""),H1282,"")</f>
        <v/>
      </c>
      <c r="AS1282" s="25">
        <f>IF(AND(D1282&gt;0,H1282=0,G1282=""),1,"")</f>
        <v/>
      </c>
      <c r="AT1282" s="25">
        <f>IF(G1282="BLOQ",1,"")</f>
        <v/>
      </c>
      <c r="AU1282" s="25">
        <f>IF(L1282="BLOQ",1,"")</f>
        <v/>
      </c>
      <c r="AV1282" s="25">
        <f>MONTH(F1282)</f>
        <v/>
      </c>
      <c r="AW1282" s="65">
        <f>IF(AP1282="",100%,0%)</f>
        <v/>
      </c>
      <c r="AX1282" s="56" t="n"/>
      <c r="AY1282" s="24">
        <f>IF(M1282=0,"",M1282-$AX$2)</f>
        <v/>
      </c>
      <c r="AZ1282" s="66">
        <f>IF(AND(W1282="",AY1282&gt;0,AY1282&lt;15),1,0)</f>
        <v/>
      </c>
      <c r="BA1282" s="24">
        <f>IF(AND(W1282="",AY1282&gt;0,AY1282&lt;15),T1282,"")</f>
        <v/>
      </c>
      <c r="BB1282" s="87">
        <f>IF(R1282&lt;Q1282,"X","")</f>
        <v/>
      </c>
      <c r="BC1282" s="190" t="inlineStr">
        <is>
          <t>NO</t>
        </is>
      </c>
      <c r="BD1282" s="191" t="inlineStr">
        <is>
          <t>SI</t>
        </is>
      </c>
    </row>
    <row r="1283" ht="15" customHeight="1" s="162">
      <c r="A1283" s="7" t="n">
        <v>1282</v>
      </c>
      <c r="B1283" t="inlineStr">
        <is>
          <t>1237700220000</t>
        </is>
      </c>
      <c r="C1283" t="inlineStr">
        <is>
          <t>TERM PREAISL RED AWG20-16 P/M4 NYLON ROJ</t>
        </is>
      </c>
      <c r="D1283" t="inlineStr">
        <is>
          <t>1800111915</t>
        </is>
      </c>
      <c r="E1283" t="inlineStr">
        <is>
          <t>10</t>
        </is>
      </c>
      <c r="F1283" s="163" t="n">
        <v>45524</v>
      </c>
      <c r="G1283" t="inlineStr"/>
      <c r="H1283" t="inlineStr">
        <is>
          <t>4200577642</t>
        </is>
      </c>
      <c r="I1283" t="inlineStr">
        <is>
          <t>110</t>
        </is>
      </c>
      <c r="J1283" s="163" t="n">
        <v>45552</v>
      </c>
      <c r="K1283" s="163" t="n">
        <v>45558</v>
      </c>
      <c r="L1283" t="inlineStr"/>
      <c r="M1283" s="163" t="n">
        <v>45560</v>
      </c>
      <c r="N1283" s="164" t="n">
        <v>65</v>
      </c>
      <c r="O1283" s="164" t="n">
        <v>8</v>
      </c>
      <c r="P1283" t="inlineStr">
        <is>
          <t>Liberado</t>
        </is>
      </c>
      <c r="Q1283" s="165" t="n">
        <v>200</v>
      </c>
      <c r="R1283" s="165" t="n">
        <v>200</v>
      </c>
      <c r="S1283" s="165" t="n">
        <v>200</v>
      </c>
      <c r="T1283" s="165" t="n">
        <v>0</v>
      </c>
      <c r="U1283" s="166" t="n">
        <v>200</v>
      </c>
      <c r="V1283" s="166" t="n">
        <v>0</v>
      </c>
      <c r="W1283" t="inlineStr">
        <is>
          <t>X</t>
        </is>
      </c>
      <c r="X1283" t="inlineStr">
        <is>
          <t>0.00</t>
        </is>
      </c>
      <c r="Y1283" t="inlineStr"/>
      <c r="Z1283" t="inlineStr">
        <is>
          <t>LUJISA, S.A.</t>
        </is>
      </c>
      <c r="AA1283" t="inlineStr">
        <is>
          <t>XB</t>
        </is>
      </c>
      <c r="AB1283" t="inlineStr">
        <is>
          <t>EF-15043</t>
        </is>
      </c>
      <c r="AC1283" t="inlineStr"/>
      <c r="AD1283" s="164" t="n">
        <v>0</v>
      </c>
      <c r="AE1283" s="185" t="n">
        <v>0</v>
      </c>
      <c r="AG1283" s="167" t="inlineStr">
        <is>
          <t>7218|JA2581_1001</t>
        </is>
      </c>
      <c r="AH1283" s="47">
        <f>IF(M1283=0,"-",M1283-J1283)</f>
        <v/>
      </c>
      <c r="AI1283" s="46">
        <f>IF(AND(S1283=0,M1283&gt;0,L1283=0),IF(AH1283&gt;=120,"VERY HIGH",IF(AH1283&gt;=90,"HIGH",IF(AH1283&gt;=60,"MEDIUM",IF(AH1283&lt;60,"LOW")))),"-")</f>
        <v/>
      </c>
      <c r="AJ1283" s="12" t="n"/>
      <c r="AK1283" s="53">
        <f>IF(AND(W1283="X",M1283&lt;=$AJ$2),"YES","")</f>
        <v/>
      </c>
      <c r="AL1283" s="54">
        <f>IF(AND(W1283="X",M1283&lt;=$AJ$2),S1283,"")</f>
        <v/>
      </c>
      <c r="AM1283" s="35" t="n"/>
      <c r="AN1283" s="35">
        <f>IF(AND(W1283="X",M1283&gt;$AJ$2),S1283,"")</f>
        <v/>
      </c>
      <c r="AO1283" s="35">
        <f>IF(AND(W1283="",M1283&gt;0,$AJ$2&gt;M1283,L1283=""),1,0)</f>
        <v/>
      </c>
      <c r="AP1283" s="35">
        <f>IF(AND(AK1283="YES",W1283="X"),"X","")</f>
        <v/>
      </c>
      <c r="AQ1283" s="55">
        <f>IF(AP1283="X",100%,0%)</f>
        <v/>
      </c>
      <c r="AR1283" s="25">
        <f>IF(AND(T1283&gt;0,L1283=""),H1283,"")</f>
        <v/>
      </c>
      <c r="AS1283" s="25">
        <f>IF(AND(D1283&gt;0,H1283=0,G1283=""),1,"")</f>
        <v/>
      </c>
      <c r="AT1283" s="25">
        <f>IF(G1283="BLOQ",1,"")</f>
        <v/>
      </c>
      <c r="AU1283" s="25">
        <f>IF(L1283="BLOQ",1,"")</f>
        <v/>
      </c>
      <c r="AV1283" s="25">
        <f>MONTH(F1283)</f>
        <v/>
      </c>
      <c r="AW1283" s="65">
        <f>IF(AP1283="",100%,0%)</f>
        <v/>
      </c>
      <c r="AX1283" s="56" t="n"/>
      <c r="AY1283" s="24">
        <f>IF(M1283=0,"",M1283-$AX$2)</f>
        <v/>
      </c>
      <c r="AZ1283" s="66">
        <f>IF(AND(W1283="",AY1283&gt;0,AY1283&lt;15),1,0)</f>
        <v/>
      </c>
      <c r="BA1283" s="24">
        <f>IF(AND(W1283="",AY1283&gt;0,AY1283&lt;15),T1283,"")</f>
        <v/>
      </c>
      <c r="BB1283" s="87">
        <f>IF(R1283&lt;Q1283,"X","")</f>
        <v/>
      </c>
      <c r="BC1283" s="190" t="inlineStr">
        <is>
          <t>NO</t>
        </is>
      </c>
      <c r="BD1283" s="191" t="inlineStr">
        <is>
          <t>SI</t>
        </is>
      </c>
    </row>
    <row r="1284" ht="15" customHeight="1" s="162">
      <c r="A1284" s="7" t="n">
        <v>1283</v>
      </c>
      <c r="B1284" t="inlineStr">
        <is>
          <t>1220114152601</t>
        </is>
      </c>
      <c r="C1284" t="inlineStr">
        <is>
          <t>CBL FLEX 1X1,5MM2 750V TIPO E AZUL LH</t>
        </is>
      </c>
      <c r="D1284" t="inlineStr">
        <is>
          <t>1800112244</t>
        </is>
      </c>
      <c r="E1284" t="inlineStr">
        <is>
          <t>10</t>
        </is>
      </c>
      <c r="F1284" s="163" t="n">
        <v>45537</v>
      </c>
      <c r="G1284" t="inlineStr"/>
      <c r="H1284" t="inlineStr">
        <is>
          <t>4200580284</t>
        </is>
      </c>
      <c r="I1284" t="inlineStr">
        <is>
          <t>10</t>
        </is>
      </c>
      <c r="J1284" s="163" t="n">
        <v>45572</v>
      </c>
      <c r="K1284" s="163" t="n">
        <v>45572</v>
      </c>
      <c r="L1284" t="inlineStr"/>
      <c r="M1284" s="163" t="n">
        <v>45579</v>
      </c>
      <c r="N1284" s="164" t="n">
        <v>55</v>
      </c>
      <c r="O1284" s="164" t="n">
        <v>8</v>
      </c>
      <c r="P1284" t="inlineStr">
        <is>
          <t>Liberado</t>
        </is>
      </c>
      <c r="Q1284" s="165" t="n">
        <v>50</v>
      </c>
      <c r="R1284" s="165" t="n">
        <v>50</v>
      </c>
      <c r="S1284" s="165" t="n">
        <v>50</v>
      </c>
      <c r="T1284" s="165" t="n">
        <v>0</v>
      </c>
      <c r="U1284" s="166" t="n">
        <v>50</v>
      </c>
      <c r="V1284" s="166" t="n">
        <v>0</v>
      </c>
      <c r="W1284" t="inlineStr">
        <is>
          <t>X</t>
        </is>
      </c>
      <c r="X1284" t="inlineStr">
        <is>
          <t>0.00</t>
        </is>
      </c>
      <c r="Y1284" t="inlineStr"/>
      <c r="Z1284" t="inlineStr">
        <is>
          <t>TCX MICRO, S.L.U</t>
        </is>
      </c>
      <c r="AA1284" t="inlineStr">
        <is>
          <t>TE CONNECTIVITY</t>
        </is>
      </c>
      <c r="AB1284" t="inlineStr">
        <is>
          <t>100G0111-1.50-6</t>
        </is>
      </c>
      <c r="AC1284" t="inlineStr"/>
      <c r="AD1284" s="164" t="n">
        <v>0</v>
      </c>
      <c r="AE1284" s="185" t="n">
        <v>0</v>
      </c>
      <c r="AG1284" s="167" t="inlineStr">
        <is>
          <t>7218|JA2581_1001</t>
        </is>
      </c>
      <c r="AH1284" s="47">
        <f>IF(M1284=0,"-",M1284-J1284)</f>
        <v/>
      </c>
      <c r="AI1284" s="46">
        <f>IF(AND(S1284=0,M1284&gt;0,L1284=0),IF(AH1284&gt;=120,"VERY HIGH",IF(AH1284&gt;=90,"HIGH",IF(AH1284&gt;=60,"MEDIUM",IF(AH1284&lt;60,"LOW")))),"-")</f>
        <v/>
      </c>
      <c r="AJ1284" s="12" t="n"/>
      <c r="AK1284" s="53">
        <f>IF(AND(W1284="X",M1284&lt;=$AJ$2),"YES","")</f>
        <v/>
      </c>
      <c r="AL1284" s="54">
        <f>IF(AND(W1284="X",M1284&lt;=$AJ$2),S1284,"")</f>
        <v/>
      </c>
      <c r="AM1284" s="35" t="n"/>
      <c r="AN1284" s="35">
        <f>IF(AND(W1284="X",M1284&gt;$AJ$2),S1284,"")</f>
        <v/>
      </c>
      <c r="AO1284" s="35">
        <f>IF(AND(W1284="",M1284&gt;0,$AJ$2&gt;M1284,L1284=""),1,0)</f>
        <v/>
      </c>
      <c r="AP1284" s="35">
        <f>IF(AND(AK1284="YES",W1284="X"),"X","")</f>
        <v/>
      </c>
      <c r="AQ1284" s="55">
        <f>IF(AP1284="X",100%,0%)</f>
        <v/>
      </c>
      <c r="AR1284" s="25">
        <f>IF(AND(T1284&gt;0,L1284=""),H1284,"")</f>
        <v/>
      </c>
      <c r="AS1284" s="25">
        <f>IF(AND(D1284&gt;0,H1284=0,G1284=""),1,"")</f>
        <v/>
      </c>
      <c r="AT1284" s="25">
        <f>IF(G1284="BLOQ",1,"")</f>
        <v/>
      </c>
      <c r="AU1284" s="25">
        <f>IF(L1284="BLOQ",1,"")</f>
        <v/>
      </c>
      <c r="AV1284" s="25">
        <f>MONTH(F1284)</f>
        <v/>
      </c>
      <c r="AW1284" s="65">
        <f>IF(AP1284="",100%,0%)</f>
        <v/>
      </c>
      <c r="AX1284" s="56" t="n"/>
      <c r="AY1284" s="24">
        <f>IF(M1284=0,"",M1284-$AX$2)</f>
        <v/>
      </c>
      <c r="AZ1284" s="66">
        <f>IF(AND(W1284="",AY1284&gt;0,AY1284&lt;15),1,0)</f>
        <v/>
      </c>
      <c r="BA1284" s="24">
        <f>IF(AND(W1284="",AY1284&gt;0,AY1284&lt;15),T1284,"")</f>
        <v/>
      </c>
      <c r="BB1284" s="87">
        <f>IF(R1284&lt;Q1284,"X","")</f>
        <v/>
      </c>
      <c r="BC1284" s="190" t="inlineStr">
        <is>
          <t>NO</t>
        </is>
      </c>
      <c r="BD1284" s="191" t="inlineStr">
        <is>
          <t>SI</t>
        </is>
      </c>
    </row>
    <row r="1285" ht="15" customHeight="1" s="162">
      <c r="A1285" s="7" t="n">
        <v>1284</v>
      </c>
      <c r="B1285" t="inlineStr">
        <is>
          <t>1238000183100</t>
        </is>
      </c>
      <c r="C1285" t="inlineStr">
        <is>
          <t>TERMINAL FASTON H AWG22-18 RECT CRIMP</t>
        </is>
      </c>
      <c r="D1285" t="inlineStr">
        <is>
          <t>1800112244</t>
        </is>
      </c>
      <c r="E1285" t="inlineStr">
        <is>
          <t>20</t>
        </is>
      </c>
      <c r="F1285" s="163" t="n">
        <v>45537</v>
      </c>
      <c r="G1285" t="inlineStr"/>
      <c r="H1285" t="inlineStr">
        <is>
          <t>4200579565</t>
        </is>
      </c>
      <c r="I1285" t="inlineStr">
        <is>
          <t>170</t>
        </is>
      </c>
      <c r="J1285" s="163" t="n">
        <v>45567</v>
      </c>
      <c r="K1285" s="163" t="n">
        <v>45568</v>
      </c>
      <c r="L1285" t="inlineStr"/>
      <c r="M1285" s="163" t="n">
        <v>45756</v>
      </c>
      <c r="N1285" s="164" t="n">
        <v>40</v>
      </c>
      <c r="O1285" s="164" t="n">
        <v>8</v>
      </c>
      <c r="P1285" t="inlineStr">
        <is>
          <t>Liberado</t>
        </is>
      </c>
      <c r="Q1285" s="165" t="n">
        <v>200</v>
      </c>
      <c r="R1285" s="165" t="n">
        <v>20000</v>
      </c>
      <c r="S1285" s="165" t="n">
        <v>20000</v>
      </c>
      <c r="T1285" s="165" t="n">
        <v>0</v>
      </c>
      <c r="U1285" s="166" t="n">
        <v>0</v>
      </c>
      <c r="V1285" s="166" t="n">
        <v>0</v>
      </c>
      <c r="W1285" t="inlineStr">
        <is>
          <t>X</t>
        </is>
      </c>
      <c r="X1285" t="inlineStr">
        <is>
          <t>0.00</t>
        </is>
      </c>
      <c r="Y1285" t="inlineStr"/>
      <c r="Z1285" t="inlineStr">
        <is>
          <t>TTI INC.</t>
        </is>
      </c>
      <c r="AA1285" t="inlineStr">
        <is>
          <t>TE CONNECTIVITY</t>
        </is>
      </c>
      <c r="AB1285" t="inlineStr">
        <is>
          <t>42510-2</t>
        </is>
      </c>
      <c r="AC1285" t="inlineStr"/>
      <c r="AD1285" s="164" t="n">
        <v>0</v>
      </c>
      <c r="AE1285" s="185" t="n">
        <v>0</v>
      </c>
      <c r="AG1285" s="167" t="inlineStr">
        <is>
          <t>7218|JA2581_1001</t>
        </is>
      </c>
      <c r="AH1285" s="47">
        <f>IF(M1285=0,"-",M1285-J1285)</f>
        <v/>
      </c>
      <c r="AI1285" s="46">
        <f>IF(AND(S1285=0,M1285&gt;0,L1285=0),IF(AH1285&gt;=120,"VERY HIGH",IF(AH1285&gt;=90,"HIGH",IF(AH1285&gt;=60,"MEDIUM",IF(AH1285&lt;60,"LOW")))),"-")</f>
        <v/>
      </c>
      <c r="AJ1285" s="12" t="n"/>
      <c r="AK1285" s="53">
        <f>IF(AND(W1285="X",M1285&lt;=$AJ$2),"YES","")</f>
        <v/>
      </c>
      <c r="AL1285" s="54">
        <f>IF(AND(W1285="X",M1285&lt;=$AJ$2),S1285,"")</f>
        <v/>
      </c>
      <c r="AM1285" s="35" t="n"/>
      <c r="AN1285" s="35">
        <f>IF(AND(W1285="X",M1285&gt;$AJ$2),S1285,"")</f>
        <v/>
      </c>
      <c r="AO1285" s="35">
        <f>IF(AND(W1285="",M1285&gt;0,$AJ$2&gt;M1285,L1285=""),1,0)</f>
        <v/>
      </c>
      <c r="AP1285" s="35">
        <f>IF(AND(AK1285="YES",W1285="X"),"X","")</f>
        <v/>
      </c>
      <c r="AQ1285" s="55">
        <f>IF(AP1285="X",100%,0%)</f>
        <v/>
      </c>
      <c r="AR1285" s="25">
        <f>IF(AND(T1285&gt;0,L1285=""),H1285,"")</f>
        <v/>
      </c>
      <c r="AS1285" s="25">
        <f>IF(AND(D1285&gt;0,H1285=0,G1285=""),1,"")</f>
        <v/>
      </c>
      <c r="AT1285" s="25">
        <f>IF(G1285="BLOQ",1,"")</f>
        <v/>
      </c>
      <c r="AU1285" s="25">
        <f>IF(L1285="BLOQ",1,"")</f>
        <v/>
      </c>
      <c r="AV1285" s="25">
        <f>MONTH(F1285)</f>
        <v/>
      </c>
      <c r="AW1285" s="65">
        <f>IF(AP1285="",100%,0%)</f>
        <v/>
      </c>
      <c r="AX1285" s="56" t="n"/>
      <c r="AY1285" s="24">
        <f>IF(M1285=0,"",M1285-$AX$2)</f>
        <v/>
      </c>
      <c r="AZ1285" s="66">
        <f>IF(AND(W1285="",AY1285&gt;0,AY1285&lt;15),1,0)</f>
        <v/>
      </c>
      <c r="BA1285" s="24">
        <f>IF(AND(W1285="",AY1285&gt;0,AY1285&lt;15),T1285,"")</f>
        <v/>
      </c>
      <c r="BB1285" s="87">
        <f>IF(R1285&lt;Q1285,"X","")</f>
        <v/>
      </c>
      <c r="BC1285" s="190" t="inlineStr">
        <is>
          <t>NO</t>
        </is>
      </c>
      <c r="BD1285" s="191" t="inlineStr">
        <is>
          <t>SI</t>
        </is>
      </c>
    </row>
    <row r="1286" ht="15" customHeight="1" s="162">
      <c r="A1286" s="7" t="n">
        <v>1285</v>
      </c>
      <c r="B1286" t="inlineStr">
        <is>
          <t>1220114152003</t>
        </is>
      </c>
      <c r="C1286" t="inlineStr">
        <is>
          <t>CBL FLEX 1X1,5MM2 750V TIPO E NEGRO LH</t>
        </is>
      </c>
      <c r="D1286" t="inlineStr">
        <is>
          <t>1800112245</t>
        </is>
      </c>
      <c r="E1286" t="inlineStr">
        <is>
          <t>10</t>
        </is>
      </c>
      <c r="F1286" s="163" t="n">
        <v>45537</v>
      </c>
      <c r="G1286" t="inlineStr"/>
      <c r="H1286" t="inlineStr">
        <is>
          <t>4200579565</t>
        </is>
      </c>
      <c r="I1286" t="inlineStr">
        <is>
          <t>180</t>
        </is>
      </c>
      <c r="J1286" s="163" t="n">
        <v>45567</v>
      </c>
      <c r="K1286" s="163" t="n">
        <v>45568</v>
      </c>
      <c r="L1286" t="inlineStr"/>
      <c r="M1286" s="163" t="n">
        <v>45574</v>
      </c>
      <c r="N1286" s="164" t="n">
        <v>60</v>
      </c>
      <c r="O1286" s="164" t="n">
        <v>8</v>
      </c>
      <c r="P1286" t="inlineStr">
        <is>
          <t>Liberado</t>
        </is>
      </c>
      <c r="Q1286" s="165" t="n">
        <v>50</v>
      </c>
      <c r="R1286" s="165" t="n">
        <v>50</v>
      </c>
      <c r="S1286" s="165" t="n">
        <v>50</v>
      </c>
      <c r="T1286" s="165" t="n">
        <v>0</v>
      </c>
      <c r="U1286" s="166" t="n">
        <v>0</v>
      </c>
      <c r="V1286" s="166" t="n">
        <v>0</v>
      </c>
      <c r="W1286" t="inlineStr">
        <is>
          <t>X</t>
        </is>
      </c>
      <c r="X1286" t="inlineStr">
        <is>
          <t>0.00</t>
        </is>
      </c>
      <c r="Y1286" t="inlineStr"/>
      <c r="Z1286" t="inlineStr">
        <is>
          <t>TTI INC.</t>
        </is>
      </c>
      <c r="AA1286" t="inlineStr">
        <is>
          <t>TE CONNECTIVITY</t>
        </is>
      </c>
      <c r="AB1286" t="inlineStr">
        <is>
          <t>100G0111-1.50-0</t>
        </is>
      </c>
      <c r="AC1286" t="inlineStr"/>
      <c r="AD1286" s="164" t="n">
        <v>0</v>
      </c>
      <c r="AE1286" s="185" t="n">
        <v>0</v>
      </c>
      <c r="AG1286" s="167" t="inlineStr">
        <is>
          <t>7218|JA2581_1001</t>
        </is>
      </c>
      <c r="AH1286" s="47">
        <f>IF(M1286=0,"-",M1286-J1286)</f>
        <v/>
      </c>
      <c r="AI1286" s="46">
        <f>IF(AND(S1286=0,M1286&gt;0,L1286=0),IF(AH1286&gt;=120,"VERY HIGH",IF(AH1286&gt;=90,"HIGH",IF(AH1286&gt;=60,"MEDIUM",IF(AH1286&lt;60,"LOW")))),"-")</f>
        <v/>
      </c>
      <c r="AJ1286" s="12" t="n"/>
      <c r="AK1286" s="53">
        <f>IF(AND(W1286="X",M1286&lt;=$AJ$2),"YES","")</f>
        <v/>
      </c>
      <c r="AL1286" s="54">
        <f>IF(AND(W1286="X",M1286&lt;=$AJ$2),S1286,"")</f>
        <v/>
      </c>
      <c r="AM1286" s="35" t="n"/>
      <c r="AN1286" s="35">
        <f>IF(AND(W1286="X",M1286&gt;$AJ$2),S1286,"")</f>
        <v/>
      </c>
      <c r="AO1286" s="35">
        <f>IF(AND(W1286="",M1286&gt;0,$AJ$2&gt;M1286,L1286=""),1,0)</f>
        <v/>
      </c>
      <c r="AP1286" s="35">
        <f>IF(AND(AK1286="YES",W1286="X"),"X","")</f>
        <v/>
      </c>
      <c r="AQ1286" s="55">
        <f>IF(AP1286="X",100%,0%)</f>
        <v/>
      </c>
      <c r="AR1286" s="25">
        <f>IF(AND(T1286&gt;0,L1286=""),H1286,"")</f>
        <v/>
      </c>
      <c r="AS1286" s="25">
        <f>IF(AND(D1286&gt;0,H1286=0,G1286=""),1,"")</f>
        <v/>
      </c>
      <c r="AT1286" s="25">
        <f>IF(G1286="BLOQ",1,"")</f>
        <v/>
      </c>
      <c r="AU1286" s="25">
        <f>IF(L1286="BLOQ",1,"")</f>
        <v/>
      </c>
      <c r="AV1286" s="25">
        <f>MONTH(F1286)</f>
        <v/>
      </c>
      <c r="AW1286" s="65">
        <f>IF(AP1286="",100%,0%)</f>
        <v/>
      </c>
      <c r="AX1286" s="56" t="n"/>
      <c r="AY1286" s="24">
        <f>IF(M1286=0,"",M1286-$AX$2)</f>
        <v/>
      </c>
      <c r="AZ1286" s="66">
        <f>IF(AND(W1286="",AY1286&gt;0,AY1286&lt;15),1,0)</f>
        <v/>
      </c>
      <c r="BA1286" s="24">
        <f>IF(AND(W1286="",AY1286&gt;0,AY1286&lt;15),T1286,"")</f>
        <v/>
      </c>
      <c r="BB1286" s="87">
        <f>IF(R1286&lt;Q1286,"X","")</f>
        <v/>
      </c>
      <c r="BC1286" s="190" t="inlineStr">
        <is>
          <t>NO</t>
        </is>
      </c>
      <c r="BD1286" s="191" t="inlineStr">
        <is>
          <t>SI</t>
        </is>
      </c>
    </row>
    <row r="1287" ht="15" customHeight="1" s="162">
      <c r="A1287" s="7" t="n">
        <v>1286</v>
      </c>
      <c r="B1287" t="inlineStr">
        <is>
          <t>1390704692500</t>
        </is>
      </c>
      <c r="C1287" t="inlineStr">
        <is>
          <t>PANEL EMERGENCIA IOS 135X60MM AL 6061T6</t>
        </is>
      </c>
      <c r="D1287" t="inlineStr">
        <is>
          <t>1800112246</t>
        </is>
      </c>
      <c r="E1287" t="inlineStr">
        <is>
          <t>10</t>
        </is>
      </c>
      <c r="F1287" s="163" t="n">
        <v>45537</v>
      </c>
      <c r="G1287" t="inlineStr"/>
      <c r="H1287" t="inlineStr">
        <is>
          <t>4200576574</t>
        </is>
      </c>
      <c r="I1287" t="inlineStr">
        <is>
          <t>10</t>
        </is>
      </c>
      <c r="J1287" s="163" t="n">
        <v>45544</v>
      </c>
      <c r="K1287" s="163" t="n">
        <v>45545</v>
      </c>
      <c r="L1287" t="inlineStr"/>
      <c r="M1287" s="163" t="n">
        <v>45623</v>
      </c>
      <c r="N1287" s="164" t="n">
        <v>40</v>
      </c>
      <c r="O1287" s="164" t="n">
        <v>8</v>
      </c>
      <c r="P1287" t="inlineStr">
        <is>
          <t>Liberado</t>
        </is>
      </c>
      <c r="Q1287" s="165" t="n">
        <v>1</v>
      </c>
      <c r="R1287" s="165" t="n">
        <v>1</v>
      </c>
      <c r="S1287" s="165" t="n">
        <v>1</v>
      </c>
      <c r="T1287" s="165" t="n">
        <v>0</v>
      </c>
      <c r="U1287" s="166" t="n">
        <v>1</v>
      </c>
      <c r="V1287" s="166" t="n">
        <v>0</v>
      </c>
      <c r="W1287" t="inlineStr">
        <is>
          <t>X</t>
        </is>
      </c>
      <c r="X1287" t="inlineStr">
        <is>
          <t>0.00</t>
        </is>
      </c>
      <c r="Y1287" t="inlineStr"/>
      <c r="Z1287" t="inlineStr">
        <is>
          <t>SUMINISTROS, FRESADOS Y GRABADOS</t>
        </is>
      </c>
      <c r="AA1287" t="inlineStr">
        <is>
          <t>GRABYSUR</t>
        </is>
      </c>
      <c r="AB1287" t="inlineStr">
        <is>
          <t>GR-SEQ40401</t>
        </is>
      </c>
      <c r="AC1287" t="inlineStr"/>
      <c r="AD1287" s="164" t="n">
        <v>0</v>
      </c>
      <c r="AE1287" s="185" t="n">
        <v>0</v>
      </c>
      <c r="AG1287" s="167" t="inlineStr">
        <is>
          <t>7218|JA2588_1001</t>
        </is>
      </c>
      <c r="AH1287" s="47">
        <f>IF(M1287=0,"-",M1287-J1287)</f>
        <v/>
      </c>
      <c r="AI1287" s="46">
        <f>IF(AND(S1287=0,M1287&gt;0,L1287=0),IF(AH1287&gt;=120,"VERY HIGH",IF(AH1287&gt;=90,"HIGH",IF(AH1287&gt;=60,"MEDIUM",IF(AH1287&lt;60,"LOW")))),"-")</f>
        <v/>
      </c>
      <c r="AJ1287" s="12" t="n"/>
      <c r="AK1287" s="53">
        <f>IF(AND(W1287="X",M1287&lt;=$AJ$2),"YES","")</f>
        <v/>
      </c>
      <c r="AL1287" s="54">
        <f>IF(AND(W1287="X",M1287&lt;=$AJ$2),S1287,"")</f>
        <v/>
      </c>
      <c r="AM1287" s="35" t="n"/>
      <c r="AN1287" s="35">
        <f>IF(AND(W1287="X",M1287&gt;$AJ$2),S1287,"")</f>
        <v/>
      </c>
      <c r="AO1287" s="35">
        <f>IF(AND(W1287="",M1287&gt;0,$AJ$2&gt;M1287,L1287=""),1,0)</f>
        <v/>
      </c>
      <c r="AP1287" s="35">
        <f>IF(AND(AK1287="YES",W1287="X"),"X","")</f>
        <v/>
      </c>
      <c r="AQ1287" s="55">
        <f>IF(AP1287="X",100%,0%)</f>
        <v/>
      </c>
      <c r="AR1287" s="25">
        <f>IF(AND(T1287&gt;0,L1287=""),H1287,"")</f>
        <v/>
      </c>
      <c r="AS1287" s="25">
        <f>IF(AND(D1287&gt;0,H1287=0,G1287=""),1,"")</f>
        <v/>
      </c>
      <c r="AT1287" s="25">
        <f>IF(G1287="BLOQ",1,"")</f>
        <v/>
      </c>
      <c r="AU1287" s="25">
        <f>IF(L1287="BLOQ",1,"")</f>
        <v/>
      </c>
      <c r="AV1287" s="25">
        <f>MONTH(F1287)</f>
        <v/>
      </c>
      <c r="AW1287" s="65">
        <f>IF(AP1287="",100%,0%)</f>
        <v/>
      </c>
      <c r="AX1287" s="56" t="n"/>
      <c r="AY1287" s="24">
        <f>IF(M1287=0,"",M1287-$AX$2)</f>
        <v/>
      </c>
      <c r="AZ1287" s="66">
        <f>IF(AND(W1287="",AY1287&gt;0,AY1287&lt;15),1,0)</f>
        <v/>
      </c>
      <c r="BA1287" s="24">
        <f>IF(AND(W1287="",AY1287&gt;0,AY1287&lt;15),T1287,"")</f>
        <v/>
      </c>
      <c r="BB1287" s="87">
        <f>IF(R1287&lt;Q1287,"X","")</f>
        <v/>
      </c>
      <c r="BC1287" s="191" t="inlineStr">
        <is>
          <t>SI</t>
        </is>
      </c>
      <c r="BD1287" s="191" t="inlineStr">
        <is>
          <t>SI</t>
        </is>
      </c>
    </row>
    <row r="1288" ht="15" customHeight="1" s="162">
      <c r="A1288" s="7" t="n">
        <v>1287</v>
      </c>
      <c r="B1288" t="inlineStr">
        <is>
          <t>1390705220800</t>
        </is>
      </c>
      <c r="C1288" t="inlineStr">
        <is>
          <t>MOT KIT GEN3 MB-E-6DOF-60-14000KG COTS</t>
        </is>
      </c>
      <c r="D1288" t="inlineStr">
        <is>
          <t>1800112332</t>
        </is>
      </c>
      <c r="E1288" t="inlineStr">
        <is>
          <t>10</t>
        </is>
      </c>
      <c r="F1288" s="163" t="n">
        <v>45539</v>
      </c>
      <c r="G1288" t="inlineStr"/>
      <c r="H1288" t="inlineStr">
        <is>
          <t>4600003976</t>
        </is>
      </c>
      <c r="I1288" t="inlineStr">
        <is>
          <t>140</t>
        </is>
      </c>
      <c r="J1288" s="163" t="n">
        <v>45464</v>
      </c>
      <c r="K1288" s="163" t="n">
        <v>45546</v>
      </c>
      <c r="L1288" t="inlineStr"/>
      <c r="M1288" s="163" t="n">
        <v>45580</v>
      </c>
      <c r="N1288" s="164" t="n">
        <v>40</v>
      </c>
      <c r="O1288" s="164" t="n">
        <v>8</v>
      </c>
      <c r="P1288" t="inlineStr">
        <is>
          <t>Liberado</t>
        </is>
      </c>
      <c r="Q1288" s="165" t="n">
        <v>1</v>
      </c>
      <c r="R1288" s="165" t="n">
        <v>1</v>
      </c>
      <c r="S1288" s="165" t="n">
        <v>1</v>
      </c>
      <c r="T1288" s="165" t="n">
        <v>0</v>
      </c>
      <c r="U1288" s="166" t="n">
        <v>1</v>
      </c>
      <c r="V1288" s="166" t="n">
        <v>0</v>
      </c>
      <c r="W1288" t="inlineStr">
        <is>
          <t>X</t>
        </is>
      </c>
      <c r="X1288" t="inlineStr">
        <is>
          <t>0.00</t>
        </is>
      </c>
      <c r="Y1288" t="inlineStr"/>
      <c r="Z1288" t="inlineStr">
        <is>
          <t>MOOG, B.V.</t>
        </is>
      </c>
      <c r="AA1288" t="inlineStr">
        <is>
          <t>MOOG</t>
        </is>
      </c>
      <c r="AB1288" t="inlineStr">
        <is>
          <t>CD45841-000A-075-0</t>
        </is>
      </c>
      <c r="AC1288" t="inlineStr"/>
      <c r="AD1288" s="164" t="n">
        <v>1</v>
      </c>
      <c r="AE1288" s="185" t="n">
        <v>1</v>
      </c>
      <c r="AG1288" s="167" t="inlineStr">
        <is>
          <t>7218|JA2612_1001</t>
        </is>
      </c>
      <c r="AH1288" s="47">
        <f>IF(M1288=0,"-",M1288-J1288)</f>
        <v/>
      </c>
      <c r="AI1288" s="46">
        <f>IF(AND(S1288=0,M1288&gt;0,L1288=0),IF(AH1288&gt;=120,"VERY HIGH",IF(AH1288&gt;=90,"HIGH",IF(AH1288&gt;=60,"MEDIUM",IF(AH1288&lt;60,"LOW")))),"-")</f>
        <v/>
      </c>
      <c r="AJ1288" s="12" t="n"/>
      <c r="AK1288" s="53">
        <f>IF(AND(W1288="X",M1288&lt;=$AJ$2),"YES","")</f>
        <v/>
      </c>
      <c r="AL1288" s="54">
        <f>IF(AND(W1288="X",M1288&lt;=$AJ$2),S1288,"")</f>
        <v/>
      </c>
      <c r="AM1288" s="35" t="n"/>
      <c r="AN1288" s="35">
        <f>IF(AND(W1288="X",M1288&gt;$AJ$2),S1288,"")</f>
        <v/>
      </c>
      <c r="AO1288" s="35">
        <f>IF(AND(W1288="",M1288&gt;0,$AJ$2&gt;M1288,L1288=""),1,0)</f>
        <v/>
      </c>
      <c r="AP1288" s="35">
        <f>IF(AND(AK1288="YES",W1288="X"),"X","")</f>
        <v/>
      </c>
      <c r="AQ1288" s="55">
        <f>IF(AP1288="X",100%,0%)</f>
        <v/>
      </c>
      <c r="AR1288" s="25">
        <f>IF(AND(T1288&gt;0,L1288=""),H1288,"")</f>
        <v/>
      </c>
      <c r="AS1288" s="25">
        <f>IF(AND(D1288&gt;0,H1288=0,G1288=""),1,"")</f>
        <v/>
      </c>
      <c r="AT1288" s="25">
        <f>IF(G1288="BLOQ",1,"")</f>
        <v/>
      </c>
      <c r="AU1288" s="25">
        <f>IF(L1288="BLOQ",1,"")</f>
        <v/>
      </c>
      <c r="AV1288" s="25">
        <f>MONTH(F1288)</f>
        <v/>
      </c>
      <c r="AW1288" s="65">
        <f>IF(AP1288="",100%,0%)</f>
        <v/>
      </c>
      <c r="AX1288" s="56" t="n"/>
      <c r="AY1288" s="24">
        <f>IF(M1288=0,"",M1288-$AX$2)</f>
        <v/>
      </c>
      <c r="AZ1288" s="66">
        <f>IF(AND(W1288="",AY1288&gt;0,AY1288&lt;15),1,0)</f>
        <v/>
      </c>
      <c r="BA1288" s="24">
        <f>IF(AND(W1288="",AY1288&gt;0,AY1288&lt;15),T1288,"")</f>
        <v/>
      </c>
      <c r="BB1288" s="87">
        <f>IF(R1288&lt;Q1288,"X","")</f>
        <v/>
      </c>
      <c r="BC1288" s="190" t="inlineStr">
        <is>
          <t>NO</t>
        </is>
      </c>
      <c r="BD1288" s="190" t="inlineStr">
        <is>
          <t>NO</t>
        </is>
      </c>
    </row>
    <row r="1289" ht="15" customHeight="1" s="162">
      <c r="A1289" s="7" t="n">
        <v>1288</v>
      </c>
      <c r="B1289" t="inlineStr">
        <is>
          <t>1390705220900</t>
        </is>
      </c>
      <c r="C1289" t="inlineStr">
        <is>
          <t>DAP SHIPMENT OF THE MS</t>
        </is>
      </c>
      <c r="D1289" t="inlineStr">
        <is>
          <t>1800112332</t>
        </is>
      </c>
      <c r="E1289" t="inlineStr">
        <is>
          <t>20</t>
        </is>
      </c>
      <c r="F1289" s="163" t="n">
        <v>45539</v>
      </c>
      <c r="G1289" t="inlineStr"/>
      <c r="H1289" t="inlineStr">
        <is>
          <t>4600003976</t>
        </is>
      </c>
      <c r="I1289" t="inlineStr">
        <is>
          <t>150</t>
        </is>
      </c>
      <c r="J1289" s="163" t="n">
        <v>45464</v>
      </c>
      <c r="K1289" s="163" t="n">
        <v>45546</v>
      </c>
      <c r="L1289" t="inlineStr"/>
      <c r="M1289" s="163" t="n">
        <v>45747</v>
      </c>
      <c r="N1289" s="164" t="n">
        <v>40</v>
      </c>
      <c r="O1289" s="164" t="n">
        <v>8</v>
      </c>
      <c r="P1289" t="inlineStr">
        <is>
          <t>Liberado</t>
        </is>
      </c>
      <c r="Q1289" s="165" t="n">
        <v>1</v>
      </c>
      <c r="R1289" s="165" t="n">
        <v>1</v>
      </c>
      <c r="S1289" s="165" t="n">
        <v>1</v>
      </c>
      <c r="T1289" s="165" t="n">
        <v>0</v>
      </c>
      <c r="U1289" s="166" t="n">
        <v>1</v>
      </c>
      <c r="V1289" s="166" t="n">
        <v>0</v>
      </c>
      <c r="W1289" t="inlineStr">
        <is>
          <t>X</t>
        </is>
      </c>
      <c r="X1289" t="inlineStr">
        <is>
          <t>0.00</t>
        </is>
      </c>
      <c r="Y1289" t="inlineStr"/>
      <c r="Z1289" t="inlineStr">
        <is>
          <t>MOOG, B.V.</t>
        </is>
      </c>
      <c r="AA1289" t="inlineStr">
        <is>
          <t>MOOG</t>
        </is>
      </c>
      <c r="AB1289" t="inlineStr">
        <is>
          <t>DM-NL-FRT-NC</t>
        </is>
      </c>
      <c r="AC1289" t="inlineStr"/>
      <c r="AD1289" s="164" t="n">
        <v>2</v>
      </c>
      <c r="AE1289" s="185" t="n">
        <v>2</v>
      </c>
      <c r="AG1289" s="167" t="inlineStr">
        <is>
          <t>7218|JA2612_1001</t>
        </is>
      </c>
      <c r="AH1289" s="47">
        <f>IF(M1289=0,"-",M1289-J1289)</f>
        <v/>
      </c>
      <c r="AI1289" s="46">
        <f>IF(AND(S1289=0,M1289&gt;0,L1289=0),IF(AH1289&gt;=120,"VERY HIGH",IF(AH1289&gt;=90,"HIGH",IF(AH1289&gt;=60,"MEDIUM",IF(AH1289&lt;60,"LOW")))),"-")</f>
        <v/>
      </c>
      <c r="AJ1289" s="12" t="n"/>
      <c r="AK1289" s="53">
        <f>IF(AND(W1289="X",M1289&lt;=$AJ$2),"YES","")</f>
        <v/>
      </c>
      <c r="AL1289" s="54">
        <f>IF(AND(W1289="X",M1289&lt;=$AJ$2),S1289,"")</f>
        <v/>
      </c>
      <c r="AM1289" s="35" t="n"/>
      <c r="AN1289" s="35">
        <f>IF(AND(W1289="X",M1289&gt;$AJ$2),S1289,"")</f>
        <v/>
      </c>
      <c r="AO1289" s="35">
        <f>IF(AND(W1289="",M1289&gt;0,$AJ$2&gt;M1289,L1289=""),1,0)</f>
        <v/>
      </c>
      <c r="AP1289" s="35">
        <f>IF(AND(AK1289="YES",W1289="X"),"X","")</f>
        <v/>
      </c>
      <c r="AQ1289" s="55">
        <f>IF(AP1289="X",100%,0%)</f>
        <v/>
      </c>
      <c r="AR1289" s="25">
        <f>IF(AND(T1289&gt;0,L1289=""),H1289,"")</f>
        <v/>
      </c>
      <c r="AS1289" s="25">
        <f>IF(AND(D1289&gt;0,H1289=0,G1289=""),1,"")</f>
        <v/>
      </c>
      <c r="AT1289" s="25">
        <f>IF(G1289="BLOQ",1,"")</f>
        <v/>
      </c>
      <c r="AU1289" s="25">
        <f>IF(L1289="BLOQ",1,"")</f>
        <v/>
      </c>
      <c r="AV1289" s="25">
        <f>MONTH(F1289)</f>
        <v/>
      </c>
      <c r="AW1289" s="65">
        <f>IF(AP1289="",100%,0%)</f>
        <v/>
      </c>
      <c r="AX1289" s="56" t="n"/>
      <c r="AY1289" s="24">
        <f>IF(M1289=0,"",M1289-$AX$2)</f>
        <v/>
      </c>
      <c r="AZ1289" s="66">
        <f>IF(AND(W1289="",AY1289&gt;0,AY1289&lt;15),1,0)</f>
        <v/>
      </c>
      <c r="BA1289" s="24">
        <f>IF(AND(W1289="",AY1289&gt;0,AY1289&lt;15),T1289,"")</f>
        <v/>
      </c>
      <c r="BB1289" s="87">
        <f>IF(R1289&lt;Q1289,"X","")</f>
        <v/>
      </c>
      <c r="BC1289" s="190" t="inlineStr">
        <is>
          <t>NO</t>
        </is>
      </c>
      <c r="BD1289" s="190" t="inlineStr">
        <is>
          <t>NO</t>
        </is>
      </c>
    </row>
    <row r="1290" ht="15" customHeight="1" s="162">
      <c r="A1290" s="7" t="n">
        <v>1289</v>
      </c>
      <c r="B1290" t="inlineStr">
        <is>
          <t>1390705220901</t>
        </is>
      </c>
      <c r="C1290" t="inlineStr">
        <is>
          <t>MS INSTALLATION ASSISTANCE</t>
        </is>
      </c>
      <c r="D1290" t="inlineStr">
        <is>
          <t>1800112332</t>
        </is>
      </c>
      <c r="E1290" t="inlineStr">
        <is>
          <t>30</t>
        </is>
      </c>
      <c r="F1290" s="163" t="n">
        <v>45539</v>
      </c>
      <c r="G1290" t="inlineStr"/>
      <c r="H1290" t="inlineStr">
        <is>
          <t>4600003976</t>
        </is>
      </c>
      <c r="I1290" t="inlineStr">
        <is>
          <t>160</t>
        </is>
      </c>
      <c r="J1290" s="163" t="n">
        <v>45464</v>
      </c>
      <c r="K1290" s="163" t="n">
        <v>45546</v>
      </c>
      <c r="L1290" t="inlineStr"/>
      <c r="M1290" s="163" t="n">
        <v>45747</v>
      </c>
      <c r="N1290" s="164" t="n">
        <v>40</v>
      </c>
      <c r="O1290" s="164" t="n">
        <v>8</v>
      </c>
      <c r="P1290" t="inlineStr">
        <is>
          <t>Liberado</t>
        </is>
      </c>
      <c r="Q1290" s="165" t="n">
        <v>1</v>
      </c>
      <c r="R1290" s="165" t="n">
        <v>1</v>
      </c>
      <c r="S1290" s="165" t="n">
        <v>1</v>
      </c>
      <c r="T1290" s="165" t="n">
        <v>0</v>
      </c>
      <c r="U1290" s="166" t="n">
        <v>1</v>
      </c>
      <c r="V1290" s="166" t="n">
        <v>0</v>
      </c>
      <c r="W1290" t="inlineStr">
        <is>
          <t>X</t>
        </is>
      </c>
      <c r="X1290" t="inlineStr">
        <is>
          <t>0.00</t>
        </is>
      </c>
      <c r="Y1290" t="inlineStr"/>
      <c r="Z1290" t="inlineStr">
        <is>
          <t>MOOG, B.V.</t>
        </is>
      </c>
      <c r="AA1290" t="inlineStr">
        <is>
          <t>MOOG</t>
        </is>
      </c>
      <c r="AB1290" t="inlineStr">
        <is>
          <t>DM-NL-IN-AS-NC</t>
        </is>
      </c>
      <c r="AC1290" t="inlineStr"/>
      <c r="AD1290" s="164" t="n">
        <v>2</v>
      </c>
      <c r="AE1290" s="185" t="n">
        <v>2</v>
      </c>
      <c r="AG1290" s="167" t="inlineStr">
        <is>
          <t>7218|JA2612_1001</t>
        </is>
      </c>
      <c r="AH1290" s="47">
        <f>IF(M1290=0,"-",M1290-J1290)</f>
        <v/>
      </c>
      <c r="AI1290" s="46">
        <f>IF(AND(S1290=0,M1290&gt;0,L1290=0),IF(AH1290&gt;=120,"VERY HIGH",IF(AH1290&gt;=90,"HIGH",IF(AH1290&gt;=60,"MEDIUM",IF(AH1290&lt;60,"LOW")))),"-")</f>
        <v/>
      </c>
      <c r="AJ1290" s="12" t="n"/>
      <c r="AK1290" s="53">
        <f>IF(AND(W1290="X",M1290&lt;=$AJ$2),"YES","")</f>
        <v/>
      </c>
      <c r="AL1290" s="54">
        <f>IF(AND(W1290="X",M1290&lt;=$AJ$2),S1290,"")</f>
        <v/>
      </c>
      <c r="AM1290" s="35" t="n"/>
      <c r="AN1290" s="35">
        <f>IF(AND(W1290="X",M1290&gt;$AJ$2),S1290,"")</f>
        <v/>
      </c>
      <c r="AO1290" s="35">
        <f>IF(AND(W1290="",M1290&gt;0,$AJ$2&gt;M1290,L1290=""),1,0)</f>
        <v/>
      </c>
      <c r="AP1290" s="35">
        <f>IF(AND(AK1290="YES",W1290="X"),"X","")</f>
        <v/>
      </c>
      <c r="AQ1290" s="55">
        <f>IF(AP1290="X",100%,0%)</f>
        <v/>
      </c>
      <c r="AR1290" s="25">
        <f>IF(AND(T1290&gt;0,L1290=""),H1290,"")</f>
        <v/>
      </c>
      <c r="AS1290" s="25">
        <f>IF(AND(D1290&gt;0,H1290=0,G1290=""),1,"")</f>
        <v/>
      </c>
      <c r="AT1290" s="25">
        <f>IF(G1290="BLOQ",1,"")</f>
        <v/>
      </c>
      <c r="AU1290" s="25">
        <f>IF(L1290="BLOQ",1,"")</f>
        <v/>
      </c>
      <c r="AV1290" s="25">
        <f>MONTH(F1290)</f>
        <v/>
      </c>
      <c r="AW1290" s="65">
        <f>IF(AP1290="",100%,0%)</f>
        <v/>
      </c>
      <c r="AX1290" s="56" t="n"/>
      <c r="AY1290" s="24">
        <f>IF(M1290=0,"",M1290-$AX$2)</f>
        <v/>
      </c>
      <c r="AZ1290" s="66">
        <f>IF(AND(W1290="",AY1290&gt;0,AY1290&lt;15),1,0)</f>
        <v/>
      </c>
      <c r="BA1290" s="24">
        <f>IF(AND(W1290="",AY1290&gt;0,AY1290&lt;15),T1290,"")</f>
        <v/>
      </c>
      <c r="BB1290" s="87">
        <f>IF(R1290&lt;Q1290,"X","")</f>
        <v/>
      </c>
      <c r="BC1290" s="190" t="inlineStr">
        <is>
          <t>NO</t>
        </is>
      </c>
      <c r="BD1290" s="190" t="inlineStr">
        <is>
          <t>NO</t>
        </is>
      </c>
    </row>
    <row r="1291" ht="15" customHeight="1" s="162">
      <c r="A1291" s="7" t="n">
        <v>1290</v>
      </c>
      <c r="B1291" t="inlineStr">
        <is>
          <t>1390705220902</t>
        </is>
      </c>
      <c r="C1291" t="inlineStr">
        <is>
          <t>MS TUNING</t>
        </is>
      </c>
      <c r="D1291" t="inlineStr">
        <is>
          <t>1800112332</t>
        </is>
      </c>
      <c r="E1291" t="inlineStr">
        <is>
          <t>40</t>
        </is>
      </c>
      <c r="F1291" s="163" t="n">
        <v>45539</v>
      </c>
      <c r="G1291" t="inlineStr"/>
      <c r="H1291" t="inlineStr">
        <is>
          <t>4600003976</t>
        </is>
      </c>
      <c r="I1291" t="inlineStr">
        <is>
          <t>170</t>
        </is>
      </c>
      <c r="J1291" s="163" t="n">
        <v>45464</v>
      </c>
      <c r="K1291" s="163" t="n">
        <v>45546</v>
      </c>
      <c r="L1291" t="inlineStr"/>
      <c r="M1291" s="163" t="n">
        <v>45747</v>
      </c>
      <c r="N1291" s="164" t="n">
        <v>40</v>
      </c>
      <c r="O1291" s="164" t="n">
        <v>8</v>
      </c>
      <c r="P1291" t="inlineStr">
        <is>
          <t>Liberado</t>
        </is>
      </c>
      <c r="Q1291" s="165" t="n">
        <v>1</v>
      </c>
      <c r="R1291" s="165" t="n">
        <v>1</v>
      </c>
      <c r="S1291" s="165" t="n">
        <v>0</v>
      </c>
      <c r="T1291" s="165" t="n">
        <v>1</v>
      </c>
      <c r="U1291" s="166" t="n">
        <v>0</v>
      </c>
      <c r="V1291" s="166" t="n">
        <v>0</v>
      </c>
      <c r="W1291" t="inlineStr"/>
      <c r="X1291" t="inlineStr">
        <is>
          <t>7216.00</t>
        </is>
      </c>
      <c r="Y1291" t="inlineStr"/>
      <c r="Z1291" t="inlineStr">
        <is>
          <t>MOOG, B.V.</t>
        </is>
      </c>
      <c r="AA1291" t="inlineStr">
        <is>
          <t>MOOG</t>
        </is>
      </c>
      <c r="AB1291" t="inlineStr">
        <is>
          <t>DM-NL-TUNING-NC/LINEA90</t>
        </is>
      </c>
      <c r="AC1291" t="inlineStr"/>
      <c r="AD1291" s="164" t="n">
        <v>1</v>
      </c>
      <c r="AE1291" s="185" t="n">
        <v>1</v>
      </c>
      <c r="AG1291" s="167" t="inlineStr">
        <is>
          <t>7218|JA2612_1001</t>
        </is>
      </c>
      <c r="AH1291" s="47">
        <f>IF(M1291=0,"-",M1291-J1291)</f>
        <v/>
      </c>
      <c r="AI1291" s="46">
        <f>IF(AND(S1291=0,M1291&gt;0,L1291=0),IF(AH1291&gt;=120,"VERY HIGH",IF(AH1291&gt;=90,"HIGH",IF(AH1291&gt;=60,"MEDIUM",IF(AH1291&lt;60,"LOW")))),"-")</f>
        <v/>
      </c>
      <c r="AJ1291" s="12" t="n"/>
      <c r="AK1291" s="53">
        <f>IF(AND(W1291="X",M1291&lt;=$AJ$2),"YES","")</f>
        <v/>
      </c>
      <c r="AL1291" s="54">
        <f>IF(AND(W1291="X",M1291&lt;=$AJ$2),S1291,"")</f>
        <v/>
      </c>
      <c r="AM1291" s="35" t="n"/>
      <c r="AN1291" s="35">
        <f>IF(AND(W1291="X",M1291&gt;$AJ$2),S1291,"")</f>
        <v/>
      </c>
      <c r="AO1291" s="35">
        <f>IF(AND(W1291="",M1291&gt;0,$AJ$2&gt;M1291,L1291=""),1,0)</f>
        <v/>
      </c>
      <c r="AP1291" s="35">
        <f>IF(AND(AK1291="YES",W1291="X"),"X","")</f>
        <v/>
      </c>
      <c r="AQ1291" s="55">
        <f>IF(AP1291="X",100%,0%)</f>
        <v/>
      </c>
      <c r="AR1291" s="25">
        <f>IF(AND(T1291&gt;0,L1291=""),H1291,"")</f>
        <v/>
      </c>
      <c r="AS1291" s="25">
        <f>IF(AND(D1291&gt;0,H1291=0,G1291=""),1,"")</f>
        <v/>
      </c>
      <c r="AT1291" s="25">
        <f>IF(G1291="BLOQ",1,"")</f>
        <v/>
      </c>
      <c r="AU1291" s="25">
        <f>IF(L1291="BLOQ",1,"")</f>
        <v/>
      </c>
      <c r="AV1291" s="25">
        <f>MONTH(F1291)</f>
        <v/>
      </c>
      <c r="AW1291" s="65">
        <f>IF(AP1291="",100%,0%)</f>
        <v/>
      </c>
      <c r="AX1291" s="56" t="n"/>
      <c r="AY1291" s="24">
        <f>IF(M1291=0,"",M1291-$AX$2)</f>
        <v/>
      </c>
      <c r="AZ1291" s="66">
        <f>IF(AND(W1291="",AY1291&gt;0,AY1291&lt;15),1,0)</f>
        <v/>
      </c>
      <c r="BA1291" s="24">
        <f>IF(AND(W1291="",AY1291&gt;0,AY1291&lt;15),T1291,"")</f>
        <v/>
      </c>
      <c r="BB1291" s="87">
        <f>IF(R1291&lt;Q1291,"X","")</f>
        <v/>
      </c>
      <c r="BC1291" s="190" t="inlineStr">
        <is>
          <t>NO</t>
        </is>
      </c>
      <c r="BD1291" s="190" t="inlineStr">
        <is>
          <t>NO</t>
        </is>
      </c>
    </row>
    <row r="1292" ht="15" customHeight="1" s="162">
      <c r="A1292" s="7" t="n">
        <v>1291</v>
      </c>
      <c r="B1292" t="inlineStr">
        <is>
          <t>1390705220903</t>
        </is>
      </c>
      <c r="C1292" t="inlineStr">
        <is>
          <t>CLS TUNING</t>
        </is>
      </c>
      <c r="D1292" t="inlineStr">
        <is>
          <t>1800112332</t>
        </is>
      </c>
      <c r="E1292" t="inlineStr">
        <is>
          <t>50</t>
        </is>
      </c>
      <c r="F1292" s="163" t="n">
        <v>45539</v>
      </c>
      <c r="G1292" t="inlineStr"/>
      <c r="H1292" t="inlineStr">
        <is>
          <t>4600003976</t>
        </is>
      </c>
      <c r="I1292" t="inlineStr">
        <is>
          <t>180</t>
        </is>
      </c>
      <c r="J1292" s="163" t="n">
        <v>45464</v>
      </c>
      <c r="K1292" s="163" t="n">
        <v>45546</v>
      </c>
      <c r="L1292" t="inlineStr"/>
      <c r="M1292" s="163" t="n">
        <v>45747</v>
      </c>
      <c r="N1292" s="164" t="n">
        <v>40</v>
      </c>
      <c r="O1292" s="164" t="n">
        <v>8</v>
      </c>
      <c r="P1292" t="inlineStr">
        <is>
          <t>Liberado</t>
        </is>
      </c>
      <c r="Q1292" s="165" t="n">
        <v>1</v>
      </c>
      <c r="R1292" s="165" t="n">
        <v>1</v>
      </c>
      <c r="S1292" s="165" t="n">
        <v>0</v>
      </c>
      <c r="T1292" s="165" t="n">
        <v>1</v>
      </c>
      <c r="U1292" s="166" t="n">
        <v>0</v>
      </c>
      <c r="V1292" s="166" t="n">
        <v>0</v>
      </c>
      <c r="W1292" t="inlineStr"/>
      <c r="X1292" t="inlineStr">
        <is>
          <t>13825.00</t>
        </is>
      </c>
      <c r="Y1292" t="inlineStr"/>
      <c r="Z1292" t="inlineStr">
        <is>
          <t>MOOG, B.V.</t>
        </is>
      </c>
      <c r="AA1292" t="inlineStr">
        <is>
          <t>MOOG</t>
        </is>
      </c>
      <c r="AB1292" t="inlineStr">
        <is>
          <t>DM-NL-TUNING-NC/LINEA130</t>
        </is>
      </c>
      <c r="AC1292" t="inlineStr"/>
      <c r="AD1292" s="164" t="n">
        <v>2</v>
      </c>
      <c r="AE1292" s="185" t="n">
        <v>1</v>
      </c>
      <c r="AG1292" s="167" t="inlineStr">
        <is>
          <t>7218|JA2612_1001</t>
        </is>
      </c>
      <c r="AH1292" s="47">
        <f>IF(M1292=0,"-",M1292-J1292)</f>
        <v/>
      </c>
      <c r="AI1292" s="46">
        <f>IF(AND(S1292=0,M1292&gt;0,L1292=0),IF(AH1292&gt;=120,"VERY HIGH",IF(AH1292&gt;=90,"HIGH",IF(AH1292&gt;=60,"MEDIUM",IF(AH1292&lt;60,"LOW")))),"-")</f>
        <v/>
      </c>
      <c r="AJ1292" s="12" t="n"/>
      <c r="AK1292" s="53">
        <f>IF(AND(W1292="X",M1292&lt;=$AJ$2),"YES","")</f>
        <v/>
      </c>
      <c r="AL1292" s="54">
        <f>IF(AND(W1292="X",M1292&lt;=$AJ$2),S1292,"")</f>
        <v/>
      </c>
      <c r="AM1292" s="35" t="n"/>
      <c r="AN1292" s="35">
        <f>IF(AND(W1292="X",M1292&gt;$AJ$2),S1292,"")</f>
        <v/>
      </c>
      <c r="AO1292" s="35">
        <f>IF(AND(W1292="",M1292&gt;0,$AJ$2&gt;M1292,L1292=""),1,0)</f>
        <v/>
      </c>
      <c r="AP1292" s="35">
        <f>IF(AND(AK1292="YES",W1292="X"),"X","")</f>
        <v/>
      </c>
      <c r="AQ1292" s="55">
        <f>IF(AP1292="X",100%,0%)</f>
        <v/>
      </c>
      <c r="AR1292" s="25">
        <f>IF(AND(T1292&gt;0,L1292=""),H1292,"")</f>
        <v/>
      </c>
      <c r="AS1292" s="25">
        <f>IF(AND(D1292&gt;0,H1292=0,G1292=""),1,"")</f>
        <v/>
      </c>
      <c r="AT1292" s="25">
        <f>IF(G1292="BLOQ",1,"")</f>
        <v/>
      </c>
      <c r="AU1292" s="25">
        <f>IF(L1292="BLOQ",1,"")</f>
        <v/>
      </c>
      <c r="AV1292" s="25">
        <f>MONTH(F1292)</f>
        <v/>
      </c>
      <c r="AW1292" s="65">
        <f>IF(AP1292="",100%,0%)</f>
        <v/>
      </c>
      <c r="AX1292" s="56" t="n"/>
      <c r="AY1292" s="24">
        <f>IF(M1292=0,"",M1292-$AX$2)</f>
        <v/>
      </c>
      <c r="AZ1292" s="66">
        <f>IF(AND(W1292="",AY1292&gt;0,AY1292&lt;15),1,0)</f>
        <v/>
      </c>
      <c r="BA1292" s="24">
        <f>IF(AND(W1292="",AY1292&gt;0,AY1292&lt;15),T1292,"")</f>
        <v/>
      </c>
      <c r="BB1292" s="87">
        <f>IF(R1292&lt;Q1292,"X","")</f>
        <v/>
      </c>
      <c r="BC1292" s="190" t="inlineStr">
        <is>
          <t>NO</t>
        </is>
      </c>
      <c r="BD1292" s="190" t="inlineStr">
        <is>
          <t>NO</t>
        </is>
      </c>
    </row>
    <row r="1293" ht="15" customHeight="1" s="162">
      <c r="A1293" s="7" t="n">
        <v>1292</v>
      </c>
      <c r="B1293" t="inlineStr">
        <is>
          <t>1390705220904</t>
        </is>
      </c>
      <c r="C1293" t="inlineStr">
        <is>
          <t>PROJECT MANAGEMENT</t>
        </is>
      </c>
      <c r="D1293" t="inlineStr">
        <is>
          <t>1800112332</t>
        </is>
      </c>
      <c r="E1293" t="inlineStr">
        <is>
          <t>60</t>
        </is>
      </c>
      <c r="F1293" s="163" t="n">
        <v>45539</v>
      </c>
      <c r="G1293" t="inlineStr"/>
      <c r="H1293" t="inlineStr">
        <is>
          <t>4600003976</t>
        </is>
      </c>
      <c r="I1293" t="inlineStr">
        <is>
          <t>190</t>
        </is>
      </c>
      <c r="J1293" s="163" t="n">
        <v>45464</v>
      </c>
      <c r="K1293" s="163" t="n">
        <v>45546</v>
      </c>
      <c r="L1293" t="inlineStr"/>
      <c r="M1293" s="163" t="n">
        <v>45747</v>
      </c>
      <c r="N1293" s="164" t="n">
        <v>40</v>
      </c>
      <c r="O1293" s="164" t="n">
        <v>8</v>
      </c>
      <c r="P1293" t="inlineStr">
        <is>
          <t>Liberado</t>
        </is>
      </c>
      <c r="Q1293" s="165" t="n">
        <v>1</v>
      </c>
      <c r="R1293" s="165" t="n">
        <v>1</v>
      </c>
      <c r="S1293" s="165" t="n">
        <v>1</v>
      </c>
      <c r="T1293" s="165" t="n">
        <v>0</v>
      </c>
      <c r="U1293" s="166" t="n">
        <v>1</v>
      </c>
      <c r="V1293" s="166" t="n">
        <v>0</v>
      </c>
      <c r="W1293" t="inlineStr">
        <is>
          <t>X</t>
        </is>
      </c>
      <c r="X1293" t="inlineStr">
        <is>
          <t>0.00</t>
        </is>
      </c>
      <c r="Y1293" t="inlineStr"/>
      <c r="Z1293" t="inlineStr">
        <is>
          <t>MOOG, B.V.</t>
        </is>
      </c>
      <c r="AA1293" t="inlineStr">
        <is>
          <t>MOOG</t>
        </is>
      </c>
      <c r="AB1293" t="inlineStr">
        <is>
          <t>DM-NL-SVCS-NC</t>
        </is>
      </c>
      <c r="AC1293" t="inlineStr"/>
      <c r="AD1293" s="164" t="n">
        <v>2</v>
      </c>
      <c r="AE1293" s="185" t="n">
        <v>2</v>
      </c>
      <c r="AG1293" s="167" t="inlineStr">
        <is>
          <t>7218|JA2612_1001</t>
        </is>
      </c>
      <c r="AH1293" s="47">
        <f>IF(M1293=0,"-",M1293-J1293)</f>
        <v/>
      </c>
      <c r="AI1293" s="46">
        <f>IF(AND(S1293=0,M1293&gt;0,L1293=0),IF(AH1293&gt;=120,"VERY HIGH",IF(AH1293&gt;=90,"HIGH",IF(AH1293&gt;=60,"MEDIUM",IF(AH1293&lt;60,"LOW")))),"-")</f>
        <v/>
      </c>
      <c r="AJ1293" s="12" t="n"/>
      <c r="AK1293" s="53">
        <f>IF(AND(W1293="X",M1293&lt;=$AJ$2),"YES","")</f>
        <v/>
      </c>
      <c r="AL1293" s="54">
        <f>IF(AND(W1293="X",M1293&lt;=$AJ$2),S1293,"")</f>
        <v/>
      </c>
      <c r="AM1293" s="35" t="n"/>
      <c r="AN1293" s="35">
        <f>IF(AND(W1293="X",M1293&gt;$AJ$2),S1293,"")</f>
        <v/>
      </c>
      <c r="AO1293" s="35">
        <f>IF(AND(W1293="",M1293&gt;0,$AJ$2&gt;M1293,L1293=""),1,0)</f>
        <v/>
      </c>
      <c r="AP1293" s="35">
        <f>IF(AND(AK1293="YES",W1293="X"),"X","")</f>
        <v/>
      </c>
      <c r="AQ1293" s="55">
        <f>IF(AP1293="X",100%,0%)</f>
        <v/>
      </c>
      <c r="AR1293" s="25">
        <f>IF(AND(T1293&gt;0,L1293=""),H1293,"")</f>
        <v/>
      </c>
      <c r="AS1293" s="25">
        <f>IF(AND(D1293&gt;0,H1293=0,G1293=""),1,"")</f>
        <v/>
      </c>
      <c r="AT1293" s="25">
        <f>IF(G1293="BLOQ",1,"")</f>
        <v/>
      </c>
      <c r="AU1293" s="25">
        <f>IF(L1293="BLOQ",1,"")</f>
        <v/>
      </c>
      <c r="AV1293" s="25">
        <f>MONTH(F1293)</f>
        <v/>
      </c>
      <c r="AW1293" s="65">
        <f>IF(AP1293="",100%,0%)</f>
        <v/>
      </c>
      <c r="AX1293" s="56" t="n"/>
      <c r="AY1293" s="24">
        <f>IF(M1293=0,"",M1293-$AX$2)</f>
        <v/>
      </c>
      <c r="AZ1293" s="66">
        <f>IF(AND(W1293="",AY1293&gt;0,AY1293&lt;15),1,0)</f>
        <v/>
      </c>
      <c r="BA1293" s="24">
        <f>IF(AND(W1293="",AY1293&gt;0,AY1293&lt;15),T1293,"")</f>
        <v/>
      </c>
      <c r="BB1293" s="87">
        <f>IF(R1293&lt;Q1293,"X","")</f>
        <v/>
      </c>
      <c r="BC1293" s="190" t="inlineStr">
        <is>
          <t>NO</t>
        </is>
      </c>
      <c r="BD1293" s="190" t="inlineStr">
        <is>
          <t>NO</t>
        </is>
      </c>
    </row>
    <row r="1294" ht="15" customHeight="1" s="162">
      <c r="A1294" s="7" t="n">
        <v>1293</v>
      </c>
      <c r="B1294" t="inlineStr">
        <is>
          <t>1390705220905</t>
        </is>
      </c>
      <c r="C1294" t="inlineStr">
        <is>
          <t>TRAVEL &amp; SUBS.TUNING MS</t>
        </is>
      </c>
      <c r="D1294" t="inlineStr">
        <is>
          <t>1800112332</t>
        </is>
      </c>
      <c r="E1294" t="inlineStr">
        <is>
          <t>70</t>
        </is>
      </c>
      <c r="F1294" s="163" t="n">
        <v>45539</v>
      </c>
      <c r="G1294" t="inlineStr"/>
      <c r="H1294" t="inlineStr">
        <is>
          <t>4600003976</t>
        </is>
      </c>
      <c r="I1294" t="inlineStr">
        <is>
          <t>200</t>
        </is>
      </c>
      <c r="J1294" s="163" t="n">
        <v>45464</v>
      </c>
      <c r="K1294" s="163" t="n">
        <v>45546</v>
      </c>
      <c r="L1294" t="inlineStr"/>
      <c r="M1294" s="163" t="n">
        <v>45747</v>
      </c>
      <c r="N1294" s="164" t="n">
        <v>40</v>
      </c>
      <c r="O1294" s="164" t="n">
        <v>8</v>
      </c>
      <c r="P1294" t="inlineStr">
        <is>
          <t>Liberado</t>
        </is>
      </c>
      <c r="Q1294" s="165" t="n">
        <v>1</v>
      </c>
      <c r="R1294" s="165" t="n">
        <v>1</v>
      </c>
      <c r="S1294" s="165" t="n">
        <v>0</v>
      </c>
      <c r="T1294" s="165" t="n">
        <v>1</v>
      </c>
      <c r="U1294" s="166" t="n">
        <v>0</v>
      </c>
      <c r="V1294" s="166" t="n">
        <v>0</v>
      </c>
      <c r="W1294" t="inlineStr"/>
      <c r="X1294" t="inlineStr">
        <is>
          <t>4520.00</t>
        </is>
      </c>
      <c r="Y1294" t="inlineStr"/>
      <c r="Z1294" t="inlineStr">
        <is>
          <t>MOOG, B.V.</t>
        </is>
      </c>
      <c r="AA1294" t="inlineStr">
        <is>
          <t>MOOG</t>
        </is>
      </c>
      <c r="AB1294" t="inlineStr">
        <is>
          <t>DM-NL-TRAV-SUBSIST/LINEA150</t>
        </is>
      </c>
      <c r="AC1294" t="inlineStr"/>
      <c r="AD1294" s="164" t="n">
        <v>2</v>
      </c>
      <c r="AE1294" s="185" t="n">
        <v>2</v>
      </c>
      <c r="AG1294" s="167" t="inlineStr">
        <is>
          <t>7218|JA2612_1001</t>
        </is>
      </c>
      <c r="AH1294" s="47">
        <f>IF(M1294=0,"-",M1294-J1294)</f>
        <v/>
      </c>
      <c r="AI1294" s="46">
        <f>IF(AND(S1294=0,M1294&gt;0,L1294=0),IF(AH1294&gt;=120,"VERY HIGH",IF(AH1294&gt;=90,"HIGH",IF(AH1294&gt;=60,"MEDIUM",IF(AH1294&lt;60,"LOW")))),"-")</f>
        <v/>
      </c>
      <c r="AJ1294" s="12" t="n"/>
      <c r="AK1294" s="53">
        <f>IF(AND(W1294="X",M1294&lt;=$AJ$2),"YES","")</f>
        <v/>
      </c>
      <c r="AL1294" s="54">
        <f>IF(AND(W1294="X",M1294&lt;=$AJ$2),S1294,"")</f>
        <v/>
      </c>
      <c r="AM1294" s="35" t="n"/>
      <c r="AN1294" s="35">
        <f>IF(AND(W1294="X",M1294&gt;$AJ$2),S1294,"")</f>
        <v/>
      </c>
      <c r="AO1294" s="35">
        <f>IF(AND(W1294="",M1294&gt;0,$AJ$2&gt;M1294,L1294=""),1,0)</f>
        <v/>
      </c>
      <c r="AP1294" s="35">
        <f>IF(AND(AK1294="YES",W1294="X"),"X","")</f>
        <v/>
      </c>
      <c r="AQ1294" s="55">
        <f>IF(AP1294="X",100%,0%)</f>
        <v/>
      </c>
      <c r="AR1294" s="25">
        <f>IF(AND(T1294&gt;0,L1294=""),H1294,"")</f>
        <v/>
      </c>
      <c r="AS1294" s="25">
        <f>IF(AND(D1294&gt;0,H1294=0,G1294=""),1,"")</f>
        <v/>
      </c>
      <c r="AT1294" s="25">
        <f>IF(G1294="BLOQ",1,"")</f>
        <v/>
      </c>
      <c r="AU1294" s="25">
        <f>IF(L1294="BLOQ",1,"")</f>
        <v/>
      </c>
      <c r="AV1294" s="25">
        <f>MONTH(F1294)</f>
        <v/>
      </c>
      <c r="AW1294" s="65">
        <f>IF(AP1294="",100%,0%)</f>
        <v/>
      </c>
      <c r="AX1294" s="56" t="n"/>
      <c r="AY1294" s="24">
        <f>IF(M1294=0,"",M1294-$AX$2)</f>
        <v/>
      </c>
      <c r="AZ1294" s="66">
        <f>IF(AND(W1294="",AY1294&gt;0,AY1294&lt;15),1,0)</f>
        <v/>
      </c>
      <c r="BA1294" s="24">
        <f>IF(AND(W1294="",AY1294&gt;0,AY1294&lt;15),T1294,"")</f>
        <v/>
      </c>
      <c r="BB1294" s="87">
        <f>IF(R1294&lt;Q1294,"X","")</f>
        <v/>
      </c>
      <c r="BC1294" s="190" t="inlineStr">
        <is>
          <t>NO</t>
        </is>
      </c>
      <c r="BD1294" s="190" t="inlineStr">
        <is>
          <t>NO</t>
        </is>
      </c>
    </row>
    <row r="1295" ht="15" customHeight="1" s="162">
      <c r="A1295" s="7" t="n">
        <v>1294</v>
      </c>
      <c r="B1295" t="inlineStr">
        <is>
          <t>1390705220906</t>
        </is>
      </c>
      <c r="C1295" t="inlineStr">
        <is>
          <t>TRAVEL &amp; SUBS. INSTALLATION MS</t>
        </is>
      </c>
      <c r="D1295" t="inlineStr">
        <is>
          <t>1800112332</t>
        </is>
      </c>
      <c r="E1295" t="inlineStr">
        <is>
          <t>80</t>
        </is>
      </c>
      <c r="F1295" s="163" t="n">
        <v>45539</v>
      </c>
      <c r="G1295" t="inlineStr"/>
      <c r="H1295" t="inlineStr">
        <is>
          <t>4600003976</t>
        </is>
      </c>
      <c r="I1295" t="inlineStr">
        <is>
          <t>210</t>
        </is>
      </c>
      <c r="J1295" s="163" t="n">
        <v>45464</v>
      </c>
      <c r="K1295" s="163" t="n">
        <v>45546</v>
      </c>
      <c r="L1295" t="inlineStr"/>
      <c r="M1295" s="163" t="n">
        <v>45747</v>
      </c>
      <c r="N1295" s="164" t="n">
        <v>40</v>
      </c>
      <c r="O1295" s="164" t="n">
        <v>8</v>
      </c>
      <c r="P1295" t="inlineStr">
        <is>
          <t>Liberado</t>
        </is>
      </c>
      <c r="Q1295" s="165" t="n">
        <v>1</v>
      </c>
      <c r="R1295" s="165" t="n">
        <v>1</v>
      </c>
      <c r="S1295" s="165" t="n">
        <v>1</v>
      </c>
      <c r="T1295" s="165" t="n">
        <v>0</v>
      </c>
      <c r="U1295" s="166" t="n">
        <v>1</v>
      </c>
      <c r="V1295" s="166" t="n">
        <v>0</v>
      </c>
      <c r="W1295" t="inlineStr">
        <is>
          <t>X</t>
        </is>
      </c>
      <c r="X1295" t="inlineStr">
        <is>
          <t>0.00</t>
        </is>
      </c>
      <c r="Y1295" t="inlineStr"/>
      <c r="Z1295" t="inlineStr">
        <is>
          <t>MOOG, B.V.</t>
        </is>
      </c>
      <c r="AA1295" t="inlineStr">
        <is>
          <t>MOOG</t>
        </is>
      </c>
      <c r="AB1295" t="inlineStr">
        <is>
          <t>DM-NL-TRAV-SUBSIST/LINEA160</t>
        </is>
      </c>
      <c r="AC1295" t="inlineStr"/>
      <c r="AD1295" s="164" t="n">
        <v>2</v>
      </c>
      <c r="AE1295" s="185" t="n">
        <v>2</v>
      </c>
      <c r="AG1295" s="167" t="inlineStr">
        <is>
          <t>7218|JA2612_1001</t>
        </is>
      </c>
      <c r="AH1295" s="47">
        <f>IF(M1295=0,"-",M1295-J1295)</f>
        <v/>
      </c>
      <c r="AI1295" s="46">
        <f>IF(AND(S1295=0,M1295&gt;0,L1295=0),IF(AH1295&gt;=120,"VERY HIGH",IF(AH1295&gt;=90,"HIGH",IF(AH1295&gt;=60,"MEDIUM",IF(AH1295&lt;60,"LOW")))),"-")</f>
        <v/>
      </c>
      <c r="AJ1295" s="12" t="n"/>
      <c r="AK1295" s="53">
        <f>IF(AND(W1295="X",M1295&lt;=$AJ$2),"YES","")</f>
        <v/>
      </c>
      <c r="AL1295" s="54">
        <f>IF(AND(W1295="X",M1295&lt;=$AJ$2),S1295,"")</f>
        <v/>
      </c>
      <c r="AM1295" s="35" t="n"/>
      <c r="AN1295" s="35">
        <f>IF(AND(W1295="X",M1295&gt;$AJ$2),S1295,"")</f>
        <v/>
      </c>
      <c r="AO1295" s="35">
        <f>IF(AND(W1295="",M1295&gt;0,$AJ$2&gt;M1295,L1295=""),1,0)</f>
        <v/>
      </c>
      <c r="AP1295" s="35">
        <f>IF(AND(AK1295="YES",W1295="X"),"X","")</f>
        <v/>
      </c>
      <c r="AQ1295" s="55">
        <f>IF(AP1295="X",100%,0%)</f>
        <v/>
      </c>
      <c r="AR1295" s="25">
        <f>IF(AND(T1295&gt;0,L1295=""),H1295,"")</f>
        <v/>
      </c>
      <c r="AS1295" s="25">
        <f>IF(AND(D1295&gt;0,H1295=0,G1295=""),1,"")</f>
        <v/>
      </c>
      <c r="AT1295" s="25">
        <f>IF(G1295="BLOQ",1,"")</f>
        <v/>
      </c>
      <c r="AU1295" s="25">
        <f>IF(L1295="BLOQ",1,"")</f>
        <v/>
      </c>
      <c r="AV1295" s="25">
        <f>MONTH(F1295)</f>
        <v/>
      </c>
      <c r="AW1295" s="65">
        <f>IF(AP1295="",100%,0%)</f>
        <v/>
      </c>
      <c r="AX1295" s="56" t="n"/>
      <c r="AY1295" s="24">
        <f>IF(M1295=0,"",M1295-$AX$2)</f>
        <v/>
      </c>
      <c r="AZ1295" s="66">
        <f>IF(AND(W1295="",AY1295&gt;0,AY1295&lt;15),1,0)</f>
        <v/>
      </c>
      <c r="BA1295" s="24">
        <f>IF(AND(W1295="",AY1295&gt;0,AY1295&lt;15),T1295,"")</f>
        <v/>
      </c>
      <c r="BB1295" s="87">
        <f>IF(R1295&lt;Q1295,"X","")</f>
        <v/>
      </c>
      <c r="BC1295" s="190" t="inlineStr">
        <is>
          <t>NO</t>
        </is>
      </c>
      <c r="BD1295" s="190" t="inlineStr">
        <is>
          <t>NO</t>
        </is>
      </c>
    </row>
    <row r="1296" ht="15" customHeight="1" s="162">
      <c r="A1296" s="7" t="n">
        <v>1295</v>
      </c>
      <c r="B1296" t="inlineStr">
        <is>
          <t>1390705220907</t>
        </is>
      </c>
      <c r="C1296" t="inlineStr">
        <is>
          <t>TRAVEL &amp; SUBS.TUNING CLS</t>
        </is>
      </c>
      <c r="D1296" t="inlineStr">
        <is>
          <t>1800112332</t>
        </is>
      </c>
      <c r="E1296" t="inlineStr">
        <is>
          <t>90</t>
        </is>
      </c>
      <c r="F1296" s="163" t="n">
        <v>45539</v>
      </c>
      <c r="G1296" t="inlineStr"/>
      <c r="H1296" t="inlineStr">
        <is>
          <t>4600003976</t>
        </is>
      </c>
      <c r="I1296" t="inlineStr">
        <is>
          <t>220</t>
        </is>
      </c>
      <c r="J1296" s="163" t="n">
        <v>45464</v>
      </c>
      <c r="K1296" s="163" t="n">
        <v>45546</v>
      </c>
      <c r="L1296" t="inlineStr"/>
      <c r="M1296" s="163" t="n">
        <v>45747</v>
      </c>
      <c r="N1296" s="164" t="n">
        <v>40</v>
      </c>
      <c r="O1296" s="164" t="n">
        <v>8</v>
      </c>
      <c r="P1296" t="inlineStr">
        <is>
          <t>Liberado</t>
        </is>
      </c>
      <c r="Q1296" s="165" t="n">
        <v>1</v>
      </c>
      <c r="R1296" s="165" t="n">
        <v>1</v>
      </c>
      <c r="S1296" s="165" t="n">
        <v>0</v>
      </c>
      <c r="T1296" s="165" t="n">
        <v>1</v>
      </c>
      <c r="U1296" s="166" t="n">
        <v>0</v>
      </c>
      <c r="V1296" s="166" t="n">
        <v>0</v>
      </c>
      <c r="W1296" t="inlineStr"/>
      <c r="X1296" t="inlineStr">
        <is>
          <t>5895.00</t>
        </is>
      </c>
      <c r="Y1296" t="inlineStr"/>
      <c r="Z1296" t="inlineStr">
        <is>
          <t>MOOG, B.V.</t>
        </is>
      </c>
      <c r="AA1296" t="inlineStr">
        <is>
          <t>MOOG</t>
        </is>
      </c>
      <c r="AB1296" t="inlineStr">
        <is>
          <t>DM-NL-TRAV-SUBSIST/LINEA170</t>
        </is>
      </c>
      <c r="AC1296" t="inlineStr"/>
      <c r="AD1296" s="164" t="n">
        <v>2</v>
      </c>
      <c r="AE1296" s="185" t="n">
        <v>2</v>
      </c>
      <c r="AG1296" s="167" t="inlineStr">
        <is>
          <t>7218|JA2612_1001</t>
        </is>
      </c>
      <c r="AH1296" s="47">
        <f>IF(M1296=0,"-",M1296-J1296)</f>
        <v/>
      </c>
      <c r="AI1296" s="46">
        <f>IF(AND(S1296=0,M1296&gt;0,L1296=0),IF(AH1296&gt;=120,"VERY HIGH",IF(AH1296&gt;=90,"HIGH",IF(AH1296&gt;=60,"MEDIUM",IF(AH1296&lt;60,"LOW")))),"-")</f>
        <v/>
      </c>
      <c r="AJ1296" s="12" t="n"/>
      <c r="AK1296" s="53">
        <f>IF(AND(W1296="X",M1296&lt;=$AJ$2),"YES","")</f>
        <v/>
      </c>
      <c r="AL1296" s="54">
        <f>IF(AND(W1296="X",M1296&lt;=$AJ$2),S1296,"")</f>
        <v/>
      </c>
      <c r="AM1296" s="35" t="n"/>
      <c r="AN1296" s="35">
        <f>IF(AND(W1296="X",M1296&gt;$AJ$2),S1296,"")</f>
        <v/>
      </c>
      <c r="AO1296" s="35">
        <f>IF(AND(W1296="",M1296&gt;0,$AJ$2&gt;M1296,L1296=""),1,0)</f>
        <v/>
      </c>
      <c r="AP1296" s="35">
        <f>IF(AND(AK1296="YES",W1296="X"),"X","")</f>
        <v/>
      </c>
      <c r="AQ1296" s="55">
        <f>IF(AP1296="X",100%,0%)</f>
        <v/>
      </c>
      <c r="AR1296" s="25">
        <f>IF(AND(T1296&gt;0,L1296=""),H1296,"")</f>
        <v/>
      </c>
      <c r="AS1296" s="25">
        <f>IF(AND(D1296&gt;0,H1296=0,G1296=""),1,"")</f>
        <v/>
      </c>
      <c r="AT1296" s="25">
        <f>IF(G1296="BLOQ",1,"")</f>
        <v/>
      </c>
      <c r="AU1296" s="25">
        <f>IF(L1296="BLOQ",1,"")</f>
        <v/>
      </c>
      <c r="AV1296" s="25">
        <f>MONTH(F1296)</f>
        <v/>
      </c>
      <c r="AW1296" s="65">
        <f>IF(AP1296="",100%,0%)</f>
        <v/>
      </c>
      <c r="AX1296" s="56" t="n"/>
      <c r="AY1296" s="24">
        <f>IF(M1296=0,"",M1296-$AX$2)</f>
        <v/>
      </c>
      <c r="AZ1296" s="66">
        <f>IF(AND(W1296="",AY1296&gt;0,AY1296&lt;15),1,0)</f>
        <v/>
      </c>
      <c r="BA1296" s="24">
        <f>IF(AND(W1296="",AY1296&gt;0,AY1296&lt;15),T1296,"")</f>
        <v/>
      </c>
      <c r="BB1296" s="87">
        <f>IF(R1296&lt;Q1296,"X","")</f>
        <v/>
      </c>
      <c r="BC1296" s="190" t="inlineStr">
        <is>
          <t>NO</t>
        </is>
      </c>
      <c r="BD1296" s="190" t="inlineStr">
        <is>
          <t>NO</t>
        </is>
      </c>
    </row>
    <row r="1297" ht="15" customHeight="1" s="162">
      <c r="A1297" s="7" t="n">
        <v>1296</v>
      </c>
      <c r="B1297" t="inlineStr">
        <is>
          <t>1390704693802</t>
        </is>
      </c>
      <c r="C1297" t="inlineStr">
        <is>
          <t>DISPLAY UNITS AIRBUS DU S/OF</t>
        </is>
      </c>
      <c r="D1297" t="inlineStr">
        <is>
          <t>1800112394</t>
        </is>
      </c>
      <c r="E1297" t="inlineStr">
        <is>
          <t>10</t>
        </is>
      </c>
      <c r="F1297" s="163" t="n">
        <v>45540</v>
      </c>
      <c r="G1297" t="inlineStr"/>
      <c r="H1297" t="inlineStr">
        <is>
          <t>4200576289</t>
        </is>
      </c>
      <c r="I1297" t="inlineStr">
        <is>
          <t>10</t>
        </is>
      </c>
      <c r="J1297" s="163" t="n">
        <v>45541</v>
      </c>
      <c r="K1297" s="163" t="n">
        <v>45546</v>
      </c>
      <c r="L1297" t="inlineStr"/>
      <c r="M1297" s="163" t="n">
        <v>45696</v>
      </c>
      <c r="N1297" s="164" t="n">
        <v>40</v>
      </c>
      <c r="O1297" s="164" t="n">
        <v>8</v>
      </c>
      <c r="P1297" t="inlineStr">
        <is>
          <t>Liberado</t>
        </is>
      </c>
      <c r="Q1297" s="165" t="n">
        <v>1</v>
      </c>
      <c r="R1297" s="165" t="n">
        <v>1</v>
      </c>
      <c r="S1297" s="165" t="n">
        <v>1</v>
      </c>
      <c r="T1297" s="165" t="n">
        <v>0</v>
      </c>
      <c r="U1297" s="166" t="n">
        <v>1</v>
      </c>
      <c r="V1297" s="166" t="n">
        <v>0</v>
      </c>
      <c r="W1297" t="inlineStr">
        <is>
          <t>X</t>
        </is>
      </c>
      <c r="X1297" t="inlineStr">
        <is>
          <t>0.00</t>
        </is>
      </c>
      <c r="Y1297" t="inlineStr"/>
      <c r="Z1297" t="inlineStr">
        <is>
          <t>SUMINISTROS, FRESADOS Y GRABADOS</t>
        </is>
      </c>
      <c r="AA1297" t="inlineStr">
        <is>
          <t>GRABYSUR</t>
        </is>
      </c>
      <c r="AB1297" t="inlineStr">
        <is>
          <t>GR-SEQ47701</t>
        </is>
      </c>
      <c r="AC1297" t="inlineStr"/>
      <c r="AD1297" s="164" t="n">
        <v>1</v>
      </c>
      <c r="AE1297" s="185" t="n">
        <v>1</v>
      </c>
      <c r="AG1297" s="167" t="inlineStr">
        <is>
          <t>7218|JA2583_1001</t>
        </is>
      </c>
      <c r="AH1297" s="47">
        <f>IF(M1297=0,"-",M1297-J1297)</f>
        <v/>
      </c>
      <c r="AI1297" s="46">
        <f>IF(AND(S1297=0,M1297&gt;0,L1297=0),IF(AH1297&gt;=120,"VERY HIGH",IF(AH1297&gt;=90,"HIGH",IF(AH1297&gt;=60,"MEDIUM",IF(AH1297&lt;60,"LOW")))),"-")</f>
        <v/>
      </c>
      <c r="AJ1297" s="12" t="n"/>
      <c r="AK1297" s="53">
        <f>IF(AND(W1297="X",M1297&lt;=$AJ$2),"YES","")</f>
        <v/>
      </c>
      <c r="AL1297" s="54">
        <f>IF(AND(W1297="X",M1297&lt;=$AJ$2),S1297,"")</f>
        <v/>
      </c>
      <c r="AM1297" s="35" t="n"/>
      <c r="AN1297" s="35">
        <f>IF(AND(W1297="X",M1297&gt;$AJ$2),S1297,"")</f>
        <v/>
      </c>
      <c r="AO1297" s="35">
        <f>IF(AND(W1297="",M1297&gt;0,$AJ$2&gt;M1297,L1297=""),1,0)</f>
        <v/>
      </c>
      <c r="AP1297" s="35">
        <f>IF(AND(AK1297="YES",W1297="X"),"X","")</f>
        <v/>
      </c>
      <c r="AQ1297" s="55">
        <f>IF(AP1297="X",100%,0%)</f>
        <v/>
      </c>
      <c r="AR1297" s="25">
        <f>IF(AND(T1297&gt;0,L1297=""),H1297,"")</f>
        <v/>
      </c>
      <c r="AS1297" s="25">
        <f>IF(AND(D1297&gt;0,H1297=0,G1297=""),1,"")</f>
        <v/>
      </c>
      <c r="AT1297" s="25">
        <f>IF(G1297="BLOQ",1,"")</f>
        <v/>
      </c>
      <c r="AU1297" s="25">
        <f>IF(L1297="BLOQ",1,"")</f>
        <v/>
      </c>
      <c r="AV1297" s="25">
        <f>MONTH(F1297)</f>
        <v/>
      </c>
      <c r="AW1297" s="65">
        <f>IF(AP1297="",100%,0%)</f>
        <v/>
      </c>
      <c r="AX1297" s="56" t="n"/>
      <c r="AY1297" s="24">
        <f>IF(M1297=0,"",M1297-$AX$2)</f>
        <v/>
      </c>
      <c r="AZ1297" s="66">
        <f>IF(AND(W1297="",AY1297&gt;0,AY1297&lt;15),1,0)</f>
        <v/>
      </c>
      <c r="BA1297" s="24">
        <f>IF(AND(W1297="",AY1297&gt;0,AY1297&lt;15),T1297,"")</f>
        <v/>
      </c>
      <c r="BB1297" s="87">
        <f>IF(R1297&lt;Q1297,"X","")</f>
        <v/>
      </c>
      <c r="BC1297" s="191" t="inlineStr">
        <is>
          <t>SI</t>
        </is>
      </c>
      <c r="BD1297" s="191" t="inlineStr">
        <is>
          <t>SI</t>
        </is>
      </c>
    </row>
    <row r="1298" ht="15" customHeight="1" s="162">
      <c r="A1298" s="7" t="n">
        <v>1297</v>
      </c>
      <c r="B1298" t="inlineStr">
        <is>
          <t>1237090092100</t>
        </is>
      </c>
      <c r="C1298" t="inlineStr">
        <is>
          <t>BORNA RAIL 10P #20 7,5A TYP11</t>
        </is>
      </c>
      <c r="D1298" t="inlineStr">
        <is>
          <t>1800112395</t>
        </is>
      </c>
      <c r="E1298" t="inlineStr">
        <is>
          <t>10</t>
        </is>
      </c>
      <c r="F1298" s="163" t="n">
        <v>45540</v>
      </c>
      <c r="G1298" t="inlineStr"/>
      <c r="H1298" t="inlineStr">
        <is>
          <t>4200581619</t>
        </is>
      </c>
      <c r="I1298" t="inlineStr">
        <is>
          <t>10</t>
        </is>
      </c>
      <c r="J1298" s="163" t="n">
        <v>45581</v>
      </c>
      <c r="K1298" s="163" t="n">
        <v>45754</v>
      </c>
      <c r="L1298" t="inlineStr"/>
      <c r="M1298" s="163" t="n">
        <v>45660</v>
      </c>
      <c r="N1298" s="164" t="n">
        <v>30</v>
      </c>
      <c r="O1298" s="164" t="n">
        <v>8</v>
      </c>
      <c r="P1298" t="inlineStr">
        <is>
          <t>Liberado</t>
        </is>
      </c>
      <c r="Q1298" s="165" t="n">
        <v>6</v>
      </c>
      <c r="R1298" s="165" t="n">
        <v>50</v>
      </c>
      <c r="S1298" s="165" t="n">
        <v>50</v>
      </c>
      <c r="T1298" s="165" t="n">
        <v>50</v>
      </c>
      <c r="U1298" s="166" t="n">
        <v>0</v>
      </c>
      <c r="V1298" s="166" t="n">
        <v>50</v>
      </c>
      <c r="W1298" t="inlineStr"/>
      <c r="X1298" t="inlineStr">
        <is>
          <t>837.00</t>
        </is>
      </c>
      <c r="Y1298" t="inlineStr"/>
      <c r="Z1298" t="inlineStr">
        <is>
          <t>SOURIAU</t>
        </is>
      </c>
      <c r="AA1298" t="inlineStr">
        <is>
          <t>SOURIAU</t>
        </is>
      </c>
      <c r="AB1298" t="inlineStr">
        <is>
          <t>8559N2011B</t>
        </is>
      </c>
      <c r="AC1298" t="inlineStr"/>
      <c r="AD1298" s="164" t="n">
        <v>0</v>
      </c>
      <c r="AE1298" s="185" t="n">
        <v>0</v>
      </c>
      <c r="AG1298" s="167" t="inlineStr">
        <is>
          <t>7218|JA2581_1001</t>
        </is>
      </c>
      <c r="AH1298" s="47">
        <f>IF(M1298=0,"-",M1298-J1298)</f>
        <v/>
      </c>
      <c r="AI1298" s="46">
        <f>IF(AND(S1298=0,M1298&gt;0,L1298=0),IF(AH1298&gt;=120,"VERY HIGH",IF(AH1298&gt;=90,"HIGH",IF(AH1298&gt;=60,"MEDIUM",IF(AH1298&lt;60,"LOW")))),"-")</f>
        <v/>
      </c>
      <c r="AJ1298" s="12" t="n"/>
      <c r="AK1298" s="53">
        <f>IF(AND(W1298="X",M1298&lt;=$AJ$2),"YES","")</f>
        <v/>
      </c>
      <c r="AL1298" s="54">
        <f>IF(AND(W1298="X",M1298&lt;=$AJ$2),S1298,"")</f>
        <v/>
      </c>
      <c r="AM1298" s="35" t="n"/>
      <c r="AN1298" s="35">
        <f>IF(AND(W1298="X",M1298&gt;$AJ$2),S1298,"")</f>
        <v/>
      </c>
      <c r="AO1298" s="35">
        <f>IF(AND(W1298="",M1298&gt;0,$AJ$2&gt;M1298,L1298=""),1,0)</f>
        <v/>
      </c>
      <c r="AP1298" s="35">
        <f>IF(AND(AK1298="YES",W1298="X"),"X","")</f>
        <v/>
      </c>
      <c r="AQ1298" s="55">
        <f>IF(AP1298="X",100%,0%)</f>
        <v/>
      </c>
      <c r="AR1298" s="25">
        <f>IF(AND(T1298&gt;0,L1298=""),H1298,"")</f>
        <v/>
      </c>
      <c r="AS1298" s="25">
        <f>IF(AND(D1298&gt;0,H1298=0,G1298=""),1,"")</f>
        <v/>
      </c>
      <c r="AT1298" s="25">
        <f>IF(G1298="BLOQ",1,"")</f>
        <v/>
      </c>
      <c r="AU1298" s="25">
        <f>IF(L1298="BLOQ",1,"")</f>
        <v/>
      </c>
      <c r="AV1298" s="25">
        <f>MONTH(F1298)</f>
        <v/>
      </c>
      <c r="AW1298" s="65">
        <f>IF(AP1298="",100%,0%)</f>
        <v/>
      </c>
      <c r="AX1298" s="56" t="n"/>
      <c r="AY1298" s="24">
        <f>IF(M1298=0,"",M1298-$AX$2)</f>
        <v/>
      </c>
      <c r="AZ1298" s="66">
        <f>IF(AND(W1298="",AY1298&gt;0,AY1298&lt;15),1,0)</f>
        <v/>
      </c>
      <c r="BA1298" s="24">
        <f>IF(AND(W1298="",AY1298&gt;0,AY1298&lt;15),T1298,"")</f>
        <v/>
      </c>
      <c r="BB1298" s="87">
        <f>IF(R1298&lt;Q1298,"X","")</f>
        <v/>
      </c>
      <c r="BC1298" s="190" t="inlineStr">
        <is>
          <t>NO</t>
        </is>
      </c>
      <c r="BD1298" s="191" t="inlineStr">
        <is>
          <t>SI</t>
        </is>
      </c>
    </row>
    <row r="1299" ht="15" customHeight="1" s="162">
      <c r="A1299" s="7" t="n">
        <v>1298</v>
      </c>
      <c r="B1299" t="inlineStr">
        <is>
          <t>0973588030000</t>
        </is>
      </c>
      <c r="C1299" t="inlineStr">
        <is>
          <t>PLACA UNION</t>
        </is>
      </c>
      <c r="D1299" t="inlineStr">
        <is>
          <t>1800112396</t>
        </is>
      </c>
      <c r="E1299" t="inlineStr">
        <is>
          <t>10</t>
        </is>
      </c>
      <c r="F1299" s="163" t="n">
        <v>45540</v>
      </c>
      <c r="G1299" t="inlineStr"/>
      <c r="H1299" t="inlineStr">
        <is>
          <t>4200577157</t>
        </is>
      </c>
      <c r="I1299" t="inlineStr">
        <is>
          <t>10</t>
        </is>
      </c>
      <c r="J1299" s="163" t="n">
        <v>45548</v>
      </c>
      <c r="K1299" s="163" t="n">
        <v>45551</v>
      </c>
      <c r="L1299" t="inlineStr"/>
      <c r="M1299" s="163" t="n">
        <v>45597</v>
      </c>
      <c r="N1299" s="164" t="n">
        <v>1</v>
      </c>
      <c r="O1299" s="164" t="n">
        <v>8</v>
      </c>
      <c r="P1299" t="inlineStr">
        <is>
          <t>Liberado</t>
        </is>
      </c>
      <c r="Q1299" s="165" t="n">
        <v>3</v>
      </c>
      <c r="R1299" s="165" t="n">
        <v>3</v>
      </c>
      <c r="S1299" s="165" t="n">
        <v>6</v>
      </c>
      <c r="T1299" s="165" t="n">
        <v>0</v>
      </c>
      <c r="U1299" s="166" t="n">
        <v>3</v>
      </c>
      <c r="V1299" s="166" t="n">
        <v>3</v>
      </c>
      <c r="W1299" t="inlineStr">
        <is>
          <t>X</t>
        </is>
      </c>
      <c r="X1299" t="inlineStr">
        <is>
          <t>0.00</t>
        </is>
      </c>
      <c r="Y1299" t="inlineStr"/>
      <c r="Z1299" t="inlineStr">
        <is>
          <t>ACOM SISTEMAS, S.L.</t>
        </is>
      </c>
      <c r="AA1299" t="inlineStr">
        <is>
          <t>INDRA SISTEMAS S.A.</t>
        </is>
      </c>
      <c r="AB1299" t="inlineStr">
        <is>
          <t>0973588030000</t>
        </is>
      </c>
      <c r="AC1299" t="inlineStr"/>
      <c r="AD1299" s="164" t="n">
        <v>0</v>
      </c>
      <c r="AE1299" s="185" t="n">
        <v>0</v>
      </c>
      <c r="AG1299" s="167" t="inlineStr">
        <is>
          <t>7218|JA2580_1001</t>
        </is>
      </c>
      <c r="AH1299" s="47">
        <f>IF(M1299=0,"-",M1299-J1299)</f>
        <v/>
      </c>
      <c r="AI1299" s="46">
        <f>IF(AND(S1299=0,M1299&gt;0,L1299=0),IF(AH1299&gt;=120,"VERY HIGH",IF(AH1299&gt;=90,"HIGH",IF(AH1299&gt;=60,"MEDIUM",IF(AH1299&lt;60,"LOW")))),"-")</f>
        <v/>
      </c>
      <c r="AJ1299" s="12" t="n"/>
      <c r="AK1299" s="53">
        <f>IF(AND(W1299="X",M1299&lt;=$AJ$2),"YES","")</f>
        <v/>
      </c>
      <c r="AL1299" s="54">
        <f>IF(AND(W1299="X",M1299&lt;=$AJ$2),S1299,"")</f>
        <v/>
      </c>
      <c r="AM1299" s="35" t="n"/>
      <c r="AN1299" s="35">
        <f>IF(AND(W1299="X",M1299&gt;$AJ$2),S1299,"")</f>
        <v/>
      </c>
      <c r="AO1299" s="35">
        <f>IF(AND(W1299="",M1299&gt;0,$AJ$2&gt;M1299,L1299=""),1,0)</f>
        <v/>
      </c>
      <c r="AP1299" s="35">
        <f>IF(AND(AK1299="YES",W1299="X"),"X","")</f>
        <v/>
      </c>
      <c r="AQ1299" s="55">
        <f>IF(AP1299="X",100%,0%)</f>
        <v/>
      </c>
      <c r="AR1299" s="25">
        <f>IF(AND(T1299&gt;0,L1299=""),H1299,"")</f>
        <v/>
      </c>
      <c r="AS1299" s="25">
        <f>IF(AND(D1299&gt;0,H1299=0,G1299=""),1,"")</f>
        <v/>
      </c>
      <c r="AT1299" s="25">
        <f>IF(G1299="BLOQ",1,"")</f>
        <v/>
      </c>
      <c r="AU1299" s="25">
        <f>IF(L1299="BLOQ",1,"")</f>
        <v/>
      </c>
      <c r="AV1299" s="25">
        <f>MONTH(F1299)</f>
        <v/>
      </c>
      <c r="AW1299" s="65">
        <f>IF(AP1299="",100%,0%)</f>
        <v/>
      </c>
      <c r="AX1299" s="56" t="n"/>
      <c r="AY1299" s="24">
        <f>IF(M1299=0,"",M1299-$AX$2)</f>
        <v/>
      </c>
      <c r="AZ1299" s="66">
        <f>IF(AND(W1299="",AY1299&gt;0,AY1299&lt;15),1,0)</f>
        <v/>
      </c>
      <c r="BA1299" s="24">
        <f>IF(AND(W1299="",AY1299&gt;0,AY1299&lt;15),T1299,"")</f>
        <v/>
      </c>
      <c r="BB1299" s="87">
        <f>IF(R1299&lt;Q1299,"X","")</f>
        <v/>
      </c>
      <c r="BC1299" s="191" t="inlineStr">
        <is>
          <t>SI</t>
        </is>
      </c>
      <c r="BD1299" s="191" t="inlineStr">
        <is>
          <t>SI</t>
        </is>
      </c>
    </row>
    <row r="1300" ht="15" customHeight="1" s="162">
      <c r="A1300" s="7" t="n">
        <v>1299</v>
      </c>
      <c r="B1300" t="inlineStr">
        <is>
          <t>1253000430700</t>
        </is>
      </c>
      <c r="C1300" t="inlineStr">
        <is>
          <t>HEADSET DINAMICO 600R XLR AIRMAN750</t>
        </is>
      </c>
      <c r="D1300" t="inlineStr">
        <is>
          <t>1800112685</t>
        </is>
      </c>
      <c r="E1300" t="inlineStr">
        <is>
          <t>10</t>
        </is>
      </c>
      <c r="F1300" s="163" t="n">
        <v>45552</v>
      </c>
      <c r="G1300" t="inlineStr"/>
      <c r="H1300" t="inlineStr">
        <is>
          <t>4200578156</t>
        </is>
      </c>
      <c r="I1300" t="inlineStr">
        <is>
          <t>10</t>
        </is>
      </c>
      <c r="J1300" s="163" t="n">
        <v>45555</v>
      </c>
      <c r="K1300" s="163" t="n">
        <v>45555</v>
      </c>
      <c r="L1300" t="inlineStr"/>
      <c r="M1300" s="163" t="n">
        <v>45572</v>
      </c>
      <c r="N1300" s="164" t="n">
        <v>40</v>
      </c>
      <c r="O1300" s="164" t="n">
        <v>8</v>
      </c>
      <c r="P1300" t="inlineStr">
        <is>
          <t>Liberado</t>
        </is>
      </c>
      <c r="Q1300" s="165" t="n">
        <v>4</v>
      </c>
      <c r="R1300" s="165" t="n">
        <v>4</v>
      </c>
      <c r="S1300" s="165" t="n">
        <v>4</v>
      </c>
      <c r="T1300" s="165" t="n">
        <v>0</v>
      </c>
      <c r="U1300" s="166" t="n">
        <v>4</v>
      </c>
      <c r="V1300" s="166" t="n">
        <v>0</v>
      </c>
      <c r="W1300" t="inlineStr">
        <is>
          <t>X</t>
        </is>
      </c>
      <c r="X1300" t="inlineStr">
        <is>
          <t>0.00</t>
        </is>
      </c>
      <c r="Y1300" t="inlineStr"/>
      <c r="Z1300" t="inlineStr">
        <is>
          <t>MILEXIA IBÉRICA, S.A.U.</t>
        </is>
      </c>
      <c r="AA1300" t="inlineStr">
        <is>
          <t>TELEX COMMUNICATIONS</t>
        </is>
      </c>
      <c r="AB1300" t="inlineStr">
        <is>
          <t>64300-210</t>
        </is>
      </c>
      <c r="AC1300" t="inlineStr"/>
      <c r="AD1300" s="164" t="n">
        <v>0</v>
      </c>
      <c r="AE1300" s="185" t="n">
        <v>0</v>
      </c>
      <c r="AG1300" s="167" t="inlineStr">
        <is>
          <t>7218|JA2584_1001</t>
        </is>
      </c>
      <c r="AH1300" s="47">
        <f>IF(M1300=0,"-",M1300-J1300)</f>
        <v/>
      </c>
      <c r="AI1300" s="46">
        <f>IF(AND(S1300=0,M1300&gt;0,L1300=0),IF(AH1300&gt;=120,"VERY HIGH",IF(AH1300&gt;=90,"HIGH",IF(AH1300&gt;=60,"MEDIUM",IF(AH1300&lt;60,"LOW")))),"-")</f>
        <v/>
      </c>
      <c r="AJ1300" s="12" t="n"/>
      <c r="AK1300" s="53">
        <f>IF(AND(W1300="X",M1300&lt;=$AJ$2),"YES","")</f>
        <v/>
      </c>
      <c r="AL1300" s="54">
        <f>IF(AND(W1300="X",M1300&lt;=$AJ$2),S1300,"")</f>
        <v/>
      </c>
      <c r="AM1300" s="35" t="n"/>
      <c r="AN1300" s="35">
        <f>IF(AND(W1300="X",M1300&gt;$AJ$2),S1300,"")</f>
        <v/>
      </c>
      <c r="AO1300" s="35">
        <f>IF(AND(W1300="",M1300&gt;0,$AJ$2&gt;M1300,L1300=""),1,0)</f>
        <v/>
      </c>
      <c r="AP1300" s="35">
        <f>IF(AND(AK1300="YES",W1300="X"),"X","")</f>
        <v/>
      </c>
      <c r="AQ1300" s="55">
        <f>IF(AP1300="X",100%,0%)</f>
        <v/>
      </c>
      <c r="AR1300" s="25">
        <f>IF(AND(T1300&gt;0,L1300=""),H1300,"")</f>
        <v/>
      </c>
      <c r="AS1300" s="25">
        <f>IF(AND(D1300&gt;0,H1300=0,G1300=""),1,"")</f>
        <v/>
      </c>
      <c r="AT1300" s="25">
        <f>IF(G1300="BLOQ",1,"")</f>
        <v/>
      </c>
      <c r="AU1300" s="25">
        <f>IF(L1300="BLOQ",1,"")</f>
        <v/>
      </c>
      <c r="AV1300" s="25">
        <f>MONTH(F1300)</f>
        <v/>
      </c>
      <c r="AW1300" s="65">
        <f>IF(AP1300="",100%,0%)</f>
        <v/>
      </c>
      <c r="AX1300" s="56" t="n"/>
      <c r="AY1300" s="24">
        <f>IF(M1300=0,"",M1300-$AX$2)</f>
        <v/>
      </c>
      <c r="AZ1300" s="66">
        <f>IF(AND(W1300="",AY1300&gt;0,AY1300&lt;15),1,0)</f>
        <v/>
      </c>
      <c r="BA1300" s="24">
        <f>IF(AND(W1300="",AY1300&gt;0,AY1300&lt;15),T1300,"")</f>
        <v/>
      </c>
      <c r="BB1300" s="87">
        <f>IF(R1300&lt;Q1300,"X","")</f>
        <v/>
      </c>
      <c r="BC1300" s="190" t="inlineStr">
        <is>
          <t>NO</t>
        </is>
      </c>
      <c r="BD1300" s="191" t="inlineStr">
        <is>
          <t>SI</t>
        </is>
      </c>
    </row>
    <row r="1301" ht="15" customHeight="1" s="162">
      <c r="A1301" s="7" t="n">
        <v>1300</v>
      </c>
      <c r="B1301" t="inlineStr">
        <is>
          <t>1237790902000</t>
        </is>
      </c>
      <c r="C1301" t="inlineStr">
        <is>
          <t>TERM PUNT P/CDTOR FLEX 70 D=25</t>
        </is>
      </c>
      <c r="D1301" t="inlineStr">
        <is>
          <t>1800112686</t>
        </is>
      </c>
      <c r="E1301" t="inlineStr">
        <is>
          <t>10</t>
        </is>
      </c>
      <c r="F1301" s="163" t="n">
        <v>45552</v>
      </c>
      <c r="G1301" t="inlineStr"/>
      <c r="H1301" t="inlineStr">
        <is>
          <t>4200581503</t>
        </is>
      </c>
      <c r="I1301" t="inlineStr">
        <is>
          <t>40</t>
        </is>
      </c>
      <c r="J1301" s="163" t="n">
        <v>45581</v>
      </c>
      <c r="K1301" s="163" t="n">
        <v>45583</v>
      </c>
      <c r="L1301" t="inlineStr"/>
      <c r="M1301" s="163" t="n">
        <v>45588</v>
      </c>
      <c r="N1301" s="164" t="n">
        <v>30</v>
      </c>
      <c r="O1301" s="164" t="n">
        <v>8</v>
      </c>
      <c r="P1301" t="inlineStr">
        <is>
          <t>Liberado</t>
        </is>
      </c>
      <c r="Q1301" s="165" t="n">
        <v>10</v>
      </c>
      <c r="R1301" s="165" t="n">
        <v>10</v>
      </c>
      <c r="S1301" s="165" t="n">
        <v>10</v>
      </c>
      <c r="T1301" s="165" t="n">
        <v>0</v>
      </c>
      <c r="U1301" s="166" t="n">
        <v>0</v>
      </c>
      <c r="V1301" s="166" t="n">
        <v>0</v>
      </c>
      <c r="W1301" t="inlineStr">
        <is>
          <t>X</t>
        </is>
      </c>
      <c r="X1301" t="inlineStr">
        <is>
          <t>0.00</t>
        </is>
      </c>
      <c r="Y1301" t="inlineStr"/>
      <c r="Z1301" t="inlineStr">
        <is>
          <t>(AEMSA)ALMACENES ELECTRICOS MADRILE</t>
        </is>
      </c>
      <c r="AA1301" t="inlineStr">
        <is>
          <t>CEMBRE</t>
        </is>
      </c>
      <c r="AB1301" t="inlineStr">
        <is>
          <t>A14-P30</t>
        </is>
      </c>
      <c r="AC1301" t="inlineStr"/>
      <c r="AD1301" s="164" t="n">
        <v>0</v>
      </c>
      <c r="AE1301" s="185" t="n">
        <v>0</v>
      </c>
      <c r="AG1301" s="167" t="inlineStr">
        <is>
          <t>7218|JA2582_1001</t>
        </is>
      </c>
      <c r="AH1301" s="47">
        <f>IF(M1301=0,"-",M1301-J1301)</f>
        <v/>
      </c>
      <c r="AI1301" s="46">
        <f>IF(AND(S1301=0,M1301&gt;0,L1301=0),IF(AH1301&gt;=120,"VERY HIGH",IF(AH1301&gt;=90,"HIGH",IF(AH1301&gt;=60,"MEDIUM",IF(AH1301&lt;60,"LOW")))),"-")</f>
        <v/>
      </c>
      <c r="AJ1301" s="12" t="n"/>
      <c r="AK1301" s="53">
        <f>IF(AND(W1301="X",M1301&lt;=$AJ$2),"YES","")</f>
        <v/>
      </c>
      <c r="AL1301" s="54">
        <f>IF(AND(W1301="X",M1301&lt;=$AJ$2),S1301,"")</f>
        <v/>
      </c>
      <c r="AM1301" s="35" t="n"/>
      <c r="AN1301" s="35">
        <f>IF(AND(W1301="X",M1301&gt;$AJ$2),S1301,"")</f>
        <v/>
      </c>
      <c r="AO1301" s="35">
        <f>IF(AND(W1301="",M1301&gt;0,$AJ$2&gt;M1301,L1301=""),1,0)</f>
        <v/>
      </c>
      <c r="AP1301" s="35">
        <f>IF(AND(AK1301="YES",W1301="X"),"X","")</f>
        <v/>
      </c>
      <c r="AQ1301" s="55">
        <f>IF(AP1301="X",100%,0%)</f>
        <v/>
      </c>
      <c r="AR1301" s="25">
        <f>IF(AND(T1301&gt;0,L1301=""),H1301,"")</f>
        <v/>
      </c>
      <c r="AS1301" s="25">
        <f>IF(AND(D1301&gt;0,H1301=0,G1301=""),1,"")</f>
        <v/>
      </c>
      <c r="AT1301" s="25">
        <f>IF(G1301="BLOQ",1,"")</f>
        <v/>
      </c>
      <c r="AU1301" s="25">
        <f>IF(L1301="BLOQ",1,"")</f>
        <v/>
      </c>
      <c r="AV1301" s="25">
        <f>MONTH(F1301)</f>
        <v/>
      </c>
      <c r="AW1301" s="65">
        <f>IF(AP1301="",100%,0%)</f>
        <v/>
      </c>
      <c r="AX1301" s="56" t="n"/>
      <c r="AY1301" s="24">
        <f>IF(M1301=0,"",M1301-$AX$2)</f>
        <v/>
      </c>
      <c r="AZ1301" s="66">
        <f>IF(AND(W1301="",AY1301&gt;0,AY1301&lt;15),1,0)</f>
        <v/>
      </c>
      <c r="BA1301" s="24">
        <f>IF(AND(W1301="",AY1301&gt;0,AY1301&lt;15),T1301,"")</f>
        <v/>
      </c>
      <c r="BB1301" s="87">
        <f>IF(R1301&lt;Q1301,"X","")</f>
        <v/>
      </c>
      <c r="BC1301" s="190" t="inlineStr">
        <is>
          <t>NO</t>
        </is>
      </c>
      <c r="BD1301" s="191" t="inlineStr">
        <is>
          <t>SI</t>
        </is>
      </c>
    </row>
    <row r="1302" ht="15" customHeight="1" s="162">
      <c r="A1302" s="7" t="n">
        <v>1301</v>
      </c>
      <c r="B1302" t="inlineStr">
        <is>
          <t>1750101350000</t>
        </is>
      </c>
      <c r="C1302" t="inlineStr">
        <is>
          <t>TUBERIA FLEX DE=90MM DS=98MM -10/60C PVC</t>
        </is>
      </c>
      <c r="D1302" t="inlineStr">
        <is>
          <t>1800112686</t>
        </is>
      </c>
      <c r="E1302" t="inlineStr">
        <is>
          <t>20</t>
        </is>
      </c>
      <c r="F1302" s="163" t="n">
        <v>45552</v>
      </c>
      <c r="G1302" t="inlineStr"/>
      <c r="H1302" t="inlineStr">
        <is>
          <t>4200592269</t>
        </is>
      </c>
      <c r="I1302" t="inlineStr">
        <is>
          <t>10</t>
        </is>
      </c>
      <c r="J1302" s="163" t="n">
        <v>45665</v>
      </c>
      <c r="K1302" s="163" t="n">
        <v>45666</v>
      </c>
      <c r="L1302" t="inlineStr"/>
      <c r="M1302" s="163" t="n">
        <v>45674</v>
      </c>
      <c r="N1302" s="164" t="n">
        <v>50</v>
      </c>
      <c r="O1302" s="164" t="n">
        <v>8</v>
      </c>
      <c r="P1302" t="inlineStr">
        <is>
          <t>Liberado</t>
        </is>
      </c>
      <c r="Q1302" s="165" t="n">
        <v>8</v>
      </c>
      <c r="R1302" s="165" t="n">
        <v>8</v>
      </c>
      <c r="S1302" s="165" t="n">
        <v>8</v>
      </c>
      <c r="T1302" s="165" t="n">
        <v>0</v>
      </c>
      <c r="U1302" s="166" t="n">
        <v>8</v>
      </c>
      <c r="V1302" s="166" t="n">
        <v>0</v>
      </c>
      <c r="W1302" t="inlineStr">
        <is>
          <t>X</t>
        </is>
      </c>
      <c r="X1302" t="inlineStr">
        <is>
          <t>0.00</t>
        </is>
      </c>
      <c r="Y1302" t="inlineStr"/>
      <c r="Z1302" t="inlineStr">
        <is>
          <t>FERRETERIA FERAYU SL</t>
        </is>
      </c>
      <c r="AA1302" t="inlineStr">
        <is>
          <t>URARTU</t>
        </is>
      </c>
      <c r="AB1302" t="inlineStr">
        <is>
          <t>122090</t>
        </is>
      </c>
      <c r="AC1302" t="inlineStr"/>
      <c r="AD1302" s="164" t="n">
        <v>0</v>
      </c>
      <c r="AE1302" s="185" t="n">
        <v>0</v>
      </c>
      <c r="AG1302" s="167" t="inlineStr">
        <is>
          <t>7218|JA2582_1001</t>
        </is>
      </c>
      <c r="AH1302" s="47">
        <f>IF(M1302=0,"-",M1302-J1302)</f>
        <v/>
      </c>
      <c r="AI1302" s="46">
        <f>IF(AND(S1302=0,M1302&gt;0,L1302=0),IF(AH1302&gt;=120,"VERY HIGH",IF(AH1302&gt;=90,"HIGH",IF(AH1302&gt;=60,"MEDIUM",IF(AH1302&lt;60,"LOW")))),"-")</f>
        <v/>
      </c>
      <c r="AJ1302" s="12" t="n"/>
      <c r="AK1302" s="53">
        <f>IF(AND(W1302="X",M1302&lt;=$AJ$2),"YES","")</f>
        <v/>
      </c>
      <c r="AL1302" s="54">
        <f>IF(AND(W1302="X",M1302&lt;=$AJ$2),S1302,"")</f>
        <v/>
      </c>
      <c r="AM1302" s="35" t="n"/>
      <c r="AN1302" s="35">
        <f>IF(AND(W1302="X",M1302&gt;$AJ$2),S1302,"")</f>
        <v/>
      </c>
      <c r="AO1302" s="35">
        <f>IF(AND(W1302="",M1302&gt;0,$AJ$2&gt;M1302,L1302=""),1,0)</f>
        <v/>
      </c>
      <c r="AP1302" s="35">
        <f>IF(AND(AK1302="YES",W1302="X"),"X","")</f>
        <v/>
      </c>
      <c r="AQ1302" s="55">
        <f>IF(AP1302="X",100%,0%)</f>
        <v/>
      </c>
      <c r="AR1302" s="25">
        <f>IF(AND(T1302&gt;0,L1302=""),H1302,"")</f>
        <v/>
      </c>
      <c r="AS1302" s="25">
        <f>IF(AND(D1302&gt;0,H1302=0,G1302=""),1,"")</f>
        <v/>
      </c>
      <c r="AT1302" s="25">
        <f>IF(G1302="BLOQ",1,"")</f>
        <v/>
      </c>
      <c r="AU1302" s="25">
        <f>IF(L1302="BLOQ",1,"")</f>
        <v/>
      </c>
      <c r="AV1302" s="25">
        <f>MONTH(F1302)</f>
        <v/>
      </c>
      <c r="AW1302" s="65">
        <f>IF(AP1302="",100%,0%)</f>
        <v/>
      </c>
      <c r="AX1302" s="56" t="n"/>
      <c r="AY1302" s="24">
        <f>IF(M1302=0,"",M1302-$AX$2)</f>
        <v/>
      </c>
      <c r="AZ1302" s="66">
        <f>IF(AND(W1302="",AY1302&gt;0,AY1302&lt;15),1,0)</f>
        <v/>
      </c>
      <c r="BA1302" s="24">
        <f>IF(AND(W1302="",AY1302&gt;0,AY1302&lt;15),T1302,"")</f>
        <v/>
      </c>
      <c r="BB1302" s="87">
        <f>IF(R1302&lt;Q1302,"X","")</f>
        <v/>
      </c>
      <c r="BC1302" s="190" t="inlineStr">
        <is>
          <t>NO</t>
        </is>
      </c>
      <c r="BD1302" s="191" t="inlineStr">
        <is>
          <t>SI</t>
        </is>
      </c>
    </row>
    <row r="1303" ht="15" customHeight="1" s="162">
      <c r="A1303" s="7" t="n">
        <v>1302</v>
      </c>
      <c r="B1303" t="inlineStr">
        <is>
          <t>1311006740100</t>
        </is>
      </c>
      <c r="C1303" t="inlineStr">
        <is>
          <t>CAMARA PLANO MOV NW 2MP 1920X1080P H.265</t>
        </is>
      </c>
      <c r="D1303" t="inlineStr">
        <is>
          <t>1800112687</t>
        </is>
      </c>
      <c r="E1303" t="inlineStr">
        <is>
          <t>10</t>
        </is>
      </c>
      <c r="F1303" s="163" t="n">
        <v>45552</v>
      </c>
      <c r="G1303" t="inlineStr"/>
      <c r="H1303" t="inlineStr">
        <is>
          <t>4200577930</t>
        </is>
      </c>
      <c r="I1303" t="inlineStr">
        <is>
          <t>10</t>
        </is>
      </c>
      <c r="J1303" s="163" t="n">
        <v>45554</v>
      </c>
      <c r="K1303" s="163" t="n">
        <v>45554</v>
      </c>
      <c r="L1303" t="inlineStr"/>
      <c r="M1303" s="163" t="n">
        <v>45583</v>
      </c>
      <c r="N1303" s="164" t="n">
        <v>40</v>
      </c>
      <c r="O1303" s="164" t="n">
        <v>8</v>
      </c>
      <c r="P1303" t="inlineStr">
        <is>
          <t>Liberado</t>
        </is>
      </c>
      <c r="Q1303" s="165" t="n">
        <v>1</v>
      </c>
      <c r="R1303" s="165" t="n">
        <v>1</v>
      </c>
      <c r="S1303" s="165" t="n">
        <v>1</v>
      </c>
      <c r="T1303" s="165" t="n">
        <v>0</v>
      </c>
      <c r="U1303" s="166" t="n">
        <v>1</v>
      </c>
      <c r="V1303" s="166" t="n">
        <v>0</v>
      </c>
      <c r="W1303" t="inlineStr">
        <is>
          <t>X</t>
        </is>
      </c>
      <c r="X1303" t="inlineStr">
        <is>
          <t>0.00</t>
        </is>
      </c>
      <c r="Y1303" t="inlineStr"/>
      <c r="Z1303" t="inlineStr">
        <is>
          <t>CARTRONIC MEMORY, S.A.</t>
        </is>
      </c>
      <c r="AA1303" t="inlineStr">
        <is>
          <t>HANWHA TECHWIN EUROPA</t>
        </is>
      </c>
      <c r="AB1303" t="inlineStr">
        <is>
          <t>XNV-6012</t>
        </is>
      </c>
      <c r="AC1303" t="inlineStr"/>
      <c r="AD1303" s="164" t="n">
        <v>0</v>
      </c>
      <c r="AE1303" s="185" t="n">
        <v>0</v>
      </c>
      <c r="AG1303" s="167" t="inlineStr">
        <is>
          <t>7218|JA2587_1001</t>
        </is>
      </c>
      <c r="AH1303" s="47">
        <f>IF(M1303=0,"-",M1303-J1303)</f>
        <v/>
      </c>
      <c r="AI1303" s="46">
        <f>IF(AND(S1303=0,M1303&gt;0,L1303=0),IF(AH1303&gt;=120,"VERY HIGH",IF(AH1303&gt;=90,"HIGH",IF(AH1303&gt;=60,"MEDIUM",IF(AH1303&lt;60,"LOW")))),"-")</f>
        <v/>
      </c>
      <c r="AJ1303" s="12" t="n"/>
      <c r="AK1303" s="53">
        <f>IF(AND(W1303="X",M1303&lt;=$AJ$2),"YES","")</f>
        <v/>
      </c>
      <c r="AL1303" s="54">
        <f>IF(AND(W1303="X",M1303&lt;=$AJ$2),S1303,"")</f>
        <v/>
      </c>
      <c r="AM1303" s="35" t="n"/>
      <c r="AN1303" s="35">
        <f>IF(AND(W1303="X",M1303&gt;$AJ$2),S1303,"")</f>
        <v/>
      </c>
      <c r="AO1303" s="35">
        <f>IF(AND(W1303="",M1303&gt;0,$AJ$2&gt;M1303,L1303=""),1,0)</f>
        <v/>
      </c>
      <c r="AP1303" s="35">
        <f>IF(AND(AK1303="YES",W1303="X"),"X","")</f>
        <v/>
      </c>
      <c r="AQ1303" s="55">
        <f>IF(AP1303="X",100%,0%)</f>
        <v/>
      </c>
      <c r="AR1303" s="25">
        <f>IF(AND(T1303&gt;0,L1303=""),H1303,"")</f>
        <v/>
      </c>
      <c r="AS1303" s="25">
        <f>IF(AND(D1303&gt;0,H1303=0,G1303=""),1,"")</f>
        <v/>
      </c>
      <c r="AT1303" s="25">
        <f>IF(G1303="BLOQ",1,"")</f>
        <v/>
      </c>
      <c r="AU1303" s="25">
        <f>IF(L1303="BLOQ",1,"")</f>
        <v/>
      </c>
      <c r="AV1303" s="25">
        <f>MONTH(F1303)</f>
        <v/>
      </c>
      <c r="AW1303" s="65">
        <f>IF(AP1303="",100%,0%)</f>
        <v/>
      </c>
      <c r="AX1303" s="56" t="n"/>
      <c r="AY1303" s="24">
        <f>IF(M1303=0,"",M1303-$AX$2)</f>
        <v/>
      </c>
      <c r="AZ1303" s="66">
        <f>IF(AND(W1303="",AY1303&gt;0,AY1303&lt;15),1,0)</f>
        <v/>
      </c>
      <c r="BA1303" s="24">
        <f>IF(AND(W1303="",AY1303&gt;0,AY1303&lt;15),T1303,"")</f>
        <v/>
      </c>
      <c r="BB1303" s="87">
        <f>IF(R1303&lt;Q1303,"X","")</f>
        <v/>
      </c>
      <c r="BC1303" s="191" t="inlineStr">
        <is>
          <t>SI</t>
        </is>
      </c>
      <c r="BD1303" s="191" t="inlineStr">
        <is>
          <t>SI</t>
        </is>
      </c>
    </row>
    <row r="1304" ht="15" customHeight="1" s="162">
      <c r="A1304" s="7" t="n">
        <v>1303</v>
      </c>
      <c r="B1304" t="inlineStr">
        <is>
          <t>1589990170000</t>
        </is>
      </c>
      <c r="C1304" t="inlineStr">
        <is>
          <t>ESTUCHE P/IPAD 10TH GEN POLICARB ATLAS</t>
        </is>
      </c>
      <c r="D1304" t="inlineStr">
        <is>
          <t>1800113048</t>
        </is>
      </c>
      <c r="E1304" t="inlineStr">
        <is>
          <t>10</t>
        </is>
      </c>
      <c r="F1304" s="163" t="n">
        <v>45561</v>
      </c>
      <c r="G1304" t="inlineStr"/>
      <c r="H1304" t="inlineStr">
        <is>
          <t>4200593363</t>
        </is>
      </c>
      <c r="I1304" t="inlineStr">
        <is>
          <t>10</t>
        </is>
      </c>
      <c r="J1304" s="163" t="n">
        <v>45673</v>
      </c>
      <c r="K1304" s="163" t="n">
        <v>45674</v>
      </c>
      <c r="L1304" t="inlineStr"/>
      <c r="M1304" s="163" t="n">
        <v>45694</v>
      </c>
      <c r="N1304" s="164" t="n">
        <v>40</v>
      </c>
      <c r="O1304" s="164" t="n">
        <v>8</v>
      </c>
      <c r="P1304" t="inlineStr">
        <is>
          <t>Liberado</t>
        </is>
      </c>
      <c r="Q1304" s="165" t="n">
        <v>1</v>
      </c>
      <c r="R1304" s="165" t="n">
        <v>1</v>
      </c>
      <c r="S1304" s="165" t="n">
        <v>1</v>
      </c>
      <c r="T1304" s="165" t="n">
        <v>0</v>
      </c>
      <c r="U1304" s="166" t="n">
        <v>1</v>
      </c>
      <c r="V1304" s="166" t="n">
        <v>0</v>
      </c>
      <c r="W1304" t="inlineStr">
        <is>
          <t>X</t>
        </is>
      </c>
      <c r="X1304" t="inlineStr">
        <is>
          <t>0.00</t>
        </is>
      </c>
      <c r="Y1304" t="inlineStr"/>
      <c r="Z1304" t="inlineStr">
        <is>
          <t>INFORSHOP, S.L.</t>
        </is>
      </c>
      <c r="AA1304" t="inlineStr">
        <is>
          <t>PIVOT CASE</t>
        </is>
      </c>
      <c r="AB1304" t="inlineStr">
        <is>
          <t>PC-A22A-BLU</t>
        </is>
      </c>
      <c r="AC1304" t="inlineStr"/>
      <c r="AD1304" s="164" t="n">
        <v>0</v>
      </c>
      <c r="AE1304" s="185" t="n">
        <v>0</v>
      </c>
      <c r="AG1304" s="167" t="inlineStr">
        <is>
          <t>7218|JA2588_1001</t>
        </is>
      </c>
      <c r="AH1304" s="47">
        <f>IF(M1304=0,"-",M1304-J1304)</f>
        <v/>
      </c>
      <c r="AI1304" s="46">
        <f>IF(AND(S1304=0,M1304&gt;0,L1304=0),IF(AH1304&gt;=120,"VERY HIGH",IF(AH1304&gt;=90,"HIGH",IF(AH1304&gt;=60,"MEDIUM",IF(AH1304&lt;60,"LOW")))),"-")</f>
        <v/>
      </c>
      <c r="AJ1304" s="12" t="n"/>
      <c r="AK1304" s="53">
        <f>IF(AND(W1304="X",M1304&lt;=$AJ$2),"YES","")</f>
        <v/>
      </c>
      <c r="AL1304" s="54">
        <f>IF(AND(W1304="X",M1304&lt;=$AJ$2),S1304,"")</f>
        <v/>
      </c>
      <c r="AM1304" s="35" t="n"/>
      <c r="AN1304" s="35">
        <f>IF(AND(W1304="X",M1304&gt;$AJ$2),S1304,"")</f>
        <v/>
      </c>
      <c r="AO1304" s="35">
        <f>IF(AND(W1304="",M1304&gt;0,$AJ$2&gt;M1304,L1304=""),1,0)</f>
        <v/>
      </c>
      <c r="AP1304" s="35">
        <f>IF(AND(AK1304="YES",W1304="X"),"X","")</f>
        <v/>
      </c>
      <c r="AQ1304" s="55">
        <f>IF(AP1304="X",100%,0%)</f>
        <v/>
      </c>
      <c r="AR1304" s="25">
        <f>IF(AND(T1304&gt;0,L1304=""),H1304,"")</f>
        <v/>
      </c>
      <c r="AS1304" s="25">
        <f>IF(AND(D1304&gt;0,H1304=0,G1304=""),1,"")</f>
        <v/>
      </c>
      <c r="AT1304" s="25">
        <f>IF(G1304="BLOQ",1,"")</f>
        <v/>
      </c>
      <c r="AU1304" s="25">
        <f>IF(L1304="BLOQ",1,"")</f>
        <v/>
      </c>
      <c r="AV1304" s="25">
        <f>MONTH(F1304)</f>
        <v/>
      </c>
      <c r="AW1304" s="65">
        <f>IF(AP1304="",100%,0%)</f>
        <v/>
      </c>
      <c r="AX1304" s="56" t="n"/>
      <c r="AY1304" s="24">
        <f>IF(M1304=0,"",M1304-$AX$2)</f>
        <v/>
      </c>
      <c r="AZ1304" s="66">
        <f>IF(AND(W1304="",AY1304&gt;0,AY1304&lt;15),1,0)</f>
        <v/>
      </c>
      <c r="BA1304" s="24">
        <f>IF(AND(W1304="",AY1304&gt;0,AY1304&lt;15),T1304,"")</f>
        <v/>
      </c>
      <c r="BB1304" s="87">
        <f>IF(R1304&lt;Q1304,"X","")</f>
        <v/>
      </c>
      <c r="BC1304" s="190" t="inlineStr">
        <is>
          <t>NO</t>
        </is>
      </c>
      <c r="BD1304" s="191" t="inlineStr">
        <is>
          <t>SI</t>
        </is>
      </c>
    </row>
    <row r="1305" ht="15" customHeight="1" s="162">
      <c r="A1305" s="7" t="n">
        <v>1304</v>
      </c>
      <c r="B1305" t="inlineStr">
        <is>
          <t>1589990179000</t>
        </is>
      </c>
      <c r="C1305" t="inlineStr">
        <is>
          <t>ACC MONT PERMANENTE INOX P/ESTUCHE PIVOT</t>
        </is>
      </c>
      <c r="D1305" t="inlineStr">
        <is>
          <t>1800113048</t>
        </is>
      </c>
      <c r="E1305" t="inlineStr">
        <is>
          <t>20</t>
        </is>
      </c>
      <c r="F1305" s="163" t="n">
        <v>45561</v>
      </c>
      <c r="G1305" t="inlineStr"/>
      <c r="H1305" t="inlineStr">
        <is>
          <t>4200593363</t>
        </is>
      </c>
      <c r="I1305" t="inlineStr">
        <is>
          <t>20</t>
        </is>
      </c>
      <c r="J1305" s="163" t="n">
        <v>45673</v>
      </c>
      <c r="K1305" s="163" t="n">
        <v>45674</v>
      </c>
      <c r="L1305" t="inlineStr"/>
      <c r="M1305" s="163" t="n">
        <v>45694</v>
      </c>
      <c r="N1305" s="164" t="n">
        <v>40</v>
      </c>
      <c r="O1305" s="164" t="n">
        <v>8</v>
      </c>
      <c r="P1305" t="inlineStr">
        <is>
          <t>Liberado</t>
        </is>
      </c>
      <c r="Q1305" s="165" t="n">
        <v>1</v>
      </c>
      <c r="R1305" s="165" t="n">
        <v>1</v>
      </c>
      <c r="S1305" s="165" t="n">
        <v>1</v>
      </c>
      <c r="T1305" s="165" t="n">
        <v>0</v>
      </c>
      <c r="U1305" s="166" t="n">
        <v>1</v>
      </c>
      <c r="V1305" s="166" t="n">
        <v>0</v>
      </c>
      <c r="W1305" t="inlineStr">
        <is>
          <t>X</t>
        </is>
      </c>
      <c r="X1305" t="inlineStr">
        <is>
          <t>0.00</t>
        </is>
      </c>
      <c r="Y1305" t="inlineStr"/>
      <c r="Z1305" t="inlineStr">
        <is>
          <t>INFORSHOP, S.L.</t>
        </is>
      </c>
      <c r="AA1305" t="inlineStr">
        <is>
          <t>PIVOT CASE</t>
        </is>
      </c>
      <c r="AB1305" t="inlineStr">
        <is>
          <t>S8FB700</t>
        </is>
      </c>
      <c r="AC1305" t="inlineStr"/>
      <c r="AD1305" s="164" t="n">
        <v>0</v>
      </c>
      <c r="AE1305" s="185" t="n">
        <v>0</v>
      </c>
      <c r="AG1305" s="167" t="inlineStr">
        <is>
          <t>7218|JA2588_1001</t>
        </is>
      </c>
      <c r="AH1305" s="47">
        <f>IF(M1305=0,"-",M1305-J1305)</f>
        <v/>
      </c>
      <c r="AI1305" s="46">
        <f>IF(AND(S1305=0,M1305&gt;0,L1305=0),IF(AH1305&gt;=120,"VERY HIGH",IF(AH1305&gt;=90,"HIGH",IF(AH1305&gt;=60,"MEDIUM",IF(AH1305&lt;60,"LOW")))),"-")</f>
        <v/>
      </c>
      <c r="AJ1305" s="12" t="n"/>
      <c r="AK1305" s="53">
        <f>IF(AND(W1305="X",M1305&lt;=$AJ$2),"YES","")</f>
        <v/>
      </c>
      <c r="AL1305" s="54">
        <f>IF(AND(W1305="X",M1305&lt;=$AJ$2),S1305,"")</f>
        <v/>
      </c>
      <c r="AM1305" s="35" t="n"/>
      <c r="AN1305" s="35">
        <f>IF(AND(W1305="X",M1305&gt;$AJ$2),S1305,"")</f>
        <v/>
      </c>
      <c r="AO1305" s="35">
        <f>IF(AND(W1305="",M1305&gt;0,$AJ$2&gt;M1305,L1305=""),1,0)</f>
        <v/>
      </c>
      <c r="AP1305" s="35">
        <f>IF(AND(AK1305="YES",W1305="X"),"X","")</f>
        <v/>
      </c>
      <c r="AQ1305" s="55">
        <f>IF(AP1305="X",100%,0%)</f>
        <v/>
      </c>
      <c r="AR1305" s="25">
        <f>IF(AND(T1305&gt;0,L1305=""),H1305,"")</f>
        <v/>
      </c>
      <c r="AS1305" s="25">
        <f>IF(AND(D1305&gt;0,H1305=0,G1305=""),1,"")</f>
        <v/>
      </c>
      <c r="AT1305" s="25">
        <f>IF(G1305="BLOQ",1,"")</f>
        <v/>
      </c>
      <c r="AU1305" s="25">
        <f>IF(L1305="BLOQ",1,"")</f>
        <v/>
      </c>
      <c r="AV1305" s="25">
        <f>MONTH(F1305)</f>
        <v/>
      </c>
      <c r="AW1305" s="65">
        <f>IF(AP1305="",100%,0%)</f>
        <v/>
      </c>
      <c r="AX1305" s="56" t="n"/>
      <c r="AY1305" s="24">
        <f>IF(M1305=0,"",M1305-$AX$2)</f>
        <v/>
      </c>
      <c r="AZ1305" s="66">
        <f>IF(AND(W1305="",AY1305&gt;0,AY1305&lt;15),1,0)</f>
        <v/>
      </c>
      <c r="BA1305" s="24">
        <f>IF(AND(W1305="",AY1305&gt;0,AY1305&lt;15),T1305,"")</f>
        <v/>
      </c>
      <c r="BB1305" s="87">
        <f>IF(R1305&lt;Q1305,"X","")</f>
        <v/>
      </c>
      <c r="BC1305" s="190" t="inlineStr">
        <is>
          <t>NO</t>
        </is>
      </c>
      <c r="BD1305" s="191" t="inlineStr">
        <is>
          <t>SI</t>
        </is>
      </c>
    </row>
    <row r="1306" ht="15" customHeight="1" s="162">
      <c r="A1306" s="7" t="n">
        <v>1305</v>
      </c>
      <c r="B1306" t="inlineStr">
        <is>
          <t>3140301350000</t>
        </is>
      </c>
      <c r="C1306" t="inlineStr">
        <is>
          <t>PROYECTOR DLP 4K P10 WQXGA 100-240V</t>
        </is>
      </c>
      <c r="D1306" t="inlineStr">
        <is>
          <t>1800113115</t>
        </is>
      </c>
      <c r="E1306" t="inlineStr">
        <is>
          <t>10</t>
        </is>
      </c>
      <c r="F1306" s="163" t="n">
        <v>45562</v>
      </c>
      <c r="G1306" t="inlineStr"/>
      <c r="H1306" t="inlineStr">
        <is>
          <t>4200579103</t>
        </is>
      </c>
      <c r="I1306" t="inlineStr">
        <is>
          <t>10</t>
        </is>
      </c>
      <c r="J1306" s="163" t="n">
        <v>45565</v>
      </c>
      <c r="K1306" s="163" t="n">
        <v>45567</v>
      </c>
      <c r="L1306" t="inlineStr"/>
      <c r="M1306" s="163" t="n">
        <v>45624</v>
      </c>
      <c r="N1306" s="164" t="n">
        <v>40</v>
      </c>
      <c r="O1306" s="164" t="n">
        <v>8</v>
      </c>
      <c r="P1306" t="inlineStr">
        <is>
          <t>Liberado</t>
        </is>
      </c>
      <c r="Q1306" s="165" t="n">
        <v>1</v>
      </c>
      <c r="R1306" s="165" t="n">
        <v>1</v>
      </c>
      <c r="S1306" s="165" t="n">
        <v>1</v>
      </c>
      <c r="T1306" s="165" t="n">
        <v>0</v>
      </c>
      <c r="U1306" s="166" t="n">
        <v>1</v>
      </c>
      <c r="V1306" s="166" t="n">
        <v>0</v>
      </c>
      <c r="W1306" t="inlineStr">
        <is>
          <t>X</t>
        </is>
      </c>
      <c r="X1306" t="inlineStr">
        <is>
          <t>0.00</t>
        </is>
      </c>
      <c r="Y1306" t="inlineStr"/>
      <c r="Z1306" t="inlineStr">
        <is>
          <t>NORXE AS</t>
        </is>
      </c>
      <c r="AA1306" t="inlineStr">
        <is>
          <t>NORXE</t>
        </is>
      </c>
      <c r="AB1306" t="inlineStr">
        <is>
          <t>101-1112</t>
        </is>
      </c>
      <c r="AC1306" t="inlineStr"/>
      <c r="AD1306" s="164" t="n">
        <v>0</v>
      </c>
      <c r="AE1306" s="185" t="n">
        <v>0</v>
      </c>
      <c r="AG1306" s="167" t="inlineStr">
        <is>
          <t>7218|JA2578_1001</t>
        </is>
      </c>
      <c r="AH1306" s="47">
        <f>IF(M1306=0,"-",M1306-J1306)</f>
        <v/>
      </c>
      <c r="AI1306" s="46">
        <f>IF(AND(S1306=0,M1306&gt;0,L1306=0),IF(AH1306&gt;=120,"VERY HIGH",IF(AH1306&gt;=90,"HIGH",IF(AH1306&gt;=60,"MEDIUM",IF(AH1306&lt;60,"LOW")))),"-")</f>
        <v/>
      </c>
      <c r="AJ1306" s="12" t="n"/>
      <c r="AK1306" s="53">
        <f>IF(AND(W1306="X",M1306&lt;=$AJ$2),"YES","")</f>
        <v/>
      </c>
      <c r="AL1306" s="54">
        <f>IF(AND(W1306="X",M1306&lt;=$AJ$2),S1306,"")</f>
        <v/>
      </c>
      <c r="AM1306" s="35" t="n"/>
      <c r="AN1306" s="35">
        <f>IF(AND(W1306="X",M1306&gt;$AJ$2),S1306,"")</f>
        <v/>
      </c>
      <c r="AO1306" s="35">
        <f>IF(AND(W1306="",M1306&gt;0,$AJ$2&gt;M1306,L1306=""),1,0)</f>
        <v/>
      </c>
      <c r="AP1306" s="35">
        <f>IF(AND(AK1306="YES",W1306="X"),"X","")</f>
        <v/>
      </c>
      <c r="AQ1306" s="55">
        <f>IF(AP1306="X",100%,0%)</f>
        <v/>
      </c>
      <c r="AR1306" s="25">
        <f>IF(AND(T1306&gt;0,L1306=""),H1306,"")</f>
        <v/>
      </c>
      <c r="AS1306" s="25">
        <f>IF(AND(D1306&gt;0,H1306=0,G1306=""),1,"")</f>
        <v/>
      </c>
      <c r="AT1306" s="25">
        <f>IF(G1306="BLOQ",1,"")</f>
        <v/>
      </c>
      <c r="AU1306" s="25">
        <f>IF(L1306="BLOQ",1,"")</f>
        <v/>
      </c>
      <c r="AV1306" s="25">
        <f>MONTH(F1306)</f>
        <v/>
      </c>
      <c r="AW1306" s="65">
        <f>IF(AP1306="",100%,0%)</f>
        <v/>
      </c>
      <c r="AX1306" s="56" t="n"/>
      <c r="AY1306" s="24">
        <f>IF(M1306=0,"",M1306-$AX$2)</f>
        <v/>
      </c>
      <c r="AZ1306" s="66">
        <f>IF(AND(W1306="",AY1306&gt;0,AY1306&lt;15),1,0)</f>
        <v/>
      </c>
      <c r="BA1306" s="24">
        <f>IF(AND(W1306="",AY1306&gt;0,AY1306&lt;15),T1306,"")</f>
        <v/>
      </c>
      <c r="BB1306" s="87">
        <f>IF(R1306&lt;Q1306,"X","")</f>
        <v/>
      </c>
      <c r="BC1306" s="191" t="inlineStr">
        <is>
          <t>SI</t>
        </is>
      </c>
      <c r="BD1306" s="191" t="inlineStr">
        <is>
          <t>SI</t>
        </is>
      </c>
    </row>
    <row r="1307" ht="15" customHeight="1" s="162">
      <c r="A1307" s="7" t="n">
        <v>1306</v>
      </c>
      <c r="B1307" t="inlineStr">
        <is>
          <t>3140390474100</t>
        </is>
      </c>
      <c r="C1307" t="inlineStr">
        <is>
          <t>LENS PROYECTOR GRANDE 1.20-1.60:1 WQ</t>
        </is>
      </c>
      <c r="D1307" t="inlineStr">
        <is>
          <t>1800113115</t>
        </is>
      </c>
      <c r="E1307" t="inlineStr">
        <is>
          <t>20</t>
        </is>
      </c>
      <c r="F1307" s="163" t="n">
        <v>45562</v>
      </c>
      <c r="G1307" t="inlineStr"/>
      <c r="H1307" t="inlineStr">
        <is>
          <t>4200579103</t>
        </is>
      </c>
      <c r="I1307" t="inlineStr">
        <is>
          <t>20</t>
        </is>
      </c>
      <c r="J1307" s="163" t="n">
        <v>45565</v>
      </c>
      <c r="K1307" s="163" t="n">
        <v>45567</v>
      </c>
      <c r="L1307" t="inlineStr"/>
      <c r="M1307" s="163" t="n">
        <v>45624</v>
      </c>
      <c r="N1307" s="164" t="n">
        <v>40</v>
      </c>
      <c r="O1307" s="164" t="n">
        <v>8</v>
      </c>
      <c r="P1307" t="inlineStr">
        <is>
          <t>Liberado</t>
        </is>
      </c>
      <c r="Q1307" s="165" t="n">
        <v>1</v>
      </c>
      <c r="R1307" s="165" t="n">
        <v>1</v>
      </c>
      <c r="S1307" s="165" t="n">
        <v>1</v>
      </c>
      <c r="T1307" s="165" t="n">
        <v>0</v>
      </c>
      <c r="U1307" s="166" t="n">
        <v>1</v>
      </c>
      <c r="V1307" s="166" t="n">
        <v>0</v>
      </c>
      <c r="W1307" t="inlineStr">
        <is>
          <t>X</t>
        </is>
      </c>
      <c r="X1307" t="inlineStr">
        <is>
          <t>0.00</t>
        </is>
      </c>
      <c r="Y1307" t="inlineStr"/>
      <c r="Z1307" t="inlineStr">
        <is>
          <t>NORXE AS</t>
        </is>
      </c>
      <c r="AA1307" t="inlineStr">
        <is>
          <t>NORXE</t>
        </is>
      </c>
      <c r="AB1307" t="inlineStr">
        <is>
          <t>N2</t>
        </is>
      </c>
      <c r="AC1307" t="inlineStr"/>
      <c r="AD1307" s="164" t="n">
        <v>0</v>
      </c>
      <c r="AE1307" s="185" t="n">
        <v>0</v>
      </c>
      <c r="AG1307" s="167" t="inlineStr">
        <is>
          <t>7218|JA2578_1001</t>
        </is>
      </c>
      <c r="AH1307" s="47">
        <f>IF(M1307=0,"-",M1307-J1307)</f>
        <v/>
      </c>
      <c r="AI1307" s="46">
        <f>IF(AND(S1307=0,M1307&gt;0,L1307=0),IF(AH1307&gt;=120,"VERY HIGH",IF(AH1307&gt;=90,"HIGH",IF(AH1307&gt;=60,"MEDIUM",IF(AH1307&lt;60,"LOW")))),"-")</f>
        <v/>
      </c>
      <c r="AJ1307" s="12" t="n"/>
      <c r="AK1307" s="53">
        <f>IF(AND(W1307="X",M1307&lt;=$AJ$2),"YES","")</f>
        <v/>
      </c>
      <c r="AL1307" s="54">
        <f>IF(AND(W1307="X",M1307&lt;=$AJ$2),S1307,"")</f>
        <v/>
      </c>
      <c r="AM1307" s="35" t="n"/>
      <c r="AN1307" s="35">
        <f>IF(AND(W1307="X",M1307&gt;$AJ$2),S1307,"")</f>
        <v/>
      </c>
      <c r="AO1307" s="35">
        <f>IF(AND(W1307="",M1307&gt;0,$AJ$2&gt;M1307,L1307=""),1,0)</f>
        <v/>
      </c>
      <c r="AP1307" s="35">
        <f>IF(AND(AK1307="YES",W1307="X"),"X","")</f>
        <v/>
      </c>
      <c r="AQ1307" s="55">
        <f>IF(AP1307="X",100%,0%)</f>
        <v/>
      </c>
      <c r="AR1307" s="25">
        <f>IF(AND(T1307&gt;0,L1307=""),H1307,"")</f>
        <v/>
      </c>
      <c r="AS1307" s="25">
        <f>IF(AND(D1307&gt;0,H1307=0,G1307=""),1,"")</f>
        <v/>
      </c>
      <c r="AT1307" s="25">
        <f>IF(G1307="BLOQ",1,"")</f>
        <v/>
      </c>
      <c r="AU1307" s="25">
        <f>IF(L1307="BLOQ",1,"")</f>
        <v/>
      </c>
      <c r="AV1307" s="25">
        <f>MONTH(F1307)</f>
        <v/>
      </c>
      <c r="AW1307" s="65">
        <f>IF(AP1307="",100%,0%)</f>
        <v/>
      </c>
      <c r="AX1307" s="56" t="n"/>
      <c r="AY1307" s="24">
        <f>IF(M1307=0,"",M1307-$AX$2)</f>
        <v/>
      </c>
      <c r="AZ1307" s="66">
        <f>IF(AND(W1307="",AY1307&gt;0,AY1307&lt;15),1,0)</f>
        <v/>
      </c>
      <c r="BA1307" s="24">
        <f>IF(AND(W1307="",AY1307&gt;0,AY1307&lt;15),T1307,"")</f>
        <v/>
      </c>
      <c r="BB1307" s="87">
        <f>IF(R1307&lt;Q1307,"X","")</f>
        <v/>
      </c>
      <c r="BC1307" s="191" t="inlineStr">
        <is>
          <t>SI</t>
        </is>
      </c>
      <c r="BD1307" s="191" t="inlineStr">
        <is>
          <t>SI</t>
        </is>
      </c>
    </row>
    <row r="1308" ht="15" customHeight="1" s="162">
      <c r="A1308" s="7" t="n">
        <v>1307</v>
      </c>
      <c r="B1308" t="inlineStr">
        <is>
          <t>1390701501301</t>
        </is>
      </c>
      <c r="C1308" t="inlineStr">
        <is>
          <t>SOPORTE ESPEJO</t>
        </is>
      </c>
      <c r="D1308" t="inlineStr">
        <is>
          <t>1800113121</t>
        </is>
      </c>
      <c r="E1308" t="inlineStr">
        <is>
          <t>10</t>
        </is>
      </c>
      <c r="F1308" s="163" t="n">
        <v>45564</v>
      </c>
      <c r="G1308" t="inlineStr">
        <is>
          <t>BORR</t>
        </is>
      </c>
      <c r="H1308" t="inlineStr">
        <is>
          <t>4600004111</t>
        </is>
      </c>
      <c r="I1308" t="inlineStr">
        <is>
          <t>10</t>
        </is>
      </c>
      <c r="J1308" s="163" t="n">
        <v>45574</v>
      </c>
      <c r="K1308" s="163" t="inlineStr"/>
      <c r="L1308" t="inlineStr">
        <is>
          <t>BORR</t>
        </is>
      </c>
      <c r="M1308" s="163" t="n">
        <v>45606</v>
      </c>
      <c r="N1308" s="164" t="n">
        <v>40</v>
      </c>
      <c r="O1308" s="164" t="n">
        <v>8</v>
      </c>
      <c r="P1308" t="inlineStr"/>
      <c r="Q1308" s="165" t="n">
        <v>1</v>
      </c>
      <c r="R1308" s="165" t="n">
        <v>1</v>
      </c>
      <c r="S1308" s="165" t="n">
        <v>0</v>
      </c>
      <c r="T1308" s="165" t="n">
        <v>1</v>
      </c>
      <c r="U1308" s="166" t="n">
        <v>0</v>
      </c>
      <c r="V1308" s="166" t="n">
        <v>0</v>
      </c>
      <c r="W1308" t="inlineStr"/>
      <c r="X1308" t="inlineStr">
        <is>
          <t>60665.00</t>
        </is>
      </c>
      <c r="Y1308" t="inlineStr"/>
      <c r="Z1308" t="inlineStr">
        <is>
          <t>TALLERES XUQUER, SL</t>
        </is>
      </c>
      <c r="AA1308" t="inlineStr">
        <is>
          <t>XUQUER</t>
        </is>
      </c>
      <c r="AB1308" t="inlineStr">
        <is>
          <t>0712061000001</t>
        </is>
      </c>
      <c r="AC1308" t="inlineStr"/>
      <c r="AD1308" s="164" t="n">
        <v>0</v>
      </c>
      <c r="AE1308" s="185" t="n">
        <v>0</v>
      </c>
      <c r="AG1308" s="167" t="inlineStr">
        <is>
          <t>7218|JA2578_1001</t>
        </is>
      </c>
      <c r="AH1308" s="47">
        <f>IF(M1308=0,"-",M1308-J1308)</f>
        <v/>
      </c>
      <c r="AI1308" s="46">
        <f>IF(AND(S1308=0,M1308&gt;0,L1308=0),IF(AH1308&gt;=120,"VERY HIGH",IF(AH1308&gt;=90,"HIGH",IF(AH1308&gt;=60,"MEDIUM",IF(AH1308&lt;60,"LOW")))),"-")</f>
        <v/>
      </c>
      <c r="AJ1308" s="12" t="n"/>
      <c r="AK1308" s="53">
        <f>IF(AND(W1308="X",M1308&lt;=$AJ$2),"YES","")</f>
        <v/>
      </c>
      <c r="AL1308" s="54">
        <f>IF(AND(W1308="X",M1308&lt;=$AJ$2),S1308,"")</f>
        <v/>
      </c>
      <c r="AM1308" s="35" t="n"/>
      <c r="AN1308" s="35">
        <f>IF(AND(W1308="X",M1308&gt;$AJ$2),S1308,"")</f>
        <v/>
      </c>
      <c r="AO1308" s="35">
        <f>IF(AND(W1308="",M1308&gt;0,$AJ$2&gt;M1308,L1308=""),1,0)</f>
        <v/>
      </c>
      <c r="AP1308" s="35">
        <f>IF(AND(AK1308="YES",W1308="X"),"X","")</f>
        <v/>
      </c>
      <c r="AQ1308" s="55">
        <f>IF(AP1308="X",100%,0%)</f>
        <v/>
      </c>
      <c r="AR1308" s="25">
        <f>IF(AND(T1308&gt;0,L1308=""),H1308,"")</f>
        <v/>
      </c>
      <c r="AS1308" s="25">
        <f>IF(AND(D1308&gt;0,H1308=0,G1308=""),1,"")</f>
        <v/>
      </c>
      <c r="AT1308" s="25">
        <f>IF(G1308="BLOQ",1,"")</f>
        <v/>
      </c>
      <c r="AU1308" s="25">
        <f>IF(L1308="BLOQ",1,"")</f>
        <v/>
      </c>
      <c r="AV1308" s="25">
        <f>MONTH(F1308)</f>
        <v/>
      </c>
      <c r="AW1308" s="65">
        <f>IF(AP1308="",100%,0%)</f>
        <v/>
      </c>
      <c r="AX1308" s="56" t="n"/>
      <c r="AY1308" s="24">
        <f>IF(M1308=0,"",M1308-$AX$2)</f>
        <v/>
      </c>
      <c r="AZ1308" s="66">
        <f>IF(AND(W1308="",AY1308&gt;0,AY1308&lt;15),1,0)</f>
        <v/>
      </c>
      <c r="BA1308" s="24">
        <f>IF(AND(W1308="",AY1308&gt;0,AY1308&lt;15),T1308,"")</f>
        <v/>
      </c>
      <c r="BB1308" s="87">
        <f>IF(R1308&lt;Q1308,"X","")</f>
        <v/>
      </c>
      <c r="BC1308" s="190" t="inlineStr">
        <is>
          <t>NO</t>
        </is>
      </c>
      <c r="BD1308" s="191" t="inlineStr">
        <is>
          <t>SI</t>
        </is>
      </c>
    </row>
    <row r="1309" ht="15" customHeight="1" s="162">
      <c r="A1309" s="7" t="n">
        <v>1308</v>
      </c>
      <c r="B1309" t="inlineStr">
        <is>
          <t>1390701501302</t>
        </is>
      </c>
      <c r="C1309" t="inlineStr">
        <is>
          <t>CIERRE SUPERIOR</t>
        </is>
      </c>
      <c r="D1309" t="inlineStr">
        <is>
          <t>1800113121</t>
        </is>
      </c>
      <c r="E1309" t="inlineStr">
        <is>
          <t>20</t>
        </is>
      </c>
      <c r="F1309" s="163" t="n">
        <v>45564</v>
      </c>
      <c r="G1309" t="inlineStr">
        <is>
          <t>BORR</t>
        </is>
      </c>
      <c r="H1309" t="inlineStr">
        <is>
          <t>4600004111</t>
        </is>
      </c>
      <c r="I1309" t="inlineStr">
        <is>
          <t>20</t>
        </is>
      </c>
      <c r="J1309" s="163" t="n">
        <v>45574</v>
      </c>
      <c r="K1309" s="163" t="inlineStr"/>
      <c r="L1309" t="inlineStr">
        <is>
          <t>BORR</t>
        </is>
      </c>
      <c r="M1309" s="163" t="n">
        <v>45606</v>
      </c>
      <c r="N1309" s="164" t="n">
        <v>40</v>
      </c>
      <c r="O1309" s="164" t="n">
        <v>8</v>
      </c>
      <c r="P1309" t="inlineStr"/>
      <c r="Q1309" s="165" t="n">
        <v>1</v>
      </c>
      <c r="R1309" s="165" t="n">
        <v>1</v>
      </c>
      <c r="S1309" s="165" t="n">
        <v>0</v>
      </c>
      <c r="T1309" s="165" t="n">
        <v>1</v>
      </c>
      <c r="U1309" s="166" t="n">
        <v>0</v>
      </c>
      <c r="V1309" s="166" t="n">
        <v>0</v>
      </c>
      <c r="W1309" t="inlineStr"/>
      <c r="X1309" t="inlineStr">
        <is>
          <t>16655.00</t>
        </is>
      </c>
      <c r="Y1309" t="inlineStr"/>
      <c r="Z1309" t="inlineStr">
        <is>
          <t>TALLERES XUQUER, SL</t>
        </is>
      </c>
      <c r="AA1309" t="inlineStr">
        <is>
          <t>XUQUER</t>
        </is>
      </c>
      <c r="AB1309" t="inlineStr">
        <is>
          <t>0918686422200</t>
        </is>
      </c>
      <c r="AC1309" t="inlineStr"/>
      <c r="AD1309" s="164" t="n">
        <v>0</v>
      </c>
      <c r="AE1309" s="185" t="n">
        <v>0</v>
      </c>
      <c r="AG1309" s="167" t="inlineStr">
        <is>
          <t>7218|JA2578_1001</t>
        </is>
      </c>
      <c r="AH1309" s="47">
        <f>IF(M1309=0,"-",M1309-J1309)</f>
        <v/>
      </c>
      <c r="AI1309" s="46">
        <f>IF(AND(S1309=0,M1309&gt;0,L1309=0),IF(AH1309&gt;=120,"VERY HIGH",IF(AH1309&gt;=90,"HIGH",IF(AH1309&gt;=60,"MEDIUM",IF(AH1309&lt;60,"LOW")))),"-")</f>
        <v/>
      </c>
      <c r="AJ1309" s="12" t="n"/>
      <c r="AK1309" s="53">
        <f>IF(AND(W1309="X",M1309&lt;=$AJ$2),"YES","")</f>
        <v/>
      </c>
      <c r="AL1309" s="54">
        <f>IF(AND(W1309="X",M1309&lt;=$AJ$2),S1309,"")</f>
        <v/>
      </c>
      <c r="AM1309" s="35" t="n"/>
      <c r="AN1309" s="35">
        <f>IF(AND(W1309="X",M1309&gt;$AJ$2),S1309,"")</f>
        <v/>
      </c>
      <c r="AO1309" s="35">
        <f>IF(AND(W1309="",M1309&gt;0,$AJ$2&gt;M1309,L1309=""),1,0)</f>
        <v/>
      </c>
      <c r="AP1309" s="35">
        <f>IF(AND(AK1309="YES",W1309="X"),"X","")</f>
        <v/>
      </c>
      <c r="AQ1309" s="55">
        <f>IF(AP1309="X",100%,0%)</f>
        <v/>
      </c>
      <c r="AR1309" s="25">
        <f>IF(AND(T1309&gt;0,L1309=""),H1309,"")</f>
        <v/>
      </c>
      <c r="AS1309" s="25">
        <f>IF(AND(D1309&gt;0,H1309=0,G1309=""),1,"")</f>
        <v/>
      </c>
      <c r="AT1309" s="25">
        <f>IF(G1309="BLOQ",1,"")</f>
        <v/>
      </c>
      <c r="AU1309" s="25">
        <f>IF(L1309="BLOQ",1,"")</f>
        <v/>
      </c>
      <c r="AV1309" s="25">
        <f>MONTH(F1309)</f>
        <v/>
      </c>
      <c r="AW1309" s="65">
        <f>IF(AP1309="",100%,0%)</f>
        <v/>
      </c>
      <c r="AX1309" s="56" t="n"/>
      <c r="AY1309" s="24">
        <f>IF(M1309=0,"",M1309-$AX$2)</f>
        <v/>
      </c>
      <c r="AZ1309" s="66">
        <f>IF(AND(W1309="",AY1309&gt;0,AY1309&lt;15),1,0)</f>
        <v/>
      </c>
      <c r="BA1309" s="24">
        <f>IF(AND(W1309="",AY1309&gt;0,AY1309&lt;15),T1309,"")</f>
        <v/>
      </c>
      <c r="BB1309" s="87">
        <f>IF(R1309&lt;Q1309,"X","")</f>
        <v/>
      </c>
      <c r="BC1309" s="190" t="inlineStr">
        <is>
          <t>NO</t>
        </is>
      </c>
      <c r="BD1309" s="191" t="inlineStr">
        <is>
          <t>SI</t>
        </is>
      </c>
    </row>
    <row r="1310" ht="15" customHeight="1" s="162">
      <c r="A1310" s="7" t="n">
        <v>1309</v>
      </c>
      <c r="B1310" t="inlineStr">
        <is>
          <t>1390701501304</t>
        </is>
      </c>
      <c r="C1310" t="inlineStr">
        <is>
          <t>CIERRE POSTERIOR SUPERIOR+ANILLO ADAPT</t>
        </is>
      </c>
      <c r="D1310" t="inlineStr">
        <is>
          <t>1800113121</t>
        </is>
      </c>
      <c r="E1310" t="inlineStr">
        <is>
          <t>40</t>
        </is>
      </c>
      <c r="F1310" s="163" t="n">
        <v>45564</v>
      </c>
      <c r="G1310" t="inlineStr">
        <is>
          <t>BORR</t>
        </is>
      </c>
      <c r="H1310" t="inlineStr">
        <is>
          <t>4600004111</t>
        </is>
      </c>
      <c r="I1310" t="inlineStr">
        <is>
          <t>30</t>
        </is>
      </c>
      <c r="J1310" s="163" t="n">
        <v>45574</v>
      </c>
      <c r="K1310" s="163" t="inlineStr"/>
      <c r="L1310" t="inlineStr">
        <is>
          <t>BORR</t>
        </is>
      </c>
      <c r="M1310" s="163" t="n">
        <v>45606</v>
      </c>
      <c r="N1310" s="164" t="n">
        <v>40</v>
      </c>
      <c r="O1310" s="164" t="n">
        <v>8</v>
      </c>
      <c r="P1310" t="inlineStr"/>
      <c r="Q1310" s="165" t="n">
        <v>1</v>
      </c>
      <c r="R1310" s="165" t="n">
        <v>1</v>
      </c>
      <c r="S1310" s="165" t="n">
        <v>0</v>
      </c>
      <c r="T1310" s="165" t="n">
        <v>1</v>
      </c>
      <c r="U1310" s="166" t="n">
        <v>0</v>
      </c>
      <c r="V1310" s="166" t="n">
        <v>0</v>
      </c>
      <c r="W1310" t="inlineStr"/>
      <c r="X1310" t="inlineStr">
        <is>
          <t>11802.00</t>
        </is>
      </c>
      <c r="Y1310" t="inlineStr"/>
      <c r="Z1310" t="inlineStr">
        <is>
          <t>TALLERES XUQUER, SL</t>
        </is>
      </c>
      <c r="AA1310" t="inlineStr">
        <is>
          <t>XUQUER</t>
        </is>
      </c>
      <c r="AB1310" t="inlineStr">
        <is>
          <t>0913385042700</t>
        </is>
      </c>
      <c r="AC1310" t="inlineStr"/>
      <c r="AD1310" s="164" t="n">
        <v>0</v>
      </c>
      <c r="AE1310" s="185" t="n">
        <v>0</v>
      </c>
      <c r="AG1310" s="167" t="inlineStr">
        <is>
          <t>7218|JA2578_1001</t>
        </is>
      </c>
      <c r="AH1310" s="47">
        <f>IF(M1310=0,"-",M1310-J1310)</f>
        <v/>
      </c>
      <c r="AI1310" s="46">
        <f>IF(AND(S1310=0,M1310&gt;0,L1310=0),IF(AH1310&gt;=120,"VERY HIGH",IF(AH1310&gt;=90,"HIGH",IF(AH1310&gt;=60,"MEDIUM",IF(AH1310&lt;60,"LOW")))),"-")</f>
        <v/>
      </c>
      <c r="AJ1310" s="12" t="n"/>
      <c r="AK1310" s="53">
        <f>IF(AND(W1310="X",M1310&lt;=$AJ$2),"YES","")</f>
        <v/>
      </c>
      <c r="AL1310" s="54">
        <f>IF(AND(W1310="X",M1310&lt;=$AJ$2),S1310,"")</f>
        <v/>
      </c>
      <c r="AM1310" s="35" t="n"/>
      <c r="AN1310" s="35">
        <f>IF(AND(W1310="X",M1310&gt;$AJ$2),S1310,"")</f>
        <v/>
      </c>
      <c r="AO1310" s="35">
        <f>IF(AND(W1310="",M1310&gt;0,$AJ$2&gt;M1310,L1310=""),1,0)</f>
        <v/>
      </c>
      <c r="AP1310" s="35">
        <f>IF(AND(AK1310="YES",W1310="X"),"X","")</f>
        <v/>
      </c>
      <c r="AQ1310" s="55">
        <f>IF(AP1310="X",100%,0%)</f>
        <v/>
      </c>
      <c r="AR1310" s="25">
        <f>IF(AND(T1310&gt;0,L1310=""),H1310,"")</f>
        <v/>
      </c>
      <c r="AS1310" s="25">
        <f>IF(AND(D1310&gt;0,H1310=0,G1310=""),1,"")</f>
        <v/>
      </c>
      <c r="AT1310" s="25">
        <f>IF(G1310="BLOQ",1,"")</f>
        <v/>
      </c>
      <c r="AU1310" s="25">
        <f>IF(L1310="BLOQ",1,"")</f>
        <v/>
      </c>
      <c r="AV1310" s="25">
        <f>MONTH(F1310)</f>
        <v/>
      </c>
      <c r="AW1310" s="65">
        <f>IF(AP1310="",100%,0%)</f>
        <v/>
      </c>
      <c r="AX1310" s="56" t="n"/>
      <c r="AY1310" s="24">
        <f>IF(M1310=0,"",M1310-$AX$2)</f>
        <v/>
      </c>
      <c r="AZ1310" s="66">
        <f>IF(AND(W1310="",AY1310&gt;0,AY1310&lt;15),1,0)</f>
        <v/>
      </c>
      <c r="BA1310" s="24">
        <f>IF(AND(W1310="",AY1310&gt;0,AY1310&lt;15),T1310,"")</f>
        <v/>
      </c>
      <c r="BB1310" s="87">
        <f>IF(R1310&lt;Q1310,"X","")</f>
        <v/>
      </c>
      <c r="BC1310" s="190" t="inlineStr">
        <is>
          <t>NO</t>
        </is>
      </c>
      <c r="BD1310" s="191" t="inlineStr">
        <is>
          <t>SI</t>
        </is>
      </c>
    </row>
    <row r="1311" ht="15" customHeight="1" s="162">
      <c r="A1311" s="7" t="n">
        <v>1310</v>
      </c>
      <c r="B1311" t="inlineStr">
        <is>
          <t>1390701501306</t>
        </is>
      </c>
      <c r="C1311" t="inlineStr">
        <is>
          <t>PANEL POSTERIOR</t>
        </is>
      </c>
      <c r="D1311" t="inlineStr">
        <is>
          <t>1800113121</t>
        </is>
      </c>
      <c r="E1311" t="inlineStr">
        <is>
          <t>60</t>
        </is>
      </c>
      <c r="F1311" s="163" t="n">
        <v>45564</v>
      </c>
      <c r="G1311" t="inlineStr">
        <is>
          <t>BORR</t>
        </is>
      </c>
      <c r="H1311" t="inlineStr">
        <is>
          <t>4600004111</t>
        </is>
      </c>
      <c r="I1311" t="inlineStr">
        <is>
          <t>40</t>
        </is>
      </c>
      <c r="J1311" s="163" t="n">
        <v>45574</v>
      </c>
      <c r="K1311" s="163" t="inlineStr"/>
      <c r="L1311" t="inlineStr">
        <is>
          <t>BORR</t>
        </is>
      </c>
      <c r="M1311" s="163" t="n">
        <v>45606</v>
      </c>
      <c r="N1311" s="164" t="n">
        <v>40</v>
      </c>
      <c r="O1311" s="164" t="n">
        <v>8</v>
      </c>
      <c r="P1311" t="inlineStr"/>
      <c r="Q1311" s="165" t="n">
        <v>1</v>
      </c>
      <c r="R1311" s="165" t="n">
        <v>1</v>
      </c>
      <c r="S1311" s="165" t="n">
        <v>0</v>
      </c>
      <c r="T1311" s="165" t="n">
        <v>1</v>
      </c>
      <c r="U1311" s="166" t="n">
        <v>0</v>
      </c>
      <c r="V1311" s="166" t="n">
        <v>0</v>
      </c>
      <c r="W1311" t="inlineStr"/>
      <c r="X1311" t="inlineStr">
        <is>
          <t>19854.00</t>
        </is>
      </c>
      <c r="Y1311" t="inlineStr"/>
      <c r="Z1311" t="inlineStr">
        <is>
          <t>TALLERES XUQUER, SL</t>
        </is>
      </c>
      <c r="AA1311" t="inlineStr">
        <is>
          <t>XUQUER</t>
        </is>
      </c>
      <c r="AB1311" t="inlineStr">
        <is>
          <t>0712062000001</t>
        </is>
      </c>
      <c r="AC1311" t="inlineStr"/>
      <c r="AD1311" s="164" t="n">
        <v>0</v>
      </c>
      <c r="AE1311" s="185" t="n">
        <v>0</v>
      </c>
      <c r="AG1311" s="167" t="inlineStr">
        <is>
          <t>7218|JA2578_1001</t>
        </is>
      </c>
      <c r="AH1311" s="47">
        <f>IF(M1311=0,"-",M1311-J1311)</f>
        <v/>
      </c>
      <c r="AI1311" s="46">
        <f>IF(AND(S1311=0,M1311&gt;0,L1311=0),IF(AH1311&gt;=120,"VERY HIGH",IF(AH1311&gt;=90,"HIGH",IF(AH1311&gt;=60,"MEDIUM",IF(AH1311&lt;60,"LOW")))),"-")</f>
        <v/>
      </c>
      <c r="AJ1311" s="12" t="n"/>
      <c r="AK1311" s="53">
        <f>IF(AND(W1311="X",M1311&lt;=$AJ$2),"YES","")</f>
        <v/>
      </c>
      <c r="AL1311" s="54">
        <f>IF(AND(W1311="X",M1311&lt;=$AJ$2),S1311,"")</f>
        <v/>
      </c>
      <c r="AM1311" s="35" t="n"/>
      <c r="AN1311" s="35">
        <f>IF(AND(W1311="X",M1311&gt;$AJ$2),S1311,"")</f>
        <v/>
      </c>
      <c r="AO1311" s="35">
        <f>IF(AND(W1311="",M1311&gt;0,$AJ$2&gt;M1311,L1311=""),1,0)</f>
        <v/>
      </c>
      <c r="AP1311" s="35">
        <f>IF(AND(AK1311="YES",W1311="X"),"X","")</f>
        <v/>
      </c>
      <c r="AQ1311" s="55">
        <f>IF(AP1311="X",100%,0%)</f>
        <v/>
      </c>
      <c r="AR1311" s="25">
        <f>IF(AND(T1311&gt;0,L1311=""),H1311,"")</f>
        <v/>
      </c>
      <c r="AS1311" s="25">
        <f>IF(AND(D1311&gt;0,H1311=0,G1311=""),1,"")</f>
        <v/>
      </c>
      <c r="AT1311" s="25">
        <f>IF(G1311="BLOQ",1,"")</f>
        <v/>
      </c>
      <c r="AU1311" s="25">
        <f>IF(L1311="BLOQ",1,"")</f>
        <v/>
      </c>
      <c r="AV1311" s="25">
        <f>MONTH(F1311)</f>
        <v/>
      </c>
      <c r="AW1311" s="65">
        <f>IF(AP1311="",100%,0%)</f>
        <v/>
      </c>
      <c r="AX1311" s="56" t="n"/>
      <c r="AY1311" s="24">
        <f>IF(M1311=0,"",M1311-$AX$2)</f>
        <v/>
      </c>
      <c r="AZ1311" s="66">
        <f>IF(AND(W1311="",AY1311&gt;0,AY1311&lt;15),1,0)</f>
        <v/>
      </c>
      <c r="BA1311" s="24">
        <f>IF(AND(W1311="",AY1311&gt;0,AY1311&lt;15),T1311,"")</f>
        <v/>
      </c>
      <c r="BB1311" s="87">
        <f>IF(R1311&lt;Q1311,"X","")</f>
        <v/>
      </c>
      <c r="BC1311" s="190" t="inlineStr">
        <is>
          <t>NO</t>
        </is>
      </c>
      <c r="BD1311" s="191" t="inlineStr">
        <is>
          <t>SI</t>
        </is>
      </c>
    </row>
    <row r="1312" ht="15" customHeight="1" s="162">
      <c r="A1312" s="7" t="n">
        <v>1311</v>
      </c>
      <c r="B1312" t="inlineStr">
        <is>
          <t>1390701501308</t>
        </is>
      </c>
      <c r="C1312" t="inlineStr">
        <is>
          <t>BPS MATIZADA</t>
        </is>
      </c>
      <c r="D1312" t="inlineStr">
        <is>
          <t>1800113121</t>
        </is>
      </c>
      <c r="E1312" t="inlineStr">
        <is>
          <t>80</t>
        </is>
      </c>
      <c r="F1312" s="163" t="n">
        <v>45564</v>
      </c>
      <c r="G1312" t="inlineStr">
        <is>
          <t>BORR</t>
        </is>
      </c>
      <c r="H1312" t="inlineStr">
        <is>
          <t>4600004111</t>
        </is>
      </c>
      <c r="I1312" t="inlineStr">
        <is>
          <t>50</t>
        </is>
      </c>
      <c r="J1312" s="163" t="n">
        <v>45574</v>
      </c>
      <c r="K1312" s="163" t="inlineStr"/>
      <c r="L1312" t="inlineStr">
        <is>
          <t>BORR</t>
        </is>
      </c>
      <c r="M1312" s="163" t="n">
        <v>45606</v>
      </c>
      <c r="N1312" s="164" t="n">
        <v>40</v>
      </c>
      <c r="O1312" s="164" t="n">
        <v>8</v>
      </c>
      <c r="P1312" t="inlineStr"/>
      <c r="Q1312" s="165" t="n">
        <v>1</v>
      </c>
      <c r="R1312" s="165" t="n">
        <v>1</v>
      </c>
      <c r="S1312" s="165" t="n">
        <v>0</v>
      </c>
      <c r="T1312" s="165" t="n">
        <v>1</v>
      </c>
      <c r="U1312" s="166" t="n">
        <v>0</v>
      </c>
      <c r="V1312" s="166" t="n">
        <v>0</v>
      </c>
      <c r="W1312" t="inlineStr"/>
      <c r="X1312" t="inlineStr">
        <is>
          <t>38605.00</t>
        </is>
      </c>
      <c r="Y1312" t="inlineStr"/>
      <c r="Z1312" t="inlineStr">
        <is>
          <t>TALLERES XUQUER, SL</t>
        </is>
      </c>
      <c r="AA1312" t="inlineStr">
        <is>
          <t>XUQUER</t>
        </is>
      </c>
      <c r="AB1312" t="inlineStr">
        <is>
          <t>0712064000001</t>
        </is>
      </c>
      <c r="AC1312" t="inlineStr"/>
      <c r="AD1312" s="164" t="n">
        <v>0</v>
      </c>
      <c r="AE1312" s="185" t="n">
        <v>0</v>
      </c>
      <c r="AG1312" s="167" t="inlineStr">
        <is>
          <t>7218|JA2578_1001</t>
        </is>
      </c>
      <c r="AH1312" s="47">
        <f>IF(M1312=0,"-",M1312-J1312)</f>
        <v/>
      </c>
      <c r="AI1312" s="46">
        <f>IF(AND(S1312=0,M1312&gt;0,L1312=0),IF(AH1312&gt;=120,"VERY HIGH",IF(AH1312&gt;=90,"HIGH",IF(AH1312&gt;=60,"MEDIUM",IF(AH1312&lt;60,"LOW")))),"-")</f>
        <v/>
      </c>
      <c r="AJ1312" s="12" t="n"/>
      <c r="AK1312" s="53">
        <f>IF(AND(W1312="X",M1312&lt;=$AJ$2),"YES","")</f>
        <v/>
      </c>
      <c r="AL1312" s="54">
        <f>IF(AND(W1312="X",M1312&lt;=$AJ$2),S1312,"")</f>
        <v/>
      </c>
      <c r="AM1312" s="35" t="n"/>
      <c r="AN1312" s="35">
        <f>IF(AND(W1312="X",M1312&gt;$AJ$2),S1312,"")</f>
        <v/>
      </c>
      <c r="AO1312" s="35">
        <f>IF(AND(W1312="",M1312&gt;0,$AJ$2&gt;M1312,L1312=""),1,0)</f>
        <v/>
      </c>
      <c r="AP1312" s="35">
        <f>IF(AND(AK1312="YES",W1312="X"),"X","")</f>
        <v/>
      </c>
      <c r="AQ1312" s="55">
        <f>IF(AP1312="X",100%,0%)</f>
        <v/>
      </c>
      <c r="AR1312" s="25">
        <f>IF(AND(T1312&gt;0,L1312=""),H1312,"")</f>
        <v/>
      </c>
      <c r="AS1312" s="25">
        <f>IF(AND(D1312&gt;0,H1312=0,G1312=""),1,"")</f>
        <v/>
      </c>
      <c r="AT1312" s="25">
        <f>IF(G1312="BLOQ",1,"")</f>
        <v/>
      </c>
      <c r="AU1312" s="25">
        <f>IF(L1312="BLOQ",1,"")</f>
        <v/>
      </c>
      <c r="AV1312" s="25">
        <f>MONTH(F1312)</f>
        <v/>
      </c>
      <c r="AW1312" s="65">
        <f>IF(AP1312="",100%,0%)</f>
        <v/>
      </c>
      <c r="AX1312" s="56" t="n"/>
      <c r="AY1312" s="24">
        <f>IF(M1312=0,"",M1312-$AX$2)</f>
        <v/>
      </c>
      <c r="AZ1312" s="66">
        <f>IF(AND(W1312="",AY1312&gt;0,AY1312&lt;15),1,0)</f>
        <v/>
      </c>
      <c r="BA1312" s="24">
        <f>IF(AND(W1312="",AY1312&gt;0,AY1312&lt;15),T1312,"")</f>
        <v/>
      </c>
      <c r="BB1312" s="87">
        <f>IF(R1312&lt;Q1312,"X","")</f>
        <v/>
      </c>
      <c r="BC1312" s="190" t="inlineStr">
        <is>
          <t>NO</t>
        </is>
      </c>
      <c r="BD1312" s="191" t="inlineStr">
        <is>
          <t>SI</t>
        </is>
      </c>
    </row>
    <row r="1313" ht="15" customHeight="1" s="162">
      <c r="A1313" s="7" t="n">
        <v>1312</v>
      </c>
      <c r="B1313" t="inlineStr">
        <is>
          <t>1250100210600</t>
        </is>
      </c>
      <c r="C1313" t="inlineStr">
        <is>
          <t>ALTAVOZ COMPACT 67HZ-22KHZ 99DB SPL</t>
        </is>
      </c>
      <c r="D1313" t="inlineStr">
        <is>
          <t>1800113122</t>
        </is>
      </c>
      <c r="E1313" t="inlineStr">
        <is>
          <t>10</t>
        </is>
      </c>
      <c r="F1313" s="163" t="n">
        <v>45564</v>
      </c>
      <c r="G1313" t="inlineStr"/>
      <c r="H1313" t="inlineStr">
        <is>
          <t>4200580209</t>
        </is>
      </c>
      <c r="I1313" t="inlineStr">
        <is>
          <t>10</t>
        </is>
      </c>
      <c r="J1313" s="163" t="n">
        <v>45572</v>
      </c>
      <c r="K1313" s="163" t="n">
        <v>45572</v>
      </c>
      <c r="L1313" t="inlineStr"/>
      <c r="M1313" s="163" t="n">
        <v>45611</v>
      </c>
      <c r="N1313" s="164" t="n">
        <v>40</v>
      </c>
      <c r="O1313" s="164" t="n">
        <v>8</v>
      </c>
      <c r="P1313" t="inlineStr">
        <is>
          <t>Liberado</t>
        </is>
      </c>
      <c r="Q1313" s="165" t="n">
        <v>2</v>
      </c>
      <c r="R1313" s="165" t="n">
        <v>2</v>
      </c>
      <c r="S1313" s="165" t="n">
        <v>2</v>
      </c>
      <c r="T1313" s="165" t="n">
        <v>0</v>
      </c>
      <c r="U1313" s="166" t="n">
        <v>2</v>
      </c>
      <c r="V1313" s="166" t="n">
        <v>0</v>
      </c>
      <c r="W1313" t="inlineStr">
        <is>
          <t>X</t>
        </is>
      </c>
      <c r="X1313" t="inlineStr">
        <is>
          <t>0.00</t>
        </is>
      </c>
      <c r="Y1313" t="inlineStr"/>
      <c r="Z1313" t="inlineStr">
        <is>
          <t>KASILH TELECOM, SL</t>
        </is>
      </c>
      <c r="AA1313" t="inlineStr">
        <is>
          <t>YAMAHA</t>
        </is>
      </c>
      <c r="AB1313" t="inlineStr">
        <is>
          <t>MSP3A</t>
        </is>
      </c>
      <c r="AC1313" t="inlineStr"/>
      <c r="AD1313" s="164" t="n">
        <v>1</v>
      </c>
      <c r="AE1313" s="185" t="n">
        <v>0</v>
      </c>
      <c r="AG1313" s="167" t="inlineStr">
        <is>
          <t>7218|JA2587_1001</t>
        </is>
      </c>
      <c r="AH1313" s="47">
        <f>IF(M1313=0,"-",M1313-J1313)</f>
        <v/>
      </c>
      <c r="AI1313" s="46">
        <f>IF(AND(S1313=0,M1313&gt;0,L1313=0),IF(AH1313&gt;=120,"VERY HIGH",IF(AH1313&gt;=90,"HIGH",IF(AH1313&gt;=60,"MEDIUM",IF(AH1313&lt;60,"LOW")))),"-")</f>
        <v/>
      </c>
      <c r="AJ1313" s="12" t="n"/>
      <c r="AK1313" s="53">
        <f>IF(AND(W1313="X",M1313&lt;=$AJ$2),"YES","")</f>
        <v/>
      </c>
      <c r="AL1313" s="54">
        <f>IF(AND(W1313="X",M1313&lt;=$AJ$2),S1313,"")</f>
        <v/>
      </c>
      <c r="AM1313" s="35" t="n"/>
      <c r="AN1313" s="35">
        <f>IF(AND(W1313="X",M1313&gt;$AJ$2),S1313,"")</f>
        <v/>
      </c>
      <c r="AO1313" s="35">
        <f>IF(AND(W1313="",M1313&gt;0,$AJ$2&gt;M1313,L1313=""),1,0)</f>
        <v/>
      </c>
      <c r="AP1313" s="35">
        <f>IF(AND(AK1313="YES",W1313="X"),"X","")</f>
        <v/>
      </c>
      <c r="AQ1313" s="55">
        <f>IF(AP1313="X",100%,0%)</f>
        <v/>
      </c>
      <c r="AR1313" s="25">
        <f>IF(AND(T1313&gt;0,L1313=""),H1313,"")</f>
        <v/>
      </c>
      <c r="AS1313" s="25">
        <f>IF(AND(D1313&gt;0,H1313=0,G1313=""),1,"")</f>
        <v/>
      </c>
      <c r="AT1313" s="25">
        <f>IF(G1313="BLOQ",1,"")</f>
        <v/>
      </c>
      <c r="AU1313" s="25">
        <f>IF(L1313="BLOQ",1,"")</f>
        <v/>
      </c>
      <c r="AV1313" s="25">
        <f>MONTH(F1313)</f>
        <v/>
      </c>
      <c r="AW1313" s="65">
        <f>IF(AP1313="",100%,0%)</f>
        <v/>
      </c>
      <c r="AX1313" s="56" t="n"/>
      <c r="AY1313" s="24">
        <f>IF(M1313=0,"",M1313-$AX$2)</f>
        <v/>
      </c>
      <c r="AZ1313" s="66">
        <f>IF(AND(W1313="",AY1313&gt;0,AY1313&lt;15),1,0)</f>
        <v/>
      </c>
      <c r="BA1313" s="24">
        <f>IF(AND(W1313="",AY1313&gt;0,AY1313&lt;15),T1313,"")</f>
        <v/>
      </c>
      <c r="BB1313" s="87">
        <f>IF(R1313&lt;Q1313,"X","")</f>
        <v/>
      </c>
      <c r="BC1313" s="191" t="inlineStr">
        <is>
          <t>SI</t>
        </is>
      </c>
      <c r="BD1313" s="191" t="inlineStr">
        <is>
          <t>SI</t>
        </is>
      </c>
    </row>
    <row r="1314" ht="15" customHeight="1" s="162">
      <c r="A1314" s="7" t="n">
        <v>1313</v>
      </c>
      <c r="B1314" t="inlineStr">
        <is>
          <t>1500811004001</t>
        </is>
      </c>
      <c r="C1314" t="inlineStr">
        <is>
          <t>TOR AV CRUC  M3X4   INOX DIN965/ISO7046</t>
        </is>
      </c>
      <c r="D1314" t="inlineStr">
        <is>
          <t>1800113158</t>
        </is>
      </c>
      <c r="E1314" t="inlineStr">
        <is>
          <t>10</t>
        </is>
      </c>
      <c r="F1314" s="163" t="n">
        <v>45565</v>
      </c>
      <c r="G1314" t="inlineStr"/>
      <c r="H1314" t="inlineStr">
        <is>
          <t>4200592618</t>
        </is>
      </c>
      <c r="I1314" t="inlineStr">
        <is>
          <t>20</t>
        </is>
      </c>
      <c r="J1314" s="163" t="n">
        <v>45667</v>
      </c>
      <c r="K1314" s="163" t="n">
        <v>45670</v>
      </c>
      <c r="L1314" t="inlineStr"/>
      <c r="M1314" s="163" t="n">
        <v>45678</v>
      </c>
      <c r="N1314" s="164" t="n">
        <v>60</v>
      </c>
      <c r="O1314" s="164" t="n">
        <v>8</v>
      </c>
      <c r="P1314" t="inlineStr">
        <is>
          <t>Liberado</t>
        </is>
      </c>
      <c r="Q1314" s="165" t="n">
        <v>400</v>
      </c>
      <c r="R1314" s="165" t="n">
        <v>400</v>
      </c>
      <c r="S1314" s="165" t="n">
        <v>400</v>
      </c>
      <c r="T1314" s="165" t="n">
        <v>0</v>
      </c>
      <c r="U1314" s="166" t="n">
        <v>400</v>
      </c>
      <c r="V1314" s="166" t="n">
        <v>0</v>
      </c>
      <c r="W1314" t="inlineStr">
        <is>
          <t>X</t>
        </is>
      </c>
      <c r="X1314" t="inlineStr">
        <is>
          <t>0.00</t>
        </is>
      </c>
      <c r="Y1314" t="inlineStr"/>
      <c r="Z1314" t="inlineStr">
        <is>
          <t>ABACO SUYTEC, S.A.U.</t>
        </is>
      </c>
      <c r="AA1314" t="inlineStr">
        <is>
          <t>DIN</t>
        </is>
      </c>
      <c r="AB1314" t="inlineStr">
        <is>
          <t>DIN965-M3X4-A2-70-H</t>
        </is>
      </c>
      <c r="AC1314" t="inlineStr"/>
      <c r="AD1314" s="164" t="n">
        <v>0</v>
      </c>
      <c r="AE1314" s="185" t="n">
        <v>0</v>
      </c>
      <c r="AG1314" s="167" t="inlineStr">
        <is>
          <t>7218|JA2583_1001</t>
        </is>
      </c>
      <c r="AH1314" s="47">
        <f>IF(M1314=0,"-",M1314-J1314)</f>
        <v/>
      </c>
      <c r="AI1314" s="46">
        <f>IF(AND(S1314=0,M1314&gt;0,L1314=0),IF(AH1314&gt;=120,"VERY HIGH",IF(AH1314&gt;=90,"HIGH",IF(AH1314&gt;=60,"MEDIUM",IF(AH1314&lt;60,"LOW")))),"-")</f>
        <v/>
      </c>
      <c r="AJ1314" s="12" t="n"/>
      <c r="AK1314" s="53">
        <f>IF(AND(W1314="X",M1314&lt;=$AJ$2),"YES","")</f>
        <v/>
      </c>
      <c r="AL1314" s="54">
        <f>IF(AND(W1314="X",M1314&lt;=$AJ$2),S1314,"")</f>
        <v/>
      </c>
      <c r="AM1314" s="35" t="n"/>
      <c r="AN1314" s="35">
        <f>IF(AND(W1314="X",M1314&gt;$AJ$2),S1314,"")</f>
        <v/>
      </c>
      <c r="AO1314" s="35">
        <f>IF(AND(W1314="",M1314&gt;0,$AJ$2&gt;M1314,L1314=""),1,0)</f>
        <v/>
      </c>
      <c r="AP1314" s="35">
        <f>IF(AND(AK1314="YES",W1314="X"),"X","")</f>
        <v/>
      </c>
      <c r="AQ1314" s="55">
        <f>IF(AP1314="X",100%,0%)</f>
        <v/>
      </c>
      <c r="AR1314" s="25">
        <f>IF(AND(T1314&gt;0,L1314=""),H1314,"")</f>
        <v/>
      </c>
      <c r="AS1314" s="25">
        <f>IF(AND(D1314&gt;0,H1314=0,G1314=""),1,"")</f>
        <v/>
      </c>
      <c r="AT1314" s="25">
        <f>IF(G1314="BLOQ",1,"")</f>
        <v/>
      </c>
      <c r="AU1314" s="25">
        <f>IF(L1314="BLOQ",1,"")</f>
        <v/>
      </c>
      <c r="AV1314" s="25">
        <f>MONTH(F1314)</f>
        <v/>
      </c>
      <c r="AW1314" s="65">
        <f>IF(AP1314="",100%,0%)</f>
        <v/>
      </c>
      <c r="AX1314" s="56" t="n"/>
      <c r="AY1314" s="24">
        <f>IF(M1314=0,"",M1314-$AX$2)</f>
        <v/>
      </c>
      <c r="AZ1314" s="66">
        <f>IF(AND(W1314="",AY1314&gt;0,AY1314&lt;15),1,0)</f>
        <v/>
      </c>
      <c r="BA1314" s="24">
        <f>IF(AND(W1314="",AY1314&gt;0,AY1314&lt;15),T1314,"")</f>
        <v/>
      </c>
      <c r="BB1314" s="87">
        <f>IF(R1314&lt;Q1314,"X","")</f>
        <v/>
      </c>
      <c r="BC1314" s="190" t="inlineStr">
        <is>
          <t>NO</t>
        </is>
      </c>
      <c r="BD1314" s="191" t="inlineStr">
        <is>
          <t>SI</t>
        </is>
      </c>
    </row>
    <row r="1315" ht="15" customHeight="1" s="162">
      <c r="A1315" s="7" t="n">
        <v>1314</v>
      </c>
      <c r="B1315" t="inlineStr">
        <is>
          <t>1390701501303</t>
        </is>
      </c>
      <c r="C1315" t="inlineStr">
        <is>
          <t>SOPORTE PANTALLA BPS</t>
        </is>
      </c>
      <c r="D1315" t="inlineStr">
        <is>
          <t>1800113274</t>
        </is>
      </c>
      <c r="E1315" t="inlineStr">
        <is>
          <t>10</t>
        </is>
      </c>
      <c r="F1315" s="163" t="n">
        <v>45567</v>
      </c>
      <c r="G1315" t="inlineStr">
        <is>
          <t>BORR</t>
        </is>
      </c>
      <c r="H1315" t="inlineStr">
        <is>
          <t>4600004111</t>
        </is>
      </c>
      <c r="I1315" t="inlineStr">
        <is>
          <t>60</t>
        </is>
      </c>
      <c r="J1315" s="163" t="n">
        <v>45574</v>
      </c>
      <c r="K1315" s="163" t="inlineStr"/>
      <c r="L1315" t="inlineStr">
        <is>
          <t>BORR</t>
        </is>
      </c>
      <c r="M1315" s="163" t="n">
        <v>45642</v>
      </c>
      <c r="N1315" s="164" t="n">
        <v>40</v>
      </c>
      <c r="O1315" s="164" t="n">
        <v>8</v>
      </c>
      <c r="P1315" t="inlineStr"/>
      <c r="Q1315" s="165" t="n">
        <v>1</v>
      </c>
      <c r="R1315" s="165" t="n">
        <v>1</v>
      </c>
      <c r="S1315" s="165" t="n">
        <v>0</v>
      </c>
      <c r="T1315" s="165" t="n">
        <v>1</v>
      </c>
      <c r="U1315" s="166" t="n">
        <v>0</v>
      </c>
      <c r="V1315" s="166" t="n">
        <v>0</v>
      </c>
      <c r="W1315" t="inlineStr"/>
      <c r="X1315" t="inlineStr">
        <is>
          <t>7941.00</t>
        </is>
      </c>
      <c r="Y1315" t="inlineStr"/>
      <c r="Z1315" t="inlineStr">
        <is>
          <t>TALLERES XUQUER, SL</t>
        </is>
      </c>
      <c r="AA1315" t="inlineStr">
        <is>
          <t>XUQUER</t>
        </is>
      </c>
      <c r="AB1315" t="inlineStr">
        <is>
          <t>0918686423300</t>
        </is>
      </c>
      <c r="AC1315" t="inlineStr"/>
      <c r="AD1315" s="164" t="n">
        <v>0</v>
      </c>
      <c r="AE1315" s="185" t="n">
        <v>0</v>
      </c>
      <c r="AG1315" s="167" t="inlineStr">
        <is>
          <t>7218|JA2590_1001</t>
        </is>
      </c>
      <c r="AH1315" s="47">
        <f>IF(M1315=0,"-",M1315-J1315)</f>
        <v/>
      </c>
      <c r="AI1315" s="46">
        <f>IF(AND(S1315=0,M1315&gt;0,L1315=0),IF(AH1315&gt;=120,"VERY HIGH",IF(AH1315&gt;=90,"HIGH",IF(AH1315&gt;=60,"MEDIUM",IF(AH1315&lt;60,"LOW")))),"-")</f>
        <v/>
      </c>
      <c r="AJ1315" s="12" t="n"/>
      <c r="AK1315" s="53">
        <f>IF(AND(W1315="X",M1315&lt;=$AJ$2),"YES","")</f>
        <v/>
      </c>
      <c r="AL1315" s="54">
        <f>IF(AND(W1315="X",M1315&lt;=$AJ$2),S1315,"")</f>
        <v/>
      </c>
      <c r="AM1315" s="35" t="n"/>
      <c r="AN1315" s="35">
        <f>IF(AND(W1315="X",M1315&gt;$AJ$2),S1315,"")</f>
        <v/>
      </c>
      <c r="AO1315" s="35">
        <f>IF(AND(W1315="",M1315&gt;0,$AJ$2&gt;M1315,L1315=""),1,0)</f>
        <v/>
      </c>
      <c r="AP1315" s="35">
        <f>IF(AND(AK1315="YES",W1315="X"),"X","")</f>
        <v/>
      </c>
      <c r="AQ1315" s="55">
        <f>IF(AP1315="X",100%,0%)</f>
        <v/>
      </c>
      <c r="AR1315" s="25">
        <f>IF(AND(T1315&gt;0,L1315=""),H1315,"")</f>
        <v/>
      </c>
      <c r="AS1315" s="25">
        <f>IF(AND(D1315&gt;0,H1315=0,G1315=""),1,"")</f>
        <v/>
      </c>
      <c r="AT1315" s="25">
        <f>IF(G1315="BLOQ",1,"")</f>
        <v/>
      </c>
      <c r="AU1315" s="25">
        <f>IF(L1315="BLOQ",1,"")</f>
        <v/>
      </c>
      <c r="AV1315" s="25">
        <f>MONTH(F1315)</f>
        <v/>
      </c>
      <c r="AW1315" s="65">
        <f>IF(AP1315="",100%,0%)</f>
        <v/>
      </c>
      <c r="AX1315" s="56" t="n"/>
      <c r="AY1315" s="24">
        <f>IF(M1315=0,"",M1315-$AX$2)</f>
        <v/>
      </c>
      <c r="AZ1315" s="66">
        <f>IF(AND(W1315="",AY1315&gt;0,AY1315&lt;15),1,0)</f>
        <v/>
      </c>
      <c r="BA1315" s="24">
        <f>IF(AND(W1315="",AY1315&gt;0,AY1315&lt;15),T1315,"")</f>
        <v/>
      </c>
      <c r="BB1315" s="87">
        <f>IF(R1315&lt;Q1315,"X","")</f>
        <v/>
      </c>
      <c r="BC1315" s="190" t="inlineStr">
        <is>
          <t>NO</t>
        </is>
      </c>
      <c r="BD1315" s="191" t="inlineStr">
        <is>
          <t>SI</t>
        </is>
      </c>
    </row>
    <row r="1316" ht="15" customHeight="1" s="162">
      <c r="A1316" s="7" t="n">
        <v>1315</v>
      </c>
      <c r="B1316" t="inlineStr">
        <is>
          <t>1390701501305</t>
        </is>
      </c>
      <c r="C1316" t="inlineStr">
        <is>
          <t>CERRAMIENTO INFERIOR</t>
        </is>
      </c>
      <c r="D1316" t="inlineStr">
        <is>
          <t>1800113274</t>
        </is>
      </c>
      <c r="E1316" t="inlineStr">
        <is>
          <t>20</t>
        </is>
      </c>
      <c r="F1316" s="163" t="n">
        <v>45567</v>
      </c>
      <c r="G1316" t="inlineStr">
        <is>
          <t>BORR</t>
        </is>
      </c>
      <c r="H1316" t="inlineStr">
        <is>
          <t>4600004111</t>
        </is>
      </c>
      <c r="I1316" t="inlineStr">
        <is>
          <t>70</t>
        </is>
      </c>
      <c r="J1316" s="163" t="n">
        <v>45574</v>
      </c>
      <c r="K1316" s="163" t="inlineStr"/>
      <c r="L1316" t="inlineStr">
        <is>
          <t>BORR</t>
        </is>
      </c>
      <c r="M1316" s="163" t="n">
        <v>45642</v>
      </c>
      <c r="N1316" s="164" t="n">
        <v>40</v>
      </c>
      <c r="O1316" s="164" t="n">
        <v>8</v>
      </c>
      <c r="P1316" t="inlineStr"/>
      <c r="Q1316" s="165" t="n">
        <v>1</v>
      </c>
      <c r="R1316" s="165" t="n">
        <v>1</v>
      </c>
      <c r="S1316" s="165" t="n">
        <v>0</v>
      </c>
      <c r="T1316" s="165" t="n">
        <v>1</v>
      </c>
      <c r="U1316" s="166" t="n">
        <v>0</v>
      </c>
      <c r="V1316" s="166" t="n">
        <v>0</v>
      </c>
      <c r="W1316" t="inlineStr"/>
      <c r="X1316" t="inlineStr">
        <is>
          <t>3639.00</t>
        </is>
      </c>
      <c r="Y1316" t="inlineStr"/>
      <c r="Z1316" t="inlineStr">
        <is>
          <t>TALLERES XUQUER, SL</t>
        </is>
      </c>
      <c r="AA1316" t="inlineStr">
        <is>
          <t>XUQUER</t>
        </is>
      </c>
      <c r="AB1316" t="inlineStr">
        <is>
          <t>0918686403700</t>
        </is>
      </c>
      <c r="AC1316" t="inlineStr"/>
      <c r="AD1316" s="164" t="n">
        <v>0</v>
      </c>
      <c r="AE1316" s="185" t="n">
        <v>0</v>
      </c>
      <c r="AG1316" s="167" t="inlineStr">
        <is>
          <t>7218|JA2590_1001</t>
        </is>
      </c>
      <c r="AH1316" s="47">
        <f>IF(M1316=0,"-",M1316-J1316)</f>
        <v/>
      </c>
      <c r="AI1316" s="46">
        <f>IF(AND(S1316=0,M1316&gt;0,L1316=0),IF(AH1316&gt;=120,"VERY HIGH",IF(AH1316&gt;=90,"HIGH",IF(AH1316&gt;=60,"MEDIUM",IF(AH1316&lt;60,"LOW")))),"-")</f>
        <v/>
      </c>
      <c r="AJ1316" s="12" t="n"/>
      <c r="AK1316" s="53">
        <f>IF(AND(W1316="X",M1316&lt;=$AJ$2),"YES","")</f>
        <v/>
      </c>
      <c r="AL1316" s="54">
        <f>IF(AND(W1316="X",M1316&lt;=$AJ$2),S1316,"")</f>
        <v/>
      </c>
      <c r="AM1316" s="35" t="n"/>
      <c r="AN1316" s="35">
        <f>IF(AND(W1316="X",M1316&gt;$AJ$2),S1316,"")</f>
        <v/>
      </c>
      <c r="AO1316" s="35">
        <f>IF(AND(W1316="",M1316&gt;0,$AJ$2&gt;M1316,L1316=""),1,0)</f>
        <v/>
      </c>
      <c r="AP1316" s="35">
        <f>IF(AND(AK1316="YES",W1316="X"),"X","")</f>
        <v/>
      </c>
      <c r="AQ1316" s="55">
        <f>IF(AP1316="X",100%,0%)</f>
        <v/>
      </c>
      <c r="AR1316" s="25">
        <f>IF(AND(T1316&gt;0,L1316=""),H1316,"")</f>
        <v/>
      </c>
      <c r="AS1316" s="25">
        <f>IF(AND(D1316&gt;0,H1316=0,G1316=""),1,"")</f>
        <v/>
      </c>
      <c r="AT1316" s="25">
        <f>IF(G1316="BLOQ",1,"")</f>
        <v/>
      </c>
      <c r="AU1316" s="25">
        <f>IF(L1316="BLOQ",1,"")</f>
        <v/>
      </c>
      <c r="AV1316" s="25">
        <f>MONTH(F1316)</f>
        <v/>
      </c>
      <c r="AW1316" s="65">
        <f>IF(AP1316="",100%,0%)</f>
        <v/>
      </c>
      <c r="AX1316" s="56" t="n"/>
      <c r="AY1316" s="24">
        <f>IF(M1316=0,"",M1316-$AX$2)</f>
        <v/>
      </c>
      <c r="AZ1316" s="66">
        <f>IF(AND(W1316="",AY1316&gt;0,AY1316&lt;15),1,0)</f>
        <v/>
      </c>
      <c r="BA1316" s="24">
        <f>IF(AND(W1316="",AY1316&gt;0,AY1316&lt;15),T1316,"")</f>
        <v/>
      </c>
      <c r="BB1316" s="87">
        <f>IF(R1316&lt;Q1316,"X","")</f>
        <v/>
      </c>
      <c r="BC1316" s="190" t="inlineStr">
        <is>
          <t>NO</t>
        </is>
      </c>
      <c r="BD1316" s="191" t="inlineStr">
        <is>
          <t>SI</t>
        </is>
      </c>
    </row>
    <row r="1317" ht="15" customHeight="1" s="162">
      <c r="A1317" s="7" t="n">
        <v>1316</v>
      </c>
      <c r="B1317" t="inlineStr">
        <is>
          <t>1390701501307</t>
        </is>
      </c>
      <c r="C1317" t="inlineStr">
        <is>
          <t>ESTRUCTURA PROY BANDEJA PROY SOPORT MASC</t>
        </is>
      </c>
      <c r="D1317" t="inlineStr">
        <is>
          <t>1800113274</t>
        </is>
      </c>
      <c r="E1317" t="inlineStr">
        <is>
          <t>30</t>
        </is>
      </c>
      <c r="F1317" s="163" t="n">
        <v>45567</v>
      </c>
      <c r="G1317" t="inlineStr">
        <is>
          <t>BORR</t>
        </is>
      </c>
      <c r="H1317" t="inlineStr">
        <is>
          <t>4600004111</t>
        </is>
      </c>
      <c r="I1317" t="inlineStr">
        <is>
          <t>80</t>
        </is>
      </c>
      <c r="J1317" s="163" t="n">
        <v>45574</v>
      </c>
      <c r="K1317" s="163" t="inlineStr"/>
      <c r="L1317" t="inlineStr">
        <is>
          <t>BORR</t>
        </is>
      </c>
      <c r="M1317" s="163" t="n">
        <v>45642</v>
      </c>
      <c r="N1317" s="164" t="n">
        <v>40</v>
      </c>
      <c r="O1317" s="164" t="n">
        <v>8</v>
      </c>
      <c r="P1317" t="inlineStr"/>
      <c r="Q1317" s="165" t="n">
        <v>1</v>
      </c>
      <c r="R1317" s="165" t="n">
        <v>1</v>
      </c>
      <c r="S1317" s="165" t="n">
        <v>0</v>
      </c>
      <c r="T1317" s="165" t="n">
        <v>1</v>
      </c>
      <c r="U1317" s="166" t="n">
        <v>0</v>
      </c>
      <c r="V1317" s="166" t="n">
        <v>0</v>
      </c>
      <c r="W1317" t="inlineStr"/>
      <c r="X1317" t="inlineStr">
        <is>
          <t>13236.00</t>
        </is>
      </c>
      <c r="Y1317" t="inlineStr"/>
      <c r="Z1317" t="inlineStr">
        <is>
          <t>TALLERES XUQUER, SL</t>
        </is>
      </c>
      <c r="AA1317" t="inlineStr">
        <is>
          <t>XUQUER</t>
        </is>
      </c>
      <c r="AB1317" t="inlineStr">
        <is>
          <t>0712063000001</t>
        </is>
      </c>
      <c r="AC1317" t="inlineStr"/>
      <c r="AD1317" s="164" t="n">
        <v>0</v>
      </c>
      <c r="AE1317" s="185" t="n">
        <v>0</v>
      </c>
      <c r="AG1317" s="167" t="inlineStr">
        <is>
          <t>7218|JA2590_1001</t>
        </is>
      </c>
      <c r="AH1317" s="47">
        <f>IF(M1317=0,"-",M1317-J1317)</f>
        <v/>
      </c>
      <c r="AI1317" s="46">
        <f>IF(AND(S1317=0,M1317&gt;0,L1317=0),IF(AH1317&gt;=120,"VERY HIGH",IF(AH1317&gt;=90,"HIGH",IF(AH1317&gt;=60,"MEDIUM",IF(AH1317&lt;60,"LOW")))),"-")</f>
        <v/>
      </c>
      <c r="AJ1317" s="12" t="n"/>
      <c r="AK1317" s="53">
        <f>IF(AND(W1317="X",M1317&lt;=$AJ$2),"YES","")</f>
        <v/>
      </c>
      <c r="AL1317" s="54">
        <f>IF(AND(W1317="X",M1317&lt;=$AJ$2),S1317,"")</f>
        <v/>
      </c>
      <c r="AM1317" s="35" t="n"/>
      <c r="AN1317" s="35">
        <f>IF(AND(W1317="X",M1317&gt;$AJ$2),S1317,"")</f>
        <v/>
      </c>
      <c r="AO1317" s="35">
        <f>IF(AND(W1317="",M1317&gt;0,$AJ$2&gt;M1317,L1317=""),1,0)</f>
        <v/>
      </c>
      <c r="AP1317" s="35">
        <f>IF(AND(AK1317="YES",W1317="X"),"X","")</f>
        <v/>
      </c>
      <c r="AQ1317" s="55">
        <f>IF(AP1317="X",100%,0%)</f>
        <v/>
      </c>
      <c r="AR1317" s="25">
        <f>IF(AND(T1317&gt;0,L1317=""),H1317,"")</f>
        <v/>
      </c>
      <c r="AS1317" s="25">
        <f>IF(AND(D1317&gt;0,H1317=0,G1317=""),1,"")</f>
        <v/>
      </c>
      <c r="AT1317" s="25">
        <f>IF(G1317="BLOQ",1,"")</f>
        <v/>
      </c>
      <c r="AU1317" s="25">
        <f>IF(L1317="BLOQ",1,"")</f>
        <v/>
      </c>
      <c r="AV1317" s="25">
        <f>MONTH(F1317)</f>
        <v/>
      </c>
      <c r="AW1317" s="65">
        <f>IF(AP1317="",100%,0%)</f>
        <v/>
      </c>
      <c r="AX1317" s="56" t="n"/>
      <c r="AY1317" s="24">
        <f>IF(M1317=0,"",M1317-$AX$2)</f>
        <v/>
      </c>
      <c r="AZ1317" s="66">
        <f>IF(AND(W1317="",AY1317&gt;0,AY1317&lt;15),1,0)</f>
        <v/>
      </c>
      <c r="BA1317" s="24">
        <f>IF(AND(W1317="",AY1317&gt;0,AY1317&lt;15),T1317,"")</f>
        <v/>
      </c>
      <c r="BB1317" s="87">
        <f>IF(R1317&lt;Q1317,"X","")</f>
        <v/>
      </c>
      <c r="BC1317" s="190" t="inlineStr">
        <is>
          <t>NO</t>
        </is>
      </c>
      <c r="BD1317" s="191" t="inlineStr">
        <is>
          <t>SI</t>
        </is>
      </c>
    </row>
    <row r="1318" ht="15" customHeight="1" s="162">
      <c r="A1318" s="7" t="n">
        <v>1317</v>
      </c>
      <c r="B1318" t="inlineStr">
        <is>
          <t>1000242431001</t>
        </is>
      </c>
      <c r="C1318" t="inlineStr">
        <is>
          <t>RST PELMET AXI 2K43 1% 50PPM 3/5W 0207 R</t>
        </is>
      </c>
      <c r="D1318" t="inlineStr">
        <is>
          <t>1800113277</t>
        </is>
      </c>
      <c r="E1318" t="inlineStr">
        <is>
          <t>10</t>
        </is>
      </c>
      <c r="F1318" s="163" t="n">
        <v>45567</v>
      </c>
      <c r="G1318" t="inlineStr"/>
      <c r="H1318" t="inlineStr">
        <is>
          <t>4200580190</t>
        </is>
      </c>
      <c r="I1318" t="inlineStr">
        <is>
          <t>60</t>
        </is>
      </c>
      <c r="J1318" s="163" t="n">
        <v>45572</v>
      </c>
      <c r="K1318" s="163" t="n">
        <v>45573</v>
      </c>
      <c r="L1318" t="inlineStr"/>
      <c r="M1318" s="163" t="n">
        <v>45592</v>
      </c>
      <c r="N1318" s="164" t="n">
        <v>100</v>
      </c>
      <c r="O1318" s="164" t="n">
        <v>8</v>
      </c>
      <c r="P1318" t="inlineStr">
        <is>
          <t>Liberado</t>
        </is>
      </c>
      <c r="Q1318" s="165" t="n">
        <v>20</v>
      </c>
      <c r="R1318" s="165" t="n">
        <v>20</v>
      </c>
      <c r="S1318" s="165" t="n">
        <v>20</v>
      </c>
      <c r="T1318" s="165" t="n">
        <v>0</v>
      </c>
      <c r="U1318" s="166" t="n">
        <v>20</v>
      </c>
      <c r="V1318" s="166" t="n">
        <v>0</v>
      </c>
      <c r="W1318" t="inlineStr">
        <is>
          <t>X</t>
        </is>
      </c>
      <c r="X1318" t="inlineStr">
        <is>
          <t>0.00</t>
        </is>
      </c>
      <c r="Y1318" t="inlineStr"/>
      <c r="Z1318" t="inlineStr">
        <is>
          <t>TCX MICRO, S.L.U</t>
        </is>
      </c>
      <c r="AA1318" t="inlineStr">
        <is>
          <t>VISHAY</t>
        </is>
      </c>
      <c r="AB1318" t="inlineStr">
        <is>
          <t>MBB02070C2431FCT00</t>
        </is>
      </c>
      <c r="AC1318" t="inlineStr"/>
      <c r="AD1318" s="164" t="n">
        <v>0</v>
      </c>
      <c r="AE1318" s="185" t="n">
        <v>0</v>
      </c>
      <c r="AG1318" s="167" t="inlineStr">
        <is>
          <t>7218|JA2583_1001</t>
        </is>
      </c>
      <c r="AH1318" s="47">
        <f>IF(M1318=0,"-",M1318-J1318)</f>
        <v/>
      </c>
      <c r="AI1318" s="46">
        <f>IF(AND(S1318=0,M1318&gt;0,L1318=0),IF(AH1318&gt;=120,"VERY HIGH",IF(AH1318&gt;=90,"HIGH",IF(AH1318&gt;=60,"MEDIUM",IF(AH1318&lt;60,"LOW")))),"-")</f>
        <v/>
      </c>
      <c r="AJ1318" s="12" t="n"/>
      <c r="AK1318" s="53">
        <f>IF(AND(W1318="X",M1318&lt;=$AJ$2),"YES","")</f>
        <v/>
      </c>
      <c r="AL1318" s="54">
        <f>IF(AND(W1318="X",M1318&lt;=$AJ$2),S1318,"")</f>
        <v/>
      </c>
      <c r="AM1318" s="35" t="n"/>
      <c r="AN1318" s="35">
        <f>IF(AND(W1318="X",M1318&gt;$AJ$2),S1318,"")</f>
        <v/>
      </c>
      <c r="AO1318" s="35">
        <f>IF(AND(W1318="",M1318&gt;0,$AJ$2&gt;M1318,L1318=""),1,0)</f>
        <v/>
      </c>
      <c r="AP1318" s="35">
        <f>IF(AND(AK1318="YES",W1318="X"),"X","")</f>
        <v/>
      </c>
      <c r="AQ1318" s="55">
        <f>IF(AP1318="X",100%,0%)</f>
        <v/>
      </c>
      <c r="AR1318" s="25">
        <f>IF(AND(T1318&gt;0,L1318=""),H1318,"")</f>
        <v/>
      </c>
      <c r="AS1318" s="25">
        <f>IF(AND(D1318&gt;0,H1318=0,G1318=""),1,"")</f>
        <v/>
      </c>
      <c r="AT1318" s="25">
        <f>IF(G1318="BLOQ",1,"")</f>
        <v/>
      </c>
      <c r="AU1318" s="25">
        <f>IF(L1318="BLOQ",1,"")</f>
        <v/>
      </c>
      <c r="AV1318" s="25">
        <f>MONTH(F1318)</f>
        <v/>
      </c>
      <c r="AW1318" s="65">
        <f>IF(AP1318="",100%,0%)</f>
        <v/>
      </c>
      <c r="AX1318" s="56" t="n"/>
      <c r="AY1318" s="24">
        <f>IF(M1318=0,"",M1318-$AX$2)</f>
        <v/>
      </c>
      <c r="AZ1318" s="66">
        <f>IF(AND(W1318="",AY1318&gt;0,AY1318&lt;15),1,0)</f>
        <v/>
      </c>
      <c r="BA1318" s="24">
        <f>IF(AND(W1318="",AY1318&gt;0,AY1318&lt;15),T1318,"")</f>
        <v/>
      </c>
      <c r="BB1318" s="87">
        <f>IF(R1318&lt;Q1318,"X","")</f>
        <v/>
      </c>
      <c r="BC1318" s="190" t="inlineStr">
        <is>
          <t>NO</t>
        </is>
      </c>
      <c r="BD1318" s="191" t="inlineStr">
        <is>
          <t>SI</t>
        </is>
      </c>
    </row>
    <row r="1319" ht="15" customHeight="1" s="162">
      <c r="A1319" s="7" t="n">
        <v>1318</v>
      </c>
      <c r="B1319" t="inlineStr">
        <is>
          <t>1000251000003</t>
        </is>
      </c>
      <c r="C1319" t="inlineStr">
        <is>
          <t>RST PELMET 10K  0,1% 1/4W 15PPM 0207</t>
        </is>
      </c>
      <c r="D1319" t="inlineStr">
        <is>
          <t>1800113277</t>
        </is>
      </c>
      <c r="E1319" t="inlineStr">
        <is>
          <t>20</t>
        </is>
      </c>
      <c r="F1319" s="163" t="n">
        <v>45567</v>
      </c>
      <c r="G1319" t="inlineStr"/>
      <c r="H1319" t="inlineStr">
        <is>
          <t>4200580190</t>
        </is>
      </c>
      <c r="I1319" t="inlineStr">
        <is>
          <t>70</t>
        </is>
      </c>
      <c r="J1319" s="163" t="n">
        <v>45572</v>
      </c>
      <c r="K1319" s="163" t="n">
        <v>45573</v>
      </c>
      <c r="L1319" t="inlineStr"/>
      <c r="M1319" s="163" t="n">
        <v>45592</v>
      </c>
      <c r="N1319" s="164" t="n">
        <v>100</v>
      </c>
      <c r="O1319" s="164" t="n">
        <v>8</v>
      </c>
      <c r="P1319" t="inlineStr">
        <is>
          <t>Liberado</t>
        </is>
      </c>
      <c r="Q1319" s="165" t="n">
        <v>20</v>
      </c>
      <c r="R1319" s="165" t="n">
        <v>20</v>
      </c>
      <c r="S1319" s="165" t="n">
        <v>20</v>
      </c>
      <c r="T1319" s="165" t="n">
        <v>0</v>
      </c>
      <c r="U1319" s="166" t="n">
        <v>20</v>
      </c>
      <c r="V1319" s="166" t="n">
        <v>0</v>
      </c>
      <c r="W1319" t="inlineStr">
        <is>
          <t>X</t>
        </is>
      </c>
      <c r="X1319" t="inlineStr">
        <is>
          <t>0.00</t>
        </is>
      </c>
      <c r="Y1319" t="inlineStr"/>
      <c r="Z1319" t="inlineStr">
        <is>
          <t>TCX MICRO, S.L.U</t>
        </is>
      </c>
      <c r="AA1319" t="inlineStr">
        <is>
          <t>RS AMIDATA</t>
        </is>
      </c>
      <c r="AB1319" t="inlineStr">
        <is>
          <t>166-728</t>
        </is>
      </c>
      <c r="AC1319" t="inlineStr"/>
      <c r="AD1319" s="164" t="n">
        <v>0</v>
      </c>
      <c r="AE1319" s="185" t="n">
        <v>0</v>
      </c>
      <c r="AG1319" s="167" t="inlineStr">
        <is>
          <t>7218|JA2583_1001</t>
        </is>
      </c>
      <c r="AH1319" s="47">
        <f>IF(M1319=0,"-",M1319-J1319)</f>
        <v/>
      </c>
      <c r="AI1319" s="46">
        <f>IF(AND(S1319=0,M1319&gt;0,L1319=0),IF(AH1319&gt;=120,"VERY HIGH",IF(AH1319&gt;=90,"HIGH",IF(AH1319&gt;=60,"MEDIUM",IF(AH1319&lt;60,"LOW")))),"-")</f>
        <v/>
      </c>
      <c r="AJ1319" s="12" t="n"/>
      <c r="AK1319" s="53">
        <f>IF(AND(W1319="X",M1319&lt;=$AJ$2),"YES","")</f>
        <v/>
      </c>
      <c r="AL1319" s="54">
        <f>IF(AND(W1319="X",M1319&lt;=$AJ$2),S1319,"")</f>
        <v/>
      </c>
      <c r="AM1319" s="35" t="n"/>
      <c r="AN1319" s="35">
        <f>IF(AND(W1319="X",M1319&gt;$AJ$2),S1319,"")</f>
        <v/>
      </c>
      <c r="AO1319" s="35">
        <f>IF(AND(W1319="",M1319&gt;0,$AJ$2&gt;M1319,L1319=""),1,0)</f>
        <v/>
      </c>
      <c r="AP1319" s="35">
        <f>IF(AND(AK1319="YES",W1319="X"),"X","")</f>
        <v/>
      </c>
      <c r="AQ1319" s="55">
        <f>IF(AP1319="X",100%,0%)</f>
        <v/>
      </c>
      <c r="AR1319" s="25">
        <f>IF(AND(T1319&gt;0,L1319=""),H1319,"")</f>
        <v/>
      </c>
      <c r="AS1319" s="25">
        <f>IF(AND(D1319&gt;0,H1319=0,G1319=""),1,"")</f>
        <v/>
      </c>
      <c r="AT1319" s="25">
        <f>IF(G1319="BLOQ",1,"")</f>
        <v/>
      </c>
      <c r="AU1319" s="25">
        <f>IF(L1319="BLOQ",1,"")</f>
        <v/>
      </c>
      <c r="AV1319" s="25">
        <f>MONTH(F1319)</f>
        <v/>
      </c>
      <c r="AW1319" s="65">
        <f>IF(AP1319="",100%,0%)</f>
        <v/>
      </c>
      <c r="AX1319" s="56" t="n"/>
      <c r="AY1319" s="24">
        <f>IF(M1319=0,"",M1319-$AX$2)</f>
        <v/>
      </c>
      <c r="AZ1319" s="66">
        <f>IF(AND(W1319="",AY1319&gt;0,AY1319&lt;15),1,0)</f>
        <v/>
      </c>
      <c r="BA1319" s="24">
        <f>IF(AND(W1319="",AY1319&gt;0,AY1319&lt;15),T1319,"")</f>
        <v/>
      </c>
      <c r="BB1319" s="87">
        <f>IF(R1319&lt;Q1319,"X","")</f>
        <v/>
      </c>
      <c r="BC1319" s="190" t="inlineStr">
        <is>
          <t>NO</t>
        </is>
      </c>
      <c r="BD1319" s="191" t="inlineStr">
        <is>
          <t>SI</t>
        </is>
      </c>
    </row>
    <row r="1320" ht="15" customHeight="1" s="162">
      <c r="A1320" s="7" t="n">
        <v>1319</v>
      </c>
      <c r="B1320" t="inlineStr">
        <is>
          <t>1000252702001</t>
        </is>
      </c>
      <c r="C1320" t="inlineStr">
        <is>
          <t>RST PELMET  27K00 2% 1/4W  50PPM 0207 SE</t>
        </is>
      </c>
      <c r="D1320" t="inlineStr">
        <is>
          <t>1800113277</t>
        </is>
      </c>
      <c r="E1320" t="inlineStr">
        <is>
          <t>30</t>
        </is>
      </c>
      <c r="F1320" s="163" t="n">
        <v>45567</v>
      </c>
      <c r="G1320" t="inlineStr"/>
      <c r="H1320" t="inlineStr">
        <is>
          <t>4200584732</t>
        </is>
      </c>
      <c r="I1320" t="inlineStr">
        <is>
          <t>10</t>
        </is>
      </c>
      <c r="J1320" s="163" t="n">
        <v>45603</v>
      </c>
      <c r="K1320" s="163" t="n">
        <v>45604</v>
      </c>
      <c r="L1320" t="inlineStr"/>
      <c r="M1320" s="163" t="n">
        <v>45614</v>
      </c>
      <c r="N1320" s="164" t="n">
        <v>138</v>
      </c>
      <c r="O1320" s="164" t="n">
        <v>0</v>
      </c>
      <c r="P1320" t="inlineStr">
        <is>
          <t>Liberado</t>
        </is>
      </c>
      <c r="Q1320" s="165" t="n">
        <v>20</v>
      </c>
      <c r="R1320" s="165" t="n">
        <v>20</v>
      </c>
      <c r="S1320" s="165" t="n">
        <v>20</v>
      </c>
      <c r="T1320" s="165" t="n">
        <v>0</v>
      </c>
      <c r="U1320" s="166" t="n">
        <v>20</v>
      </c>
      <c r="V1320" s="166" t="n">
        <v>0</v>
      </c>
      <c r="W1320" t="inlineStr">
        <is>
          <t>X</t>
        </is>
      </c>
      <c r="X1320" t="inlineStr">
        <is>
          <t>0.00</t>
        </is>
      </c>
      <c r="Y1320" t="inlineStr"/>
      <c r="Z1320" t="inlineStr">
        <is>
          <t>TCX MICRO, S.L.U</t>
        </is>
      </c>
      <c r="AA1320" t="inlineStr">
        <is>
          <t>VISHAY/DALE</t>
        </is>
      </c>
      <c r="AB1320" t="inlineStr">
        <is>
          <t>RCMM02 27K 2% K3</t>
        </is>
      </c>
      <c r="AC1320" t="inlineStr"/>
      <c r="AD1320" s="164" t="n">
        <v>0</v>
      </c>
      <c r="AE1320" s="185" t="n">
        <v>0</v>
      </c>
      <c r="AG1320" s="167" t="inlineStr">
        <is>
          <t>7218|JA2583_1001</t>
        </is>
      </c>
      <c r="AH1320" s="47">
        <f>IF(M1320=0,"-",M1320-J1320)</f>
        <v/>
      </c>
      <c r="AI1320" s="46">
        <f>IF(AND(S1320=0,M1320&gt;0,L1320=0),IF(AH1320&gt;=120,"VERY HIGH",IF(AH1320&gt;=90,"HIGH",IF(AH1320&gt;=60,"MEDIUM",IF(AH1320&lt;60,"LOW")))),"-")</f>
        <v/>
      </c>
      <c r="AJ1320" s="12" t="n"/>
      <c r="AK1320" s="53">
        <f>IF(AND(W1320="X",M1320&lt;=$AJ$2),"YES","")</f>
        <v/>
      </c>
      <c r="AL1320" s="54">
        <f>IF(AND(W1320="X",M1320&lt;=$AJ$2),S1320,"")</f>
        <v/>
      </c>
      <c r="AM1320" s="35" t="n"/>
      <c r="AN1320" s="35">
        <f>IF(AND(W1320="X",M1320&gt;$AJ$2),S1320,"")</f>
        <v/>
      </c>
      <c r="AO1320" s="35">
        <f>IF(AND(W1320="",M1320&gt;0,$AJ$2&gt;M1320,L1320=""),1,0)</f>
        <v/>
      </c>
      <c r="AP1320" s="35">
        <f>IF(AND(AK1320="YES",W1320="X"),"X","")</f>
        <v/>
      </c>
      <c r="AQ1320" s="55">
        <f>IF(AP1320="X",100%,0%)</f>
        <v/>
      </c>
      <c r="AR1320" s="25">
        <f>IF(AND(T1320&gt;0,L1320=""),H1320,"")</f>
        <v/>
      </c>
      <c r="AS1320" s="25">
        <f>IF(AND(D1320&gt;0,H1320=0,G1320=""),1,"")</f>
        <v/>
      </c>
      <c r="AT1320" s="25">
        <f>IF(G1320="BLOQ",1,"")</f>
        <v/>
      </c>
      <c r="AU1320" s="25">
        <f>IF(L1320="BLOQ",1,"")</f>
        <v/>
      </c>
      <c r="AV1320" s="25">
        <f>MONTH(F1320)</f>
        <v/>
      </c>
      <c r="AW1320" s="65">
        <f>IF(AP1320="",100%,0%)</f>
        <v/>
      </c>
      <c r="AX1320" s="56" t="n"/>
      <c r="AY1320" s="24">
        <f>IF(M1320=0,"",M1320-$AX$2)</f>
        <v/>
      </c>
      <c r="AZ1320" s="66">
        <f>IF(AND(W1320="",AY1320&gt;0,AY1320&lt;15),1,0)</f>
        <v/>
      </c>
      <c r="BA1320" s="24">
        <f>IF(AND(W1320="",AY1320&gt;0,AY1320&lt;15),T1320,"")</f>
        <v/>
      </c>
      <c r="BB1320" s="87">
        <f>IF(R1320&lt;Q1320,"X","")</f>
        <v/>
      </c>
      <c r="BC1320" s="190" t="inlineStr">
        <is>
          <t>NO</t>
        </is>
      </c>
      <c r="BD1320" s="191" t="inlineStr">
        <is>
          <t>SI</t>
        </is>
      </c>
    </row>
    <row r="1321" ht="15" customHeight="1" s="162">
      <c r="A1321" s="7" t="n">
        <v>1320</v>
      </c>
      <c r="B1321" t="inlineStr">
        <is>
          <t>1000261802050</t>
        </is>
      </c>
      <c r="C1321" t="inlineStr">
        <is>
          <t>RST PELMET 180K 1%  50PPM 0,6W 0207 ROHS</t>
        </is>
      </c>
      <c r="D1321" t="inlineStr">
        <is>
          <t>1800113277</t>
        </is>
      </c>
      <c r="E1321" t="inlineStr">
        <is>
          <t>40</t>
        </is>
      </c>
      <c r="F1321" s="163" t="n">
        <v>45567</v>
      </c>
      <c r="G1321" t="inlineStr"/>
      <c r="H1321" t="inlineStr">
        <is>
          <t>4200580190</t>
        </is>
      </c>
      <c r="I1321" t="inlineStr">
        <is>
          <t>80</t>
        </is>
      </c>
      <c r="J1321" s="163" t="n">
        <v>45572</v>
      </c>
      <c r="K1321" s="163" t="n">
        <v>45573</v>
      </c>
      <c r="L1321" t="inlineStr"/>
      <c r="M1321" s="163" t="n">
        <v>45592</v>
      </c>
      <c r="N1321" s="164" t="n">
        <v>100</v>
      </c>
      <c r="O1321" s="164" t="n">
        <v>8</v>
      </c>
      <c r="P1321" t="inlineStr">
        <is>
          <t>Liberado</t>
        </is>
      </c>
      <c r="Q1321" s="165" t="n">
        <v>20</v>
      </c>
      <c r="R1321" s="165" t="n">
        <v>20</v>
      </c>
      <c r="S1321" s="165" t="n">
        <v>20</v>
      </c>
      <c r="T1321" s="165" t="n">
        <v>0</v>
      </c>
      <c r="U1321" s="166" t="n">
        <v>20</v>
      </c>
      <c r="V1321" s="166" t="n">
        <v>0</v>
      </c>
      <c r="W1321" t="inlineStr">
        <is>
          <t>X</t>
        </is>
      </c>
      <c r="X1321" t="inlineStr">
        <is>
          <t>0.00</t>
        </is>
      </c>
      <c r="Y1321" t="inlineStr"/>
      <c r="Z1321" t="inlineStr">
        <is>
          <t>TCX MICRO, S.L.U</t>
        </is>
      </c>
      <c r="AA1321" t="inlineStr">
        <is>
          <t>VISHAY</t>
        </is>
      </c>
      <c r="AB1321" t="inlineStr">
        <is>
          <t>MRS25000C1803FCT00</t>
        </is>
      </c>
      <c r="AC1321" t="inlineStr"/>
      <c r="AD1321" s="164" t="n">
        <v>0</v>
      </c>
      <c r="AE1321" s="185" t="n">
        <v>0</v>
      </c>
      <c r="AG1321" s="167" t="inlineStr">
        <is>
          <t>7218|JA2583_1001</t>
        </is>
      </c>
      <c r="AH1321" s="47">
        <f>IF(M1321=0,"-",M1321-J1321)</f>
        <v/>
      </c>
      <c r="AI1321" s="46">
        <f>IF(AND(S1321=0,M1321&gt;0,L1321=0),IF(AH1321&gt;=120,"VERY HIGH",IF(AH1321&gt;=90,"HIGH",IF(AH1321&gt;=60,"MEDIUM",IF(AH1321&lt;60,"LOW")))),"-")</f>
        <v/>
      </c>
      <c r="AJ1321" s="12" t="n"/>
      <c r="AK1321" s="53">
        <f>IF(AND(W1321="X",M1321&lt;=$AJ$2),"YES","")</f>
        <v/>
      </c>
      <c r="AL1321" s="54">
        <f>IF(AND(W1321="X",M1321&lt;=$AJ$2),S1321,"")</f>
        <v/>
      </c>
      <c r="AM1321" s="35" t="n"/>
      <c r="AN1321" s="35">
        <f>IF(AND(W1321="X",M1321&gt;$AJ$2),S1321,"")</f>
        <v/>
      </c>
      <c r="AO1321" s="35">
        <f>IF(AND(W1321="",M1321&gt;0,$AJ$2&gt;M1321,L1321=""),1,0)</f>
        <v/>
      </c>
      <c r="AP1321" s="35">
        <f>IF(AND(AK1321="YES",W1321="X"),"X","")</f>
        <v/>
      </c>
      <c r="AQ1321" s="55">
        <f>IF(AP1321="X",100%,0%)</f>
        <v/>
      </c>
      <c r="AR1321" s="25">
        <f>IF(AND(T1321&gt;0,L1321=""),H1321,"")</f>
        <v/>
      </c>
      <c r="AS1321" s="25">
        <f>IF(AND(D1321&gt;0,H1321=0,G1321=""),1,"")</f>
        <v/>
      </c>
      <c r="AT1321" s="25">
        <f>IF(G1321="BLOQ",1,"")</f>
        <v/>
      </c>
      <c r="AU1321" s="25">
        <f>IF(L1321="BLOQ",1,"")</f>
        <v/>
      </c>
      <c r="AV1321" s="25">
        <f>MONTH(F1321)</f>
        <v/>
      </c>
      <c r="AW1321" s="65">
        <f>IF(AP1321="",100%,0%)</f>
        <v/>
      </c>
      <c r="AX1321" s="56" t="n"/>
      <c r="AY1321" s="24">
        <f>IF(M1321=0,"",M1321-$AX$2)</f>
        <v/>
      </c>
      <c r="AZ1321" s="66">
        <f>IF(AND(W1321="",AY1321&gt;0,AY1321&lt;15),1,0)</f>
        <v/>
      </c>
      <c r="BA1321" s="24">
        <f>IF(AND(W1321="",AY1321&gt;0,AY1321&lt;15),T1321,"")</f>
        <v/>
      </c>
      <c r="BB1321" s="87">
        <f>IF(R1321&lt;Q1321,"X","")</f>
        <v/>
      </c>
      <c r="BC1321" s="190" t="inlineStr">
        <is>
          <t>NO</t>
        </is>
      </c>
      <c r="BD1321" s="191" t="inlineStr">
        <is>
          <t>SI</t>
        </is>
      </c>
    </row>
    <row r="1322" ht="15" customHeight="1" s="162">
      <c r="A1322" s="7" t="n">
        <v>1321</v>
      </c>
      <c r="B1322" t="inlineStr">
        <is>
          <t>1000942801000</t>
        </is>
      </c>
      <c r="C1322" t="inlineStr">
        <is>
          <t>RST PELMET 2K80 1% 1/4W 100PPM</t>
        </is>
      </c>
      <c r="D1322" t="inlineStr">
        <is>
          <t>1800113277</t>
        </is>
      </c>
      <c r="E1322" t="inlineStr">
        <is>
          <t>50</t>
        </is>
      </c>
      <c r="F1322" s="163" t="n">
        <v>45567</v>
      </c>
      <c r="G1322" t="inlineStr"/>
      <c r="H1322" t="inlineStr">
        <is>
          <t>4200580190</t>
        </is>
      </c>
      <c r="I1322" t="inlineStr">
        <is>
          <t>90</t>
        </is>
      </c>
      <c r="J1322" s="163" t="n">
        <v>45572</v>
      </c>
      <c r="K1322" s="163" t="n">
        <v>45573</v>
      </c>
      <c r="L1322" t="inlineStr"/>
      <c r="M1322" s="163" t="n">
        <v>45592</v>
      </c>
      <c r="N1322" s="164" t="n">
        <v>100</v>
      </c>
      <c r="O1322" s="164" t="n">
        <v>8</v>
      </c>
      <c r="P1322" t="inlineStr">
        <is>
          <t>Liberado</t>
        </is>
      </c>
      <c r="Q1322" s="165" t="n">
        <v>20</v>
      </c>
      <c r="R1322" s="165" t="n">
        <v>20</v>
      </c>
      <c r="S1322" s="165" t="n">
        <v>20</v>
      </c>
      <c r="T1322" s="165" t="n">
        <v>0</v>
      </c>
      <c r="U1322" s="166" t="n">
        <v>20</v>
      </c>
      <c r="V1322" s="166" t="n">
        <v>0</v>
      </c>
      <c r="W1322" t="inlineStr">
        <is>
          <t>X</t>
        </is>
      </c>
      <c r="X1322" t="inlineStr">
        <is>
          <t>0.00</t>
        </is>
      </c>
      <c r="Y1322" t="inlineStr"/>
      <c r="Z1322" t="inlineStr">
        <is>
          <t>TCX MICRO, S.L.U</t>
        </is>
      </c>
      <c r="AA1322" t="inlineStr">
        <is>
          <t>VISHAY</t>
        </is>
      </c>
      <c r="AB1322" t="inlineStr">
        <is>
          <t>CCF-502801F</t>
        </is>
      </c>
      <c r="AC1322" t="inlineStr"/>
      <c r="AD1322" s="164" t="n">
        <v>0</v>
      </c>
      <c r="AE1322" s="185" t="n">
        <v>0</v>
      </c>
      <c r="AG1322" s="167" t="inlineStr">
        <is>
          <t>7218|JA2583_1001</t>
        </is>
      </c>
      <c r="AH1322" s="47">
        <f>IF(M1322=0,"-",M1322-J1322)</f>
        <v/>
      </c>
      <c r="AI1322" s="46">
        <f>IF(AND(S1322=0,M1322&gt;0,L1322=0),IF(AH1322&gt;=120,"VERY HIGH",IF(AH1322&gt;=90,"HIGH",IF(AH1322&gt;=60,"MEDIUM",IF(AH1322&lt;60,"LOW")))),"-")</f>
        <v/>
      </c>
      <c r="AJ1322" s="12" t="n"/>
      <c r="AK1322" s="53">
        <f>IF(AND(W1322="X",M1322&lt;=$AJ$2),"YES","")</f>
        <v/>
      </c>
      <c r="AL1322" s="54">
        <f>IF(AND(W1322="X",M1322&lt;=$AJ$2),S1322,"")</f>
        <v/>
      </c>
      <c r="AM1322" s="35" t="n"/>
      <c r="AN1322" s="35">
        <f>IF(AND(W1322="X",M1322&gt;$AJ$2),S1322,"")</f>
        <v/>
      </c>
      <c r="AO1322" s="35">
        <f>IF(AND(W1322="",M1322&gt;0,$AJ$2&gt;M1322,L1322=""),1,0)</f>
        <v/>
      </c>
      <c r="AP1322" s="35">
        <f>IF(AND(AK1322="YES",W1322="X"),"X","")</f>
        <v/>
      </c>
      <c r="AQ1322" s="55">
        <f>IF(AP1322="X",100%,0%)</f>
        <v/>
      </c>
      <c r="AR1322" s="25">
        <f>IF(AND(T1322&gt;0,L1322=""),H1322,"")</f>
        <v/>
      </c>
      <c r="AS1322" s="25">
        <f>IF(AND(D1322&gt;0,H1322=0,G1322=""),1,"")</f>
        <v/>
      </c>
      <c r="AT1322" s="25">
        <f>IF(G1322="BLOQ",1,"")</f>
        <v/>
      </c>
      <c r="AU1322" s="25">
        <f>IF(L1322="BLOQ",1,"")</f>
        <v/>
      </c>
      <c r="AV1322" s="25">
        <f>MONTH(F1322)</f>
        <v/>
      </c>
      <c r="AW1322" s="65">
        <f>IF(AP1322="",100%,0%)</f>
        <v/>
      </c>
      <c r="AX1322" s="56" t="n"/>
      <c r="AY1322" s="24">
        <f>IF(M1322=0,"",M1322-$AX$2)</f>
        <v/>
      </c>
      <c r="AZ1322" s="66">
        <f>IF(AND(W1322="",AY1322&gt;0,AY1322&lt;15),1,0)</f>
        <v/>
      </c>
      <c r="BA1322" s="24">
        <f>IF(AND(W1322="",AY1322&gt;0,AY1322&lt;15),T1322,"")</f>
        <v/>
      </c>
      <c r="BB1322" s="87">
        <f>IF(R1322&lt;Q1322,"X","")</f>
        <v/>
      </c>
      <c r="BC1322" s="190" t="inlineStr">
        <is>
          <t>NO</t>
        </is>
      </c>
      <c r="BD1322" s="190" t="inlineStr">
        <is>
          <t>NO</t>
        </is>
      </c>
    </row>
    <row r="1323" ht="15" customHeight="1" s="162">
      <c r="A1323" s="7" t="n">
        <v>1322</v>
      </c>
      <c r="B1323" t="inlineStr">
        <is>
          <t>1209500900300</t>
        </is>
      </c>
      <c r="C1323" t="inlineStr">
        <is>
          <t>CNC HEADER 1X9M 2,54MM PCB RECT LAT/AU</t>
        </is>
      </c>
      <c r="D1323" t="inlineStr">
        <is>
          <t>1800113277</t>
        </is>
      </c>
      <c r="E1323" t="inlineStr">
        <is>
          <t>60</t>
        </is>
      </c>
      <c r="F1323" s="163" t="n">
        <v>45567</v>
      </c>
      <c r="G1323" t="inlineStr"/>
      <c r="H1323" t="inlineStr">
        <is>
          <t>4200582207</t>
        </is>
      </c>
      <c r="I1323" t="inlineStr">
        <is>
          <t>230</t>
        </is>
      </c>
      <c r="J1323" s="163" t="n">
        <v>45586</v>
      </c>
      <c r="K1323" s="163" t="n">
        <v>45777</v>
      </c>
      <c r="L1323" t="inlineStr"/>
      <c r="M1323" s="163" t="n">
        <v>45600</v>
      </c>
      <c r="N1323" s="164" t="n">
        <v>85</v>
      </c>
      <c r="O1323" s="164" t="n">
        <v>8</v>
      </c>
      <c r="P1323" t="inlineStr">
        <is>
          <t>Liberado</t>
        </is>
      </c>
      <c r="Q1323" s="165" t="n">
        <v>20</v>
      </c>
      <c r="R1323" s="165" t="n">
        <v>20</v>
      </c>
      <c r="S1323" s="165" t="n">
        <v>0</v>
      </c>
      <c r="T1323" s="165" t="n">
        <v>20</v>
      </c>
      <c r="U1323" s="166" t="n">
        <v>0</v>
      </c>
      <c r="V1323" s="166" t="n">
        <v>0</v>
      </c>
      <c r="W1323" t="inlineStr"/>
      <c r="X1323" t="inlineStr">
        <is>
          <t>22.60</t>
        </is>
      </c>
      <c r="Y1323" t="inlineStr"/>
      <c r="Z1323" t="inlineStr">
        <is>
          <t>FARNELL COMPONENTS, S.L.</t>
        </is>
      </c>
      <c r="AA1323" t="inlineStr">
        <is>
          <t>MOLEX</t>
        </is>
      </c>
      <c r="AB1323" t="inlineStr">
        <is>
          <t>70543-0008</t>
        </is>
      </c>
      <c r="AC1323" t="inlineStr"/>
      <c r="AD1323" s="164" t="n">
        <v>1</v>
      </c>
      <c r="AE1323" s="185" t="n">
        <v>1</v>
      </c>
      <c r="AG1323" s="167" t="inlineStr">
        <is>
          <t>7218|JA2583_1001</t>
        </is>
      </c>
      <c r="AH1323" s="47">
        <f>IF(M1323=0,"-",M1323-J1323)</f>
        <v/>
      </c>
      <c r="AI1323" s="46">
        <f>IF(AND(S1323=0,M1323&gt;0,L1323=0),IF(AH1323&gt;=120,"VERY HIGH",IF(AH1323&gt;=90,"HIGH",IF(AH1323&gt;=60,"MEDIUM",IF(AH1323&lt;60,"LOW")))),"-")</f>
        <v/>
      </c>
      <c r="AJ1323" s="12" t="n"/>
      <c r="AK1323" s="53">
        <f>IF(AND(W1323="X",M1323&lt;=$AJ$2),"YES","")</f>
        <v/>
      </c>
      <c r="AL1323" s="54">
        <f>IF(AND(W1323="X",M1323&lt;=$AJ$2),S1323,"")</f>
        <v/>
      </c>
      <c r="AM1323" s="35" t="n"/>
      <c r="AN1323" s="35">
        <f>IF(AND(W1323="X",M1323&gt;$AJ$2),S1323,"")</f>
        <v/>
      </c>
      <c r="AO1323" s="35">
        <f>IF(AND(W1323="",M1323&gt;0,$AJ$2&gt;M1323,L1323=""),1,0)</f>
        <v/>
      </c>
      <c r="AP1323" s="35">
        <f>IF(AND(AK1323="YES",W1323="X"),"X","")</f>
        <v/>
      </c>
      <c r="AQ1323" s="55">
        <f>IF(AP1323="X",100%,0%)</f>
        <v/>
      </c>
      <c r="AR1323" s="25">
        <f>IF(AND(T1323&gt;0,L1323=""),H1323,"")</f>
        <v/>
      </c>
      <c r="AS1323" s="25">
        <f>IF(AND(D1323&gt;0,H1323=0,G1323=""),1,"")</f>
        <v/>
      </c>
      <c r="AT1323" s="25">
        <f>IF(G1323="BLOQ",1,"")</f>
        <v/>
      </c>
      <c r="AU1323" s="25">
        <f>IF(L1323="BLOQ",1,"")</f>
        <v/>
      </c>
      <c r="AV1323" s="25">
        <f>MONTH(F1323)</f>
        <v/>
      </c>
      <c r="AW1323" s="65">
        <f>IF(AP1323="",100%,0%)</f>
        <v/>
      </c>
      <c r="AX1323" s="56" t="n"/>
      <c r="AY1323" s="24">
        <f>IF(M1323=0,"",M1323-$AX$2)</f>
        <v/>
      </c>
      <c r="AZ1323" s="66">
        <f>IF(AND(W1323="",AY1323&gt;0,AY1323&lt;15),1,0)</f>
        <v/>
      </c>
      <c r="BA1323" s="24">
        <f>IF(AND(W1323="",AY1323&gt;0,AY1323&lt;15),T1323,"")</f>
        <v/>
      </c>
      <c r="BB1323" s="87">
        <f>IF(R1323&lt;Q1323,"X","")</f>
        <v/>
      </c>
      <c r="BC1323" s="190" t="inlineStr">
        <is>
          <t>NO</t>
        </is>
      </c>
      <c r="BD1323" s="191" t="inlineStr">
        <is>
          <t>SI</t>
        </is>
      </c>
    </row>
    <row r="1324" ht="15" customHeight="1" s="162">
      <c r="A1324" s="7" t="n">
        <v>1323</v>
      </c>
      <c r="B1324" t="inlineStr">
        <is>
          <t>1209501002300</t>
        </is>
      </c>
      <c r="C1324" t="inlineStr">
        <is>
          <t>CNC HEADER 1X10M 2,54MM PCB RECT LAT/SN</t>
        </is>
      </c>
      <c r="D1324" t="inlineStr">
        <is>
          <t>1800113277</t>
        </is>
      </c>
      <c r="E1324" t="inlineStr">
        <is>
          <t>70</t>
        </is>
      </c>
      <c r="F1324" s="163" t="n">
        <v>45567</v>
      </c>
      <c r="G1324" t="inlineStr"/>
      <c r="H1324" t="inlineStr">
        <is>
          <t>4200582207</t>
        </is>
      </c>
      <c r="I1324" t="inlineStr">
        <is>
          <t>240</t>
        </is>
      </c>
      <c r="J1324" s="163" t="n">
        <v>45586</v>
      </c>
      <c r="K1324" s="163" t="n">
        <v>45777</v>
      </c>
      <c r="L1324" t="inlineStr"/>
      <c r="M1324" s="163" t="n">
        <v>45600</v>
      </c>
      <c r="N1324" s="164" t="n">
        <v>85</v>
      </c>
      <c r="O1324" s="164" t="n">
        <v>8</v>
      </c>
      <c r="P1324" t="inlineStr">
        <is>
          <t>Liberado</t>
        </is>
      </c>
      <c r="Q1324" s="165" t="n">
        <v>20</v>
      </c>
      <c r="R1324" s="165" t="n">
        <v>20</v>
      </c>
      <c r="S1324" s="165" t="n">
        <v>0</v>
      </c>
      <c r="T1324" s="165" t="n">
        <v>20</v>
      </c>
      <c r="U1324" s="166" t="n">
        <v>0</v>
      </c>
      <c r="V1324" s="166" t="n">
        <v>0</v>
      </c>
      <c r="W1324" t="inlineStr"/>
      <c r="X1324" t="inlineStr">
        <is>
          <t>23.40</t>
        </is>
      </c>
      <c r="Y1324" t="inlineStr"/>
      <c r="Z1324" t="inlineStr">
        <is>
          <t>FARNELL COMPONENTS, S.L.</t>
        </is>
      </c>
      <c r="AA1324" t="inlineStr">
        <is>
          <t>MOLEX</t>
        </is>
      </c>
      <c r="AB1324" t="inlineStr">
        <is>
          <t>70543-0044</t>
        </is>
      </c>
      <c r="AC1324" t="inlineStr"/>
      <c r="AD1324" s="164" t="n">
        <v>1</v>
      </c>
      <c r="AE1324" s="185" t="n">
        <v>1</v>
      </c>
      <c r="AG1324" s="167" t="inlineStr">
        <is>
          <t>7218|JA2583_1001</t>
        </is>
      </c>
      <c r="AH1324" s="47">
        <f>IF(M1324=0,"-",M1324-J1324)</f>
        <v/>
      </c>
      <c r="AI1324" s="46">
        <f>IF(AND(S1324=0,M1324&gt;0,L1324=0),IF(AH1324&gt;=120,"VERY HIGH",IF(AH1324&gt;=90,"HIGH",IF(AH1324&gt;=60,"MEDIUM",IF(AH1324&lt;60,"LOW")))),"-")</f>
        <v/>
      </c>
      <c r="AJ1324" s="12" t="n"/>
      <c r="AK1324" s="53">
        <f>IF(AND(W1324="X",M1324&lt;=$AJ$2),"YES","")</f>
        <v/>
      </c>
      <c r="AL1324" s="54">
        <f>IF(AND(W1324="X",M1324&lt;=$AJ$2),S1324,"")</f>
        <v/>
      </c>
      <c r="AM1324" s="35" t="n"/>
      <c r="AN1324" s="35">
        <f>IF(AND(W1324="X",M1324&gt;$AJ$2),S1324,"")</f>
        <v/>
      </c>
      <c r="AO1324" s="35">
        <f>IF(AND(W1324="",M1324&gt;0,$AJ$2&gt;M1324,L1324=""),1,0)</f>
        <v/>
      </c>
      <c r="AP1324" s="35">
        <f>IF(AND(AK1324="YES",W1324="X"),"X","")</f>
        <v/>
      </c>
      <c r="AQ1324" s="55">
        <f>IF(AP1324="X",100%,0%)</f>
        <v/>
      </c>
      <c r="AR1324" s="25">
        <f>IF(AND(T1324&gt;0,L1324=""),H1324,"")</f>
        <v/>
      </c>
      <c r="AS1324" s="25">
        <f>IF(AND(D1324&gt;0,H1324=0,G1324=""),1,"")</f>
        <v/>
      </c>
      <c r="AT1324" s="25">
        <f>IF(G1324="BLOQ",1,"")</f>
        <v/>
      </c>
      <c r="AU1324" s="25">
        <f>IF(L1324="BLOQ",1,"")</f>
        <v/>
      </c>
      <c r="AV1324" s="25">
        <f>MONTH(F1324)</f>
        <v/>
      </c>
      <c r="AW1324" s="65">
        <f>IF(AP1324="",100%,0%)</f>
        <v/>
      </c>
      <c r="AX1324" s="56" t="n"/>
      <c r="AY1324" s="24">
        <f>IF(M1324=0,"",M1324-$AX$2)</f>
        <v/>
      </c>
      <c r="AZ1324" s="66">
        <f>IF(AND(W1324="",AY1324&gt;0,AY1324&lt;15),1,0)</f>
        <v/>
      </c>
      <c r="BA1324" s="24">
        <f>IF(AND(W1324="",AY1324&gt;0,AY1324&lt;15),T1324,"")</f>
        <v/>
      </c>
      <c r="BB1324" s="87">
        <f>IF(R1324&lt;Q1324,"X","")</f>
        <v/>
      </c>
      <c r="BC1324" s="190" t="inlineStr">
        <is>
          <t>NO</t>
        </is>
      </c>
      <c r="BD1324" s="191" t="inlineStr">
        <is>
          <t>SI</t>
        </is>
      </c>
    </row>
    <row r="1325" ht="15" customHeight="1" s="162">
      <c r="A1325" s="7" t="n">
        <v>1324</v>
      </c>
      <c r="B1325" t="inlineStr">
        <is>
          <t>1350100110100</t>
        </is>
      </c>
      <c r="C1325" t="inlineStr">
        <is>
          <t>PCB TIPO MATRIZ 100X160MM EUROCARD SRBP</t>
        </is>
      </c>
      <c r="D1325" t="inlineStr">
        <is>
          <t>1800113277</t>
        </is>
      </c>
      <c r="E1325" t="inlineStr">
        <is>
          <t>80</t>
        </is>
      </c>
      <c r="F1325" s="163" t="n">
        <v>45567</v>
      </c>
      <c r="G1325" t="inlineStr"/>
      <c r="H1325" t="inlineStr">
        <is>
          <t>4200580190</t>
        </is>
      </c>
      <c r="I1325" t="inlineStr">
        <is>
          <t>100</t>
        </is>
      </c>
      <c r="J1325" s="163" t="n">
        <v>45572</v>
      </c>
      <c r="K1325" s="163" t="n">
        <v>45573</v>
      </c>
      <c r="L1325" t="inlineStr"/>
      <c r="M1325" s="163" t="n">
        <v>45592</v>
      </c>
      <c r="N1325" s="164" t="n">
        <v>95</v>
      </c>
      <c r="O1325" s="164" t="n">
        <v>8</v>
      </c>
      <c r="P1325" t="inlineStr">
        <is>
          <t>Liberado</t>
        </is>
      </c>
      <c r="Q1325" s="165" t="n">
        <v>5</v>
      </c>
      <c r="R1325" s="165" t="n">
        <v>5</v>
      </c>
      <c r="S1325" s="165" t="n">
        <v>5</v>
      </c>
      <c r="T1325" s="165" t="n">
        <v>0</v>
      </c>
      <c r="U1325" s="166" t="n">
        <v>5</v>
      </c>
      <c r="V1325" s="166" t="n">
        <v>0</v>
      </c>
      <c r="W1325" t="inlineStr">
        <is>
          <t>X</t>
        </is>
      </c>
      <c r="X1325" t="inlineStr">
        <is>
          <t>0.00</t>
        </is>
      </c>
      <c r="Y1325" t="inlineStr"/>
      <c r="Z1325" t="inlineStr">
        <is>
          <t>TCX MICRO, S.L.U</t>
        </is>
      </c>
      <c r="AA1325" t="inlineStr">
        <is>
          <t>RS</t>
        </is>
      </c>
      <c r="AB1325" t="inlineStr">
        <is>
          <t>206-8648</t>
        </is>
      </c>
      <c r="AC1325" t="inlineStr"/>
      <c r="AD1325" s="164" t="n">
        <v>0</v>
      </c>
      <c r="AE1325" s="185" t="n">
        <v>0</v>
      </c>
      <c r="AG1325" s="167" t="inlineStr">
        <is>
          <t>7218|JA2583_1001</t>
        </is>
      </c>
      <c r="AH1325" s="47">
        <f>IF(M1325=0,"-",M1325-J1325)</f>
        <v/>
      </c>
      <c r="AI1325" s="46">
        <f>IF(AND(S1325=0,M1325&gt;0,L1325=0),IF(AH1325&gt;=120,"VERY HIGH",IF(AH1325&gt;=90,"HIGH",IF(AH1325&gt;=60,"MEDIUM",IF(AH1325&lt;60,"LOW")))),"-")</f>
        <v/>
      </c>
      <c r="AJ1325" s="12" t="n"/>
      <c r="AK1325" s="53">
        <f>IF(AND(W1325="X",M1325&lt;=$AJ$2),"YES","")</f>
        <v/>
      </c>
      <c r="AL1325" s="54">
        <f>IF(AND(W1325="X",M1325&lt;=$AJ$2),S1325,"")</f>
        <v/>
      </c>
      <c r="AM1325" s="35" t="n"/>
      <c r="AN1325" s="35">
        <f>IF(AND(W1325="X",M1325&gt;$AJ$2),S1325,"")</f>
        <v/>
      </c>
      <c r="AO1325" s="35">
        <f>IF(AND(W1325="",M1325&gt;0,$AJ$2&gt;M1325,L1325=""),1,0)</f>
        <v/>
      </c>
      <c r="AP1325" s="35">
        <f>IF(AND(AK1325="YES",W1325="X"),"X","")</f>
        <v/>
      </c>
      <c r="AQ1325" s="55">
        <f>IF(AP1325="X",100%,0%)</f>
        <v/>
      </c>
      <c r="AR1325" s="25">
        <f>IF(AND(T1325&gt;0,L1325=""),H1325,"")</f>
        <v/>
      </c>
      <c r="AS1325" s="25">
        <f>IF(AND(D1325&gt;0,H1325=0,G1325=""),1,"")</f>
        <v/>
      </c>
      <c r="AT1325" s="25">
        <f>IF(G1325="BLOQ",1,"")</f>
        <v/>
      </c>
      <c r="AU1325" s="25">
        <f>IF(L1325="BLOQ",1,"")</f>
        <v/>
      </c>
      <c r="AV1325" s="25">
        <f>MONTH(F1325)</f>
        <v/>
      </c>
      <c r="AW1325" s="65">
        <f>IF(AP1325="",100%,0%)</f>
        <v/>
      </c>
      <c r="AX1325" s="56" t="n"/>
      <c r="AY1325" s="24">
        <f>IF(M1325=0,"",M1325-$AX$2)</f>
        <v/>
      </c>
      <c r="AZ1325" s="66">
        <f>IF(AND(W1325="",AY1325&gt;0,AY1325&lt;15),1,0)</f>
        <v/>
      </c>
      <c r="BA1325" s="24">
        <f>IF(AND(W1325="",AY1325&gt;0,AY1325&lt;15),T1325,"")</f>
        <v/>
      </c>
      <c r="BB1325" s="87">
        <f>IF(R1325&lt;Q1325,"X","")</f>
        <v/>
      </c>
      <c r="BC1325" s="190" t="inlineStr">
        <is>
          <t>NO</t>
        </is>
      </c>
      <c r="BD1325" s="191" t="inlineStr">
        <is>
          <t>SI</t>
        </is>
      </c>
    </row>
    <row r="1326" ht="15" customHeight="1" s="162">
      <c r="A1326" s="7" t="n">
        <v>1325</v>
      </c>
      <c r="B1326" t="inlineStr">
        <is>
          <t>3166097300005</t>
        </is>
      </c>
      <c r="C1326" t="inlineStr">
        <is>
          <t>LIC SW FG FUNCTION ROYALTY/SIM C/DONGLE</t>
        </is>
      </c>
      <c r="D1326" t="inlineStr">
        <is>
          <t>1800113362</t>
        </is>
      </c>
      <c r="E1326" t="inlineStr">
        <is>
          <t>10</t>
        </is>
      </c>
      <c r="F1326" s="163" t="n">
        <v>45568</v>
      </c>
      <c r="G1326" t="inlineStr"/>
      <c r="H1326" t="inlineStr">
        <is>
          <t>4200581313</t>
        </is>
      </c>
      <c r="I1326" t="inlineStr">
        <is>
          <t>20</t>
        </is>
      </c>
      <c r="J1326" s="163" t="n">
        <v>45580</v>
      </c>
      <c r="K1326" s="163" t="n">
        <v>45587</v>
      </c>
      <c r="L1326" t="inlineStr"/>
      <c r="M1326" s="163" t="n">
        <v>45642</v>
      </c>
      <c r="N1326" s="164" t="n">
        <v>40</v>
      </c>
      <c r="O1326" s="164" t="n">
        <v>8</v>
      </c>
      <c r="P1326" t="inlineStr">
        <is>
          <t>Liberado</t>
        </is>
      </c>
      <c r="Q1326" s="165" t="n">
        <v>1</v>
      </c>
      <c r="R1326" s="165" t="n">
        <v>1</v>
      </c>
      <c r="S1326" s="165" t="n">
        <v>1</v>
      </c>
      <c r="T1326" s="165" t="n">
        <v>0</v>
      </c>
      <c r="U1326" s="166" t="n">
        <v>1</v>
      </c>
      <c r="V1326" s="166" t="n">
        <v>0</v>
      </c>
      <c r="W1326" t="inlineStr">
        <is>
          <t>X</t>
        </is>
      </c>
      <c r="X1326" t="inlineStr">
        <is>
          <t>0.00</t>
        </is>
      </c>
      <c r="Y1326" t="inlineStr"/>
      <c r="Z1326" t="inlineStr">
        <is>
          <t>THALES AVS FRANCE SAS</t>
        </is>
      </c>
      <c r="AA1326" t="inlineStr">
        <is>
          <t>THALES</t>
        </is>
      </c>
      <c r="AB1326" t="inlineStr">
        <is>
          <t>FG FUNCTION ROYALTY</t>
        </is>
      </c>
      <c r="AC1326" t="inlineStr"/>
      <c r="AD1326" s="164" t="n">
        <v>0</v>
      </c>
      <c r="AE1326" s="185" t="n">
        <v>0</v>
      </c>
      <c r="AG1326" s="167" t="inlineStr">
        <is>
          <t>7218|JA2577_1001</t>
        </is>
      </c>
      <c r="AH1326" s="47">
        <f>IF(M1326=0,"-",M1326-J1326)</f>
        <v/>
      </c>
      <c r="AI1326" s="46">
        <f>IF(AND(S1326=0,M1326&gt;0,L1326=0),IF(AH1326&gt;=120,"VERY HIGH",IF(AH1326&gt;=90,"HIGH",IF(AH1326&gt;=60,"MEDIUM",IF(AH1326&lt;60,"LOW")))),"-")</f>
        <v/>
      </c>
      <c r="AJ1326" s="12" t="n"/>
      <c r="AK1326" s="53">
        <f>IF(AND(W1326="X",M1326&lt;=$AJ$2),"YES","")</f>
        <v/>
      </c>
      <c r="AL1326" s="54">
        <f>IF(AND(W1326="X",M1326&lt;=$AJ$2),S1326,"")</f>
        <v/>
      </c>
      <c r="AM1326" s="35" t="n"/>
      <c r="AN1326" s="35">
        <f>IF(AND(W1326="X",M1326&gt;$AJ$2),S1326,"")</f>
        <v/>
      </c>
      <c r="AO1326" s="35">
        <f>IF(AND(W1326="",M1326&gt;0,$AJ$2&gt;M1326,L1326=""),1,0)</f>
        <v/>
      </c>
      <c r="AP1326" s="35">
        <f>IF(AND(AK1326="YES",W1326="X"),"X","")</f>
        <v/>
      </c>
      <c r="AQ1326" s="55">
        <f>IF(AP1326="X",100%,0%)</f>
        <v/>
      </c>
      <c r="AR1326" s="25">
        <f>IF(AND(T1326&gt;0,L1326=""),H1326,"")</f>
        <v/>
      </c>
      <c r="AS1326" s="25">
        <f>IF(AND(D1326&gt;0,H1326=0,G1326=""),1,"")</f>
        <v/>
      </c>
      <c r="AT1326" s="25">
        <f>IF(G1326="BLOQ",1,"")</f>
        <v/>
      </c>
      <c r="AU1326" s="25">
        <f>IF(L1326="BLOQ",1,"")</f>
        <v/>
      </c>
      <c r="AV1326" s="25">
        <f>MONTH(F1326)</f>
        <v/>
      </c>
      <c r="AW1326" s="65">
        <f>IF(AP1326="",100%,0%)</f>
        <v/>
      </c>
      <c r="AX1326" s="56" t="n"/>
      <c r="AY1326" s="24">
        <f>IF(M1326=0,"",M1326-$AX$2)</f>
        <v/>
      </c>
      <c r="AZ1326" s="66">
        <f>IF(AND(W1326="",AY1326&gt;0,AY1326&lt;15),1,0)</f>
        <v/>
      </c>
      <c r="BA1326" s="24">
        <f>IF(AND(W1326="",AY1326&gt;0,AY1326&lt;15),T1326,"")</f>
        <v/>
      </c>
      <c r="BB1326" s="87">
        <f>IF(R1326&lt;Q1326,"X","")</f>
        <v/>
      </c>
      <c r="BC1326" s="190" t="inlineStr">
        <is>
          <t>NO</t>
        </is>
      </c>
      <c r="BD1326" s="191" t="inlineStr">
        <is>
          <t>SI</t>
        </is>
      </c>
    </row>
    <row r="1327" ht="15" customHeight="1" s="162">
      <c r="A1327" s="7" t="n">
        <v>1326</v>
      </c>
      <c r="B1327" t="inlineStr">
        <is>
          <t>3166097300006</t>
        </is>
      </c>
      <c r="C1327" t="inlineStr">
        <is>
          <t>LIC SW FG FUNCTION STANDARD FEE</t>
        </is>
      </c>
      <c r="D1327" t="inlineStr">
        <is>
          <t>1800113362</t>
        </is>
      </c>
      <c r="E1327" t="inlineStr">
        <is>
          <t>20</t>
        </is>
      </c>
      <c r="F1327" s="163" t="n">
        <v>45568</v>
      </c>
      <c r="G1327" t="inlineStr"/>
      <c r="H1327" t="inlineStr">
        <is>
          <t>4200581313</t>
        </is>
      </c>
      <c r="I1327" t="inlineStr">
        <is>
          <t>30</t>
        </is>
      </c>
      <c r="J1327" s="163" t="n">
        <v>45580</v>
      </c>
      <c r="K1327" s="163" t="n">
        <v>45587</v>
      </c>
      <c r="L1327" t="inlineStr"/>
      <c r="M1327" s="163" t="n">
        <v>45642</v>
      </c>
      <c r="N1327" s="164" t="n">
        <v>40</v>
      </c>
      <c r="O1327" s="164" t="n">
        <v>8</v>
      </c>
      <c r="P1327" t="inlineStr">
        <is>
          <t>Liberado</t>
        </is>
      </c>
      <c r="Q1327" s="165" t="n">
        <v>1</v>
      </c>
      <c r="R1327" s="165" t="n">
        <v>1</v>
      </c>
      <c r="S1327" s="165" t="n">
        <v>1</v>
      </c>
      <c r="T1327" s="165" t="n">
        <v>0</v>
      </c>
      <c r="U1327" s="166" t="n">
        <v>1</v>
      </c>
      <c r="V1327" s="166" t="n">
        <v>0</v>
      </c>
      <c r="W1327" t="inlineStr">
        <is>
          <t>X</t>
        </is>
      </c>
      <c r="X1327" t="inlineStr">
        <is>
          <t>0.00</t>
        </is>
      </c>
      <c r="Y1327" t="inlineStr"/>
      <c r="Z1327" t="inlineStr">
        <is>
          <t>THALES AVS FRANCE SAS</t>
        </is>
      </c>
      <c r="AA1327" t="inlineStr">
        <is>
          <t>THALES</t>
        </is>
      </c>
      <c r="AB1327" t="inlineStr">
        <is>
          <t>FG FUNCTION STANDARD FEE</t>
        </is>
      </c>
      <c r="AC1327" t="inlineStr"/>
      <c r="AD1327" s="164" t="n">
        <v>0</v>
      </c>
      <c r="AE1327" s="185" t="n">
        <v>0</v>
      </c>
      <c r="AG1327" s="167" t="inlineStr">
        <is>
          <t>7218|JA2577_1001</t>
        </is>
      </c>
      <c r="AH1327" s="47">
        <f>IF(M1327=0,"-",M1327-J1327)</f>
        <v/>
      </c>
      <c r="AI1327" s="46">
        <f>IF(AND(S1327=0,M1327&gt;0,L1327=0),IF(AH1327&gt;=120,"VERY HIGH",IF(AH1327&gt;=90,"HIGH",IF(AH1327&gt;=60,"MEDIUM",IF(AH1327&lt;60,"LOW")))),"-")</f>
        <v/>
      </c>
      <c r="AJ1327" s="12" t="n"/>
      <c r="AK1327" s="53">
        <f>IF(AND(W1327="X",M1327&lt;=$AJ$2),"YES","")</f>
        <v/>
      </c>
      <c r="AL1327" s="54">
        <f>IF(AND(W1327="X",M1327&lt;=$AJ$2),S1327,"")</f>
        <v/>
      </c>
      <c r="AM1327" s="35" t="n"/>
      <c r="AN1327" s="35">
        <f>IF(AND(W1327="X",M1327&gt;$AJ$2),S1327,"")</f>
        <v/>
      </c>
      <c r="AO1327" s="35">
        <f>IF(AND(W1327="",M1327&gt;0,$AJ$2&gt;M1327,L1327=""),1,0)</f>
        <v/>
      </c>
      <c r="AP1327" s="35">
        <f>IF(AND(AK1327="YES",W1327="X"),"X","")</f>
        <v/>
      </c>
      <c r="AQ1327" s="55">
        <f>IF(AP1327="X",100%,0%)</f>
        <v/>
      </c>
      <c r="AR1327" s="25">
        <f>IF(AND(T1327&gt;0,L1327=""),H1327,"")</f>
        <v/>
      </c>
      <c r="AS1327" s="25">
        <f>IF(AND(D1327&gt;0,H1327=0,G1327=""),1,"")</f>
        <v/>
      </c>
      <c r="AT1327" s="25">
        <f>IF(G1327="BLOQ",1,"")</f>
        <v/>
      </c>
      <c r="AU1327" s="25">
        <f>IF(L1327="BLOQ",1,"")</f>
        <v/>
      </c>
      <c r="AV1327" s="25">
        <f>MONTH(F1327)</f>
        <v/>
      </c>
      <c r="AW1327" s="65">
        <f>IF(AP1327="",100%,0%)</f>
        <v/>
      </c>
      <c r="AX1327" s="56" t="n"/>
      <c r="AY1327" s="24">
        <f>IF(M1327=0,"",M1327-$AX$2)</f>
        <v/>
      </c>
      <c r="AZ1327" s="66">
        <f>IF(AND(W1327="",AY1327&gt;0,AY1327&lt;15),1,0)</f>
        <v/>
      </c>
      <c r="BA1327" s="24">
        <f>IF(AND(W1327="",AY1327&gt;0,AY1327&lt;15),T1327,"")</f>
        <v/>
      </c>
      <c r="BB1327" s="87">
        <f>IF(R1327&lt;Q1327,"X","")</f>
        <v/>
      </c>
      <c r="BC1327" s="190" t="inlineStr">
        <is>
          <t>NO</t>
        </is>
      </c>
      <c r="BD1327" s="191" t="inlineStr">
        <is>
          <t>SI</t>
        </is>
      </c>
    </row>
    <row r="1328" ht="15" customHeight="1" s="162">
      <c r="A1328" s="7" t="n">
        <v>1327</v>
      </c>
      <c r="B1328" t="inlineStr">
        <is>
          <t>3166097300007</t>
        </is>
      </c>
      <c r="C1328" t="inlineStr">
        <is>
          <t>LIC SW EIS 2 FUNCTION REPLICATION FEE</t>
        </is>
      </c>
      <c r="D1328" t="inlineStr">
        <is>
          <t>1800113363</t>
        </is>
      </c>
      <c r="E1328" t="inlineStr">
        <is>
          <t>10</t>
        </is>
      </c>
      <c r="F1328" s="163" t="n">
        <v>45568</v>
      </c>
      <c r="G1328" t="inlineStr"/>
      <c r="H1328" t="inlineStr">
        <is>
          <t>4200581313</t>
        </is>
      </c>
      <c r="I1328" t="inlineStr">
        <is>
          <t>10</t>
        </is>
      </c>
      <c r="J1328" s="163" t="n">
        <v>45580</v>
      </c>
      <c r="K1328" s="163" t="n">
        <v>45587</v>
      </c>
      <c r="L1328" t="inlineStr"/>
      <c r="M1328" s="163" t="n">
        <v>45642</v>
      </c>
      <c r="N1328" s="164" t="n">
        <v>40</v>
      </c>
      <c r="O1328" s="164" t="n">
        <v>8</v>
      </c>
      <c r="P1328" t="inlineStr">
        <is>
          <t>Liberado</t>
        </is>
      </c>
      <c r="Q1328" s="165" t="n">
        <v>1</v>
      </c>
      <c r="R1328" s="165" t="n">
        <v>1</v>
      </c>
      <c r="S1328" s="165" t="n">
        <v>1</v>
      </c>
      <c r="T1328" s="165" t="n">
        <v>0</v>
      </c>
      <c r="U1328" s="166" t="n">
        <v>1</v>
      </c>
      <c r="V1328" s="166" t="n">
        <v>0</v>
      </c>
      <c r="W1328" t="inlineStr">
        <is>
          <t>X</t>
        </is>
      </c>
      <c r="X1328" t="inlineStr">
        <is>
          <t>0.00</t>
        </is>
      </c>
      <c r="Y1328" t="inlineStr"/>
      <c r="Z1328" t="inlineStr">
        <is>
          <t>THALES AVS FRANCE SAS</t>
        </is>
      </c>
      <c r="AA1328" t="inlineStr">
        <is>
          <t>THALES</t>
        </is>
      </c>
      <c r="AB1328" t="inlineStr">
        <is>
          <t>EIS 2 FUNCTION REPLICATION FEE</t>
        </is>
      </c>
      <c r="AC1328" t="inlineStr"/>
      <c r="AD1328" s="164" t="n">
        <v>0</v>
      </c>
      <c r="AE1328" s="185" t="n">
        <v>0</v>
      </c>
      <c r="AG1328" s="167" t="inlineStr">
        <is>
          <t>7218|JA2576_1001</t>
        </is>
      </c>
      <c r="AH1328" s="47">
        <f>IF(M1328=0,"-",M1328-J1328)</f>
        <v/>
      </c>
      <c r="AI1328" s="46">
        <f>IF(AND(S1328=0,M1328&gt;0,L1328=0),IF(AH1328&gt;=120,"VERY HIGH",IF(AH1328&gt;=90,"HIGH",IF(AH1328&gt;=60,"MEDIUM",IF(AH1328&lt;60,"LOW")))),"-")</f>
        <v/>
      </c>
      <c r="AJ1328" s="12" t="n"/>
      <c r="AK1328" s="53">
        <f>IF(AND(W1328="X",M1328&lt;=$AJ$2),"YES","")</f>
        <v/>
      </c>
      <c r="AL1328" s="54">
        <f>IF(AND(W1328="X",M1328&lt;=$AJ$2),S1328,"")</f>
        <v/>
      </c>
      <c r="AM1328" s="35" t="n"/>
      <c r="AN1328" s="35">
        <f>IF(AND(W1328="X",M1328&gt;$AJ$2),S1328,"")</f>
        <v/>
      </c>
      <c r="AO1328" s="35">
        <f>IF(AND(W1328="",M1328&gt;0,$AJ$2&gt;M1328,L1328=""),1,0)</f>
        <v/>
      </c>
      <c r="AP1328" s="35">
        <f>IF(AND(AK1328="YES",W1328="X"),"X","")</f>
        <v/>
      </c>
      <c r="AQ1328" s="55">
        <f>IF(AP1328="X",100%,0%)</f>
        <v/>
      </c>
      <c r="AR1328" s="25">
        <f>IF(AND(T1328&gt;0,L1328=""),H1328,"")</f>
        <v/>
      </c>
      <c r="AS1328" s="25">
        <f>IF(AND(D1328&gt;0,H1328=0,G1328=""),1,"")</f>
        <v/>
      </c>
      <c r="AT1328" s="25">
        <f>IF(G1328="BLOQ",1,"")</f>
        <v/>
      </c>
      <c r="AU1328" s="25">
        <f>IF(L1328="BLOQ",1,"")</f>
        <v/>
      </c>
      <c r="AV1328" s="25">
        <f>MONTH(F1328)</f>
        <v/>
      </c>
      <c r="AW1328" s="65">
        <f>IF(AP1328="",100%,0%)</f>
        <v/>
      </c>
      <c r="AX1328" s="56" t="n"/>
      <c r="AY1328" s="24">
        <f>IF(M1328=0,"",M1328-$AX$2)</f>
        <v/>
      </c>
      <c r="AZ1328" s="66">
        <f>IF(AND(W1328="",AY1328&gt;0,AY1328&lt;15),1,0)</f>
        <v/>
      </c>
      <c r="BA1328" s="24">
        <f>IF(AND(W1328="",AY1328&gt;0,AY1328&lt;15),T1328,"")</f>
        <v/>
      </c>
      <c r="BB1328" s="87">
        <f>IF(R1328&lt;Q1328,"X","")</f>
        <v/>
      </c>
      <c r="BC1328" s="190" t="inlineStr">
        <is>
          <t>NO</t>
        </is>
      </c>
      <c r="BD1328" s="191" t="inlineStr">
        <is>
          <t>SI</t>
        </is>
      </c>
    </row>
    <row r="1329" ht="15" customHeight="1" s="162">
      <c r="A1329" s="7" t="n">
        <v>1328</v>
      </c>
      <c r="B1329" t="inlineStr">
        <is>
          <t>3166097300007</t>
        </is>
      </c>
      <c r="C1329" t="inlineStr">
        <is>
          <t>LIC SW EIS 2 FUNCTION REPLICATION FEE</t>
        </is>
      </c>
      <c r="D1329" t="inlineStr">
        <is>
          <t>1800113363</t>
        </is>
      </c>
      <c r="E1329" t="inlineStr">
        <is>
          <t>10</t>
        </is>
      </c>
      <c r="F1329" s="163" t="n">
        <v>45568</v>
      </c>
      <c r="G1329" t="inlineStr"/>
      <c r="H1329" t="inlineStr">
        <is>
          <t>4200580115</t>
        </is>
      </c>
      <c r="I1329" t="inlineStr">
        <is>
          <t>10</t>
        </is>
      </c>
      <c r="J1329" s="163" t="n">
        <v>45569</v>
      </c>
      <c r="K1329" s="163" t="n">
        <v>45573</v>
      </c>
      <c r="L1329" t="inlineStr">
        <is>
          <t>BORR</t>
        </is>
      </c>
      <c r="M1329" s="163" t="n">
        <v>45642</v>
      </c>
      <c r="N1329" s="164" t="n">
        <v>40</v>
      </c>
      <c r="O1329" s="164" t="n">
        <v>8</v>
      </c>
      <c r="P1329" t="inlineStr"/>
      <c r="Q1329" s="165" t="n">
        <v>1</v>
      </c>
      <c r="R1329" s="165" t="n">
        <v>1</v>
      </c>
      <c r="S1329" s="165" t="n">
        <v>0</v>
      </c>
      <c r="T1329" s="165" t="n">
        <v>1</v>
      </c>
      <c r="U1329" s="166" t="n">
        <v>0</v>
      </c>
      <c r="V1329" s="166" t="n">
        <v>0</v>
      </c>
      <c r="W1329" t="inlineStr"/>
      <c r="X1329" t="inlineStr">
        <is>
          <t>99704.00</t>
        </is>
      </c>
      <c r="Y1329" t="inlineStr"/>
      <c r="Z1329" t="inlineStr">
        <is>
          <t>THALES AVS FRANCE SAS</t>
        </is>
      </c>
      <c r="AA1329" t="inlineStr">
        <is>
          <t>THALES</t>
        </is>
      </c>
      <c r="AB1329" t="inlineStr">
        <is>
          <t>EIS 2 FUNCTION REPLICATION FEE</t>
        </is>
      </c>
      <c r="AC1329" t="inlineStr"/>
      <c r="AD1329" s="164" t="n">
        <v>0</v>
      </c>
      <c r="AE1329" s="185" t="n">
        <v>0</v>
      </c>
      <c r="AG1329" s="167" t="inlineStr">
        <is>
          <t>7218|JA2576_1001</t>
        </is>
      </c>
      <c r="AH1329" s="47">
        <f>IF(M1329=0,"-",M1329-J1329)</f>
        <v/>
      </c>
      <c r="AI1329" s="46">
        <f>IF(AND(S1329=0,M1329&gt;0,L1329=0),IF(AH1329&gt;=120,"VERY HIGH",IF(AH1329&gt;=90,"HIGH",IF(AH1329&gt;=60,"MEDIUM",IF(AH1329&lt;60,"LOW")))),"-")</f>
        <v/>
      </c>
      <c r="AJ1329" s="12" t="n"/>
      <c r="AK1329" s="53">
        <f>IF(AND(W1329="X",M1329&lt;=$AJ$2),"YES","")</f>
        <v/>
      </c>
      <c r="AL1329" s="54">
        <f>IF(AND(W1329="X",M1329&lt;=$AJ$2),S1329,"")</f>
        <v/>
      </c>
      <c r="AM1329" s="35" t="n"/>
      <c r="AN1329" s="35">
        <f>IF(AND(W1329="X",M1329&gt;$AJ$2),S1329,"")</f>
        <v/>
      </c>
      <c r="AO1329" s="35">
        <f>IF(AND(W1329="",M1329&gt;0,$AJ$2&gt;M1329,L1329=""),1,0)</f>
        <v/>
      </c>
      <c r="AP1329" s="35">
        <f>IF(AND(AK1329="YES",W1329="X"),"X","")</f>
        <v/>
      </c>
      <c r="AQ1329" s="55">
        <f>IF(AP1329="X",100%,0%)</f>
        <v/>
      </c>
      <c r="AR1329" s="25">
        <f>IF(AND(T1329&gt;0,L1329=""),H1329,"")</f>
        <v/>
      </c>
      <c r="AS1329" s="25">
        <f>IF(AND(D1329&gt;0,H1329=0,G1329=""),1,"")</f>
        <v/>
      </c>
      <c r="AT1329" s="25">
        <f>IF(G1329="BLOQ",1,"")</f>
        <v/>
      </c>
      <c r="AU1329" s="25">
        <f>IF(L1329="BLOQ",1,"")</f>
        <v/>
      </c>
      <c r="AV1329" s="25">
        <f>MONTH(F1329)</f>
        <v/>
      </c>
      <c r="AW1329" s="65">
        <f>IF(AP1329="",100%,0%)</f>
        <v/>
      </c>
      <c r="AX1329" s="56" t="n"/>
      <c r="AY1329" s="24">
        <f>IF(M1329=0,"",M1329-$AX$2)</f>
        <v/>
      </c>
      <c r="AZ1329" s="66">
        <f>IF(AND(W1329="",AY1329&gt;0,AY1329&lt;15),1,0)</f>
        <v/>
      </c>
      <c r="BA1329" s="24">
        <f>IF(AND(W1329="",AY1329&gt;0,AY1329&lt;15),T1329,"")</f>
        <v/>
      </c>
      <c r="BB1329" s="87">
        <f>IF(R1329&lt;Q1329,"X","")</f>
        <v/>
      </c>
      <c r="BC1329" s="190" t="inlineStr">
        <is>
          <t>NO</t>
        </is>
      </c>
      <c r="BD1329" s="191" t="inlineStr">
        <is>
          <t>SI</t>
        </is>
      </c>
    </row>
    <row r="1330" ht="15" customHeight="1" s="162">
      <c r="A1330" s="7" t="n">
        <v>1329</v>
      </c>
      <c r="B1330" t="inlineStr">
        <is>
          <t>1000143302050</t>
        </is>
      </c>
      <c r="C1330" t="inlineStr">
        <is>
          <t>RST PELMET  3K3 1% 0,4W  50PPM 0204 ROHS</t>
        </is>
      </c>
      <c r="D1330" t="inlineStr">
        <is>
          <t>1800113419</t>
        </is>
      </c>
      <c r="E1330" t="inlineStr">
        <is>
          <t>10</t>
        </is>
      </c>
      <c r="F1330" s="163" t="n">
        <v>45569</v>
      </c>
      <c r="G1330" t="inlineStr"/>
      <c r="H1330" t="inlineStr">
        <is>
          <t>4200580590</t>
        </is>
      </c>
      <c r="I1330" t="inlineStr">
        <is>
          <t>450</t>
        </is>
      </c>
      <c r="J1330" s="163" t="n">
        <v>45574</v>
      </c>
      <c r="K1330" s="163" t="n">
        <v>45576</v>
      </c>
      <c r="L1330" t="inlineStr"/>
      <c r="M1330" s="163" t="n">
        <v>45592</v>
      </c>
      <c r="N1330" s="164" t="n">
        <v>100</v>
      </c>
      <c r="O1330" s="164" t="n">
        <v>8</v>
      </c>
      <c r="P1330" t="inlineStr">
        <is>
          <t>Liberado</t>
        </is>
      </c>
      <c r="Q1330" s="165" t="n">
        <v>40</v>
      </c>
      <c r="R1330" s="165" t="n">
        <v>40</v>
      </c>
      <c r="S1330" s="165" t="n">
        <v>40</v>
      </c>
      <c r="T1330" s="165" t="n">
        <v>0</v>
      </c>
      <c r="U1330" s="166" t="n">
        <v>40</v>
      </c>
      <c r="V1330" s="166" t="n">
        <v>0</v>
      </c>
      <c r="W1330" t="inlineStr">
        <is>
          <t>X</t>
        </is>
      </c>
      <c r="X1330" t="inlineStr">
        <is>
          <t>0.00</t>
        </is>
      </c>
      <c r="Y1330" t="inlineStr"/>
      <c r="Z1330" t="inlineStr">
        <is>
          <t>ICOMPPLUS ELECTRONICS S.L</t>
        </is>
      </c>
      <c r="AA1330" t="inlineStr">
        <is>
          <t>VISHAY</t>
        </is>
      </c>
      <c r="AB1330" t="inlineStr">
        <is>
          <t>MRS16000C3301FCT00</t>
        </is>
      </c>
      <c r="AC1330" t="inlineStr"/>
      <c r="AD1330" s="164" t="n">
        <v>0</v>
      </c>
      <c r="AE1330" s="185" t="n">
        <v>0</v>
      </c>
      <c r="AG1330" s="167" t="inlineStr">
        <is>
          <t>7218|JA2583_1001</t>
        </is>
      </c>
      <c r="AH1330" s="47">
        <f>IF(M1330=0,"-",M1330-J1330)</f>
        <v/>
      </c>
      <c r="AI1330" s="46">
        <f>IF(AND(S1330=0,M1330&gt;0,L1330=0),IF(AH1330&gt;=120,"VERY HIGH",IF(AH1330&gt;=90,"HIGH",IF(AH1330&gt;=60,"MEDIUM",IF(AH1330&lt;60,"LOW")))),"-")</f>
        <v/>
      </c>
      <c r="AJ1330" s="12" t="n"/>
      <c r="AK1330" s="53">
        <f>IF(AND(W1330="X",M1330&lt;=$AJ$2),"YES","")</f>
        <v/>
      </c>
      <c r="AL1330" s="54">
        <f>IF(AND(W1330="X",M1330&lt;=$AJ$2),S1330,"")</f>
        <v/>
      </c>
      <c r="AM1330" s="35" t="n"/>
      <c r="AN1330" s="35">
        <f>IF(AND(W1330="X",M1330&gt;$AJ$2),S1330,"")</f>
        <v/>
      </c>
      <c r="AO1330" s="35">
        <f>IF(AND(W1330="",M1330&gt;0,$AJ$2&gt;M1330,L1330=""),1,0)</f>
        <v/>
      </c>
      <c r="AP1330" s="35">
        <f>IF(AND(AK1330="YES",W1330="X"),"X","")</f>
        <v/>
      </c>
      <c r="AQ1330" s="55">
        <f>IF(AP1330="X",100%,0%)</f>
        <v/>
      </c>
      <c r="AR1330" s="25">
        <f>IF(AND(T1330&gt;0,L1330=""),H1330,"")</f>
        <v/>
      </c>
      <c r="AS1330" s="25">
        <f>IF(AND(D1330&gt;0,H1330=0,G1330=""),1,"")</f>
        <v/>
      </c>
      <c r="AT1330" s="25">
        <f>IF(G1330="BLOQ",1,"")</f>
        <v/>
      </c>
      <c r="AU1330" s="25">
        <f>IF(L1330="BLOQ",1,"")</f>
        <v/>
      </c>
      <c r="AV1330" s="25">
        <f>MONTH(F1330)</f>
        <v/>
      </c>
      <c r="AW1330" s="65">
        <f>IF(AP1330="",100%,0%)</f>
        <v/>
      </c>
      <c r="AX1330" s="56" t="n"/>
      <c r="AY1330" s="24">
        <f>IF(M1330=0,"",M1330-$AX$2)</f>
        <v/>
      </c>
      <c r="AZ1330" s="66">
        <f>IF(AND(W1330="",AY1330&gt;0,AY1330&lt;15),1,0)</f>
        <v/>
      </c>
      <c r="BA1330" s="24">
        <f>IF(AND(W1330="",AY1330&gt;0,AY1330&lt;15),T1330,"")</f>
        <v/>
      </c>
      <c r="BB1330" s="87">
        <f>IF(R1330&lt;Q1330,"X","")</f>
        <v/>
      </c>
      <c r="BC1330" s="190" t="inlineStr">
        <is>
          <t>NO</t>
        </is>
      </c>
      <c r="BD1330" s="191" t="inlineStr">
        <is>
          <t>SI</t>
        </is>
      </c>
    </row>
    <row r="1331" ht="15" customHeight="1" s="162">
      <c r="A1331" s="7" t="n">
        <v>1330</v>
      </c>
      <c r="B1331" t="inlineStr">
        <is>
          <t>1000243901101</t>
        </is>
      </c>
      <c r="C1331" t="inlineStr">
        <is>
          <t>RST PELMET AXI 3K90 1% 50PPM 3/5W 0207 R</t>
        </is>
      </c>
      <c r="D1331" t="inlineStr">
        <is>
          <t>1800113419</t>
        </is>
      </c>
      <c r="E1331" t="inlineStr">
        <is>
          <t>20</t>
        </is>
      </c>
      <c r="F1331" s="163" t="n">
        <v>45569</v>
      </c>
      <c r="G1331" t="inlineStr"/>
      <c r="H1331" t="inlineStr">
        <is>
          <t>4200580523</t>
        </is>
      </c>
      <c r="I1331" t="inlineStr">
        <is>
          <t>720</t>
        </is>
      </c>
      <c r="J1331" s="163" t="n">
        <v>45574</v>
      </c>
      <c r="K1331" s="163" t="n">
        <v>45574</v>
      </c>
      <c r="L1331" t="inlineStr"/>
      <c r="M1331" s="163" t="n">
        <v>45592</v>
      </c>
      <c r="N1331" s="164" t="n">
        <v>40</v>
      </c>
      <c r="O1331" s="164" t="n">
        <v>8</v>
      </c>
      <c r="P1331" t="inlineStr">
        <is>
          <t>Liberado</t>
        </is>
      </c>
      <c r="Q1331" s="165" t="n">
        <v>40</v>
      </c>
      <c r="R1331" s="165" t="n">
        <v>40</v>
      </c>
      <c r="S1331" s="165" t="n">
        <v>40</v>
      </c>
      <c r="T1331" s="165" t="n">
        <v>0</v>
      </c>
      <c r="U1331" s="166" t="n">
        <v>40</v>
      </c>
      <c r="V1331" s="166" t="n">
        <v>0</v>
      </c>
      <c r="W1331" t="inlineStr">
        <is>
          <t>X</t>
        </is>
      </c>
      <c r="X1331" t="inlineStr">
        <is>
          <t>0.00</t>
        </is>
      </c>
      <c r="Y1331" t="inlineStr"/>
      <c r="Z1331" t="inlineStr">
        <is>
          <t>ICOMPPLUS ELECTRONICS S.L</t>
        </is>
      </c>
      <c r="AA1331" t="inlineStr">
        <is>
          <t>VISHAY</t>
        </is>
      </c>
      <c r="AB1331" t="inlineStr">
        <is>
          <t>MRS25000C3901FCT00</t>
        </is>
      </c>
      <c r="AC1331" t="inlineStr"/>
      <c r="AD1331" s="164" t="n">
        <v>0</v>
      </c>
      <c r="AE1331" s="185" t="n">
        <v>0</v>
      </c>
      <c r="AG1331" s="167" t="inlineStr">
        <is>
          <t>7218|JA2583_1001</t>
        </is>
      </c>
      <c r="AH1331" s="47">
        <f>IF(M1331=0,"-",M1331-J1331)</f>
        <v/>
      </c>
      <c r="AI1331" s="46">
        <f>IF(AND(S1331=0,M1331&gt;0,L1331=0),IF(AH1331&gt;=120,"VERY HIGH",IF(AH1331&gt;=90,"HIGH",IF(AH1331&gt;=60,"MEDIUM",IF(AH1331&lt;60,"LOW")))),"-")</f>
        <v/>
      </c>
      <c r="AJ1331" s="12" t="n"/>
      <c r="AK1331" s="53">
        <f>IF(AND(W1331="X",M1331&lt;=$AJ$2),"YES","")</f>
        <v/>
      </c>
      <c r="AL1331" s="54">
        <f>IF(AND(W1331="X",M1331&lt;=$AJ$2),S1331,"")</f>
        <v/>
      </c>
      <c r="AM1331" s="35" t="n"/>
      <c r="AN1331" s="35">
        <f>IF(AND(W1331="X",M1331&gt;$AJ$2),S1331,"")</f>
        <v/>
      </c>
      <c r="AO1331" s="35">
        <f>IF(AND(W1331="",M1331&gt;0,$AJ$2&gt;M1331,L1331=""),1,0)</f>
        <v/>
      </c>
      <c r="AP1331" s="35">
        <f>IF(AND(AK1331="YES",W1331="X"),"X","")</f>
        <v/>
      </c>
      <c r="AQ1331" s="55">
        <f>IF(AP1331="X",100%,0%)</f>
        <v/>
      </c>
      <c r="AR1331" s="25">
        <f>IF(AND(T1331&gt;0,L1331=""),H1331,"")</f>
        <v/>
      </c>
      <c r="AS1331" s="25">
        <f>IF(AND(D1331&gt;0,H1331=0,G1331=""),1,"")</f>
        <v/>
      </c>
      <c r="AT1331" s="25">
        <f>IF(G1331="BLOQ",1,"")</f>
        <v/>
      </c>
      <c r="AU1331" s="25">
        <f>IF(L1331="BLOQ",1,"")</f>
        <v/>
      </c>
      <c r="AV1331" s="25">
        <f>MONTH(F1331)</f>
        <v/>
      </c>
      <c r="AW1331" s="65">
        <f>IF(AP1331="",100%,0%)</f>
        <v/>
      </c>
      <c r="AX1331" s="56" t="n"/>
      <c r="AY1331" s="24">
        <f>IF(M1331=0,"",M1331-$AX$2)</f>
        <v/>
      </c>
      <c r="AZ1331" s="66">
        <f>IF(AND(W1331="",AY1331&gt;0,AY1331&lt;15),1,0)</f>
        <v/>
      </c>
      <c r="BA1331" s="24">
        <f>IF(AND(W1331="",AY1331&gt;0,AY1331&lt;15),T1331,"")</f>
        <v/>
      </c>
      <c r="BB1331" s="87">
        <f>IF(R1331&lt;Q1331,"X","")</f>
        <v/>
      </c>
      <c r="BC1331" s="190" t="inlineStr">
        <is>
          <t>NO</t>
        </is>
      </c>
      <c r="BD1331" s="191" t="inlineStr">
        <is>
          <t>SI</t>
        </is>
      </c>
    </row>
    <row r="1332" ht="15" customHeight="1" s="162">
      <c r="A1332" s="7" t="n">
        <v>1331</v>
      </c>
      <c r="B1332" t="inlineStr">
        <is>
          <t>1000245601001</t>
        </is>
      </c>
      <c r="C1332" t="inlineStr">
        <is>
          <t>RST PELMET AXI 5K6 1% 50PPM 0.6W 0207 RH</t>
        </is>
      </c>
      <c r="D1332" t="inlineStr">
        <is>
          <t>1800113419</t>
        </is>
      </c>
      <c r="E1332" t="inlineStr">
        <is>
          <t>30</t>
        </is>
      </c>
      <c r="F1332" s="163" t="n">
        <v>45569</v>
      </c>
      <c r="G1332" t="inlineStr"/>
      <c r="H1332" t="inlineStr">
        <is>
          <t>4200580523</t>
        </is>
      </c>
      <c r="I1332" t="inlineStr">
        <is>
          <t>730</t>
        </is>
      </c>
      <c r="J1332" s="163" t="n">
        <v>45574</v>
      </c>
      <c r="K1332" s="163" t="n">
        <v>45574</v>
      </c>
      <c r="L1332" t="inlineStr"/>
      <c r="M1332" s="163" t="n">
        <v>45592</v>
      </c>
      <c r="N1332" s="164" t="n">
        <v>100</v>
      </c>
      <c r="O1332" s="164" t="n">
        <v>8</v>
      </c>
      <c r="P1332" t="inlineStr">
        <is>
          <t>Liberado</t>
        </is>
      </c>
      <c r="Q1332" s="165" t="n">
        <v>40</v>
      </c>
      <c r="R1332" s="165" t="n">
        <v>40</v>
      </c>
      <c r="S1332" s="165" t="n">
        <v>40</v>
      </c>
      <c r="T1332" s="165" t="n">
        <v>0</v>
      </c>
      <c r="U1332" s="166" t="n">
        <v>40</v>
      </c>
      <c r="V1332" s="166" t="n">
        <v>0</v>
      </c>
      <c r="W1332" t="inlineStr">
        <is>
          <t>X</t>
        </is>
      </c>
      <c r="X1332" t="inlineStr">
        <is>
          <t>0.00</t>
        </is>
      </c>
      <c r="Y1332" t="inlineStr"/>
      <c r="Z1332" t="inlineStr">
        <is>
          <t>ICOMPPLUS ELECTRONICS S.L</t>
        </is>
      </c>
      <c r="AA1332" t="inlineStr">
        <is>
          <t>VISHAY</t>
        </is>
      </c>
      <c r="AB1332" t="inlineStr">
        <is>
          <t>MRS25000C5601FCT00</t>
        </is>
      </c>
      <c r="AC1332" t="inlineStr"/>
      <c r="AD1332" s="164" t="n">
        <v>0</v>
      </c>
      <c r="AE1332" s="185" t="n">
        <v>0</v>
      </c>
      <c r="AG1332" s="167" t="inlineStr">
        <is>
          <t>7218|JA2583_1001</t>
        </is>
      </c>
      <c r="AH1332" s="47">
        <f>IF(M1332=0,"-",M1332-J1332)</f>
        <v/>
      </c>
      <c r="AI1332" s="46">
        <f>IF(AND(S1332=0,M1332&gt;0,L1332=0),IF(AH1332&gt;=120,"VERY HIGH",IF(AH1332&gt;=90,"HIGH",IF(AH1332&gt;=60,"MEDIUM",IF(AH1332&lt;60,"LOW")))),"-")</f>
        <v/>
      </c>
      <c r="AJ1332" s="12" t="n"/>
      <c r="AK1332" s="53">
        <f>IF(AND(W1332="X",M1332&lt;=$AJ$2),"YES","")</f>
        <v/>
      </c>
      <c r="AL1332" s="54">
        <f>IF(AND(W1332="X",M1332&lt;=$AJ$2),S1332,"")</f>
        <v/>
      </c>
      <c r="AM1332" s="35" t="n"/>
      <c r="AN1332" s="35">
        <f>IF(AND(W1332="X",M1332&gt;$AJ$2),S1332,"")</f>
        <v/>
      </c>
      <c r="AO1332" s="35">
        <f>IF(AND(W1332="",M1332&gt;0,$AJ$2&gt;M1332,L1332=""),1,0)</f>
        <v/>
      </c>
      <c r="AP1332" s="35">
        <f>IF(AND(AK1332="YES",W1332="X"),"X","")</f>
        <v/>
      </c>
      <c r="AQ1332" s="55">
        <f>IF(AP1332="X",100%,0%)</f>
        <v/>
      </c>
      <c r="AR1332" s="25">
        <f>IF(AND(T1332&gt;0,L1332=""),H1332,"")</f>
        <v/>
      </c>
      <c r="AS1332" s="25">
        <f>IF(AND(D1332&gt;0,H1332=0,G1332=""),1,"")</f>
        <v/>
      </c>
      <c r="AT1332" s="25">
        <f>IF(G1332="BLOQ",1,"")</f>
        <v/>
      </c>
      <c r="AU1332" s="25">
        <f>IF(L1332="BLOQ",1,"")</f>
        <v/>
      </c>
      <c r="AV1332" s="25">
        <f>MONTH(F1332)</f>
        <v/>
      </c>
      <c r="AW1332" s="65">
        <f>IF(AP1332="",100%,0%)</f>
        <v/>
      </c>
      <c r="AX1332" s="56" t="n"/>
      <c r="AY1332" s="24">
        <f>IF(M1332=0,"",M1332-$AX$2)</f>
        <v/>
      </c>
      <c r="AZ1332" s="66">
        <f>IF(AND(W1332="",AY1332&gt;0,AY1332&lt;15),1,0)</f>
        <v/>
      </c>
      <c r="BA1332" s="24">
        <f>IF(AND(W1332="",AY1332&gt;0,AY1332&lt;15),T1332,"")</f>
        <v/>
      </c>
      <c r="BB1332" s="87">
        <f>IF(R1332&lt;Q1332,"X","")</f>
        <v/>
      </c>
      <c r="BC1332" s="190" t="inlineStr">
        <is>
          <t>NO</t>
        </is>
      </c>
      <c r="BD1332" s="191" t="inlineStr">
        <is>
          <t>SI</t>
        </is>
      </c>
    </row>
    <row r="1333" ht="15" customHeight="1" s="162">
      <c r="A1333" s="7" t="n">
        <v>1332</v>
      </c>
      <c r="B1333" t="inlineStr">
        <is>
          <t>1000251001301</t>
        </is>
      </c>
      <c r="C1333" t="inlineStr">
        <is>
          <t>RST PELMET AXI 10K 1% 50PPM 0.6W 0207 RH</t>
        </is>
      </c>
      <c r="D1333" t="inlineStr">
        <is>
          <t>1800113419</t>
        </is>
      </c>
      <c r="E1333" t="inlineStr">
        <is>
          <t>40</t>
        </is>
      </c>
      <c r="F1333" s="163" t="n">
        <v>45569</v>
      </c>
      <c r="G1333" t="inlineStr"/>
      <c r="H1333" t="inlineStr">
        <is>
          <t>4200580590</t>
        </is>
      </c>
      <c r="I1333" t="inlineStr">
        <is>
          <t>460</t>
        </is>
      </c>
      <c r="J1333" s="163" t="n">
        <v>45574</v>
      </c>
      <c r="K1333" s="163" t="n">
        <v>45576</v>
      </c>
      <c r="L1333" t="inlineStr"/>
      <c r="M1333" s="163" t="n">
        <v>45592</v>
      </c>
      <c r="N1333" s="164" t="n">
        <v>100</v>
      </c>
      <c r="O1333" s="164" t="n">
        <v>8</v>
      </c>
      <c r="P1333" t="inlineStr">
        <is>
          <t>Liberado</t>
        </is>
      </c>
      <c r="Q1333" s="165" t="n">
        <v>40</v>
      </c>
      <c r="R1333" s="165" t="n">
        <v>40</v>
      </c>
      <c r="S1333" s="165" t="n">
        <v>40</v>
      </c>
      <c r="T1333" s="165" t="n">
        <v>0</v>
      </c>
      <c r="U1333" s="166" t="n">
        <v>40</v>
      </c>
      <c r="V1333" s="166" t="n">
        <v>0</v>
      </c>
      <c r="W1333" t="inlineStr">
        <is>
          <t>X</t>
        </is>
      </c>
      <c r="X1333" t="inlineStr">
        <is>
          <t>0.00</t>
        </is>
      </c>
      <c r="Y1333" t="inlineStr"/>
      <c r="Z1333" t="inlineStr">
        <is>
          <t>ICOMPPLUS ELECTRONICS S.L</t>
        </is>
      </c>
      <c r="AA1333" t="inlineStr">
        <is>
          <t>VISHAY</t>
        </is>
      </c>
      <c r="AB1333" t="inlineStr">
        <is>
          <t>MRS25000C1002FCT00</t>
        </is>
      </c>
      <c r="AC1333" t="inlineStr"/>
      <c r="AD1333" s="164" t="n">
        <v>0</v>
      </c>
      <c r="AE1333" s="185" t="n">
        <v>0</v>
      </c>
      <c r="AG1333" s="167" t="inlineStr">
        <is>
          <t>7218|JA2583_1001</t>
        </is>
      </c>
      <c r="AH1333" s="47">
        <f>IF(M1333=0,"-",M1333-J1333)</f>
        <v/>
      </c>
      <c r="AI1333" s="46">
        <f>IF(AND(S1333=0,M1333&gt;0,L1333=0),IF(AH1333&gt;=120,"VERY HIGH",IF(AH1333&gt;=90,"HIGH",IF(AH1333&gt;=60,"MEDIUM",IF(AH1333&lt;60,"LOW")))),"-")</f>
        <v/>
      </c>
      <c r="AJ1333" s="12" t="n"/>
      <c r="AK1333" s="53">
        <f>IF(AND(W1333="X",M1333&lt;=$AJ$2),"YES","")</f>
        <v/>
      </c>
      <c r="AL1333" s="54">
        <f>IF(AND(W1333="X",M1333&lt;=$AJ$2),S1333,"")</f>
        <v/>
      </c>
      <c r="AM1333" s="35" t="n"/>
      <c r="AN1333" s="35">
        <f>IF(AND(W1333="X",M1333&gt;$AJ$2),S1333,"")</f>
        <v/>
      </c>
      <c r="AO1333" s="35">
        <f>IF(AND(W1333="",M1333&gt;0,$AJ$2&gt;M1333,L1333=""),1,0)</f>
        <v/>
      </c>
      <c r="AP1333" s="35">
        <f>IF(AND(AK1333="YES",W1333="X"),"X","")</f>
        <v/>
      </c>
      <c r="AQ1333" s="55">
        <f>IF(AP1333="X",100%,0%)</f>
        <v/>
      </c>
      <c r="AR1333" s="25">
        <f>IF(AND(T1333&gt;0,L1333=""),H1333,"")</f>
        <v/>
      </c>
      <c r="AS1333" s="25">
        <f>IF(AND(D1333&gt;0,H1333=0,G1333=""),1,"")</f>
        <v/>
      </c>
      <c r="AT1333" s="25">
        <f>IF(G1333="BLOQ",1,"")</f>
        <v/>
      </c>
      <c r="AU1333" s="25">
        <f>IF(L1333="BLOQ",1,"")</f>
        <v/>
      </c>
      <c r="AV1333" s="25">
        <f>MONTH(F1333)</f>
        <v/>
      </c>
      <c r="AW1333" s="65">
        <f>IF(AP1333="",100%,0%)</f>
        <v/>
      </c>
      <c r="AX1333" s="56" t="n"/>
      <c r="AY1333" s="24">
        <f>IF(M1333=0,"",M1333-$AX$2)</f>
        <v/>
      </c>
      <c r="AZ1333" s="66">
        <f>IF(AND(W1333="",AY1333&gt;0,AY1333&lt;15),1,0)</f>
        <v/>
      </c>
      <c r="BA1333" s="24">
        <f>IF(AND(W1333="",AY1333&gt;0,AY1333&lt;15),T1333,"")</f>
        <v/>
      </c>
      <c r="BB1333" s="87">
        <f>IF(R1333&lt;Q1333,"X","")</f>
        <v/>
      </c>
      <c r="BC1333" s="190" t="inlineStr">
        <is>
          <t>NO</t>
        </is>
      </c>
      <c r="BD1333" s="191" t="inlineStr">
        <is>
          <t>SI</t>
        </is>
      </c>
    </row>
    <row r="1334" ht="15" customHeight="1" s="162">
      <c r="A1334" s="7" t="n">
        <v>1333</v>
      </c>
      <c r="B1334" t="inlineStr">
        <is>
          <t>1000252701001</t>
        </is>
      </c>
      <c r="C1334" t="inlineStr">
        <is>
          <t>RST PELMET AXI 27K 1% 50PPM 0.6W 0207 RH</t>
        </is>
      </c>
      <c r="D1334" t="inlineStr">
        <is>
          <t>1800113419</t>
        </is>
      </c>
      <c r="E1334" t="inlineStr">
        <is>
          <t>50</t>
        </is>
      </c>
      <c r="F1334" s="163" t="n">
        <v>45569</v>
      </c>
      <c r="G1334" t="inlineStr"/>
      <c r="H1334" t="inlineStr">
        <is>
          <t>4200580523</t>
        </is>
      </c>
      <c r="I1334" t="inlineStr">
        <is>
          <t>710</t>
        </is>
      </c>
      <c r="J1334" s="163" t="n">
        <v>45574</v>
      </c>
      <c r="K1334" s="163" t="n">
        <v>45574</v>
      </c>
      <c r="L1334" t="inlineStr"/>
      <c r="M1334" s="163" t="n">
        <v>45592</v>
      </c>
      <c r="N1334" s="164" t="n">
        <v>100</v>
      </c>
      <c r="O1334" s="164" t="n">
        <v>8</v>
      </c>
      <c r="P1334" t="inlineStr">
        <is>
          <t>Liberado</t>
        </is>
      </c>
      <c r="Q1334" s="165" t="n">
        <v>40</v>
      </c>
      <c r="R1334" s="165" t="n">
        <v>40</v>
      </c>
      <c r="S1334" s="165" t="n">
        <v>40</v>
      </c>
      <c r="T1334" s="165" t="n">
        <v>0</v>
      </c>
      <c r="U1334" s="166" t="n">
        <v>40</v>
      </c>
      <c r="V1334" s="166" t="n">
        <v>0</v>
      </c>
      <c r="W1334" t="inlineStr">
        <is>
          <t>X</t>
        </is>
      </c>
      <c r="X1334" t="inlineStr">
        <is>
          <t>0.00</t>
        </is>
      </c>
      <c r="Y1334" t="inlineStr"/>
      <c r="Z1334" t="inlineStr">
        <is>
          <t>ICOMPPLUS ELECTRONICS S.L</t>
        </is>
      </c>
      <c r="AA1334" t="inlineStr">
        <is>
          <t>VISHAY</t>
        </is>
      </c>
      <c r="AB1334" t="inlineStr">
        <is>
          <t>MRS25000C2702FCT00</t>
        </is>
      </c>
      <c r="AC1334" t="inlineStr"/>
      <c r="AD1334" s="164" t="n">
        <v>0</v>
      </c>
      <c r="AE1334" s="185" t="n">
        <v>0</v>
      </c>
      <c r="AG1334" s="167" t="inlineStr">
        <is>
          <t>7218|JA2583_1001</t>
        </is>
      </c>
      <c r="AH1334" s="47">
        <f>IF(M1334=0,"-",M1334-J1334)</f>
        <v/>
      </c>
      <c r="AI1334" s="46">
        <f>IF(AND(S1334=0,M1334&gt;0,L1334=0),IF(AH1334&gt;=120,"VERY HIGH",IF(AH1334&gt;=90,"HIGH",IF(AH1334&gt;=60,"MEDIUM",IF(AH1334&lt;60,"LOW")))),"-")</f>
        <v/>
      </c>
      <c r="AJ1334" s="12" t="n"/>
      <c r="AK1334" s="53">
        <f>IF(AND(W1334="X",M1334&lt;=$AJ$2),"YES","")</f>
        <v/>
      </c>
      <c r="AL1334" s="54">
        <f>IF(AND(W1334="X",M1334&lt;=$AJ$2),S1334,"")</f>
        <v/>
      </c>
      <c r="AM1334" s="35" t="n"/>
      <c r="AN1334" s="35">
        <f>IF(AND(W1334="X",M1334&gt;$AJ$2),S1334,"")</f>
        <v/>
      </c>
      <c r="AO1334" s="35">
        <f>IF(AND(W1334="",M1334&gt;0,$AJ$2&gt;M1334,L1334=""),1,0)</f>
        <v/>
      </c>
      <c r="AP1334" s="35">
        <f>IF(AND(AK1334="YES",W1334="X"),"X","")</f>
        <v/>
      </c>
      <c r="AQ1334" s="55">
        <f>IF(AP1334="X",100%,0%)</f>
        <v/>
      </c>
      <c r="AR1334" s="25">
        <f>IF(AND(T1334&gt;0,L1334=""),H1334,"")</f>
        <v/>
      </c>
      <c r="AS1334" s="25">
        <f>IF(AND(D1334&gt;0,H1334=0,G1334=""),1,"")</f>
        <v/>
      </c>
      <c r="AT1334" s="25">
        <f>IF(G1334="BLOQ",1,"")</f>
        <v/>
      </c>
      <c r="AU1334" s="25">
        <f>IF(L1334="BLOQ",1,"")</f>
        <v/>
      </c>
      <c r="AV1334" s="25">
        <f>MONTH(F1334)</f>
        <v/>
      </c>
      <c r="AW1334" s="65">
        <f>IF(AP1334="",100%,0%)</f>
        <v/>
      </c>
      <c r="AX1334" s="56" t="n"/>
      <c r="AY1334" s="24">
        <f>IF(M1334=0,"",M1334-$AX$2)</f>
        <v/>
      </c>
      <c r="AZ1334" s="66">
        <f>IF(AND(W1334="",AY1334&gt;0,AY1334&lt;15),1,0)</f>
        <v/>
      </c>
      <c r="BA1334" s="24">
        <f>IF(AND(W1334="",AY1334&gt;0,AY1334&lt;15),T1334,"")</f>
        <v/>
      </c>
      <c r="BB1334" s="87">
        <f>IF(R1334&lt;Q1334,"X","")</f>
        <v/>
      </c>
      <c r="BC1334" s="190" t="inlineStr">
        <is>
          <t>NO</t>
        </is>
      </c>
      <c r="BD1334" s="191" t="inlineStr">
        <is>
          <t>SI</t>
        </is>
      </c>
    </row>
    <row r="1335" ht="15" customHeight="1" s="162">
      <c r="A1335" s="7" t="n">
        <v>1334</v>
      </c>
      <c r="B1335" t="inlineStr">
        <is>
          <t>1040512701101</t>
        </is>
      </c>
      <c r="C1335" t="inlineStr">
        <is>
          <t>DIO ZENER 2.4V 50UA 0.5W DO-35-2 ROHS</t>
        </is>
      </c>
      <c r="D1335" t="inlineStr">
        <is>
          <t>1800113419</t>
        </is>
      </c>
      <c r="E1335" t="inlineStr">
        <is>
          <t>60</t>
        </is>
      </c>
      <c r="F1335" s="163" t="n">
        <v>45569</v>
      </c>
      <c r="G1335" t="inlineStr"/>
      <c r="H1335" t="inlineStr">
        <is>
          <t>4200580590</t>
        </is>
      </c>
      <c r="I1335" t="inlineStr">
        <is>
          <t>20</t>
        </is>
      </c>
      <c r="J1335" s="163" t="n">
        <v>45574</v>
      </c>
      <c r="K1335" s="163" t="n">
        <v>45576</v>
      </c>
      <c r="L1335" t="inlineStr"/>
      <c r="M1335" s="163" t="n">
        <v>45592</v>
      </c>
      <c r="N1335" s="164" t="n">
        <v>120</v>
      </c>
      <c r="O1335" s="164" t="n">
        <v>8</v>
      </c>
      <c r="P1335" t="inlineStr">
        <is>
          <t>Liberado</t>
        </is>
      </c>
      <c r="Q1335" s="165" t="n">
        <v>40</v>
      </c>
      <c r="R1335" s="165" t="n">
        <v>40</v>
      </c>
      <c r="S1335" s="165" t="n">
        <v>40</v>
      </c>
      <c r="T1335" s="165" t="n">
        <v>0</v>
      </c>
      <c r="U1335" s="166" t="n">
        <v>40</v>
      </c>
      <c r="V1335" s="166" t="n">
        <v>0</v>
      </c>
      <c r="W1335" t="inlineStr">
        <is>
          <t>X</t>
        </is>
      </c>
      <c r="X1335" t="inlineStr">
        <is>
          <t>0.00</t>
        </is>
      </c>
      <c r="Y1335" t="inlineStr"/>
      <c r="Z1335" t="inlineStr">
        <is>
          <t>ICOMPPLUS ELECTRONICS S.L</t>
        </is>
      </c>
      <c r="AA1335" t="inlineStr">
        <is>
          <t>VISHAY</t>
        </is>
      </c>
      <c r="AB1335" t="inlineStr">
        <is>
          <t>BZX55C2V4-TR</t>
        </is>
      </c>
      <c r="AC1335" t="inlineStr"/>
      <c r="AD1335" s="164" t="n">
        <v>0</v>
      </c>
      <c r="AE1335" s="185" t="n">
        <v>0</v>
      </c>
      <c r="AG1335" s="167" t="inlineStr">
        <is>
          <t>7218|JA2583_1001</t>
        </is>
      </c>
      <c r="AH1335" s="47">
        <f>IF(M1335=0,"-",M1335-J1335)</f>
        <v/>
      </c>
      <c r="AI1335" s="46">
        <f>IF(AND(S1335=0,M1335&gt;0,L1335=0),IF(AH1335&gt;=120,"VERY HIGH",IF(AH1335&gt;=90,"HIGH",IF(AH1335&gt;=60,"MEDIUM",IF(AH1335&lt;60,"LOW")))),"-")</f>
        <v/>
      </c>
      <c r="AJ1335" s="12" t="n"/>
      <c r="AK1335" s="53">
        <f>IF(AND(W1335="X",M1335&lt;=$AJ$2),"YES","")</f>
        <v/>
      </c>
      <c r="AL1335" s="54">
        <f>IF(AND(W1335="X",M1335&lt;=$AJ$2),S1335,"")</f>
        <v/>
      </c>
      <c r="AM1335" s="35" t="n"/>
      <c r="AN1335" s="35">
        <f>IF(AND(W1335="X",M1335&gt;$AJ$2),S1335,"")</f>
        <v/>
      </c>
      <c r="AO1335" s="35">
        <f>IF(AND(W1335="",M1335&gt;0,$AJ$2&gt;M1335,L1335=""),1,0)</f>
        <v/>
      </c>
      <c r="AP1335" s="35">
        <f>IF(AND(AK1335="YES",W1335="X"),"X","")</f>
        <v/>
      </c>
      <c r="AQ1335" s="55">
        <f>IF(AP1335="X",100%,0%)</f>
        <v/>
      </c>
      <c r="AR1335" s="25">
        <f>IF(AND(T1335&gt;0,L1335=""),H1335,"")</f>
        <v/>
      </c>
      <c r="AS1335" s="25">
        <f>IF(AND(D1335&gt;0,H1335=0,G1335=""),1,"")</f>
        <v/>
      </c>
      <c r="AT1335" s="25">
        <f>IF(G1335="BLOQ",1,"")</f>
        <v/>
      </c>
      <c r="AU1335" s="25">
        <f>IF(L1335="BLOQ",1,"")</f>
        <v/>
      </c>
      <c r="AV1335" s="25">
        <f>MONTH(F1335)</f>
        <v/>
      </c>
      <c r="AW1335" s="65">
        <f>IF(AP1335="",100%,0%)</f>
        <v/>
      </c>
      <c r="AX1335" s="56" t="n"/>
      <c r="AY1335" s="24">
        <f>IF(M1335=0,"",M1335-$AX$2)</f>
        <v/>
      </c>
      <c r="AZ1335" s="66">
        <f>IF(AND(W1335="",AY1335&gt;0,AY1335&lt;15),1,0)</f>
        <v/>
      </c>
      <c r="BA1335" s="24">
        <f>IF(AND(W1335="",AY1335&gt;0,AY1335&lt;15),T1335,"")</f>
        <v/>
      </c>
      <c r="BB1335" s="87">
        <f>IF(R1335&lt;Q1335,"X","")</f>
        <v/>
      </c>
      <c r="BC1335" s="190" t="inlineStr">
        <is>
          <t>NO</t>
        </is>
      </c>
      <c r="BD1335" s="191" t="inlineStr">
        <is>
          <t>SI</t>
        </is>
      </c>
    </row>
    <row r="1336" ht="15" customHeight="1" s="162">
      <c r="A1336" s="7" t="n">
        <v>1335</v>
      </c>
      <c r="B1336" t="inlineStr">
        <is>
          <t>1142013110400</t>
        </is>
      </c>
      <c r="C1336" t="inlineStr">
        <is>
          <t>LED AMBAR 115VAC 8MM IP67</t>
        </is>
      </c>
      <c r="D1336" t="inlineStr">
        <is>
          <t>1800113419</t>
        </is>
      </c>
      <c r="E1336" t="inlineStr">
        <is>
          <t>70</t>
        </is>
      </c>
      <c r="F1336" s="163" t="n">
        <v>45569</v>
      </c>
      <c r="G1336" t="inlineStr"/>
      <c r="H1336" t="inlineStr">
        <is>
          <t>4200584478</t>
        </is>
      </c>
      <c r="I1336" t="inlineStr">
        <is>
          <t>20</t>
        </is>
      </c>
      <c r="J1336" s="163" t="n">
        <v>45602</v>
      </c>
      <c r="K1336" s="163" t="n">
        <v>45603</v>
      </c>
      <c r="L1336" t="inlineStr"/>
      <c r="M1336" s="163" t="n">
        <v>45614</v>
      </c>
      <c r="N1336" s="164" t="n">
        <v>40</v>
      </c>
      <c r="O1336" s="164" t="n">
        <v>8</v>
      </c>
      <c r="P1336" t="inlineStr">
        <is>
          <t>Liberado</t>
        </is>
      </c>
      <c r="Q1336" s="165" t="n">
        <v>10</v>
      </c>
      <c r="R1336" s="165" t="n">
        <v>10</v>
      </c>
      <c r="S1336" s="165" t="n">
        <v>10</v>
      </c>
      <c r="T1336" s="165" t="n">
        <v>0</v>
      </c>
      <c r="U1336" s="166" t="n">
        <v>10</v>
      </c>
      <c r="V1336" s="166" t="n">
        <v>0</v>
      </c>
      <c r="W1336" t="inlineStr">
        <is>
          <t>X</t>
        </is>
      </c>
      <c r="X1336" t="inlineStr">
        <is>
          <t>0.00</t>
        </is>
      </c>
      <c r="Y1336" t="inlineStr"/>
      <c r="Z1336" t="inlineStr">
        <is>
          <t>TCX MICRO, S.L.U</t>
        </is>
      </c>
      <c r="AA1336" t="inlineStr">
        <is>
          <t>APEM</t>
        </is>
      </c>
      <c r="AB1336" t="inlineStr">
        <is>
          <t>Q8P1CXXY110E</t>
        </is>
      </c>
      <c r="AC1336" t="inlineStr"/>
      <c r="AD1336" s="164" t="n">
        <v>0</v>
      </c>
      <c r="AE1336" s="185" t="n">
        <v>0</v>
      </c>
      <c r="AG1336" s="167" t="inlineStr">
        <is>
          <t>7218|JA2583_1001</t>
        </is>
      </c>
      <c r="AH1336" s="47">
        <f>IF(M1336=0,"-",M1336-J1336)</f>
        <v/>
      </c>
      <c r="AI1336" s="46">
        <f>IF(AND(S1336=0,M1336&gt;0,L1336=0),IF(AH1336&gt;=120,"VERY HIGH",IF(AH1336&gt;=90,"HIGH",IF(AH1336&gt;=60,"MEDIUM",IF(AH1336&lt;60,"LOW")))),"-")</f>
        <v/>
      </c>
      <c r="AJ1336" s="12" t="n"/>
      <c r="AK1336" s="53">
        <f>IF(AND(W1336="X",M1336&lt;=$AJ$2),"YES","")</f>
        <v/>
      </c>
      <c r="AL1336" s="54">
        <f>IF(AND(W1336="X",M1336&lt;=$AJ$2),S1336,"")</f>
        <v/>
      </c>
      <c r="AM1336" s="35" t="n"/>
      <c r="AN1336" s="35">
        <f>IF(AND(W1336="X",M1336&gt;$AJ$2),S1336,"")</f>
        <v/>
      </c>
      <c r="AO1336" s="35">
        <f>IF(AND(W1336="",M1336&gt;0,$AJ$2&gt;M1336,L1336=""),1,0)</f>
        <v/>
      </c>
      <c r="AP1336" s="35">
        <f>IF(AND(AK1336="YES",W1336="X"),"X","")</f>
        <v/>
      </c>
      <c r="AQ1336" s="55">
        <f>IF(AP1336="X",100%,0%)</f>
        <v/>
      </c>
      <c r="AR1336" s="25">
        <f>IF(AND(T1336&gt;0,L1336=""),H1336,"")</f>
        <v/>
      </c>
      <c r="AS1336" s="25">
        <f>IF(AND(D1336&gt;0,H1336=0,G1336=""),1,"")</f>
        <v/>
      </c>
      <c r="AT1336" s="25">
        <f>IF(G1336="BLOQ",1,"")</f>
        <v/>
      </c>
      <c r="AU1336" s="25">
        <f>IF(L1336="BLOQ",1,"")</f>
        <v/>
      </c>
      <c r="AV1336" s="25">
        <f>MONTH(F1336)</f>
        <v/>
      </c>
      <c r="AW1336" s="65">
        <f>IF(AP1336="",100%,0%)</f>
        <v/>
      </c>
      <c r="AX1336" s="56" t="n"/>
      <c r="AY1336" s="24">
        <f>IF(M1336=0,"",M1336-$AX$2)</f>
        <v/>
      </c>
      <c r="AZ1336" s="66">
        <f>IF(AND(W1336="",AY1336&gt;0,AY1336&lt;15),1,0)</f>
        <v/>
      </c>
      <c r="BA1336" s="24">
        <f>IF(AND(W1336="",AY1336&gt;0,AY1336&lt;15),T1336,"")</f>
        <v/>
      </c>
      <c r="BB1336" s="87">
        <f>IF(R1336&lt;Q1336,"X","")</f>
        <v/>
      </c>
      <c r="BC1336" s="190" t="inlineStr">
        <is>
          <t>NO</t>
        </is>
      </c>
      <c r="BD1336" s="191" t="inlineStr">
        <is>
          <t>SI</t>
        </is>
      </c>
    </row>
    <row r="1337" ht="15" customHeight="1" s="162">
      <c r="A1337" s="7" t="n">
        <v>1336</v>
      </c>
      <c r="B1337" t="inlineStr">
        <is>
          <t>1202090240000</t>
        </is>
      </c>
      <c r="C1337" t="inlineStr">
        <is>
          <t>PIN CNC SUB-D M 20-24AWG (ROLLO 400UD)</t>
        </is>
      </c>
      <c r="D1337" t="inlineStr">
        <is>
          <t>1800113419</t>
        </is>
      </c>
      <c r="E1337" t="inlineStr">
        <is>
          <t>80</t>
        </is>
      </c>
      <c r="F1337" s="163" t="n">
        <v>45569</v>
      </c>
      <c r="G1337" t="inlineStr"/>
      <c r="H1337" t="inlineStr">
        <is>
          <t>4200584974</t>
        </is>
      </c>
      <c r="I1337" t="inlineStr">
        <is>
          <t>60</t>
        </is>
      </c>
      <c r="J1337" s="163" t="n">
        <v>45607</v>
      </c>
      <c r="K1337" s="163" t="n">
        <v>45869</v>
      </c>
      <c r="L1337" t="inlineStr"/>
      <c r="M1337" s="163" t="n">
        <v>45693</v>
      </c>
      <c r="N1337" s="164" t="n">
        <v>50</v>
      </c>
      <c r="O1337" s="164" t="n">
        <v>8</v>
      </c>
      <c r="P1337" t="inlineStr">
        <is>
          <t>Liberado</t>
        </is>
      </c>
      <c r="Q1337" s="165" t="n">
        <v>100</v>
      </c>
      <c r="R1337" s="165" t="n">
        <v>100</v>
      </c>
      <c r="S1337" s="165" t="n">
        <v>100</v>
      </c>
      <c r="T1337" s="165" t="n">
        <v>0</v>
      </c>
      <c r="U1337" s="166" t="n">
        <v>100</v>
      </c>
      <c r="V1337" s="166" t="n">
        <v>0</v>
      </c>
      <c r="W1337" t="inlineStr">
        <is>
          <t>X</t>
        </is>
      </c>
      <c r="X1337" t="inlineStr">
        <is>
          <t>0.00</t>
        </is>
      </c>
      <c r="Y1337" t="inlineStr"/>
      <c r="Z1337" t="inlineStr">
        <is>
          <t>MOUSER ELECTRONICS, INC.</t>
        </is>
      </c>
      <c r="AA1337" t="inlineStr">
        <is>
          <t>AMPHENOL CORP</t>
        </is>
      </c>
      <c r="AB1337" t="inlineStr">
        <is>
          <t>17RRD1M11400</t>
        </is>
      </c>
      <c r="AC1337" t="inlineStr"/>
      <c r="AD1337" s="164" t="n">
        <v>0</v>
      </c>
      <c r="AE1337" s="185" t="n">
        <v>0</v>
      </c>
      <c r="AG1337" s="167" t="inlineStr">
        <is>
          <t>7218|JA2583_1001</t>
        </is>
      </c>
      <c r="AH1337" s="47">
        <f>IF(M1337=0,"-",M1337-J1337)</f>
        <v/>
      </c>
      <c r="AI1337" s="46">
        <f>IF(AND(S1337=0,M1337&gt;0,L1337=0),IF(AH1337&gt;=120,"VERY HIGH",IF(AH1337&gt;=90,"HIGH",IF(AH1337&gt;=60,"MEDIUM",IF(AH1337&lt;60,"LOW")))),"-")</f>
        <v/>
      </c>
      <c r="AJ1337" s="12" t="n"/>
      <c r="AK1337" s="53">
        <f>IF(AND(W1337="X",M1337&lt;=$AJ$2),"YES","")</f>
        <v/>
      </c>
      <c r="AL1337" s="54">
        <f>IF(AND(W1337="X",M1337&lt;=$AJ$2),S1337,"")</f>
        <v/>
      </c>
      <c r="AM1337" s="35" t="n"/>
      <c r="AN1337" s="35">
        <f>IF(AND(W1337="X",M1337&gt;$AJ$2),S1337,"")</f>
        <v/>
      </c>
      <c r="AO1337" s="35">
        <f>IF(AND(W1337="",M1337&gt;0,$AJ$2&gt;M1337,L1337=""),1,0)</f>
        <v/>
      </c>
      <c r="AP1337" s="35">
        <f>IF(AND(AK1337="YES",W1337="X"),"X","")</f>
        <v/>
      </c>
      <c r="AQ1337" s="55">
        <f>IF(AP1337="X",100%,0%)</f>
        <v/>
      </c>
      <c r="AR1337" s="25">
        <f>IF(AND(T1337&gt;0,L1337=""),H1337,"")</f>
        <v/>
      </c>
      <c r="AS1337" s="25">
        <f>IF(AND(D1337&gt;0,H1337=0,G1337=""),1,"")</f>
        <v/>
      </c>
      <c r="AT1337" s="25">
        <f>IF(G1337="BLOQ",1,"")</f>
        <v/>
      </c>
      <c r="AU1337" s="25">
        <f>IF(L1337="BLOQ",1,"")</f>
        <v/>
      </c>
      <c r="AV1337" s="25">
        <f>MONTH(F1337)</f>
        <v/>
      </c>
      <c r="AW1337" s="65">
        <f>IF(AP1337="",100%,0%)</f>
        <v/>
      </c>
      <c r="AX1337" s="56" t="n"/>
      <c r="AY1337" s="24">
        <f>IF(M1337=0,"",M1337-$AX$2)</f>
        <v/>
      </c>
      <c r="AZ1337" s="66">
        <f>IF(AND(W1337="",AY1337&gt;0,AY1337&lt;15),1,0)</f>
        <v/>
      </c>
      <c r="BA1337" s="24">
        <f>IF(AND(W1337="",AY1337&gt;0,AY1337&lt;15),T1337,"")</f>
        <v/>
      </c>
      <c r="BB1337" s="87">
        <f>IF(R1337&lt;Q1337,"X","")</f>
        <v/>
      </c>
      <c r="BC1337" s="190" t="inlineStr">
        <is>
          <t>NO</t>
        </is>
      </c>
      <c r="BD1337" s="191" t="inlineStr">
        <is>
          <t>SI</t>
        </is>
      </c>
    </row>
    <row r="1338" ht="15" customHeight="1" s="162">
      <c r="A1338" s="7" t="n">
        <v>1337</v>
      </c>
      <c r="B1338" t="inlineStr">
        <is>
          <t>1229508280002</t>
        </is>
      </c>
      <c r="C1338" t="inlineStr">
        <is>
          <t>CBL EQ UTP RJ45-M/M 10FT NEGRO CAT6 LSZH</t>
        </is>
      </c>
      <c r="D1338" t="inlineStr">
        <is>
          <t>1800113520</t>
        </is>
      </c>
      <c r="E1338" t="inlineStr">
        <is>
          <t>10</t>
        </is>
      </c>
      <c r="F1338" s="163" t="n">
        <v>45569</v>
      </c>
      <c r="G1338" t="inlineStr"/>
      <c r="H1338" t="inlineStr">
        <is>
          <t>4200582604</t>
        </is>
      </c>
      <c r="I1338" t="inlineStr">
        <is>
          <t>30</t>
        </is>
      </c>
      <c r="J1338" s="163" t="n">
        <v>45588</v>
      </c>
      <c r="K1338" s="163" t="n">
        <v>45589</v>
      </c>
      <c r="L1338" t="inlineStr"/>
      <c r="M1338" s="163" t="n">
        <v>45618</v>
      </c>
      <c r="N1338" s="164" t="n">
        <v>40</v>
      </c>
      <c r="O1338" s="164" t="n">
        <v>8</v>
      </c>
      <c r="P1338" t="inlineStr">
        <is>
          <t>Liberado</t>
        </is>
      </c>
      <c r="Q1338" s="165" t="n">
        <v>1</v>
      </c>
      <c r="R1338" s="165" t="n">
        <v>1</v>
      </c>
      <c r="S1338" s="165" t="n">
        <v>1</v>
      </c>
      <c r="T1338" s="165" t="n">
        <v>0</v>
      </c>
      <c r="U1338" s="166" t="n">
        <v>1</v>
      </c>
      <c r="V1338" s="166" t="n">
        <v>0</v>
      </c>
      <c r="W1338" t="inlineStr">
        <is>
          <t>X</t>
        </is>
      </c>
      <c r="X1338" t="inlineStr">
        <is>
          <t>0.00</t>
        </is>
      </c>
      <c r="Y1338" t="inlineStr"/>
      <c r="Z1338" t="inlineStr">
        <is>
          <t>OMNIAELECTRONICS, S.L.</t>
        </is>
      </c>
      <c r="AA1338" t="inlineStr">
        <is>
          <t>PACTECH</t>
        </is>
      </c>
      <c r="AB1338" t="inlineStr">
        <is>
          <t>MM-C6K-10-28LSZH-F</t>
        </is>
      </c>
      <c r="AC1338" t="inlineStr"/>
      <c r="AD1338" s="164" t="n">
        <v>0</v>
      </c>
      <c r="AE1338" s="185" t="n">
        <v>0</v>
      </c>
      <c r="AG1338" s="167" t="inlineStr">
        <is>
          <t>7218|JA2585_1001</t>
        </is>
      </c>
      <c r="AH1338" s="47">
        <f>IF(M1338=0,"-",M1338-J1338)</f>
        <v/>
      </c>
      <c r="AI1338" s="46">
        <f>IF(AND(S1338=0,M1338&gt;0,L1338=0),IF(AH1338&gt;=120,"VERY HIGH",IF(AH1338&gt;=90,"HIGH",IF(AH1338&gt;=60,"MEDIUM",IF(AH1338&lt;60,"LOW")))),"-")</f>
        <v/>
      </c>
      <c r="AJ1338" s="12" t="n"/>
      <c r="AK1338" s="53">
        <f>IF(AND(W1338="X",M1338&lt;=$AJ$2),"YES","")</f>
        <v/>
      </c>
      <c r="AL1338" s="54">
        <f>IF(AND(W1338="X",M1338&lt;=$AJ$2),S1338,"")</f>
        <v/>
      </c>
      <c r="AM1338" s="35" t="n"/>
      <c r="AN1338" s="35">
        <f>IF(AND(W1338="X",M1338&gt;$AJ$2),S1338,"")</f>
        <v/>
      </c>
      <c r="AO1338" s="35">
        <f>IF(AND(W1338="",M1338&gt;0,$AJ$2&gt;M1338,L1338=""),1,0)</f>
        <v/>
      </c>
      <c r="AP1338" s="35">
        <f>IF(AND(AK1338="YES",W1338="X"),"X","")</f>
        <v/>
      </c>
      <c r="AQ1338" s="55">
        <f>IF(AP1338="X",100%,0%)</f>
        <v/>
      </c>
      <c r="AR1338" s="25">
        <f>IF(AND(T1338&gt;0,L1338=""),H1338,"")</f>
        <v/>
      </c>
      <c r="AS1338" s="25">
        <f>IF(AND(D1338&gt;0,H1338=0,G1338=""),1,"")</f>
        <v/>
      </c>
      <c r="AT1338" s="25">
        <f>IF(G1338="BLOQ",1,"")</f>
        <v/>
      </c>
      <c r="AU1338" s="25">
        <f>IF(L1338="BLOQ",1,"")</f>
        <v/>
      </c>
      <c r="AV1338" s="25">
        <f>MONTH(F1338)</f>
        <v/>
      </c>
      <c r="AW1338" s="65">
        <f>IF(AP1338="",100%,0%)</f>
        <v/>
      </c>
      <c r="AX1338" s="56" t="n"/>
      <c r="AY1338" s="24">
        <f>IF(M1338=0,"",M1338-$AX$2)</f>
        <v/>
      </c>
      <c r="AZ1338" s="66">
        <f>IF(AND(W1338="",AY1338&gt;0,AY1338&lt;15),1,0)</f>
        <v/>
      </c>
      <c r="BA1338" s="24">
        <f>IF(AND(W1338="",AY1338&gt;0,AY1338&lt;15),T1338,"")</f>
        <v/>
      </c>
      <c r="BB1338" s="87">
        <f>IF(R1338&lt;Q1338,"X","")</f>
        <v/>
      </c>
      <c r="BC1338" s="190" t="inlineStr">
        <is>
          <t>NO</t>
        </is>
      </c>
      <c r="BD1338" s="191" t="inlineStr">
        <is>
          <t>SI</t>
        </is>
      </c>
    </row>
    <row r="1339" ht="15" customHeight="1" s="162">
      <c r="A1339" s="7" t="n">
        <v>1338</v>
      </c>
      <c r="B1339" t="inlineStr">
        <is>
          <t>1229508280302</t>
        </is>
      </c>
      <c r="C1339" t="inlineStr">
        <is>
          <t>CBL EQ UTP RJ45-M/M 10FT BLANC CAT6 LSZH</t>
        </is>
      </c>
      <c r="D1339" t="inlineStr">
        <is>
          <t>1800113520</t>
        </is>
      </c>
      <c r="E1339" t="inlineStr">
        <is>
          <t>20</t>
        </is>
      </c>
      <c r="F1339" s="163" t="n">
        <v>45569</v>
      </c>
      <c r="G1339" t="inlineStr"/>
      <c r="H1339" t="inlineStr">
        <is>
          <t>4200582605</t>
        </is>
      </c>
      <c r="I1339" t="inlineStr">
        <is>
          <t>30</t>
        </is>
      </c>
      <c r="J1339" s="163" t="n">
        <v>45588</v>
      </c>
      <c r="K1339" s="163" t="n">
        <v>45589</v>
      </c>
      <c r="L1339" t="inlineStr"/>
      <c r="M1339" s="163" t="n">
        <v>45618</v>
      </c>
      <c r="N1339" s="164" t="n">
        <v>45</v>
      </c>
      <c r="O1339" s="164" t="n">
        <v>8</v>
      </c>
      <c r="P1339" t="inlineStr">
        <is>
          <t>Liberado</t>
        </is>
      </c>
      <c r="Q1339" s="165" t="n">
        <v>55</v>
      </c>
      <c r="R1339" s="165" t="n">
        <v>55</v>
      </c>
      <c r="S1339" s="165" t="n">
        <v>55</v>
      </c>
      <c r="T1339" s="165" t="n">
        <v>0</v>
      </c>
      <c r="U1339" s="166" t="n">
        <v>55</v>
      </c>
      <c r="V1339" s="166" t="n">
        <v>0</v>
      </c>
      <c r="W1339" t="inlineStr">
        <is>
          <t>X</t>
        </is>
      </c>
      <c r="X1339" t="inlineStr">
        <is>
          <t>0.00</t>
        </is>
      </c>
      <c r="Y1339" t="inlineStr"/>
      <c r="Z1339" t="inlineStr">
        <is>
          <t>INFORMATICA CALCULO Y TECNICA, S.A.</t>
        </is>
      </c>
      <c r="AA1339" t="inlineStr">
        <is>
          <t>PACTECH</t>
        </is>
      </c>
      <c r="AB1339" t="inlineStr">
        <is>
          <t>MM-C6W-10-28LSZH-F</t>
        </is>
      </c>
      <c r="AC1339" t="inlineStr"/>
      <c r="AD1339" s="164" t="n">
        <v>0</v>
      </c>
      <c r="AE1339" s="185" t="n">
        <v>0</v>
      </c>
      <c r="AG1339" s="167" t="inlineStr">
        <is>
          <t>7218|JA2585_1001</t>
        </is>
      </c>
      <c r="AH1339" s="47">
        <f>IF(M1339=0,"-",M1339-J1339)</f>
        <v/>
      </c>
      <c r="AI1339" s="46">
        <f>IF(AND(S1339=0,M1339&gt;0,L1339=0),IF(AH1339&gt;=120,"VERY HIGH",IF(AH1339&gt;=90,"HIGH",IF(AH1339&gt;=60,"MEDIUM",IF(AH1339&lt;60,"LOW")))),"-")</f>
        <v/>
      </c>
      <c r="AJ1339" s="12" t="n"/>
      <c r="AK1339" s="53">
        <f>IF(AND(W1339="X",M1339&lt;=$AJ$2),"YES","")</f>
        <v/>
      </c>
      <c r="AL1339" s="54">
        <f>IF(AND(W1339="X",M1339&lt;=$AJ$2),S1339,"")</f>
        <v/>
      </c>
      <c r="AM1339" s="35" t="n"/>
      <c r="AN1339" s="35">
        <f>IF(AND(W1339="X",M1339&gt;$AJ$2),S1339,"")</f>
        <v/>
      </c>
      <c r="AO1339" s="35">
        <f>IF(AND(W1339="",M1339&gt;0,$AJ$2&gt;M1339,L1339=""),1,0)</f>
        <v/>
      </c>
      <c r="AP1339" s="35">
        <f>IF(AND(AK1339="YES",W1339="X"),"X","")</f>
        <v/>
      </c>
      <c r="AQ1339" s="55">
        <f>IF(AP1339="X",100%,0%)</f>
        <v/>
      </c>
      <c r="AR1339" s="25">
        <f>IF(AND(T1339&gt;0,L1339=""),H1339,"")</f>
        <v/>
      </c>
      <c r="AS1339" s="25">
        <f>IF(AND(D1339&gt;0,H1339=0,G1339=""),1,"")</f>
        <v/>
      </c>
      <c r="AT1339" s="25">
        <f>IF(G1339="BLOQ",1,"")</f>
        <v/>
      </c>
      <c r="AU1339" s="25">
        <f>IF(L1339="BLOQ",1,"")</f>
        <v/>
      </c>
      <c r="AV1339" s="25">
        <f>MONTH(F1339)</f>
        <v/>
      </c>
      <c r="AW1339" s="65">
        <f>IF(AP1339="",100%,0%)</f>
        <v/>
      </c>
      <c r="AX1339" s="56" t="n"/>
      <c r="AY1339" s="24">
        <f>IF(M1339=0,"",M1339-$AX$2)</f>
        <v/>
      </c>
      <c r="AZ1339" s="66">
        <f>IF(AND(W1339="",AY1339&gt;0,AY1339&lt;15),1,0)</f>
        <v/>
      </c>
      <c r="BA1339" s="24">
        <f>IF(AND(W1339="",AY1339&gt;0,AY1339&lt;15),T1339,"")</f>
        <v/>
      </c>
      <c r="BB1339" s="87">
        <f>IF(R1339&lt;Q1339,"X","")</f>
        <v/>
      </c>
      <c r="BC1339" s="190" t="inlineStr">
        <is>
          <t>NO</t>
        </is>
      </c>
      <c r="BD1339" s="191" t="inlineStr">
        <is>
          <t>SI</t>
        </is>
      </c>
    </row>
    <row r="1340" ht="15" customHeight="1" s="162">
      <c r="A1340" s="7" t="n">
        <v>1339</v>
      </c>
      <c r="B1340" t="inlineStr">
        <is>
          <t>1229508280402</t>
        </is>
      </c>
      <c r="C1340" t="inlineStr">
        <is>
          <t>CBL EQ UTP RJ45-M/M 10FT ROJO CAT6 LSZH</t>
        </is>
      </c>
      <c r="D1340" t="inlineStr">
        <is>
          <t>1800113520</t>
        </is>
      </c>
      <c r="E1340" t="inlineStr">
        <is>
          <t>30</t>
        </is>
      </c>
      <c r="F1340" s="163" t="n">
        <v>45569</v>
      </c>
      <c r="G1340" t="inlineStr"/>
      <c r="H1340" t="inlineStr">
        <is>
          <t>4200582605</t>
        </is>
      </c>
      <c r="I1340" t="inlineStr">
        <is>
          <t>40</t>
        </is>
      </c>
      <c r="J1340" s="163" t="n">
        <v>45588</v>
      </c>
      <c r="K1340" s="163" t="n">
        <v>45589</v>
      </c>
      <c r="L1340" t="inlineStr"/>
      <c r="M1340" s="163" t="n">
        <v>45618</v>
      </c>
      <c r="N1340" s="164" t="n">
        <v>50</v>
      </c>
      <c r="O1340" s="164" t="n">
        <v>8</v>
      </c>
      <c r="P1340" t="inlineStr">
        <is>
          <t>Liberado</t>
        </is>
      </c>
      <c r="Q1340" s="165" t="n">
        <v>5</v>
      </c>
      <c r="R1340" s="165" t="n">
        <v>5</v>
      </c>
      <c r="S1340" s="165" t="n">
        <v>5</v>
      </c>
      <c r="T1340" s="165" t="n">
        <v>0</v>
      </c>
      <c r="U1340" s="166" t="n">
        <v>5</v>
      </c>
      <c r="V1340" s="166" t="n">
        <v>0</v>
      </c>
      <c r="W1340" t="inlineStr">
        <is>
          <t>X</t>
        </is>
      </c>
      <c r="X1340" t="inlineStr">
        <is>
          <t>0.00</t>
        </is>
      </c>
      <c r="Y1340" t="inlineStr"/>
      <c r="Z1340" t="inlineStr">
        <is>
          <t>INFORMATICA CALCULO Y TECNICA, S.A.</t>
        </is>
      </c>
      <c r="AA1340" t="inlineStr">
        <is>
          <t>PACTECH</t>
        </is>
      </c>
      <c r="AB1340" t="inlineStr">
        <is>
          <t>MM-C6R-10-28LSZH-F</t>
        </is>
      </c>
      <c r="AC1340" t="inlineStr"/>
      <c r="AD1340" s="164" t="n">
        <v>0</v>
      </c>
      <c r="AE1340" s="185" t="n">
        <v>0</v>
      </c>
      <c r="AG1340" s="167" t="inlineStr">
        <is>
          <t>7218|JA2585_1001</t>
        </is>
      </c>
      <c r="AH1340" s="47">
        <f>IF(M1340=0,"-",M1340-J1340)</f>
        <v/>
      </c>
      <c r="AI1340" s="46">
        <f>IF(AND(S1340=0,M1340&gt;0,L1340=0),IF(AH1340&gt;=120,"VERY HIGH",IF(AH1340&gt;=90,"HIGH",IF(AH1340&gt;=60,"MEDIUM",IF(AH1340&lt;60,"LOW")))),"-")</f>
        <v/>
      </c>
      <c r="AJ1340" s="12" t="n"/>
      <c r="AK1340" s="53">
        <f>IF(AND(W1340="X",M1340&lt;=$AJ$2),"YES","")</f>
        <v/>
      </c>
      <c r="AL1340" s="54">
        <f>IF(AND(W1340="X",M1340&lt;=$AJ$2),S1340,"")</f>
        <v/>
      </c>
      <c r="AM1340" s="35" t="n"/>
      <c r="AN1340" s="35">
        <f>IF(AND(W1340="X",M1340&gt;$AJ$2),S1340,"")</f>
        <v/>
      </c>
      <c r="AO1340" s="35">
        <f>IF(AND(W1340="",M1340&gt;0,$AJ$2&gt;M1340,L1340=""),1,0)</f>
        <v/>
      </c>
      <c r="AP1340" s="35">
        <f>IF(AND(AK1340="YES",W1340="X"),"X","")</f>
        <v/>
      </c>
      <c r="AQ1340" s="55">
        <f>IF(AP1340="X",100%,0%)</f>
        <v/>
      </c>
      <c r="AR1340" s="25">
        <f>IF(AND(T1340&gt;0,L1340=""),H1340,"")</f>
        <v/>
      </c>
      <c r="AS1340" s="25">
        <f>IF(AND(D1340&gt;0,H1340=0,G1340=""),1,"")</f>
        <v/>
      </c>
      <c r="AT1340" s="25">
        <f>IF(G1340="BLOQ",1,"")</f>
        <v/>
      </c>
      <c r="AU1340" s="25">
        <f>IF(L1340="BLOQ",1,"")</f>
        <v/>
      </c>
      <c r="AV1340" s="25">
        <f>MONTH(F1340)</f>
        <v/>
      </c>
      <c r="AW1340" s="65">
        <f>IF(AP1340="",100%,0%)</f>
        <v/>
      </c>
      <c r="AX1340" s="56" t="n"/>
      <c r="AY1340" s="24">
        <f>IF(M1340=0,"",M1340-$AX$2)</f>
        <v/>
      </c>
      <c r="AZ1340" s="66">
        <f>IF(AND(W1340="",AY1340&gt;0,AY1340&lt;15),1,0)</f>
        <v/>
      </c>
      <c r="BA1340" s="24">
        <f>IF(AND(W1340="",AY1340&gt;0,AY1340&lt;15),T1340,"")</f>
        <v/>
      </c>
      <c r="BB1340" s="87">
        <f>IF(R1340&lt;Q1340,"X","")</f>
        <v/>
      </c>
      <c r="BC1340" s="190" t="inlineStr">
        <is>
          <t>NO</t>
        </is>
      </c>
      <c r="BD1340" s="191" t="inlineStr">
        <is>
          <t>SI</t>
        </is>
      </c>
    </row>
    <row r="1341" ht="15" customHeight="1" s="162">
      <c r="A1341" s="7" t="n">
        <v>1340</v>
      </c>
      <c r="B1341" t="inlineStr">
        <is>
          <t>1229508280502</t>
        </is>
      </c>
      <c r="C1341" t="inlineStr">
        <is>
          <t>CBL EQ UTP RJ45-M/M 10FT AMAR CAT6 LSZH</t>
        </is>
      </c>
      <c r="D1341" t="inlineStr">
        <is>
          <t>1800113520</t>
        </is>
      </c>
      <c r="E1341" t="inlineStr">
        <is>
          <t>40</t>
        </is>
      </c>
      <c r="F1341" s="163" t="n">
        <v>45569</v>
      </c>
      <c r="G1341" t="inlineStr"/>
      <c r="H1341" t="inlineStr">
        <is>
          <t>4200582605</t>
        </is>
      </c>
      <c r="I1341" t="inlineStr">
        <is>
          <t>50</t>
        </is>
      </c>
      <c r="J1341" s="163" t="n">
        <v>45588</v>
      </c>
      <c r="K1341" s="163" t="n">
        <v>45589</v>
      </c>
      <c r="L1341" t="inlineStr"/>
      <c r="M1341" s="163" t="n">
        <v>45618</v>
      </c>
      <c r="N1341" s="164" t="n">
        <v>50</v>
      </c>
      <c r="O1341" s="164" t="n">
        <v>8</v>
      </c>
      <c r="P1341" t="inlineStr">
        <is>
          <t>Liberado</t>
        </is>
      </c>
      <c r="Q1341" s="165" t="n">
        <v>4</v>
      </c>
      <c r="R1341" s="165" t="n">
        <v>4</v>
      </c>
      <c r="S1341" s="165" t="n">
        <v>4</v>
      </c>
      <c r="T1341" s="165" t="n">
        <v>0</v>
      </c>
      <c r="U1341" s="166" t="n">
        <v>4</v>
      </c>
      <c r="V1341" s="166" t="n">
        <v>0</v>
      </c>
      <c r="W1341" t="inlineStr">
        <is>
          <t>X</t>
        </is>
      </c>
      <c r="X1341" t="inlineStr">
        <is>
          <t>0.00</t>
        </is>
      </c>
      <c r="Y1341" t="inlineStr"/>
      <c r="Z1341" t="inlineStr">
        <is>
          <t>INFORMATICA CALCULO Y TECNICA, S.A.</t>
        </is>
      </c>
      <c r="AA1341" t="inlineStr">
        <is>
          <t>PACTECH</t>
        </is>
      </c>
      <c r="AB1341" t="inlineStr">
        <is>
          <t>MM-C6Y-10-28LSZH-F</t>
        </is>
      </c>
      <c r="AC1341" t="inlineStr"/>
      <c r="AD1341" s="164" t="n">
        <v>0</v>
      </c>
      <c r="AE1341" s="185" t="n">
        <v>0</v>
      </c>
      <c r="AG1341" s="167" t="inlineStr">
        <is>
          <t>7218|JA2585_1001</t>
        </is>
      </c>
      <c r="AH1341" s="47">
        <f>IF(M1341=0,"-",M1341-J1341)</f>
        <v/>
      </c>
      <c r="AI1341" s="46">
        <f>IF(AND(S1341=0,M1341&gt;0,L1341=0),IF(AH1341&gt;=120,"VERY HIGH",IF(AH1341&gt;=90,"HIGH",IF(AH1341&gt;=60,"MEDIUM",IF(AH1341&lt;60,"LOW")))),"-")</f>
        <v/>
      </c>
      <c r="AJ1341" s="12" t="n"/>
      <c r="AK1341" s="53">
        <f>IF(AND(W1341="X",M1341&lt;=$AJ$2),"YES","")</f>
        <v/>
      </c>
      <c r="AL1341" s="54">
        <f>IF(AND(W1341="X",M1341&lt;=$AJ$2),S1341,"")</f>
        <v/>
      </c>
      <c r="AM1341" s="35" t="n"/>
      <c r="AN1341" s="35">
        <f>IF(AND(W1341="X",M1341&gt;$AJ$2),S1341,"")</f>
        <v/>
      </c>
      <c r="AO1341" s="35">
        <f>IF(AND(W1341="",M1341&gt;0,$AJ$2&gt;M1341,L1341=""),1,0)</f>
        <v/>
      </c>
      <c r="AP1341" s="35">
        <f>IF(AND(AK1341="YES",W1341="X"),"X","")</f>
        <v/>
      </c>
      <c r="AQ1341" s="55">
        <f>IF(AP1341="X",100%,0%)</f>
        <v/>
      </c>
      <c r="AR1341" s="25">
        <f>IF(AND(T1341&gt;0,L1341=""),H1341,"")</f>
        <v/>
      </c>
      <c r="AS1341" s="25">
        <f>IF(AND(D1341&gt;0,H1341=0,G1341=""),1,"")</f>
        <v/>
      </c>
      <c r="AT1341" s="25">
        <f>IF(G1341="BLOQ",1,"")</f>
        <v/>
      </c>
      <c r="AU1341" s="25">
        <f>IF(L1341="BLOQ",1,"")</f>
        <v/>
      </c>
      <c r="AV1341" s="25">
        <f>MONTH(F1341)</f>
        <v/>
      </c>
      <c r="AW1341" s="65">
        <f>IF(AP1341="",100%,0%)</f>
        <v/>
      </c>
      <c r="AX1341" s="56" t="n"/>
      <c r="AY1341" s="24">
        <f>IF(M1341=0,"",M1341-$AX$2)</f>
        <v/>
      </c>
      <c r="AZ1341" s="66">
        <f>IF(AND(W1341="",AY1341&gt;0,AY1341&lt;15),1,0)</f>
        <v/>
      </c>
      <c r="BA1341" s="24">
        <f>IF(AND(W1341="",AY1341&gt;0,AY1341&lt;15),T1341,"")</f>
        <v/>
      </c>
      <c r="BB1341" s="87">
        <f>IF(R1341&lt;Q1341,"X","")</f>
        <v/>
      </c>
      <c r="BC1341" s="190" t="inlineStr">
        <is>
          <t>NO</t>
        </is>
      </c>
      <c r="BD1341" s="191" t="inlineStr">
        <is>
          <t>SI</t>
        </is>
      </c>
    </row>
    <row r="1342" ht="15" customHeight="1" s="162">
      <c r="A1342" s="7" t="n">
        <v>1341</v>
      </c>
      <c r="B1342" t="inlineStr">
        <is>
          <t>1229508280504</t>
        </is>
      </c>
      <c r="C1342" t="inlineStr">
        <is>
          <t>CBL EQ UTP RJ45-M/M 35FT AMAR CAT6 LSZH</t>
        </is>
      </c>
      <c r="D1342" t="inlineStr">
        <is>
          <t>1800113520</t>
        </is>
      </c>
      <c r="E1342" t="inlineStr">
        <is>
          <t>50</t>
        </is>
      </c>
      <c r="F1342" s="163" t="n">
        <v>45569</v>
      </c>
      <c r="G1342" t="inlineStr"/>
      <c r="H1342" t="inlineStr">
        <is>
          <t>4200582604</t>
        </is>
      </c>
      <c r="I1342" t="inlineStr">
        <is>
          <t>40</t>
        </is>
      </c>
      <c r="J1342" s="163" t="n">
        <v>45588</v>
      </c>
      <c r="K1342" s="163" t="n">
        <v>45589</v>
      </c>
      <c r="L1342" t="inlineStr"/>
      <c r="M1342" s="163" t="n">
        <v>45618</v>
      </c>
      <c r="N1342" s="164" t="n">
        <v>60</v>
      </c>
      <c r="O1342" s="164" t="n">
        <v>8</v>
      </c>
      <c r="P1342" t="inlineStr">
        <is>
          <t>Liberado</t>
        </is>
      </c>
      <c r="Q1342" s="165" t="n">
        <v>1</v>
      </c>
      <c r="R1342" s="165" t="n">
        <v>1</v>
      </c>
      <c r="S1342" s="165" t="n">
        <v>1</v>
      </c>
      <c r="T1342" s="165" t="n">
        <v>0</v>
      </c>
      <c r="U1342" s="166" t="n">
        <v>1</v>
      </c>
      <c r="V1342" s="166" t="n">
        <v>0</v>
      </c>
      <c r="W1342" t="inlineStr">
        <is>
          <t>X</t>
        </is>
      </c>
      <c r="X1342" t="inlineStr">
        <is>
          <t>0.00</t>
        </is>
      </c>
      <c r="Y1342" t="inlineStr"/>
      <c r="Z1342" t="inlineStr">
        <is>
          <t>OMNIAELECTRONICS, S.L.</t>
        </is>
      </c>
      <c r="AA1342" t="inlineStr">
        <is>
          <t>PACTECH</t>
        </is>
      </c>
      <c r="AB1342" t="inlineStr">
        <is>
          <t>MM-C6Y-35-28LSZH-F</t>
        </is>
      </c>
      <c r="AC1342" t="inlineStr"/>
      <c r="AD1342" s="164" t="n">
        <v>0</v>
      </c>
      <c r="AE1342" s="185" t="n">
        <v>0</v>
      </c>
      <c r="AG1342" s="167" t="inlineStr">
        <is>
          <t>7218|JA2585_1001</t>
        </is>
      </c>
      <c r="AH1342" s="47">
        <f>IF(M1342=0,"-",M1342-J1342)</f>
        <v/>
      </c>
      <c r="AI1342" s="46">
        <f>IF(AND(S1342=0,M1342&gt;0,L1342=0),IF(AH1342&gt;=120,"VERY HIGH",IF(AH1342&gt;=90,"HIGH",IF(AH1342&gt;=60,"MEDIUM",IF(AH1342&lt;60,"LOW")))),"-")</f>
        <v/>
      </c>
      <c r="AJ1342" s="12" t="n"/>
      <c r="AK1342" s="53">
        <f>IF(AND(W1342="X",M1342&lt;=$AJ$2),"YES","")</f>
        <v/>
      </c>
      <c r="AL1342" s="54">
        <f>IF(AND(W1342="X",M1342&lt;=$AJ$2),S1342,"")</f>
        <v/>
      </c>
      <c r="AM1342" s="35" t="n"/>
      <c r="AN1342" s="35">
        <f>IF(AND(W1342="X",M1342&gt;$AJ$2),S1342,"")</f>
        <v/>
      </c>
      <c r="AO1342" s="35">
        <f>IF(AND(W1342="",M1342&gt;0,$AJ$2&gt;M1342,L1342=""),1,0)</f>
        <v/>
      </c>
      <c r="AP1342" s="35">
        <f>IF(AND(AK1342="YES",W1342="X"),"X","")</f>
        <v/>
      </c>
      <c r="AQ1342" s="55">
        <f>IF(AP1342="X",100%,0%)</f>
        <v/>
      </c>
      <c r="AR1342" s="25">
        <f>IF(AND(T1342&gt;0,L1342=""),H1342,"")</f>
        <v/>
      </c>
      <c r="AS1342" s="25">
        <f>IF(AND(D1342&gt;0,H1342=0,G1342=""),1,"")</f>
        <v/>
      </c>
      <c r="AT1342" s="25">
        <f>IF(G1342="BLOQ",1,"")</f>
        <v/>
      </c>
      <c r="AU1342" s="25">
        <f>IF(L1342="BLOQ",1,"")</f>
        <v/>
      </c>
      <c r="AV1342" s="25">
        <f>MONTH(F1342)</f>
        <v/>
      </c>
      <c r="AW1342" s="65">
        <f>IF(AP1342="",100%,0%)</f>
        <v/>
      </c>
      <c r="AX1342" s="56" t="n"/>
      <c r="AY1342" s="24">
        <f>IF(M1342=0,"",M1342-$AX$2)</f>
        <v/>
      </c>
      <c r="AZ1342" s="66">
        <f>IF(AND(W1342="",AY1342&gt;0,AY1342&lt;15),1,0)</f>
        <v/>
      </c>
      <c r="BA1342" s="24">
        <f>IF(AND(W1342="",AY1342&gt;0,AY1342&lt;15),T1342,"")</f>
        <v/>
      </c>
      <c r="BB1342" s="87">
        <f>IF(R1342&lt;Q1342,"X","")</f>
        <v/>
      </c>
      <c r="BC1342" s="190" t="inlineStr">
        <is>
          <t>NO</t>
        </is>
      </c>
      <c r="BD1342" s="191" t="inlineStr">
        <is>
          <t>SI</t>
        </is>
      </c>
    </row>
    <row r="1343" ht="15" customHeight="1" s="162">
      <c r="A1343" s="7" t="n">
        <v>1342</v>
      </c>
      <c r="B1343" t="inlineStr">
        <is>
          <t>1229508280505</t>
        </is>
      </c>
      <c r="C1343" t="inlineStr">
        <is>
          <t>CBL EQ UTP RJ45-M/M 50FT AMAR CAT6 LSZH</t>
        </is>
      </c>
      <c r="D1343" t="inlineStr">
        <is>
          <t>1800113520</t>
        </is>
      </c>
      <c r="E1343" t="inlineStr">
        <is>
          <t>60</t>
        </is>
      </c>
      <c r="F1343" s="163" t="n">
        <v>45569</v>
      </c>
      <c r="G1343" t="inlineStr"/>
      <c r="H1343" t="inlineStr">
        <is>
          <t>4200582605</t>
        </is>
      </c>
      <c r="I1343" t="inlineStr">
        <is>
          <t>60</t>
        </is>
      </c>
      <c r="J1343" s="163" t="n">
        <v>45588</v>
      </c>
      <c r="K1343" s="163" t="n">
        <v>45589</v>
      </c>
      <c r="L1343" t="inlineStr"/>
      <c r="M1343" s="163" t="n">
        <v>45618</v>
      </c>
      <c r="N1343" s="164" t="n">
        <v>65</v>
      </c>
      <c r="O1343" s="164" t="n">
        <v>8</v>
      </c>
      <c r="P1343" t="inlineStr">
        <is>
          <t>Liberado</t>
        </is>
      </c>
      <c r="Q1343" s="165" t="n">
        <v>2</v>
      </c>
      <c r="R1343" s="165" t="n">
        <v>2</v>
      </c>
      <c r="S1343" s="165" t="n">
        <v>2</v>
      </c>
      <c r="T1343" s="165" t="n">
        <v>0</v>
      </c>
      <c r="U1343" s="166" t="n">
        <v>2</v>
      </c>
      <c r="V1343" s="166" t="n">
        <v>0</v>
      </c>
      <c r="W1343" t="inlineStr">
        <is>
          <t>X</t>
        </is>
      </c>
      <c r="X1343" t="inlineStr">
        <is>
          <t>0.00</t>
        </is>
      </c>
      <c r="Y1343" t="inlineStr"/>
      <c r="Z1343" t="inlineStr">
        <is>
          <t>INFORMATICA CALCULO Y TECNICA, S.A.</t>
        </is>
      </c>
      <c r="AA1343" t="inlineStr">
        <is>
          <t>PACTECH</t>
        </is>
      </c>
      <c r="AB1343" t="inlineStr">
        <is>
          <t>MM-C6Y-50-28LSZH-F</t>
        </is>
      </c>
      <c r="AC1343" t="inlineStr"/>
      <c r="AD1343" s="164" t="n">
        <v>0</v>
      </c>
      <c r="AE1343" s="185" t="n">
        <v>0</v>
      </c>
      <c r="AG1343" s="167" t="inlineStr">
        <is>
          <t>7218|JA2585_1001</t>
        </is>
      </c>
      <c r="AH1343" s="47">
        <f>IF(M1343=0,"-",M1343-J1343)</f>
        <v/>
      </c>
      <c r="AI1343" s="46">
        <f>IF(AND(S1343=0,M1343&gt;0,L1343=0),IF(AH1343&gt;=120,"VERY HIGH",IF(AH1343&gt;=90,"HIGH",IF(AH1343&gt;=60,"MEDIUM",IF(AH1343&lt;60,"LOW")))),"-")</f>
        <v/>
      </c>
      <c r="AJ1343" s="12" t="n"/>
      <c r="AK1343" s="53">
        <f>IF(AND(W1343="X",M1343&lt;=$AJ$2),"YES","")</f>
        <v/>
      </c>
      <c r="AL1343" s="54">
        <f>IF(AND(W1343="X",M1343&lt;=$AJ$2),S1343,"")</f>
        <v/>
      </c>
      <c r="AM1343" s="35" t="n"/>
      <c r="AN1343" s="35">
        <f>IF(AND(W1343="X",M1343&gt;$AJ$2),S1343,"")</f>
        <v/>
      </c>
      <c r="AO1343" s="35">
        <f>IF(AND(W1343="",M1343&gt;0,$AJ$2&gt;M1343,L1343=""),1,0)</f>
        <v/>
      </c>
      <c r="AP1343" s="35">
        <f>IF(AND(AK1343="YES",W1343="X"),"X","")</f>
        <v/>
      </c>
      <c r="AQ1343" s="55">
        <f>IF(AP1343="X",100%,0%)</f>
        <v/>
      </c>
      <c r="AR1343" s="25">
        <f>IF(AND(T1343&gt;0,L1343=""),H1343,"")</f>
        <v/>
      </c>
      <c r="AS1343" s="25">
        <f>IF(AND(D1343&gt;0,H1343=0,G1343=""),1,"")</f>
        <v/>
      </c>
      <c r="AT1343" s="25">
        <f>IF(G1343="BLOQ",1,"")</f>
        <v/>
      </c>
      <c r="AU1343" s="25">
        <f>IF(L1343="BLOQ",1,"")</f>
        <v/>
      </c>
      <c r="AV1343" s="25">
        <f>MONTH(F1343)</f>
        <v/>
      </c>
      <c r="AW1343" s="65">
        <f>IF(AP1343="",100%,0%)</f>
        <v/>
      </c>
      <c r="AX1343" s="56" t="n"/>
      <c r="AY1343" s="24">
        <f>IF(M1343=0,"",M1343-$AX$2)</f>
        <v/>
      </c>
      <c r="AZ1343" s="66">
        <f>IF(AND(W1343="",AY1343&gt;0,AY1343&lt;15),1,0)</f>
        <v/>
      </c>
      <c r="BA1343" s="24">
        <f>IF(AND(W1343="",AY1343&gt;0,AY1343&lt;15),T1343,"")</f>
        <v/>
      </c>
      <c r="BB1343" s="87">
        <f>IF(R1343&lt;Q1343,"X","")</f>
        <v/>
      </c>
      <c r="BC1343" s="190" t="inlineStr">
        <is>
          <t>NO</t>
        </is>
      </c>
      <c r="BD1343" s="191" t="inlineStr">
        <is>
          <t>SI</t>
        </is>
      </c>
    </row>
    <row r="1344" ht="15" customHeight="1" s="162">
      <c r="A1344" s="7" t="n">
        <v>1343</v>
      </c>
      <c r="B1344" t="inlineStr">
        <is>
          <t>1229591601105</t>
        </is>
      </c>
      <c r="C1344" t="inlineStr">
        <is>
          <t>CBL EQ PC CAT6A F/UTP RJ45 LSZH NRJ 0.3M</t>
        </is>
      </c>
      <c r="D1344" t="inlineStr">
        <is>
          <t>1800113520</t>
        </is>
      </c>
      <c r="E1344" t="inlineStr">
        <is>
          <t>70</t>
        </is>
      </c>
      <c r="F1344" s="163" t="n">
        <v>45569</v>
      </c>
      <c r="G1344" t="inlineStr"/>
      <c r="H1344" t="inlineStr">
        <is>
          <t>4200584216</t>
        </is>
      </c>
      <c r="I1344" t="inlineStr">
        <is>
          <t>10</t>
        </is>
      </c>
      <c r="J1344" s="163" t="n">
        <v>45600</v>
      </c>
      <c r="K1344" s="163" t="n">
        <v>45600</v>
      </c>
      <c r="L1344" t="inlineStr"/>
      <c r="M1344" s="163" t="n">
        <v>45604</v>
      </c>
      <c r="N1344" s="164" t="n">
        <v>30</v>
      </c>
      <c r="O1344" s="164" t="n">
        <v>8</v>
      </c>
      <c r="P1344" t="inlineStr">
        <is>
          <t>Liberado</t>
        </is>
      </c>
      <c r="Q1344" s="165" t="n">
        <v>6</v>
      </c>
      <c r="R1344" s="165" t="n">
        <v>6</v>
      </c>
      <c r="S1344" s="165" t="n">
        <v>6</v>
      </c>
      <c r="T1344" s="165" t="n">
        <v>0</v>
      </c>
      <c r="U1344" s="166" t="n">
        <v>6</v>
      </c>
      <c r="V1344" s="166" t="n">
        <v>0</v>
      </c>
      <c r="W1344" t="inlineStr">
        <is>
          <t>X</t>
        </is>
      </c>
      <c r="X1344" t="inlineStr">
        <is>
          <t>0.00</t>
        </is>
      </c>
      <c r="Y1344" t="inlineStr"/>
      <c r="Z1344" t="inlineStr">
        <is>
          <t>CUBITEL,S.L</t>
        </is>
      </c>
      <c r="AA1344" t="inlineStr">
        <is>
          <t>CUBITEL</t>
        </is>
      </c>
      <c r="AB1344" t="inlineStr">
        <is>
          <t>LAT-CAT6AF-NJ-0.3</t>
        </is>
      </c>
      <c r="AC1344" t="inlineStr"/>
      <c r="AD1344" s="164" t="n">
        <v>0</v>
      </c>
      <c r="AE1344" s="185" t="n">
        <v>0</v>
      </c>
      <c r="AG1344" s="167" t="inlineStr">
        <is>
          <t>7218|JA2585_1001</t>
        </is>
      </c>
      <c r="AH1344" s="47">
        <f>IF(M1344=0,"-",M1344-J1344)</f>
        <v/>
      </c>
      <c r="AI1344" s="46">
        <f>IF(AND(S1344=0,M1344&gt;0,L1344=0),IF(AH1344&gt;=120,"VERY HIGH",IF(AH1344&gt;=90,"HIGH",IF(AH1344&gt;=60,"MEDIUM",IF(AH1344&lt;60,"LOW")))),"-")</f>
        <v/>
      </c>
      <c r="AJ1344" s="12" t="n"/>
      <c r="AK1344" s="53">
        <f>IF(AND(W1344="X",M1344&lt;=$AJ$2),"YES","")</f>
        <v/>
      </c>
      <c r="AL1344" s="54">
        <f>IF(AND(W1344="X",M1344&lt;=$AJ$2),S1344,"")</f>
        <v/>
      </c>
      <c r="AM1344" s="35" t="n"/>
      <c r="AN1344" s="35">
        <f>IF(AND(W1344="X",M1344&gt;$AJ$2),S1344,"")</f>
        <v/>
      </c>
      <c r="AO1344" s="35">
        <f>IF(AND(W1344="",M1344&gt;0,$AJ$2&gt;M1344,L1344=""),1,0)</f>
        <v/>
      </c>
      <c r="AP1344" s="35">
        <f>IF(AND(AK1344="YES",W1344="X"),"X","")</f>
        <v/>
      </c>
      <c r="AQ1344" s="55">
        <f>IF(AP1344="X",100%,0%)</f>
        <v/>
      </c>
      <c r="AR1344" s="25">
        <f>IF(AND(T1344&gt;0,L1344=""),H1344,"")</f>
        <v/>
      </c>
      <c r="AS1344" s="25">
        <f>IF(AND(D1344&gt;0,H1344=0,G1344=""),1,"")</f>
        <v/>
      </c>
      <c r="AT1344" s="25">
        <f>IF(G1344="BLOQ",1,"")</f>
        <v/>
      </c>
      <c r="AU1344" s="25">
        <f>IF(L1344="BLOQ",1,"")</f>
        <v/>
      </c>
      <c r="AV1344" s="25">
        <f>MONTH(F1344)</f>
        <v/>
      </c>
      <c r="AW1344" s="65">
        <f>IF(AP1344="",100%,0%)</f>
        <v/>
      </c>
      <c r="AX1344" s="56" t="n"/>
      <c r="AY1344" s="24">
        <f>IF(M1344=0,"",M1344-$AX$2)</f>
        <v/>
      </c>
      <c r="AZ1344" s="66">
        <f>IF(AND(W1344="",AY1344&gt;0,AY1344&lt;15),1,0)</f>
        <v/>
      </c>
      <c r="BA1344" s="24">
        <f>IF(AND(W1344="",AY1344&gt;0,AY1344&lt;15),T1344,"")</f>
        <v/>
      </c>
      <c r="BB1344" s="87">
        <f>IF(R1344&lt;Q1344,"X","")</f>
        <v/>
      </c>
      <c r="BC1344" s="190" t="inlineStr">
        <is>
          <t>NO</t>
        </is>
      </c>
      <c r="BD1344" s="190" t="inlineStr">
        <is>
          <t>NO</t>
        </is>
      </c>
    </row>
    <row r="1345" ht="15" customHeight="1" s="162">
      <c r="A1345" s="7" t="n">
        <v>1344</v>
      </c>
      <c r="B1345" t="inlineStr">
        <is>
          <t>1229591601106</t>
        </is>
      </c>
      <c r="C1345" t="inlineStr">
        <is>
          <t>CBL EQ PC CAT6A F/UTP RJ45 LSZH NRJ 1.5M</t>
        </is>
      </c>
      <c r="D1345" t="inlineStr">
        <is>
          <t>1800113520</t>
        </is>
      </c>
      <c r="E1345" t="inlineStr">
        <is>
          <t>80</t>
        </is>
      </c>
      <c r="F1345" s="163" t="n">
        <v>45569</v>
      </c>
      <c r="G1345" t="inlineStr"/>
      <c r="H1345" t="inlineStr">
        <is>
          <t>4200584216</t>
        </is>
      </c>
      <c r="I1345" t="inlineStr">
        <is>
          <t>20</t>
        </is>
      </c>
      <c r="J1345" s="163" t="n">
        <v>45600</v>
      </c>
      <c r="K1345" s="163" t="n">
        <v>45600</v>
      </c>
      <c r="L1345" t="inlineStr"/>
      <c r="M1345" s="163" t="n">
        <v>45604</v>
      </c>
      <c r="N1345" s="164" t="n">
        <v>30</v>
      </c>
      <c r="O1345" s="164" t="n">
        <v>8</v>
      </c>
      <c r="P1345" t="inlineStr">
        <is>
          <t>Liberado</t>
        </is>
      </c>
      <c r="Q1345" s="166" t="n">
        <v>1</v>
      </c>
      <c r="R1345" s="166" t="n">
        <v>1</v>
      </c>
      <c r="S1345" s="166" t="n">
        <v>1</v>
      </c>
      <c r="T1345" s="166" t="n">
        <v>0</v>
      </c>
      <c r="U1345" s="166" t="n">
        <v>1</v>
      </c>
      <c r="V1345" s="166" t="n">
        <v>0</v>
      </c>
      <c r="W1345" t="inlineStr">
        <is>
          <t>X</t>
        </is>
      </c>
      <c r="X1345" t="inlineStr">
        <is>
          <t>0.00</t>
        </is>
      </c>
      <c r="Y1345" t="inlineStr"/>
      <c r="Z1345" t="inlineStr">
        <is>
          <t>CUBITEL,S.L</t>
        </is>
      </c>
      <c r="AA1345" t="inlineStr">
        <is>
          <t>CUBITEL</t>
        </is>
      </c>
      <c r="AB1345" t="inlineStr">
        <is>
          <t>LAT-CAT6AF-NJ-1.5</t>
        </is>
      </c>
      <c r="AC1345" t="inlineStr"/>
      <c r="AD1345" s="164" t="n">
        <v>0</v>
      </c>
      <c r="AE1345" s="185" t="n">
        <v>0</v>
      </c>
      <c r="AG1345" s="167" t="inlineStr">
        <is>
          <t>7218|JA2585_1001</t>
        </is>
      </c>
      <c r="AH1345" s="47">
        <f>IF(M1345=0,"-",M1345-J1345)</f>
        <v/>
      </c>
      <c r="AI1345" s="46">
        <f>IF(AND(S1345=0,M1345&gt;0,L1345=0),IF(AH1345&gt;=120,"VERY HIGH",IF(AH1345&gt;=90,"HIGH",IF(AH1345&gt;=60,"MEDIUM",IF(AH1345&lt;60,"LOW")))),"-")</f>
        <v/>
      </c>
      <c r="AJ1345" s="12" t="n"/>
      <c r="AK1345" s="53">
        <f>IF(AND(W1345="X",M1345&lt;=$AJ$2),"YES","")</f>
        <v/>
      </c>
      <c r="AL1345" s="54">
        <f>IF(AND(W1345="X",M1345&lt;=$AJ$2),S1345,"")</f>
        <v/>
      </c>
      <c r="AM1345" s="35" t="n"/>
      <c r="AN1345" s="35">
        <f>IF(AND(W1345="X",M1345&gt;$AJ$2),S1345,"")</f>
        <v/>
      </c>
      <c r="AO1345" s="35">
        <f>IF(AND(W1345="",M1345&gt;0,$AJ$2&gt;M1345,L1345=""),1,0)</f>
        <v/>
      </c>
      <c r="AP1345" s="35">
        <f>IF(AND(AK1345="YES",W1345="X"),"X","")</f>
        <v/>
      </c>
      <c r="AQ1345" s="55">
        <f>IF(AP1345="X",100%,0%)</f>
        <v/>
      </c>
      <c r="AR1345" s="25">
        <f>IF(AND(T1345&gt;0,L1345=""),H1345,"")</f>
        <v/>
      </c>
      <c r="AS1345" s="25">
        <f>IF(AND(D1345&gt;0,H1345=0,G1345=""),1,"")</f>
        <v/>
      </c>
      <c r="AT1345" s="25">
        <f>IF(G1345="BLOQ",1,"")</f>
        <v/>
      </c>
      <c r="AU1345" s="25">
        <f>IF(L1345="BLOQ",1,"")</f>
        <v/>
      </c>
      <c r="AV1345" s="25">
        <f>MONTH(F1345)</f>
        <v/>
      </c>
      <c r="AW1345" s="65">
        <f>IF(AP1345="",100%,0%)</f>
        <v/>
      </c>
      <c r="AX1345" s="56" t="n"/>
      <c r="AY1345" s="24">
        <f>IF(M1345=0,"",M1345-$AX$2)</f>
        <v/>
      </c>
      <c r="AZ1345" s="66">
        <f>IF(AND(W1345="",AY1345&gt;0,AY1345&lt;15),1,0)</f>
        <v/>
      </c>
      <c r="BA1345" s="24">
        <f>IF(AND(W1345="",AY1345&gt;0,AY1345&lt;15),T1345,"")</f>
        <v/>
      </c>
      <c r="BB1345" s="87">
        <f>IF(R1345&lt;Q1345,"X","")</f>
        <v/>
      </c>
      <c r="BC1345" s="190" t="inlineStr">
        <is>
          <t>NO</t>
        </is>
      </c>
      <c r="BD1345" s="190" t="inlineStr">
        <is>
          <t>NO</t>
        </is>
      </c>
    </row>
    <row r="1346" ht="15" customHeight="1" s="162">
      <c r="A1346" s="7" t="n">
        <v>1345</v>
      </c>
      <c r="B1346" t="inlineStr">
        <is>
          <t>1229598280203</t>
        </is>
      </c>
      <c r="C1346" t="inlineStr">
        <is>
          <t>CBL EQ ASSY RJ45-M/M LSZH AZUL-OSC L10FT</t>
        </is>
      </c>
      <c r="D1346" t="inlineStr">
        <is>
          <t>1800113520</t>
        </is>
      </c>
      <c r="E1346" t="inlineStr">
        <is>
          <t>90</t>
        </is>
      </c>
      <c r="F1346" s="163" t="n">
        <v>45569</v>
      </c>
      <c r="G1346" t="inlineStr"/>
      <c r="H1346" t="inlineStr">
        <is>
          <t>4200582605</t>
        </is>
      </c>
      <c r="I1346" t="inlineStr">
        <is>
          <t>70</t>
        </is>
      </c>
      <c r="J1346" s="163" t="n">
        <v>45588</v>
      </c>
      <c r="K1346" s="163" t="n">
        <v>45589</v>
      </c>
      <c r="L1346" t="inlineStr"/>
      <c r="M1346" s="163" t="n">
        <v>45618</v>
      </c>
      <c r="N1346" s="164" t="n">
        <v>30</v>
      </c>
      <c r="O1346" s="164" t="n">
        <v>8</v>
      </c>
      <c r="P1346" t="inlineStr">
        <is>
          <t>Liberado</t>
        </is>
      </c>
      <c r="Q1346" s="165" t="n">
        <v>3</v>
      </c>
      <c r="R1346" s="165" t="n">
        <v>3</v>
      </c>
      <c r="S1346" s="165" t="n">
        <v>3</v>
      </c>
      <c r="T1346" s="165" t="n">
        <v>0</v>
      </c>
      <c r="U1346" s="166" t="n">
        <v>3</v>
      </c>
      <c r="V1346" s="166" t="n">
        <v>0</v>
      </c>
      <c r="W1346" t="inlineStr">
        <is>
          <t>X</t>
        </is>
      </c>
      <c r="X1346" t="inlineStr">
        <is>
          <t>0.00</t>
        </is>
      </c>
      <c r="Y1346" t="inlineStr"/>
      <c r="Z1346" t="inlineStr">
        <is>
          <t>INFORMATICA CALCULO Y TECNICA, S.A.</t>
        </is>
      </c>
      <c r="AA1346" t="inlineStr">
        <is>
          <t>PACTECH</t>
        </is>
      </c>
      <c r="AB1346" t="inlineStr">
        <is>
          <t>MM-C6T-10-28LSZH-F</t>
        </is>
      </c>
      <c r="AC1346" t="inlineStr"/>
      <c r="AD1346" s="164" t="n">
        <v>0</v>
      </c>
      <c r="AE1346" s="185" t="n">
        <v>0</v>
      </c>
      <c r="AG1346" s="167" t="inlineStr">
        <is>
          <t>7218|JA2585_1001</t>
        </is>
      </c>
      <c r="AH1346" s="47">
        <f>IF(M1346=0,"-",M1346-J1346)</f>
        <v/>
      </c>
      <c r="AI1346" s="46">
        <f>IF(AND(S1346=0,M1346&gt;0,L1346=0),IF(AH1346&gt;=120,"VERY HIGH",IF(AH1346&gt;=90,"HIGH",IF(AH1346&gt;=60,"MEDIUM",IF(AH1346&lt;60,"LOW")))),"-")</f>
        <v/>
      </c>
      <c r="AJ1346" s="12" t="n"/>
      <c r="AK1346" s="53">
        <f>IF(AND(W1346="X",M1346&lt;=$AJ$2),"YES","")</f>
        <v/>
      </c>
      <c r="AL1346" s="54">
        <f>IF(AND(W1346="X",M1346&lt;=$AJ$2),S1346,"")</f>
        <v/>
      </c>
      <c r="AM1346" s="35" t="n"/>
      <c r="AN1346" s="35">
        <f>IF(AND(W1346="X",M1346&gt;$AJ$2),S1346,"")</f>
        <v/>
      </c>
      <c r="AO1346" s="35">
        <f>IF(AND(W1346="",M1346&gt;0,$AJ$2&gt;M1346,L1346=""),1,0)</f>
        <v/>
      </c>
      <c r="AP1346" s="35">
        <f>IF(AND(AK1346="YES",W1346="X"),"X","")</f>
        <v/>
      </c>
      <c r="AQ1346" s="55">
        <f>IF(AP1346="X",100%,0%)</f>
        <v/>
      </c>
      <c r="AR1346" s="25">
        <f>IF(AND(T1346&gt;0,L1346=""),H1346,"")</f>
        <v/>
      </c>
      <c r="AS1346" s="25">
        <f>IF(AND(D1346&gt;0,H1346=0,G1346=""),1,"")</f>
        <v/>
      </c>
      <c r="AT1346" s="25">
        <f>IF(G1346="BLOQ",1,"")</f>
        <v/>
      </c>
      <c r="AU1346" s="25">
        <f>IF(L1346="BLOQ",1,"")</f>
        <v/>
      </c>
      <c r="AV1346" s="25">
        <f>MONTH(F1346)</f>
        <v/>
      </c>
      <c r="AW1346" s="65">
        <f>IF(AP1346="",100%,0%)</f>
        <v/>
      </c>
      <c r="AX1346" s="56" t="n"/>
      <c r="AY1346" s="24">
        <f>IF(M1346=0,"",M1346-$AX$2)</f>
        <v/>
      </c>
      <c r="AZ1346" s="66">
        <f>IF(AND(W1346="",AY1346&gt;0,AY1346&lt;15),1,0)</f>
        <v/>
      </c>
      <c r="BA1346" s="24">
        <f>IF(AND(W1346="",AY1346&gt;0,AY1346&lt;15),T1346,"")</f>
        <v/>
      </c>
      <c r="BB1346" s="87">
        <f>IF(R1346&lt;Q1346,"X","")</f>
        <v/>
      </c>
      <c r="BC1346" s="190" t="inlineStr">
        <is>
          <t>NO</t>
        </is>
      </c>
      <c r="BD1346" s="191" t="inlineStr">
        <is>
          <t>SI</t>
        </is>
      </c>
    </row>
    <row r="1347" ht="15" customHeight="1" s="162">
      <c r="A1347" s="7" t="n">
        <v>1346</v>
      </c>
      <c r="B1347" t="inlineStr">
        <is>
          <t>3210104723503</t>
        </is>
      </c>
      <c r="C1347" t="inlineStr">
        <is>
          <t>CBL EQ PATCHCORD CAT7 RJ45 LSZH WH L=45M</t>
        </is>
      </c>
      <c r="D1347" t="inlineStr">
        <is>
          <t>1800113520</t>
        </is>
      </c>
      <c r="E1347" t="inlineStr">
        <is>
          <t>100</t>
        </is>
      </c>
      <c r="F1347" s="163" t="n">
        <v>45569</v>
      </c>
      <c r="G1347" t="inlineStr"/>
      <c r="H1347" t="inlineStr">
        <is>
          <t>4200580562</t>
        </is>
      </c>
      <c r="I1347" t="inlineStr">
        <is>
          <t>30</t>
        </is>
      </c>
      <c r="J1347" s="163" t="n">
        <v>45574</v>
      </c>
      <c r="K1347" s="163" t="n">
        <v>45575</v>
      </c>
      <c r="L1347" t="inlineStr"/>
      <c r="M1347" s="163" t="n">
        <v>45614</v>
      </c>
      <c r="N1347" s="164" t="n">
        <v>40</v>
      </c>
      <c r="O1347" s="164" t="n">
        <v>8</v>
      </c>
      <c r="P1347" t="inlineStr">
        <is>
          <t>Liberado</t>
        </is>
      </c>
      <c r="Q1347" s="165" t="n">
        <v>22</v>
      </c>
      <c r="R1347" s="165" t="n">
        <v>22</v>
      </c>
      <c r="S1347" s="165" t="n">
        <v>22</v>
      </c>
      <c r="T1347" s="165" t="n">
        <v>0</v>
      </c>
      <c r="U1347" s="166" t="n">
        <v>22</v>
      </c>
      <c r="V1347" s="166" t="n">
        <v>0</v>
      </c>
      <c r="W1347" t="inlineStr">
        <is>
          <t>X</t>
        </is>
      </c>
      <c r="X1347" t="inlineStr">
        <is>
          <t>0.00</t>
        </is>
      </c>
      <c r="Y1347" t="inlineStr"/>
      <c r="Z1347" t="inlineStr">
        <is>
          <t>CUBITEL,S.L</t>
        </is>
      </c>
      <c r="AA1347" t="inlineStr">
        <is>
          <t>CUBITEL</t>
        </is>
      </c>
      <c r="AB1347" t="inlineStr">
        <is>
          <t>CBT-CAT7F-45</t>
        </is>
      </c>
      <c r="AC1347" t="inlineStr"/>
      <c r="AD1347" s="164" t="n">
        <v>0</v>
      </c>
      <c r="AE1347" s="185" t="n">
        <v>0</v>
      </c>
      <c r="AG1347" s="167" t="inlineStr">
        <is>
          <t>7218|JA2585_1001</t>
        </is>
      </c>
      <c r="AH1347" s="47">
        <f>IF(M1347=0,"-",M1347-J1347)</f>
        <v/>
      </c>
      <c r="AI1347" s="46">
        <f>IF(AND(S1347=0,M1347&gt;0,L1347=0),IF(AH1347&gt;=120,"VERY HIGH",IF(AH1347&gt;=90,"HIGH",IF(AH1347&gt;=60,"MEDIUM",IF(AH1347&lt;60,"LOW")))),"-")</f>
        <v/>
      </c>
      <c r="AJ1347" s="12" t="n"/>
      <c r="AK1347" s="53">
        <f>IF(AND(W1347="X",M1347&lt;=$AJ$2),"YES","")</f>
        <v/>
      </c>
      <c r="AL1347" s="54">
        <f>IF(AND(W1347="X",M1347&lt;=$AJ$2),S1347,"")</f>
        <v/>
      </c>
      <c r="AM1347" s="35" t="n"/>
      <c r="AN1347" s="35">
        <f>IF(AND(W1347="X",M1347&gt;$AJ$2),S1347,"")</f>
        <v/>
      </c>
      <c r="AO1347" s="35">
        <f>IF(AND(W1347="",M1347&gt;0,$AJ$2&gt;M1347,L1347=""),1,0)</f>
        <v/>
      </c>
      <c r="AP1347" s="35">
        <f>IF(AND(AK1347="YES",W1347="X"),"X","")</f>
        <v/>
      </c>
      <c r="AQ1347" s="55">
        <f>IF(AP1347="X",100%,0%)</f>
        <v/>
      </c>
      <c r="AR1347" s="25">
        <f>IF(AND(T1347&gt;0,L1347=""),H1347,"")</f>
        <v/>
      </c>
      <c r="AS1347" s="25">
        <f>IF(AND(D1347&gt;0,H1347=0,G1347=""),1,"")</f>
        <v/>
      </c>
      <c r="AT1347" s="25">
        <f>IF(G1347="BLOQ",1,"")</f>
        <v/>
      </c>
      <c r="AU1347" s="25">
        <f>IF(L1347="BLOQ",1,"")</f>
        <v/>
      </c>
      <c r="AV1347" s="25">
        <f>MONTH(F1347)</f>
        <v/>
      </c>
      <c r="AW1347" s="65">
        <f>IF(AP1347="",100%,0%)</f>
        <v/>
      </c>
      <c r="AX1347" s="56" t="n"/>
      <c r="AY1347" s="24">
        <f>IF(M1347=0,"",M1347-$AX$2)</f>
        <v/>
      </c>
      <c r="AZ1347" s="66">
        <f>IF(AND(W1347="",AY1347&gt;0,AY1347&lt;15),1,0)</f>
        <v/>
      </c>
      <c r="BA1347" s="24">
        <f>IF(AND(W1347="",AY1347&gt;0,AY1347&lt;15),T1347,"")</f>
        <v/>
      </c>
      <c r="BB1347" s="87">
        <f>IF(R1347&lt;Q1347,"X","")</f>
        <v/>
      </c>
      <c r="BC1347" s="190" t="inlineStr">
        <is>
          <t>NO</t>
        </is>
      </c>
      <c r="BD1347" s="191" t="inlineStr">
        <is>
          <t>SI</t>
        </is>
      </c>
    </row>
    <row r="1348" ht="15" customHeight="1" s="162">
      <c r="A1348" s="7" t="n">
        <v>1347</v>
      </c>
      <c r="B1348" t="inlineStr">
        <is>
          <t>0973525430000.00</t>
        </is>
      </c>
      <c r="C1348" t="inlineStr">
        <is>
          <t>POWER CABINET</t>
        </is>
      </c>
      <c r="D1348" t="inlineStr">
        <is>
          <t>1800113547</t>
        </is>
      </c>
      <c r="E1348" t="inlineStr">
        <is>
          <t>10</t>
        </is>
      </c>
      <c r="F1348" s="163" t="n">
        <v>45572</v>
      </c>
      <c r="G1348" t="inlineStr"/>
      <c r="H1348" t="inlineStr">
        <is>
          <t>4200582813</t>
        </is>
      </c>
      <c r="I1348" t="inlineStr">
        <is>
          <t>10</t>
        </is>
      </c>
      <c r="J1348" s="163" t="n">
        <v>45589</v>
      </c>
      <c r="K1348" s="163" t="n">
        <v>45593</v>
      </c>
      <c r="L1348" t="inlineStr"/>
      <c r="M1348" s="163" t="n">
        <v>45605</v>
      </c>
      <c r="N1348" s="164" t="n">
        <v>30</v>
      </c>
      <c r="O1348" s="164" t="n">
        <v>8</v>
      </c>
      <c r="P1348" t="inlineStr">
        <is>
          <t>Liberado</t>
        </is>
      </c>
      <c r="Q1348" s="165" t="n">
        <v>1</v>
      </c>
      <c r="R1348" s="165" t="n">
        <v>1</v>
      </c>
      <c r="S1348" s="165" t="n">
        <v>1</v>
      </c>
      <c r="T1348" s="165" t="n">
        <v>0</v>
      </c>
      <c r="U1348" s="166" t="n">
        <v>1</v>
      </c>
      <c r="V1348" s="166" t="n">
        <v>0</v>
      </c>
      <c r="W1348" t="inlineStr">
        <is>
          <t>X</t>
        </is>
      </c>
      <c r="X1348" t="inlineStr">
        <is>
          <t>0.00</t>
        </is>
      </c>
      <c r="Y1348" t="inlineStr"/>
      <c r="Z1348" t="inlineStr">
        <is>
          <t>INGENIERIA Y SISTEMAS DEL CABLE, SL</t>
        </is>
      </c>
      <c r="AA1348" t="inlineStr">
        <is>
          <t>INDRA SISTEMAS S.A.</t>
        </is>
      </c>
      <c r="AB1348" t="inlineStr">
        <is>
          <t>0973525430000.00</t>
        </is>
      </c>
      <c r="AC1348" t="inlineStr"/>
      <c r="AD1348" s="164" t="n">
        <v>0</v>
      </c>
      <c r="AE1348" s="185" t="n">
        <v>0</v>
      </c>
      <c r="AG1348" s="167" t="inlineStr">
        <is>
          <t>7218|JA2582_1001</t>
        </is>
      </c>
      <c r="AH1348" s="47">
        <f>IF(M1348=0,"-",M1348-J1348)</f>
        <v/>
      </c>
      <c r="AI1348" s="46">
        <f>IF(AND(S1348=0,M1348&gt;0,L1348=0),IF(AH1348&gt;=120,"VERY HIGH",IF(AH1348&gt;=90,"HIGH",IF(AH1348&gt;=60,"MEDIUM",IF(AH1348&lt;60,"LOW")))),"-")</f>
        <v/>
      </c>
      <c r="AJ1348" s="12" t="n"/>
      <c r="AK1348" s="53">
        <f>IF(AND(W1348="X",M1348&lt;=$AJ$2),"YES","")</f>
        <v/>
      </c>
      <c r="AL1348" s="54">
        <f>IF(AND(W1348="X",M1348&lt;=$AJ$2),S1348,"")</f>
        <v/>
      </c>
      <c r="AM1348" s="35" t="n"/>
      <c r="AN1348" s="35">
        <f>IF(AND(W1348="X",M1348&gt;$AJ$2),S1348,"")</f>
        <v/>
      </c>
      <c r="AO1348" s="35">
        <f>IF(AND(W1348="",M1348&gt;0,$AJ$2&gt;M1348,L1348=""),1,0)</f>
        <v/>
      </c>
      <c r="AP1348" s="35">
        <f>IF(AND(AK1348="YES",W1348="X"),"X","")</f>
        <v/>
      </c>
      <c r="AQ1348" s="55">
        <f>IF(AP1348="X",100%,0%)</f>
        <v/>
      </c>
      <c r="AR1348" s="25">
        <f>IF(AND(T1348&gt;0,L1348=""),H1348,"")</f>
        <v/>
      </c>
      <c r="AS1348" s="25">
        <f>IF(AND(D1348&gt;0,H1348=0,G1348=""),1,"")</f>
        <v/>
      </c>
      <c r="AT1348" s="25">
        <f>IF(G1348="BLOQ",1,"")</f>
        <v/>
      </c>
      <c r="AU1348" s="25">
        <f>IF(L1348="BLOQ",1,"")</f>
        <v/>
      </c>
      <c r="AV1348" s="25">
        <f>MONTH(F1348)</f>
        <v/>
      </c>
      <c r="AW1348" s="65">
        <f>IF(AP1348="",100%,0%)</f>
        <v/>
      </c>
      <c r="AX1348" s="56" t="n"/>
      <c r="AY1348" s="24">
        <f>IF(M1348=0,"",M1348-$AX$2)</f>
        <v/>
      </c>
      <c r="AZ1348" s="66">
        <f>IF(AND(W1348="",AY1348&gt;0,AY1348&lt;15),1,0)</f>
        <v/>
      </c>
      <c r="BA1348" s="24">
        <f>IF(AND(W1348="",AY1348&gt;0,AY1348&lt;15),T1348,"")</f>
        <v/>
      </c>
      <c r="BB1348" s="87">
        <f>IF(R1348&lt;Q1348,"X","")</f>
        <v/>
      </c>
      <c r="BC1348" s="191" t="inlineStr">
        <is>
          <t>SI</t>
        </is>
      </c>
      <c r="BD1348" s="191" t="inlineStr">
        <is>
          <t>SI</t>
        </is>
      </c>
    </row>
    <row r="1349" ht="15" customHeight="1" s="162">
      <c r="A1349" s="7" t="n">
        <v>1348</v>
      </c>
      <c r="B1349" t="inlineStr">
        <is>
          <t>1390702000000</t>
        </is>
      </c>
      <c r="C1349" t="inlineStr">
        <is>
          <t>SCREW/PLATES INST LIGHT CTR PEDEST Z210</t>
        </is>
      </c>
      <c r="D1349" t="inlineStr">
        <is>
          <t>1800113549</t>
        </is>
      </c>
      <c r="E1349" t="inlineStr">
        <is>
          <t>10</t>
        </is>
      </c>
      <c r="F1349" s="163" t="n">
        <v>45572</v>
      </c>
      <c r="G1349" t="inlineStr"/>
      <c r="H1349" t="inlineStr">
        <is>
          <t>4200582270</t>
        </is>
      </c>
      <c r="I1349" t="inlineStr">
        <is>
          <t>10</t>
        </is>
      </c>
      <c r="J1349" s="163" t="n">
        <v>45587</v>
      </c>
      <c r="K1349" s="163" t="n">
        <v>45588</v>
      </c>
      <c r="L1349" t="inlineStr"/>
      <c r="M1349" s="163" t="n">
        <v>45623</v>
      </c>
      <c r="N1349" s="164" t="n">
        <v>98</v>
      </c>
      <c r="O1349" s="164" t="n">
        <v>8</v>
      </c>
      <c r="P1349" t="inlineStr">
        <is>
          <t>Liberado</t>
        </is>
      </c>
      <c r="Q1349" s="165" t="n">
        <v>400</v>
      </c>
      <c r="R1349" s="165" t="n">
        <v>450</v>
      </c>
      <c r="S1349" s="165" t="n">
        <v>450</v>
      </c>
      <c r="T1349" s="165" t="n">
        <v>0</v>
      </c>
      <c r="U1349" s="166" t="n">
        <v>450</v>
      </c>
      <c r="V1349" s="166" t="n">
        <v>0</v>
      </c>
      <c r="W1349" t="inlineStr">
        <is>
          <t>X</t>
        </is>
      </c>
      <c r="X1349" t="inlineStr">
        <is>
          <t>0.00</t>
        </is>
      </c>
      <c r="Y1349" t="inlineStr"/>
      <c r="Z1349" t="inlineStr">
        <is>
          <t>GIZA TECHNOLOGIES, INC</t>
        </is>
      </c>
      <c r="AA1349" t="inlineStr">
        <is>
          <t>RIVEX NILIC</t>
        </is>
      </c>
      <c r="AB1349" t="inlineStr">
        <is>
          <t>ASNA2083BG2-10</t>
        </is>
      </c>
      <c r="AC1349" t="inlineStr"/>
      <c r="AD1349" s="164" t="n">
        <v>0</v>
      </c>
      <c r="AE1349" s="185" t="n">
        <v>0</v>
      </c>
      <c r="AG1349" s="167" t="inlineStr">
        <is>
          <t>7218|JA2583_1001</t>
        </is>
      </c>
      <c r="AH1349" s="47">
        <f>IF(M1349=0,"-",M1349-J1349)</f>
        <v/>
      </c>
      <c r="AI1349" s="46">
        <f>IF(AND(S1349=0,M1349&gt;0,L1349=0),IF(AH1349&gt;=120,"VERY HIGH",IF(AH1349&gt;=90,"HIGH",IF(AH1349&gt;=60,"MEDIUM",IF(AH1349&lt;60,"LOW")))),"-")</f>
        <v/>
      </c>
      <c r="AJ1349" s="12" t="n"/>
      <c r="AK1349" s="53">
        <f>IF(AND(W1349="X",M1349&lt;=$AJ$2),"YES","")</f>
        <v/>
      </c>
      <c r="AL1349" s="54">
        <f>IF(AND(W1349="X",M1349&lt;=$AJ$2),S1349,"")</f>
        <v/>
      </c>
      <c r="AM1349" s="35" t="n"/>
      <c r="AN1349" s="35">
        <f>IF(AND(W1349="X",M1349&gt;$AJ$2),S1349,"")</f>
        <v/>
      </c>
      <c r="AO1349" s="35">
        <f>IF(AND(W1349="",M1349&gt;0,$AJ$2&gt;M1349,L1349=""),1,0)</f>
        <v/>
      </c>
      <c r="AP1349" s="35">
        <f>IF(AND(AK1349="YES",W1349="X"),"X","")</f>
        <v/>
      </c>
      <c r="AQ1349" s="55">
        <f>IF(AP1349="X",100%,0%)</f>
        <v/>
      </c>
      <c r="AR1349" s="25">
        <f>IF(AND(T1349&gt;0,L1349=""),H1349,"")</f>
        <v/>
      </c>
      <c r="AS1349" s="25">
        <f>IF(AND(D1349&gt;0,H1349=0,G1349=""),1,"")</f>
        <v/>
      </c>
      <c r="AT1349" s="25">
        <f>IF(G1349="BLOQ",1,"")</f>
        <v/>
      </c>
      <c r="AU1349" s="25">
        <f>IF(L1349="BLOQ",1,"")</f>
        <v/>
      </c>
      <c r="AV1349" s="25">
        <f>MONTH(F1349)</f>
        <v/>
      </c>
      <c r="AW1349" s="65">
        <f>IF(AP1349="",100%,0%)</f>
        <v/>
      </c>
      <c r="AX1349" s="56" t="n"/>
      <c r="AY1349" s="24">
        <f>IF(M1349=0,"",M1349-$AX$2)</f>
        <v/>
      </c>
      <c r="AZ1349" s="66">
        <f>IF(AND(W1349="",AY1349&gt;0,AY1349&lt;15),1,0)</f>
        <v/>
      </c>
      <c r="BA1349" s="24">
        <f>IF(AND(W1349="",AY1349&gt;0,AY1349&lt;15),T1349,"")</f>
        <v/>
      </c>
      <c r="BB1349" s="87">
        <f>IF(R1349&lt;Q1349,"X","")</f>
        <v/>
      </c>
      <c r="BC1349" s="190" t="inlineStr">
        <is>
          <t>NO</t>
        </is>
      </c>
      <c r="BD1349" s="191" t="inlineStr">
        <is>
          <t>SI</t>
        </is>
      </c>
    </row>
    <row r="1350" ht="15" customHeight="1" s="162">
      <c r="A1350" s="7" t="n">
        <v>1349</v>
      </c>
      <c r="B1350" t="inlineStr">
        <is>
          <t>1500811004002</t>
        </is>
      </c>
      <c r="C1350" t="inlineStr">
        <is>
          <t>TOR AV CRUC  M3X4   INOX DIN965</t>
        </is>
      </c>
      <c r="D1350" t="inlineStr">
        <is>
          <t>1800113549</t>
        </is>
      </c>
      <c r="E1350" t="inlineStr">
        <is>
          <t>20</t>
        </is>
      </c>
      <c r="F1350" s="163" t="n">
        <v>45572</v>
      </c>
      <c r="G1350" t="inlineStr"/>
      <c r="H1350" t="inlineStr">
        <is>
          <t>4200585851</t>
        </is>
      </c>
      <c r="I1350" t="inlineStr">
        <is>
          <t>160</t>
        </is>
      </c>
      <c r="J1350" s="163" t="n">
        <v>45610</v>
      </c>
      <c r="K1350" s="163" t="n">
        <v>45611</v>
      </c>
      <c r="L1350" t="inlineStr"/>
      <c r="M1350" s="163" t="n">
        <v>45621</v>
      </c>
      <c r="N1350" s="164" t="n">
        <v>35</v>
      </c>
      <c r="O1350" s="164" t="n">
        <v>8</v>
      </c>
      <c r="P1350" t="inlineStr">
        <is>
          <t>Liberado</t>
        </is>
      </c>
      <c r="Q1350" s="165" t="n">
        <v>400</v>
      </c>
      <c r="R1350" s="165" t="n">
        <v>1000</v>
      </c>
      <c r="S1350" s="165" t="n">
        <v>1000</v>
      </c>
      <c r="T1350" s="165" t="n">
        <v>0</v>
      </c>
      <c r="U1350" s="166" t="n">
        <v>1000</v>
      </c>
      <c r="V1350" s="166" t="n">
        <v>0</v>
      </c>
      <c r="W1350" t="inlineStr">
        <is>
          <t>X</t>
        </is>
      </c>
      <c r="X1350" t="inlineStr">
        <is>
          <t>0.00</t>
        </is>
      </c>
      <c r="Y1350" t="inlineStr"/>
      <c r="Z1350" t="inlineStr">
        <is>
          <t>ALMACENES DELCA, S.A.</t>
        </is>
      </c>
      <c r="AA1350" t="inlineStr">
        <is>
          <t>DIN</t>
        </is>
      </c>
      <c r="AB1350" t="inlineStr">
        <is>
          <t>DIN965-M3X4-A4-70-H</t>
        </is>
      </c>
      <c r="AC1350" t="inlineStr"/>
      <c r="AD1350" s="164" t="n">
        <v>0</v>
      </c>
      <c r="AE1350" s="185" t="n">
        <v>0</v>
      </c>
      <c r="AG1350" s="167" t="inlineStr">
        <is>
          <t>7218|JA2583_1001</t>
        </is>
      </c>
      <c r="AH1350" s="47">
        <f>IF(M1350=0,"-",M1350-J1350)</f>
        <v/>
      </c>
      <c r="AI1350" s="46">
        <f>IF(AND(S1350=0,M1350&gt;0,L1350=0),IF(AH1350&gt;=120,"VERY HIGH",IF(AH1350&gt;=90,"HIGH",IF(AH1350&gt;=60,"MEDIUM",IF(AH1350&lt;60,"LOW")))),"-")</f>
        <v/>
      </c>
      <c r="AJ1350" s="12" t="n"/>
      <c r="AK1350" s="53">
        <f>IF(AND(W1350="X",M1350&lt;=$AJ$2),"YES","")</f>
        <v/>
      </c>
      <c r="AL1350" s="54">
        <f>IF(AND(W1350="X",M1350&lt;=$AJ$2),S1350,"")</f>
        <v/>
      </c>
      <c r="AM1350" s="35" t="n"/>
      <c r="AN1350" s="35">
        <f>IF(AND(W1350="X",M1350&gt;$AJ$2),S1350,"")</f>
        <v/>
      </c>
      <c r="AO1350" s="35">
        <f>IF(AND(W1350="",M1350&gt;0,$AJ$2&gt;M1350,L1350=""),1,0)</f>
        <v/>
      </c>
      <c r="AP1350" s="35">
        <f>IF(AND(AK1350="YES",W1350="X"),"X","")</f>
        <v/>
      </c>
      <c r="AQ1350" s="55">
        <f>IF(AP1350="X",100%,0%)</f>
        <v/>
      </c>
      <c r="AR1350" s="25">
        <f>IF(AND(T1350&gt;0,L1350=""),H1350,"")</f>
        <v/>
      </c>
      <c r="AS1350" s="25">
        <f>IF(AND(D1350&gt;0,H1350=0,G1350=""),1,"")</f>
        <v/>
      </c>
      <c r="AT1350" s="25">
        <f>IF(G1350="BLOQ",1,"")</f>
        <v/>
      </c>
      <c r="AU1350" s="25">
        <f>IF(L1350="BLOQ",1,"")</f>
        <v/>
      </c>
      <c r="AV1350" s="25">
        <f>MONTH(F1350)</f>
        <v/>
      </c>
      <c r="AW1350" s="65">
        <f>IF(AP1350="",100%,0%)</f>
        <v/>
      </c>
      <c r="AX1350" s="56" t="n"/>
      <c r="AY1350" s="24">
        <f>IF(M1350=0,"",M1350-$AX$2)</f>
        <v/>
      </c>
      <c r="AZ1350" s="66">
        <f>IF(AND(W1350="",AY1350&gt;0,AY1350&lt;15),1,0)</f>
        <v/>
      </c>
      <c r="BA1350" s="24">
        <f>IF(AND(W1350="",AY1350&gt;0,AY1350&lt;15),T1350,"")</f>
        <v/>
      </c>
      <c r="BB1350" s="87">
        <f>IF(R1350&lt;Q1350,"X","")</f>
        <v/>
      </c>
      <c r="BC1350" s="190" t="inlineStr">
        <is>
          <t>NO</t>
        </is>
      </c>
      <c r="BD1350" s="191" t="inlineStr">
        <is>
          <t>SI</t>
        </is>
      </c>
    </row>
    <row r="1351" ht="15" customHeight="1" s="162">
      <c r="A1351" s="7" t="n">
        <v>1350</v>
      </c>
      <c r="B1351" t="inlineStr">
        <is>
          <t>1263511210200</t>
        </is>
      </c>
      <c r="C1351" t="inlineStr">
        <is>
          <t>FTE CONM VE=100-240VAC VS=24VDC/2.5A 60W</t>
        </is>
      </c>
      <c r="D1351" t="inlineStr">
        <is>
          <t>1800113561</t>
        </is>
      </c>
      <c r="E1351" t="inlineStr">
        <is>
          <t>10</t>
        </is>
      </c>
      <c r="F1351" s="163" t="n">
        <v>45572</v>
      </c>
      <c r="G1351" t="inlineStr"/>
      <c r="H1351" t="inlineStr">
        <is>
          <t>4200580920</t>
        </is>
      </c>
      <c r="I1351" t="inlineStr">
        <is>
          <t>10</t>
        </is>
      </c>
      <c r="J1351" s="163" t="n">
        <v>45576</v>
      </c>
      <c r="K1351" s="163" t="n">
        <v>45576</v>
      </c>
      <c r="L1351" t="inlineStr"/>
      <c r="M1351" s="163" t="n">
        <v>45592</v>
      </c>
      <c r="N1351" s="164" t="n">
        <v>98</v>
      </c>
      <c r="O1351" s="164" t="n">
        <v>8</v>
      </c>
      <c r="P1351" t="inlineStr">
        <is>
          <t>Liberado</t>
        </is>
      </c>
      <c r="Q1351" s="165" t="n">
        <v>1</v>
      </c>
      <c r="R1351" s="165" t="n">
        <v>1</v>
      </c>
      <c r="S1351" s="165" t="n">
        <v>1</v>
      </c>
      <c r="T1351" s="165" t="n">
        <v>0</v>
      </c>
      <c r="U1351" s="166" t="n">
        <v>1</v>
      </c>
      <c r="V1351" s="166" t="n">
        <v>0</v>
      </c>
      <c r="W1351" t="inlineStr">
        <is>
          <t>X</t>
        </is>
      </c>
      <c r="X1351" t="inlineStr">
        <is>
          <t>0.00</t>
        </is>
      </c>
      <c r="Y1351" t="inlineStr"/>
      <c r="Z1351" t="inlineStr">
        <is>
          <t>ICOMPPLUS ELECTRONICS S.L</t>
        </is>
      </c>
      <c r="AA1351" t="inlineStr">
        <is>
          <t>FARNELL ELECTR</t>
        </is>
      </c>
      <c r="AB1351" t="inlineStr">
        <is>
          <t>118-6529</t>
        </is>
      </c>
      <c r="AC1351" t="inlineStr"/>
      <c r="AD1351" s="164" t="n">
        <v>0</v>
      </c>
      <c r="AE1351" s="185" t="n">
        <v>0</v>
      </c>
      <c r="AG1351" s="167" t="inlineStr">
        <is>
          <t>7218|JA2612_1001</t>
        </is>
      </c>
      <c r="AH1351" s="47">
        <f>IF(M1351=0,"-",M1351-J1351)</f>
        <v/>
      </c>
      <c r="AI1351" s="46">
        <f>IF(AND(S1351=0,M1351&gt;0,L1351=0),IF(AH1351&gt;=120,"VERY HIGH",IF(AH1351&gt;=90,"HIGH",IF(AH1351&gt;=60,"MEDIUM",IF(AH1351&lt;60,"LOW")))),"-")</f>
        <v/>
      </c>
      <c r="AJ1351" s="12" t="n"/>
      <c r="AK1351" s="53">
        <f>IF(AND(W1351="X",M1351&lt;=$AJ$2),"YES","")</f>
        <v/>
      </c>
      <c r="AL1351" s="54">
        <f>IF(AND(W1351="X",M1351&lt;=$AJ$2),S1351,"")</f>
        <v/>
      </c>
      <c r="AM1351" s="35" t="n"/>
      <c r="AN1351" s="35">
        <f>IF(AND(W1351="X",M1351&gt;$AJ$2),S1351,"")</f>
        <v/>
      </c>
      <c r="AO1351" s="35">
        <f>IF(AND(W1351="",M1351&gt;0,$AJ$2&gt;M1351,L1351=""),1,0)</f>
        <v/>
      </c>
      <c r="AP1351" s="35">
        <f>IF(AND(AK1351="YES",W1351="X"),"X","")</f>
        <v/>
      </c>
      <c r="AQ1351" s="55">
        <f>IF(AP1351="X",100%,0%)</f>
        <v/>
      </c>
      <c r="AR1351" s="25">
        <f>IF(AND(T1351&gt;0,L1351=""),H1351,"")</f>
        <v/>
      </c>
      <c r="AS1351" s="25">
        <f>IF(AND(D1351&gt;0,H1351=0,G1351=""),1,"")</f>
        <v/>
      </c>
      <c r="AT1351" s="25">
        <f>IF(G1351="BLOQ",1,"")</f>
        <v/>
      </c>
      <c r="AU1351" s="25">
        <f>IF(L1351="BLOQ",1,"")</f>
        <v/>
      </c>
      <c r="AV1351" s="25">
        <f>MONTH(F1351)</f>
        <v/>
      </c>
      <c r="AW1351" s="65">
        <f>IF(AP1351="",100%,0%)</f>
        <v/>
      </c>
      <c r="AX1351" s="56" t="n"/>
      <c r="AY1351" s="24">
        <f>IF(M1351=0,"",M1351-$AX$2)</f>
        <v/>
      </c>
      <c r="AZ1351" s="66">
        <f>IF(AND(W1351="",AY1351&gt;0,AY1351&lt;15),1,0)</f>
        <v/>
      </c>
      <c r="BA1351" s="24">
        <f>IF(AND(W1351="",AY1351&gt;0,AY1351&lt;15),T1351,"")</f>
        <v/>
      </c>
      <c r="BB1351" s="87">
        <f>IF(R1351&lt;Q1351,"X","")</f>
        <v/>
      </c>
      <c r="BC1351" s="190" t="inlineStr">
        <is>
          <t>NO</t>
        </is>
      </c>
      <c r="BD1351" s="191" t="inlineStr">
        <is>
          <t>SI</t>
        </is>
      </c>
    </row>
    <row r="1352" ht="15" customHeight="1" s="162">
      <c r="A1352" s="7" t="n">
        <v>1351</v>
      </c>
      <c r="B1352" t="inlineStr">
        <is>
          <t>1135032482600</t>
        </is>
      </c>
      <c r="C1352" t="inlineStr">
        <is>
          <t>CONTACTOR MOD ICT 2P/NO 24VAC 25A</t>
        </is>
      </c>
      <c r="D1352" t="inlineStr">
        <is>
          <t>1800113568</t>
        </is>
      </c>
      <c r="E1352" t="inlineStr">
        <is>
          <t>10</t>
        </is>
      </c>
      <c r="F1352" s="163" t="n">
        <v>45572</v>
      </c>
      <c r="G1352" t="inlineStr"/>
      <c r="H1352" t="inlineStr">
        <is>
          <t>4200582531</t>
        </is>
      </c>
      <c r="I1352" t="inlineStr">
        <is>
          <t>120</t>
        </is>
      </c>
      <c r="J1352" s="163" t="n">
        <v>45588</v>
      </c>
      <c r="K1352" s="163" t="n">
        <v>45589</v>
      </c>
      <c r="L1352" t="inlineStr"/>
      <c r="M1352" s="163" t="n">
        <v>45596</v>
      </c>
      <c r="N1352" s="164" t="n">
        <v>40</v>
      </c>
      <c r="O1352" s="164" t="n">
        <v>8</v>
      </c>
      <c r="P1352" t="inlineStr">
        <is>
          <t>Liberado</t>
        </is>
      </c>
      <c r="Q1352" s="165" t="n">
        <v>1</v>
      </c>
      <c r="R1352" s="165" t="n">
        <v>1</v>
      </c>
      <c r="S1352" s="165" t="n">
        <v>1</v>
      </c>
      <c r="T1352" s="165" t="n">
        <v>0</v>
      </c>
      <c r="U1352" s="166" t="n">
        <v>1</v>
      </c>
      <c r="V1352" s="166" t="n">
        <v>0</v>
      </c>
      <c r="W1352" t="inlineStr">
        <is>
          <t>X</t>
        </is>
      </c>
      <c r="X1352" t="inlineStr">
        <is>
          <t>0.00</t>
        </is>
      </c>
      <c r="Y1352" t="inlineStr"/>
      <c r="Z1352" t="inlineStr">
        <is>
          <t>LUJISA, S.A.</t>
        </is>
      </c>
      <c r="AA1352" t="inlineStr">
        <is>
          <t>SCHNEIDER ELECTRIC</t>
        </is>
      </c>
      <c r="AB1352" t="inlineStr">
        <is>
          <t>A9C21132</t>
        </is>
      </c>
      <c r="AC1352" t="inlineStr"/>
      <c r="AD1352" s="164" t="n">
        <v>0</v>
      </c>
      <c r="AE1352" s="185" t="n">
        <v>0</v>
      </c>
      <c r="AG1352" s="167" t="inlineStr">
        <is>
          <t>7218|JA2582_1001</t>
        </is>
      </c>
      <c r="AH1352" s="47">
        <f>IF(M1352=0,"-",M1352-J1352)</f>
        <v/>
      </c>
      <c r="AI1352" s="46">
        <f>IF(AND(S1352=0,M1352&gt;0,L1352=0),IF(AH1352&gt;=120,"VERY HIGH",IF(AH1352&gt;=90,"HIGH",IF(AH1352&gt;=60,"MEDIUM",IF(AH1352&lt;60,"LOW")))),"-")</f>
        <v/>
      </c>
      <c r="AJ1352" s="12" t="n"/>
      <c r="AK1352" s="53">
        <f>IF(AND(W1352="X",M1352&lt;=$AJ$2),"YES","")</f>
        <v/>
      </c>
      <c r="AL1352" s="54">
        <f>IF(AND(W1352="X",M1352&lt;=$AJ$2),S1352,"")</f>
        <v/>
      </c>
      <c r="AM1352" s="35" t="n"/>
      <c r="AN1352" s="35">
        <f>IF(AND(W1352="X",M1352&gt;$AJ$2),S1352,"")</f>
        <v/>
      </c>
      <c r="AO1352" s="35">
        <f>IF(AND(W1352="",M1352&gt;0,$AJ$2&gt;M1352,L1352=""),1,0)</f>
        <v/>
      </c>
      <c r="AP1352" s="35">
        <f>IF(AND(AK1352="YES",W1352="X"),"X","")</f>
        <v/>
      </c>
      <c r="AQ1352" s="55">
        <f>IF(AP1352="X",100%,0%)</f>
        <v/>
      </c>
      <c r="AR1352" s="25">
        <f>IF(AND(T1352&gt;0,L1352=""),H1352,"")</f>
        <v/>
      </c>
      <c r="AS1352" s="25">
        <f>IF(AND(D1352&gt;0,H1352=0,G1352=""),1,"")</f>
        <v/>
      </c>
      <c r="AT1352" s="25">
        <f>IF(G1352="BLOQ",1,"")</f>
        <v/>
      </c>
      <c r="AU1352" s="25">
        <f>IF(L1352="BLOQ",1,"")</f>
        <v/>
      </c>
      <c r="AV1352" s="25">
        <f>MONTH(F1352)</f>
        <v/>
      </c>
      <c r="AW1352" s="65">
        <f>IF(AP1352="",100%,0%)</f>
        <v/>
      </c>
      <c r="AX1352" s="56" t="n"/>
      <c r="AY1352" s="24">
        <f>IF(M1352=0,"",M1352-$AX$2)</f>
        <v/>
      </c>
      <c r="AZ1352" s="66">
        <f>IF(AND(W1352="",AY1352&gt;0,AY1352&lt;15),1,0)</f>
        <v/>
      </c>
      <c r="BA1352" s="24">
        <f>IF(AND(W1352="",AY1352&gt;0,AY1352&lt;15),T1352,"")</f>
        <v/>
      </c>
      <c r="BB1352" s="87">
        <f>IF(R1352&lt;Q1352,"X","")</f>
        <v/>
      </c>
      <c r="BC1352" s="190" t="inlineStr">
        <is>
          <t>NO</t>
        </is>
      </c>
      <c r="BD1352" s="191" t="inlineStr">
        <is>
          <t>SI</t>
        </is>
      </c>
    </row>
    <row r="1353" ht="15" customHeight="1" s="162">
      <c r="A1353" s="7" t="n">
        <v>1352</v>
      </c>
      <c r="B1353" t="inlineStr">
        <is>
          <t>1135032482700</t>
        </is>
      </c>
      <c r="C1353" t="inlineStr">
        <is>
          <t>CONTACTOR MOD ICT 4P/NO 24VAC 25A</t>
        </is>
      </c>
      <c r="D1353" t="inlineStr">
        <is>
          <t>1800113568</t>
        </is>
      </c>
      <c r="E1353" t="inlineStr">
        <is>
          <t>20</t>
        </is>
      </c>
      <c r="F1353" s="163" t="n">
        <v>45572</v>
      </c>
      <c r="G1353" t="inlineStr"/>
      <c r="H1353" t="inlineStr">
        <is>
          <t>4200582531</t>
        </is>
      </c>
      <c r="I1353" t="inlineStr">
        <is>
          <t>130</t>
        </is>
      </c>
      <c r="J1353" s="163" t="n">
        <v>45588</v>
      </c>
      <c r="K1353" s="163" t="n">
        <v>45589</v>
      </c>
      <c r="L1353" t="inlineStr"/>
      <c r="M1353" s="163" t="n">
        <v>45596</v>
      </c>
      <c r="N1353" s="164" t="n">
        <v>40</v>
      </c>
      <c r="O1353" s="164" t="n">
        <v>8</v>
      </c>
      <c r="P1353" t="inlineStr">
        <is>
          <t>Liberado</t>
        </is>
      </c>
      <c r="Q1353" s="165" t="n">
        <v>1</v>
      </c>
      <c r="R1353" s="165" t="n">
        <v>1</v>
      </c>
      <c r="S1353" s="165" t="n">
        <v>1</v>
      </c>
      <c r="T1353" s="165" t="n">
        <v>0</v>
      </c>
      <c r="U1353" s="166" t="n">
        <v>1</v>
      </c>
      <c r="V1353" s="166" t="n">
        <v>0</v>
      </c>
      <c r="W1353" t="inlineStr">
        <is>
          <t>X</t>
        </is>
      </c>
      <c r="X1353" t="inlineStr">
        <is>
          <t>0.00</t>
        </is>
      </c>
      <c r="Y1353" t="inlineStr"/>
      <c r="Z1353" t="inlineStr">
        <is>
          <t>LUJISA, S.A.</t>
        </is>
      </c>
      <c r="AA1353" t="inlineStr">
        <is>
          <t>SCHNEIDER ELECTRIC</t>
        </is>
      </c>
      <c r="AB1353" t="inlineStr">
        <is>
          <t>A9C21134</t>
        </is>
      </c>
      <c r="AC1353" t="inlineStr"/>
      <c r="AD1353" s="164" t="n">
        <v>0</v>
      </c>
      <c r="AE1353" s="185" t="n">
        <v>0</v>
      </c>
      <c r="AG1353" s="167" t="inlineStr">
        <is>
          <t>7218|JA2582_1001</t>
        </is>
      </c>
      <c r="AH1353" s="47">
        <f>IF(M1353=0,"-",M1353-J1353)</f>
        <v/>
      </c>
      <c r="AI1353" s="46">
        <f>IF(AND(S1353=0,M1353&gt;0,L1353=0),IF(AH1353&gt;=120,"VERY HIGH",IF(AH1353&gt;=90,"HIGH",IF(AH1353&gt;=60,"MEDIUM",IF(AH1353&lt;60,"LOW")))),"-")</f>
        <v/>
      </c>
      <c r="AJ1353" s="12" t="n"/>
      <c r="AK1353" s="53">
        <f>IF(AND(W1353="X",M1353&lt;=$AJ$2),"YES","")</f>
        <v/>
      </c>
      <c r="AL1353" s="54">
        <f>IF(AND(W1353="X",M1353&lt;=$AJ$2),S1353,"")</f>
        <v/>
      </c>
      <c r="AM1353" s="35" t="n"/>
      <c r="AN1353" s="35">
        <f>IF(AND(W1353="X",M1353&gt;$AJ$2),S1353,"")</f>
        <v/>
      </c>
      <c r="AO1353" s="35">
        <f>IF(AND(W1353="",M1353&gt;0,$AJ$2&gt;M1353,L1353=""),1,0)</f>
        <v/>
      </c>
      <c r="AP1353" s="35">
        <f>IF(AND(AK1353="YES",W1353="X"),"X","")</f>
        <v/>
      </c>
      <c r="AQ1353" s="55">
        <f>IF(AP1353="X",100%,0%)</f>
        <v/>
      </c>
      <c r="AR1353" s="25">
        <f>IF(AND(T1353&gt;0,L1353=""),H1353,"")</f>
        <v/>
      </c>
      <c r="AS1353" s="25">
        <f>IF(AND(D1353&gt;0,H1353=0,G1353=""),1,"")</f>
        <v/>
      </c>
      <c r="AT1353" s="25">
        <f>IF(G1353="BLOQ",1,"")</f>
        <v/>
      </c>
      <c r="AU1353" s="25">
        <f>IF(L1353="BLOQ",1,"")</f>
        <v/>
      </c>
      <c r="AV1353" s="25">
        <f>MONTH(F1353)</f>
        <v/>
      </c>
      <c r="AW1353" s="65">
        <f>IF(AP1353="",100%,0%)</f>
        <v/>
      </c>
      <c r="AX1353" s="56" t="n"/>
      <c r="AY1353" s="24">
        <f>IF(M1353=0,"",M1353-$AX$2)</f>
        <v/>
      </c>
      <c r="AZ1353" s="66">
        <f>IF(AND(W1353="",AY1353&gt;0,AY1353&lt;15),1,0)</f>
        <v/>
      </c>
      <c r="BA1353" s="24">
        <f>IF(AND(W1353="",AY1353&gt;0,AY1353&lt;15),T1353,"")</f>
        <v/>
      </c>
      <c r="BB1353" s="87">
        <f>IF(R1353&lt;Q1353,"X","")</f>
        <v/>
      </c>
      <c r="BC1353" s="190" t="inlineStr">
        <is>
          <t>NO</t>
        </is>
      </c>
      <c r="BD1353" s="191" t="inlineStr">
        <is>
          <t>SI</t>
        </is>
      </c>
    </row>
    <row r="1354" ht="15" customHeight="1" s="162">
      <c r="A1354" s="7" t="n">
        <v>1353</v>
      </c>
      <c r="B1354" t="inlineStr">
        <is>
          <t>1136090086600</t>
        </is>
      </c>
      <c r="C1354" t="inlineStr">
        <is>
          <t>INT MAGNETO AUTO 4P IC60H 16A CURVA-D</t>
        </is>
      </c>
      <c r="D1354" t="inlineStr">
        <is>
          <t>1800113568</t>
        </is>
      </c>
      <c r="E1354" t="inlineStr">
        <is>
          <t>30</t>
        </is>
      </c>
      <c r="F1354" s="163" t="n">
        <v>45572</v>
      </c>
      <c r="G1354" t="inlineStr"/>
      <c r="H1354" t="inlineStr">
        <is>
          <t>4200582531</t>
        </is>
      </c>
      <c r="I1354" t="inlineStr">
        <is>
          <t>140</t>
        </is>
      </c>
      <c r="J1354" s="163" t="n">
        <v>45588</v>
      </c>
      <c r="K1354" s="163" t="n">
        <v>45589</v>
      </c>
      <c r="L1354" t="inlineStr"/>
      <c r="M1354" s="163" t="n">
        <v>45596</v>
      </c>
      <c r="N1354" s="164" t="n">
        <v>30</v>
      </c>
      <c r="O1354" s="164" t="n">
        <v>8</v>
      </c>
      <c r="P1354" t="inlineStr">
        <is>
          <t>Liberado</t>
        </is>
      </c>
      <c r="Q1354" s="165" t="n">
        <v>1</v>
      </c>
      <c r="R1354" s="165" t="n">
        <v>1</v>
      </c>
      <c r="S1354" s="165" t="n">
        <v>1</v>
      </c>
      <c r="T1354" s="165" t="n">
        <v>0</v>
      </c>
      <c r="U1354" s="166" t="n">
        <v>1</v>
      </c>
      <c r="V1354" s="166" t="n">
        <v>0</v>
      </c>
      <c r="W1354" t="inlineStr">
        <is>
          <t>X</t>
        </is>
      </c>
      <c r="X1354" t="inlineStr">
        <is>
          <t>0.00</t>
        </is>
      </c>
      <c r="Y1354" t="inlineStr"/>
      <c r="Z1354" t="inlineStr">
        <is>
          <t>LUJISA, S.A.</t>
        </is>
      </c>
      <c r="AA1354" t="inlineStr">
        <is>
          <t>SCHNEIDER ELECTRIC</t>
        </is>
      </c>
      <c r="AB1354" t="inlineStr">
        <is>
          <t>A9F85416</t>
        </is>
      </c>
      <c r="AC1354" t="inlineStr"/>
      <c r="AD1354" s="164" t="n">
        <v>0</v>
      </c>
      <c r="AE1354" s="185" t="n">
        <v>0</v>
      </c>
      <c r="AG1354" s="167" t="inlineStr">
        <is>
          <t>7218|JA2582_1001</t>
        </is>
      </c>
      <c r="AH1354" s="47">
        <f>IF(M1354=0,"-",M1354-J1354)</f>
        <v/>
      </c>
      <c r="AI1354" s="46">
        <f>IF(AND(S1354=0,M1354&gt;0,L1354=0),IF(AH1354&gt;=120,"VERY HIGH",IF(AH1354&gt;=90,"HIGH",IF(AH1354&gt;=60,"MEDIUM",IF(AH1354&lt;60,"LOW")))),"-")</f>
        <v/>
      </c>
      <c r="AJ1354" s="12" t="n"/>
      <c r="AK1354" s="53">
        <f>IF(AND(W1354="X",M1354&lt;=$AJ$2),"YES","")</f>
        <v/>
      </c>
      <c r="AL1354" s="54">
        <f>IF(AND(W1354="X",M1354&lt;=$AJ$2),S1354,"")</f>
        <v/>
      </c>
      <c r="AM1354" s="35" t="n"/>
      <c r="AN1354" s="35">
        <f>IF(AND(W1354="X",M1354&gt;$AJ$2),S1354,"")</f>
        <v/>
      </c>
      <c r="AO1354" s="35">
        <f>IF(AND(W1354="",M1354&gt;0,$AJ$2&gt;M1354,L1354=""),1,0)</f>
        <v/>
      </c>
      <c r="AP1354" s="35">
        <f>IF(AND(AK1354="YES",W1354="X"),"X","")</f>
        <v/>
      </c>
      <c r="AQ1354" s="55">
        <f>IF(AP1354="X",100%,0%)</f>
        <v/>
      </c>
      <c r="AR1354" s="25">
        <f>IF(AND(T1354&gt;0,L1354=""),H1354,"")</f>
        <v/>
      </c>
      <c r="AS1354" s="25">
        <f>IF(AND(D1354&gt;0,H1354=0,G1354=""),1,"")</f>
        <v/>
      </c>
      <c r="AT1354" s="25">
        <f>IF(G1354="BLOQ",1,"")</f>
        <v/>
      </c>
      <c r="AU1354" s="25">
        <f>IF(L1354="BLOQ",1,"")</f>
        <v/>
      </c>
      <c r="AV1354" s="25">
        <f>MONTH(F1354)</f>
        <v/>
      </c>
      <c r="AW1354" s="65">
        <f>IF(AP1354="",100%,0%)</f>
        <v/>
      </c>
      <c r="AX1354" s="56" t="n"/>
      <c r="AY1354" s="24">
        <f>IF(M1354=0,"",M1354-$AX$2)</f>
        <v/>
      </c>
      <c r="AZ1354" s="66">
        <f>IF(AND(W1354="",AY1354&gt;0,AY1354&lt;15),1,0)</f>
        <v/>
      </c>
      <c r="BA1354" s="24">
        <f>IF(AND(W1354="",AY1354&gt;0,AY1354&lt;15),T1354,"")</f>
        <v/>
      </c>
      <c r="BB1354" s="87">
        <f>IF(R1354&lt;Q1354,"X","")</f>
        <v/>
      </c>
      <c r="BC1354" s="190" t="inlineStr">
        <is>
          <t>NO</t>
        </is>
      </c>
      <c r="BD1354" s="191" t="inlineStr">
        <is>
          <t>SI</t>
        </is>
      </c>
    </row>
    <row r="1355" ht="15" customHeight="1" s="162">
      <c r="A1355" s="7" t="n">
        <v>1354</v>
      </c>
      <c r="B1355" t="inlineStr">
        <is>
          <t>1136234080403</t>
        </is>
      </c>
      <c r="C1355" t="inlineStr">
        <is>
          <t>INT DIFERENCIAL 3P+N 16A CURVA-C ICV40N</t>
        </is>
      </c>
      <c r="D1355" t="inlineStr">
        <is>
          <t>1800113568</t>
        </is>
      </c>
      <c r="E1355" t="inlineStr">
        <is>
          <t>40</t>
        </is>
      </c>
      <c r="F1355" s="163" t="n">
        <v>45572</v>
      </c>
      <c r="G1355" t="inlineStr"/>
      <c r="H1355" t="inlineStr">
        <is>
          <t>4200582531</t>
        </is>
      </c>
      <c r="I1355" t="inlineStr">
        <is>
          <t>150</t>
        </is>
      </c>
      <c r="J1355" s="163" t="n">
        <v>45588</v>
      </c>
      <c r="K1355" s="163" t="n">
        <v>45589</v>
      </c>
      <c r="L1355" t="inlineStr"/>
      <c r="M1355" s="163" t="n">
        <v>45596</v>
      </c>
      <c r="N1355" s="164" t="n">
        <v>40</v>
      </c>
      <c r="O1355" s="164" t="n">
        <v>8</v>
      </c>
      <c r="P1355" t="inlineStr">
        <is>
          <t>Liberado</t>
        </is>
      </c>
      <c r="Q1355" s="165" t="n">
        <v>1</v>
      </c>
      <c r="R1355" s="165" t="n">
        <v>1</v>
      </c>
      <c r="S1355" s="165" t="n">
        <v>1</v>
      </c>
      <c r="T1355" s="165" t="n">
        <v>0</v>
      </c>
      <c r="U1355" s="166" t="n">
        <v>1</v>
      </c>
      <c r="V1355" s="166" t="n">
        <v>0</v>
      </c>
      <c r="W1355" t="inlineStr">
        <is>
          <t>X</t>
        </is>
      </c>
      <c r="X1355" t="inlineStr">
        <is>
          <t>0.00</t>
        </is>
      </c>
      <c r="Y1355" t="inlineStr"/>
      <c r="Z1355" t="inlineStr">
        <is>
          <t>LUJISA, S.A.</t>
        </is>
      </c>
      <c r="AA1355" t="inlineStr">
        <is>
          <t>SCHNEIDER ELECTRIC</t>
        </is>
      </c>
      <c r="AB1355" t="inlineStr">
        <is>
          <t>A9DF3716</t>
        </is>
      </c>
      <c r="AC1355" t="inlineStr"/>
      <c r="AD1355" s="164" t="n">
        <v>0</v>
      </c>
      <c r="AE1355" s="185" t="n">
        <v>0</v>
      </c>
      <c r="AG1355" s="167" t="inlineStr">
        <is>
          <t>7218|JA2582_1001</t>
        </is>
      </c>
      <c r="AH1355" s="47">
        <f>IF(M1355=0,"-",M1355-J1355)</f>
        <v/>
      </c>
      <c r="AI1355" s="46">
        <f>IF(AND(S1355=0,M1355&gt;0,L1355=0),IF(AH1355&gt;=120,"VERY HIGH",IF(AH1355&gt;=90,"HIGH",IF(AH1355&gt;=60,"MEDIUM",IF(AH1355&lt;60,"LOW")))),"-")</f>
        <v/>
      </c>
      <c r="AJ1355" s="12" t="n"/>
      <c r="AK1355" s="53">
        <f>IF(AND(W1355="X",M1355&lt;=$AJ$2),"YES","")</f>
        <v/>
      </c>
      <c r="AL1355" s="54">
        <f>IF(AND(W1355="X",M1355&lt;=$AJ$2),S1355,"")</f>
        <v/>
      </c>
      <c r="AM1355" s="35" t="n"/>
      <c r="AN1355" s="35">
        <f>IF(AND(W1355="X",M1355&gt;$AJ$2),S1355,"")</f>
        <v/>
      </c>
      <c r="AO1355" s="35">
        <f>IF(AND(W1355="",M1355&gt;0,$AJ$2&gt;M1355,L1355=""),1,0)</f>
        <v/>
      </c>
      <c r="AP1355" s="35">
        <f>IF(AND(AK1355="YES",W1355="X"),"X","")</f>
        <v/>
      </c>
      <c r="AQ1355" s="55">
        <f>IF(AP1355="X",100%,0%)</f>
        <v/>
      </c>
      <c r="AR1355" s="25">
        <f>IF(AND(T1355&gt;0,L1355=""),H1355,"")</f>
        <v/>
      </c>
      <c r="AS1355" s="25">
        <f>IF(AND(D1355&gt;0,H1355=0,G1355=""),1,"")</f>
        <v/>
      </c>
      <c r="AT1355" s="25">
        <f>IF(G1355="BLOQ",1,"")</f>
        <v/>
      </c>
      <c r="AU1355" s="25">
        <f>IF(L1355="BLOQ",1,"")</f>
        <v/>
      </c>
      <c r="AV1355" s="25">
        <f>MONTH(F1355)</f>
        <v/>
      </c>
      <c r="AW1355" s="65">
        <f>IF(AP1355="",100%,0%)</f>
        <v/>
      </c>
      <c r="AX1355" s="56" t="n"/>
      <c r="AY1355" s="24">
        <f>IF(M1355=0,"",M1355-$AX$2)</f>
        <v/>
      </c>
      <c r="AZ1355" s="66">
        <f>IF(AND(W1355="",AY1355&gt;0,AY1355&lt;15),1,0)</f>
        <v/>
      </c>
      <c r="BA1355" s="24">
        <f>IF(AND(W1355="",AY1355&gt;0,AY1355&lt;15),T1355,"")</f>
        <v/>
      </c>
      <c r="BB1355" s="87">
        <f>IF(R1355&lt;Q1355,"X","")</f>
        <v/>
      </c>
      <c r="BC1355" s="190" t="inlineStr">
        <is>
          <t>NO</t>
        </is>
      </c>
      <c r="BD1355" s="191" t="inlineStr">
        <is>
          <t>SI</t>
        </is>
      </c>
    </row>
    <row r="1356" ht="15" customHeight="1" s="162">
      <c r="A1356" s="7" t="n">
        <v>1355</v>
      </c>
      <c r="B1356" t="inlineStr">
        <is>
          <t>1000242401000</t>
        </is>
      </c>
      <c r="C1356" t="inlineStr">
        <is>
          <t>RST PELMET 2K4 1% 1/4W 100PPM 0207 ROHS</t>
        </is>
      </c>
      <c r="D1356" t="inlineStr">
        <is>
          <t>1800113569</t>
        </is>
      </c>
      <c r="E1356" t="inlineStr">
        <is>
          <t>10</t>
        </is>
      </c>
      <c r="F1356" s="163" t="n">
        <v>45572</v>
      </c>
      <c r="G1356" t="inlineStr"/>
      <c r="H1356" t="inlineStr">
        <is>
          <t>4200580751</t>
        </is>
      </c>
      <c r="I1356" t="inlineStr">
        <is>
          <t>130</t>
        </is>
      </c>
      <c r="J1356" s="163" t="n">
        <v>45575</v>
      </c>
      <c r="K1356" s="163" t="n">
        <v>45576</v>
      </c>
      <c r="L1356" t="inlineStr"/>
      <c r="M1356" s="163" t="n">
        <v>45592</v>
      </c>
      <c r="N1356" s="164" t="n">
        <v>35</v>
      </c>
      <c r="O1356" s="164" t="n">
        <v>0</v>
      </c>
      <c r="P1356" t="inlineStr">
        <is>
          <t>Liberado</t>
        </is>
      </c>
      <c r="Q1356" s="165" t="n">
        <v>40</v>
      </c>
      <c r="R1356" s="165" t="n">
        <v>40</v>
      </c>
      <c r="S1356" s="165" t="n">
        <v>40</v>
      </c>
      <c r="T1356" s="165" t="n">
        <v>0</v>
      </c>
      <c r="U1356" s="166" t="n">
        <v>40</v>
      </c>
      <c r="V1356" s="166" t="n">
        <v>0</v>
      </c>
      <c r="W1356" t="inlineStr">
        <is>
          <t>X</t>
        </is>
      </c>
      <c r="X1356" t="inlineStr">
        <is>
          <t>0.00</t>
        </is>
      </c>
      <c r="Y1356" t="inlineStr"/>
      <c r="Z1356" t="inlineStr">
        <is>
          <t>ICOMPPLUS ELECTRONICS S.L</t>
        </is>
      </c>
      <c r="AA1356" t="inlineStr">
        <is>
          <t>TE CONNECTIVITY</t>
        </is>
      </c>
      <c r="AB1356" t="inlineStr">
        <is>
          <t>LR1 F2K4</t>
        </is>
      </c>
      <c r="AC1356" t="inlineStr"/>
      <c r="AD1356" s="164" t="n">
        <v>0</v>
      </c>
      <c r="AE1356" s="185" t="n">
        <v>0</v>
      </c>
      <c r="AG1356" s="167" t="inlineStr">
        <is>
          <t>7218|JA2583_1001</t>
        </is>
      </c>
      <c r="AH1356" s="47">
        <f>IF(M1356=0,"-",M1356-J1356)</f>
        <v/>
      </c>
      <c r="AI1356" s="46">
        <f>IF(AND(S1356=0,M1356&gt;0,L1356=0),IF(AH1356&gt;=120,"VERY HIGH",IF(AH1356&gt;=90,"HIGH",IF(AH1356&gt;=60,"MEDIUM",IF(AH1356&lt;60,"LOW")))),"-")</f>
        <v/>
      </c>
      <c r="AJ1356" s="12" t="n"/>
      <c r="AK1356" s="53">
        <f>IF(AND(W1356="X",M1356&lt;=$AJ$2),"YES","")</f>
        <v/>
      </c>
      <c r="AL1356" s="54">
        <f>IF(AND(W1356="X",M1356&lt;=$AJ$2),S1356,"")</f>
        <v/>
      </c>
      <c r="AM1356" s="35" t="n"/>
      <c r="AN1356" s="35">
        <f>IF(AND(W1356="X",M1356&gt;$AJ$2),S1356,"")</f>
        <v/>
      </c>
      <c r="AO1356" s="35">
        <f>IF(AND(W1356="",M1356&gt;0,$AJ$2&gt;M1356,L1356=""),1,0)</f>
        <v/>
      </c>
      <c r="AP1356" s="35">
        <f>IF(AND(AK1356="YES",W1356="X"),"X","")</f>
        <v/>
      </c>
      <c r="AQ1356" s="55">
        <f>IF(AP1356="X",100%,0%)</f>
        <v/>
      </c>
      <c r="AR1356" s="25">
        <f>IF(AND(T1356&gt;0,L1356=""),H1356,"")</f>
        <v/>
      </c>
      <c r="AS1356" s="25">
        <f>IF(AND(D1356&gt;0,H1356=0,G1356=""),1,"")</f>
        <v/>
      </c>
      <c r="AT1356" s="25">
        <f>IF(G1356="BLOQ",1,"")</f>
        <v/>
      </c>
      <c r="AU1356" s="25">
        <f>IF(L1356="BLOQ",1,"")</f>
        <v/>
      </c>
      <c r="AV1356" s="25">
        <f>MONTH(F1356)</f>
        <v/>
      </c>
      <c r="AW1356" s="65">
        <f>IF(AP1356="",100%,0%)</f>
        <v/>
      </c>
      <c r="AX1356" s="56" t="n"/>
      <c r="AY1356" s="24">
        <f>IF(M1356=0,"",M1356-$AX$2)</f>
        <v/>
      </c>
      <c r="AZ1356" s="66">
        <f>IF(AND(W1356="",AY1356&gt;0,AY1356&lt;15),1,0)</f>
        <v/>
      </c>
      <c r="BA1356" s="24">
        <f>IF(AND(W1356="",AY1356&gt;0,AY1356&lt;15),T1356,"")</f>
        <v/>
      </c>
      <c r="BB1356" s="87">
        <f>IF(R1356&lt;Q1356,"X","")</f>
        <v/>
      </c>
      <c r="BC1356" s="190" t="inlineStr">
        <is>
          <t>NO</t>
        </is>
      </c>
      <c r="BD1356" s="191" t="inlineStr">
        <is>
          <t>SI</t>
        </is>
      </c>
    </row>
    <row r="1357" ht="15" customHeight="1" s="162">
      <c r="A1357" s="7" t="n">
        <v>1356</v>
      </c>
      <c r="B1357" t="inlineStr">
        <is>
          <t>1217000920001</t>
        </is>
      </c>
      <c r="C1357" t="inlineStr">
        <is>
          <t>CNC USB-A 3.0 9H RECEP PANEL IP20</t>
        </is>
      </c>
      <c r="D1357" t="inlineStr">
        <is>
          <t>1800113569</t>
        </is>
      </c>
      <c r="E1357" t="inlineStr">
        <is>
          <t>20</t>
        </is>
      </c>
      <c r="F1357" s="163" t="n">
        <v>45572</v>
      </c>
      <c r="G1357" t="inlineStr"/>
      <c r="H1357" t="inlineStr">
        <is>
          <t>4200582197</t>
        </is>
      </c>
      <c r="I1357" t="inlineStr">
        <is>
          <t>350</t>
        </is>
      </c>
      <c r="J1357" s="163" t="n">
        <v>45586</v>
      </c>
      <c r="K1357" s="163" t="n">
        <v>45686</v>
      </c>
      <c r="L1357" t="inlineStr"/>
      <c r="M1357" s="163" t="n">
        <v>45600</v>
      </c>
      <c r="N1357" s="164" t="n">
        <v>40</v>
      </c>
      <c r="O1357" s="164" t="n">
        <v>8</v>
      </c>
      <c r="P1357" t="inlineStr">
        <is>
          <t>Liberado</t>
        </is>
      </c>
      <c r="Q1357" s="165" t="n">
        <v>2</v>
      </c>
      <c r="R1357" s="165" t="n">
        <v>2</v>
      </c>
      <c r="S1357" s="165" t="n">
        <v>2</v>
      </c>
      <c r="T1357" s="165" t="n">
        <v>0</v>
      </c>
      <c r="U1357" s="166" t="n">
        <v>2</v>
      </c>
      <c r="V1357" s="166" t="n">
        <v>0</v>
      </c>
      <c r="W1357" t="inlineStr">
        <is>
          <t>X</t>
        </is>
      </c>
      <c r="X1357" t="inlineStr">
        <is>
          <t>0.00</t>
        </is>
      </c>
      <c r="Y1357" t="inlineStr"/>
      <c r="Z1357" t="inlineStr">
        <is>
          <t>TTI INC.</t>
        </is>
      </c>
      <c r="AA1357" t="inlineStr">
        <is>
          <t>HARTING</t>
        </is>
      </c>
      <c r="AB1357" t="inlineStr">
        <is>
          <t>09 45 452 1904</t>
        </is>
      </c>
      <c r="AC1357" t="inlineStr"/>
      <c r="AD1357" s="164" t="n">
        <v>1</v>
      </c>
      <c r="AE1357" s="185" t="n">
        <v>1</v>
      </c>
      <c r="AG1357" s="167" t="inlineStr">
        <is>
          <t>7218|JA2583_1001</t>
        </is>
      </c>
      <c r="AH1357" s="47">
        <f>IF(M1357=0,"-",M1357-J1357)</f>
        <v/>
      </c>
      <c r="AI1357" s="46">
        <f>IF(AND(S1357=0,M1357&gt;0,L1357=0),IF(AH1357&gt;=120,"VERY HIGH",IF(AH1357&gt;=90,"HIGH",IF(AH1357&gt;=60,"MEDIUM",IF(AH1357&lt;60,"LOW")))),"-")</f>
        <v/>
      </c>
      <c r="AJ1357" s="12" t="n"/>
      <c r="AK1357" s="53">
        <f>IF(AND(W1357="X",M1357&lt;=$AJ$2),"YES","")</f>
        <v/>
      </c>
      <c r="AL1357" s="54">
        <f>IF(AND(W1357="X",M1357&lt;=$AJ$2),S1357,"")</f>
        <v/>
      </c>
      <c r="AM1357" s="35" t="n"/>
      <c r="AN1357" s="35">
        <f>IF(AND(W1357="X",M1357&gt;$AJ$2),S1357,"")</f>
        <v/>
      </c>
      <c r="AO1357" s="35">
        <f>IF(AND(W1357="",M1357&gt;0,$AJ$2&gt;M1357,L1357=""),1,0)</f>
        <v/>
      </c>
      <c r="AP1357" s="35">
        <f>IF(AND(AK1357="YES",W1357="X"),"X","")</f>
        <v/>
      </c>
      <c r="AQ1357" s="55">
        <f>IF(AP1357="X",100%,0%)</f>
        <v/>
      </c>
      <c r="AR1357" s="25">
        <f>IF(AND(T1357&gt;0,L1357=""),H1357,"")</f>
        <v/>
      </c>
      <c r="AS1357" s="25">
        <f>IF(AND(D1357&gt;0,H1357=0,G1357=""),1,"")</f>
        <v/>
      </c>
      <c r="AT1357" s="25">
        <f>IF(G1357="BLOQ",1,"")</f>
        <v/>
      </c>
      <c r="AU1357" s="25">
        <f>IF(L1357="BLOQ",1,"")</f>
        <v/>
      </c>
      <c r="AV1357" s="25">
        <f>MONTH(F1357)</f>
        <v/>
      </c>
      <c r="AW1357" s="65">
        <f>IF(AP1357="",100%,0%)</f>
        <v/>
      </c>
      <c r="AX1357" s="56" t="n"/>
      <c r="AY1357" s="24">
        <f>IF(M1357=0,"",M1357-$AX$2)</f>
        <v/>
      </c>
      <c r="AZ1357" s="66">
        <f>IF(AND(W1357="",AY1357&gt;0,AY1357&lt;15),1,0)</f>
        <v/>
      </c>
      <c r="BA1357" s="24">
        <f>IF(AND(W1357="",AY1357&gt;0,AY1357&lt;15),T1357,"")</f>
        <v/>
      </c>
      <c r="BB1357" s="87">
        <f>IF(R1357&lt;Q1357,"X","")</f>
        <v/>
      </c>
      <c r="BC1357" s="190" t="inlineStr">
        <is>
          <t>NO</t>
        </is>
      </c>
      <c r="BD1357" s="191" t="inlineStr">
        <is>
          <t>SI</t>
        </is>
      </c>
    </row>
    <row r="1358" ht="15" customHeight="1" s="162">
      <c r="A1358" s="7" t="n">
        <v>1357</v>
      </c>
      <c r="B1358" t="inlineStr">
        <is>
          <t>1229508280202</t>
        </is>
      </c>
      <c r="C1358" t="inlineStr">
        <is>
          <t>CBL EQ UTP RJ45-M/M 10FT VERDE CAT6 LSZH</t>
        </is>
      </c>
      <c r="D1358" t="inlineStr">
        <is>
          <t>1800113570</t>
        </is>
      </c>
      <c r="E1358" t="inlineStr">
        <is>
          <t>10</t>
        </is>
      </c>
      <c r="F1358" s="163" t="n">
        <v>45572</v>
      </c>
      <c r="G1358" t="inlineStr"/>
      <c r="H1358" t="inlineStr">
        <is>
          <t>4200582604</t>
        </is>
      </c>
      <c r="I1358" t="inlineStr">
        <is>
          <t>50</t>
        </is>
      </c>
      <c r="J1358" s="163" t="n">
        <v>45588</v>
      </c>
      <c r="K1358" s="163" t="n">
        <v>45589</v>
      </c>
      <c r="L1358" t="inlineStr"/>
      <c r="M1358" s="163" t="n">
        <v>45618</v>
      </c>
      <c r="N1358" s="164" t="n">
        <v>55</v>
      </c>
      <c r="O1358" s="164" t="n">
        <v>8</v>
      </c>
      <c r="P1358" t="inlineStr">
        <is>
          <t>Liberado</t>
        </is>
      </c>
      <c r="Q1358" s="165" t="n">
        <v>1</v>
      </c>
      <c r="R1358" s="165" t="n">
        <v>1</v>
      </c>
      <c r="S1358" s="165" t="n">
        <v>1</v>
      </c>
      <c r="T1358" s="165" t="n">
        <v>0</v>
      </c>
      <c r="U1358" s="166" t="n">
        <v>1</v>
      </c>
      <c r="V1358" s="166" t="n">
        <v>0</v>
      </c>
      <c r="W1358" t="inlineStr">
        <is>
          <t>X</t>
        </is>
      </c>
      <c r="X1358" t="inlineStr">
        <is>
          <t>0.00</t>
        </is>
      </c>
      <c r="Y1358" t="inlineStr"/>
      <c r="Z1358" t="inlineStr">
        <is>
          <t>OMNIAELECTRONICS, S.L.</t>
        </is>
      </c>
      <c r="AA1358" t="inlineStr">
        <is>
          <t>PACTECH</t>
        </is>
      </c>
      <c r="AB1358" t="inlineStr">
        <is>
          <t>MM-C6N-10-28LSZH-F</t>
        </is>
      </c>
      <c r="AC1358" t="inlineStr"/>
      <c r="AD1358" s="164" t="n">
        <v>0</v>
      </c>
      <c r="AE1358" s="185" t="n">
        <v>0</v>
      </c>
      <c r="AG1358" s="167" t="inlineStr">
        <is>
          <t>7218|JA2585_1001</t>
        </is>
      </c>
      <c r="AH1358" s="47">
        <f>IF(M1358=0,"-",M1358-J1358)</f>
        <v/>
      </c>
      <c r="AI1358" s="46">
        <f>IF(AND(S1358=0,M1358&gt;0,L1358=0),IF(AH1358&gt;=120,"VERY HIGH",IF(AH1358&gt;=90,"HIGH",IF(AH1358&gt;=60,"MEDIUM",IF(AH1358&lt;60,"LOW")))),"-")</f>
        <v/>
      </c>
      <c r="AJ1358" s="12" t="n"/>
      <c r="AK1358" s="53">
        <f>IF(AND(W1358="X",M1358&lt;=$AJ$2),"YES","")</f>
        <v/>
      </c>
      <c r="AL1358" s="54">
        <f>IF(AND(W1358="X",M1358&lt;=$AJ$2),S1358,"")</f>
        <v/>
      </c>
      <c r="AM1358" s="35" t="n"/>
      <c r="AN1358" s="35">
        <f>IF(AND(W1358="X",M1358&gt;$AJ$2),S1358,"")</f>
        <v/>
      </c>
      <c r="AO1358" s="35">
        <f>IF(AND(W1358="",M1358&gt;0,$AJ$2&gt;M1358,L1358=""),1,0)</f>
        <v/>
      </c>
      <c r="AP1358" s="35">
        <f>IF(AND(AK1358="YES",W1358="X"),"X","")</f>
        <v/>
      </c>
      <c r="AQ1358" s="55">
        <f>IF(AP1358="X",100%,0%)</f>
        <v/>
      </c>
      <c r="AR1358" s="25">
        <f>IF(AND(T1358&gt;0,L1358=""),H1358,"")</f>
        <v/>
      </c>
      <c r="AS1358" s="25">
        <f>IF(AND(D1358&gt;0,H1358=0,G1358=""),1,"")</f>
        <v/>
      </c>
      <c r="AT1358" s="25">
        <f>IF(G1358="BLOQ",1,"")</f>
        <v/>
      </c>
      <c r="AU1358" s="25">
        <f>IF(L1358="BLOQ",1,"")</f>
        <v/>
      </c>
      <c r="AV1358" s="25">
        <f>MONTH(F1358)</f>
        <v/>
      </c>
      <c r="AW1358" s="65">
        <f>IF(AP1358="",100%,0%)</f>
        <v/>
      </c>
      <c r="AX1358" s="56" t="n"/>
      <c r="AY1358" s="24">
        <f>IF(M1358=0,"",M1358-$AX$2)</f>
        <v/>
      </c>
      <c r="AZ1358" s="66">
        <f>IF(AND(W1358="",AY1358&gt;0,AY1358&lt;15),1,0)</f>
        <v/>
      </c>
      <c r="BA1358" s="24">
        <f>IF(AND(W1358="",AY1358&gt;0,AY1358&lt;15),T1358,"")</f>
        <v/>
      </c>
      <c r="BB1358" s="87">
        <f>IF(R1358&lt;Q1358,"X","")</f>
        <v/>
      </c>
      <c r="BC1358" s="190" t="inlineStr">
        <is>
          <t>NO</t>
        </is>
      </c>
      <c r="BD1358" s="191" t="inlineStr">
        <is>
          <t>SI</t>
        </is>
      </c>
    </row>
    <row r="1359" ht="15" customHeight="1" s="162">
      <c r="A1359" s="7" t="n">
        <v>1358</v>
      </c>
      <c r="B1359" t="inlineStr">
        <is>
          <t>1229508280205</t>
        </is>
      </c>
      <c r="C1359" t="inlineStr">
        <is>
          <t>CBL EQ UTP RJ45-M/M 50FT VERDE CAT6 LSZH</t>
        </is>
      </c>
      <c r="D1359" t="inlineStr">
        <is>
          <t>1800113570</t>
        </is>
      </c>
      <c r="E1359" t="inlineStr">
        <is>
          <t>20</t>
        </is>
      </c>
      <c r="F1359" s="163" t="n">
        <v>45572</v>
      </c>
      <c r="G1359" t="inlineStr"/>
      <c r="H1359" t="inlineStr">
        <is>
          <t>4200582604</t>
        </is>
      </c>
      <c r="I1359" t="inlineStr">
        <is>
          <t>60</t>
        </is>
      </c>
      <c r="J1359" s="163" t="n">
        <v>45588</v>
      </c>
      <c r="K1359" s="163" t="n">
        <v>45589</v>
      </c>
      <c r="L1359" t="inlineStr"/>
      <c r="M1359" s="163" t="n">
        <v>45618</v>
      </c>
      <c r="N1359" s="164" t="n">
        <v>105</v>
      </c>
      <c r="O1359" s="164" t="n">
        <v>8</v>
      </c>
      <c r="P1359" t="inlineStr">
        <is>
          <t>Liberado</t>
        </is>
      </c>
      <c r="Q1359" s="165" t="n">
        <v>2</v>
      </c>
      <c r="R1359" s="165" t="n">
        <v>2</v>
      </c>
      <c r="S1359" s="165" t="n">
        <v>2</v>
      </c>
      <c r="T1359" s="165" t="n">
        <v>0</v>
      </c>
      <c r="U1359" s="166" t="n">
        <v>2</v>
      </c>
      <c r="V1359" s="166" t="n">
        <v>0</v>
      </c>
      <c r="W1359" t="inlineStr">
        <is>
          <t>X</t>
        </is>
      </c>
      <c r="X1359" t="inlineStr">
        <is>
          <t>0.00</t>
        </is>
      </c>
      <c r="Y1359" t="inlineStr"/>
      <c r="Z1359" t="inlineStr">
        <is>
          <t>OMNIAELECTRONICS, S.L.</t>
        </is>
      </c>
      <c r="AA1359" t="inlineStr">
        <is>
          <t>PACTECH</t>
        </is>
      </c>
      <c r="AB1359" t="inlineStr">
        <is>
          <t>MM-C6N-50-28LSZH-F</t>
        </is>
      </c>
      <c r="AC1359" t="inlineStr"/>
      <c r="AD1359" s="164" t="n">
        <v>0</v>
      </c>
      <c r="AE1359" s="185" t="n">
        <v>0</v>
      </c>
      <c r="AG1359" s="167" t="inlineStr">
        <is>
          <t>7218|JA2585_1001</t>
        </is>
      </c>
      <c r="AH1359" s="47">
        <f>IF(M1359=0,"-",M1359-J1359)</f>
        <v/>
      </c>
      <c r="AI1359" s="46">
        <f>IF(AND(S1359=0,M1359&gt;0,L1359=0),IF(AH1359&gt;=120,"VERY HIGH",IF(AH1359&gt;=90,"HIGH",IF(AH1359&gt;=60,"MEDIUM",IF(AH1359&lt;60,"LOW")))),"-")</f>
        <v/>
      </c>
      <c r="AJ1359" s="12" t="n"/>
      <c r="AK1359" s="53">
        <f>IF(AND(W1359="X",M1359&lt;=$AJ$2),"YES","")</f>
        <v/>
      </c>
      <c r="AL1359" s="54">
        <f>IF(AND(W1359="X",M1359&lt;=$AJ$2),S1359,"")</f>
        <v/>
      </c>
      <c r="AM1359" s="35" t="n"/>
      <c r="AN1359" s="35">
        <f>IF(AND(W1359="X",M1359&gt;$AJ$2),S1359,"")</f>
        <v/>
      </c>
      <c r="AO1359" s="35">
        <f>IF(AND(W1359="",M1359&gt;0,$AJ$2&gt;M1359,L1359=""),1,0)</f>
        <v/>
      </c>
      <c r="AP1359" s="35">
        <f>IF(AND(AK1359="YES",W1359="X"),"X","")</f>
        <v/>
      </c>
      <c r="AQ1359" s="55">
        <f>IF(AP1359="X",100%,0%)</f>
        <v/>
      </c>
      <c r="AR1359" s="25">
        <f>IF(AND(T1359&gt;0,L1359=""),H1359,"")</f>
        <v/>
      </c>
      <c r="AS1359" s="25">
        <f>IF(AND(D1359&gt;0,H1359=0,G1359=""),1,"")</f>
        <v/>
      </c>
      <c r="AT1359" s="25">
        <f>IF(G1359="BLOQ",1,"")</f>
        <v/>
      </c>
      <c r="AU1359" s="25">
        <f>IF(L1359="BLOQ",1,"")</f>
        <v/>
      </c>
      <c r="AV1359" s="25">
        <f>MONTH(F1359)</f>
        <v/>
      </c>
      <c r="AW1359" s="65">
        <f>IF(AP1359="",100%,0%)</f>
        <v/>
      </c>
      <c r="AX1359" s="56" t="n"/>
      <c r="AY1359" s="24">
        <f>IF(M1359=0,"",M1359-$AX$2)</f>
        <v/>
      </c>
      <c r="AZ1359" s="66">
        <f>IF(AND(W1359="",AY1359&gt;0,AY1359&lt;15),1,0)</f>
        <v/>
      </c>
      <c r="BA1359" s="24">
        <f>IF(AND(W1359="",AY1359&gt;0,AY1359&lt;15),T1359,"")</f>
        <v/>
      </c>
      <c r="BB1359" s="87">
        <f>IF(R1359&lt;Q1359,"X","")</f>
        <v/>
      </c>
      <c r="BC1359" s="190" t="inlineStr">
        <is>
          <t>NO</t>
        </is>
      </c>
      <c r="BD1359" s="191" t="inlineStr">
        <is>
          <t>SI</t>
        </is>
      </c>
    </row>
    <row r="1360" ht="15" customHeight="1" s="162">
      <c r="A1360" s="7" t="n">
        <v>1359</v>
      </c>
      <c r="B1360" t="inlineStr">
        <is>
          <t>1229508280402</t>
        </is>
      </c>
      <c r="C1360" t="inlineStr">
        <is>
          <t>CBL EQ UTP RJ45-M/M 10FT ROJO CAT6 LSZH</t>
        </is>
      </c>
      <c r="D1360" t="inlineStr">
        <is>
          <t>1800113570</t>
        </is>
      </c>
      <c r="E1360" t="inlineStr">
        <is>
          <t>30</t>
        </is>
      </c>
      <c r="F1360" s="163" t="n">
        <v>45572</v>
      </c>
      <c r="G1360" t="inlineStr"/>
      <c r="H1360" t="inlineStr">
        <is>
          <t>4200582605</t>
        </is>
      </c>
      <c r="I1360" t="inlineStr">
        <is>
          <t>80</t>
        </is>
      </c>
      <c r="J1360" s="163" t="n">
        <v>45588</v>
      </c>
      <c r="K1360" s="163" t="n">
        <v>45589</v>
      </c>
      <c r="L1360" t="inlineStr"/>
      <c r="M1360" s="163" t="n">
        <v>45618</v>
      </c>
      <c r="N1360" s="164" t="n">
        <v>50</v>
      </c>
      <c r="O1360" s="164" t="n">
        <v>8</v>
      </c>
      <c r="P1360" t="inlineStr">
        <is>
          <t>Liberado</t>
        </is>
      </c>
      <c r="Q1360" s="165" t="n">
        <v>5</v>
      </c>
      <c r="R1360" s="165" t="n">
        <v>5</v>
      </c>
      <c r="S1360" s="165" t="n">
        <v>5</v>
      </c>
      <c r="T1360" s="165" t="n">
        <v>0</v>
      </c>
      <c r="U1360" s="166" t="n">
        <v>5</v>
      </c>
      <c r="V1360" s="166" t="n">
        <v>0</v>
      </c>
      <c r="W1360" t="inlineStr">
        <is>
          <t>X</t>
        </is>
      </c>
      <c r="X1360" t="inlineStr">
        <is>
          <t>0.00</t>
        </is>
      </c>
      <c r="Y1360" t="inlineStr"/>
      <c r="Z1360" t="inlineStr">
        <is>
          <t>INFORMATICA CALCULO Y TECNICA, S.A.</t>
        </is>
      </c>
      <c r="AA1360" t="inlineStr">
        <is>
          <t>PACTECH</t>
        </is>
      </c>
      <c r="AB1360" t="inlineStr">
        <is>
          <t>MM-C6R-10-28LSZH-F</t>
        </is>
      </c>
      <c r="AC1360" t="inlineStr"/>
      <c r="AD1360" s="164" t="n">
        <v>0</v>
      </c>
      <c r="AE1360" s="185" t="n">
        <v>0</v>
      </c>
      <c r="AG1360" s="167" t="inlineStr">
        <is>
          <t>7218|JA2585_1001</t>
        </is>
      </c>
      <c r="AH1360" s="47">
        <f>IF(M1360=0,"-",M1360-J1360)</f>
        <v/>
      </c>
      <c r="AI1360" s="46">
        <f>IF(AND(S1360=0,M1360&gt;0,L1360=0),IF(AH1360&gt;=120,"VERY HIGH",IF(AH1360&gt;=90,"HIGH",IF(AH1360&gt;=60,"MEDIUM",IF(AH1360&lt;60,"LOW")))),"-")</f>
        <v/>
      </c>
      <c r="AJ1360" s="12" t="n"/>
      <c r="AK1360" s="53">
        <f>IF(AND(W1360="X",M1360&lt;=$AJ$2),"YES","")</f>
        <v/>
      </c>
      <c r="AL1360" s="54">
        <f>IF(AND(W1360="X",M1360&lt;=$AJ$2),S1360,"")</f>
        <v/>
      </c>
      <c r="AM1360" s="35" t="n"/>
      <c r="AN1360" s="35">
        <f>IF(AND(W1360="X",M1360&gt;$AJ$2),S1360,"")</f>
        <v/>
      </c>
      <c r="AO1360" s="35">
        <f>IF(AND(W1360="",M1360&gt;0,$AJ$2&gt;M1360,L1360=""),1,0)</f>
        <v/>
      </c>
      <c r="AP1360" s="35">
        <f>IF(AND(AK1360="YES",W1360="X"),"X","")</f>
        <v/>
      </c>
      <c r="AQ1360" s="55">
        <f>IF(AP1360="X",100%,0%)</f>
        <v/>
      </c>
      <c r="AR1360" s="25">
        <f>IF(AND(T1360&gt;0,L1360=""),H1360,"")</f>
        <v/>
      </c>
      <c r="AS1360" s="25">
        <f>IF(AND(D1360&gt;0,H1360=0,G1360=""),1,"")</f>
        <v/>
      </c>
      <c r="AT1360" s="25">
        <f>IF(G1360="BLOQ",1,"")</f>
        <v/>
      </c>
      <c r="AU1360" s="25">
        <f>IF(L1360="BLOQ",1,"")</f>
        <v/>
      </c>
      <c r="AV1360" s="25">
        <f>MONTH(F1360)</f>
        <v/>
      </c>
      <c r="AW1360" s="65">
        <f>IF(AP1360="",100%,0%)</f>
        <v/>
      </c>
      <c r="AX1360" s="56" t="n"/>
      <c r="AY1360" s="24">
        <f>IF(M1360=0,"",M1360-$AX$2)</f>
        <v/>
      </c>
      <c r="AZ1360" s="66">
        <f>IF(AND(W1360="",AY1360&gt;0,AY1360&lt;15),1,0)</f>
        <v/>
      </c>
      <c r="BA1360" s="24">
        <f>IF(AND(W1360="",AY1360&gt;0,AY1360&lt;15),T1360,"")</f>
        <v/>
      </c>
      <c r="BB1360" s="87">
        <f>IF(R1360&lt;Q1360,"X","")</f>
        <v/>
      </c>
      <c r="BC1360" s="190" t="inlineStr">
        <is>
          <t>NO</t>
        </is>
      </c>
      <c r="BD1360" s="191" t="inlineStr">
        <is>
          <t>SI</t>
        </is>
      </c>
    </row>
    <row r="1361" ht="15" customHeight="1" s="162">
      <c r="A1361" s="7" t="n">
        <v>1360</v>
      </c>
      <c r="B1361" t="inlineStr">
        <is>
          <t>1229508280502</t>
        </is>
      </c>
      <c r="C1361" t="inlineStr">
        <is>
          <t>CBL EQ UTP RJ45-M/M 10FT AMAR CAT6 LSZH</t>
        </is>
      </c>
      <c r="D1361" t="inlineStr">
        <is>
          <t>1800113570</t>
        </is>
      </c>
      <c r="E1361" t="inlineStr">
        <is>
          <t>40</t>
        </is>
      </c>
      <c r="F1361" s="163" t="n">
        <v>45572</v>
      </c>
      <c r="G1361" t="inlineStr"/>
      <c r="H1361" t="inlineStr">
        <is>
          <t>4200582605</t>
        </is>
      </c>
      <c r="I1361" t="inlineStr">
        <is>
          <t>90</t>
        </is>
      </c>
      <c r="J1361" s="163" t="n">
        <v>45588</v>
      </c>
      <c r="K1361" s="163" t="n">
        <v>45589</v>
      </c>
      <c r="L1361" t="inlineStr"/>
      <c r="M1361" s="163" t="n">
        <v>45618</v>
      </c>
      <c r="N1361" s="164" t="n">
        <v>50</v>
      </c>
      <c r="O1361" s="164" t="n">
        <v>8</v>
      </c>
      <c r="P1361" t="inlineStr">
        <is>
          <t>Liberado</t>
        </is>
      </c>
      <c r="Q1361" s="165" t="n">
        <v>3</v>
      </c>
      <c r="R1361" s="165" t="n">
        <v>3</v>
      </c>
      <c r="S1361" s="165" t="n">
        <v>3</v>
      </c>
      <c r="T1361" s="165" t="n">
        <v>0</v>
      </c>
      <c r="U1361" s="166" t="n">
        <v>3</v>
      </c>
      <c r="V1361" s="166" t="n">
        <v>0</v>
      </c>
      <c r="W1361" t="inlineStr">
        <is>
          <t>X</t>
        </is>
      </c>
      <c r="X1361" t="inlineStr">
        <is>
          <t>0.00</t>
        </is>
      </c>
      <c r="Y1361" t="inlineStr"/>
      <c r="Z1361" t="inlineStr">
        <is>
          <t>INFORMATICA CALCULO Y TECNICA, S.A.</t>
        </is>
      </c>
      <c r="AA1361" t="inlineStr">
        <is>
          <t>PACTECH</t>
        </is>
      </c>
      <c r="AB1361" t="inlineStr">
        <is>
          <t>MM-C6Y-10-28LSZH-F</t>
        </is>
      </c>
      <c r="AC1361" t="inlineStr"/>
      <c r="AD1361" s="164" t="n">
        <v>0</v>
      </c>
      <c r="AE1361" s="185" t="n">
        <v>0</v>
      </c>
      <c r="AG1361" s="167" t="inlineStr">
        <is>
          <t>7218|JA2585_1001</t>
        </is>
      </c>
      <c r="AH1361" s="47">
        <f>IF(M1361=0,"-",M1361-J1361)</f>
        <v/>
      </c>
      <c r="AI1361" s="46">
        <f>IF(AND(S1361=0,M1361&gt;0,L1361=0),IF(AH1361&gt;=120,"VERY HIGH",IF(AH1361&gt;=90,"HIGH",IF(AH1361&gt;=60,"MEDIUM",IF(AH1361&lt;60,"LOW")))),"-")</f>
        <v/>
      </c>
      <c r="AJ1361" s="12" t="n"/>
      <c r="AK1361" s="53">
        <f>IF(AND(W1361="X",M1361&lt;=$AJ$2),"YES","")</f>
        <v/>
      </c>
      <c r="AL1361" s="54">
        <f>IF(AND(W1361="X",M1361&lt;=$AJ$2),S1361,"")</f>
        <v/>
      </c>
      <c r="AM1361" s="35" t="n"/>
      <c r="AN1361" s="35">
        <f>IF(AND(W1361="X",M1361&gt;$AJ$2),S1361,"")</f>
        <v/>
      </c>
      <c r="AO1361" s="35">
        <f>IF(AND(W1361="",M1361&gt;0,$AJ$2&gt;M1361,L1361=""),1,0)</f>
        <v/>
      </c>
      <c r="AP1361" s="35">
        <f>IF(AND(AK1361="YES",W1361="X"),"X","")</f>
        <v/>
      </c>
      <c r="AQ1361" s="55">
        <f>IF(AP1361="X",100%,0%)</f>
        <v/>
      </c>
      <c r="AR1361" s="25">
        <f>IF(AND(T1361&gt;0,L1361=""),H1361,"")</f>
        <v/>
      </c>
      <c r="AS1361" s="25">
        <f>IF(AND(D1361&gt;0,H1361=0,G1361=""),1,"")</f>
        <v/>
      </c>
      <c r="AT1361" s="25">
        <f>IF(G1361="BLOQ",1,"")</f>
        <v/>
      </c>
      <c r="AU1361" s="25">
        <f>IF(L1361="BLOQ",1,"")</f>
        <v/>
      </c>
      <c r="AV1361" s="25">
        <f>MONTH(F1361)</f>
        <v/>
      </c>
      <c r="AW1361" s="65">
        <f>IF(AP1361="",100%,0%)</f>
        <v/>
      </c>
      <c r="AX1361" s="56" t="n"/>
      <c r="AY1361" s="24">
        <f>IF(M1361=0,"",M1361-$AX$2)</f>
        <v/>
      </c>
      <c r="AZ1361" s="66">
        <f>IF(AND(W1361="",AY1361&gt;0,AY1361&lt;15),1,0)</f>
        <v/>
      </c>
      <c r="BA1361" s="24">
        <f>IF(AND(W1361="",AY1361&gt;0,AY1361&lt;15),T1361,"")</f>
        <v/>
      </c>
      <c r="BB1361" s="87">
        <f>IF(R1361&lt;Q1361,"X","")</f>
        <v/>
      </c>
      <c r="BC1361" s="190" t="inlineStr">
        <is>
          <t>NO</t>
        </is>
      </c>
      <c r="BD1361" s="191" t="inlineStr">
        <is>
          <t>SI</t>
        </is>
      </c>
    </row>
    <row r="1362" ht="15" customHeight="1" s="162">
      <c r="A1362" s="7" t="n">
        <v>1361</v>
      </c>
      <c r="B1362" t="inlineStr">
        <is>
          <t>1229508280504</t>
        </is>
      </c>
      <c r="C1362" t="inlineStr">
        <is>
          <t>CBL EQ UTP RJ45-M/M 35FT AMAR CAT6 LSZH</t>
        </is>
      </c>
      <c r="D1362" t="inlineStr">
        <is>
          <t>1800113570</t>
        </is>
      </c>
      <c r="E1362" t="inlineStr">
        <is>
          <t>50</t>
        </is>
      </c>
      <c r="F1362" s="163" t="n">
        <v>45572</v>
      </c>
      <c r="G1362" t="inlineStr"/>
      <c r="H1362" t="inlineStr">
        <is>
          <t>4200582604</t>
        </is>
      </c>
      <c r="I1362" t="inlineStr">
        <is>
          <t>70</t>
        </is>
      </c>
      <c r="J1362" s="163" t="n">
        <v>45588</v>
      </c>
      <c r="K1362" s="163" t="n">
        <v>45589</v>
      </c>
      <c r="L1362" t="inlineStr"/>
      <c r="M1362" s="163" t="n">
        <v>45618</v>
      </c>
      <c r="N1362" s="164" t="n">
        <v>60</v>
      </c>
      <c r="O1362" s="164" t="n">
        <v>8</v>
      </c>
      <c r="P1362" t="inlineStr">
        <is>
          <t>Liberado</t>
        </is>
      </c>
      <c r="Q1362" s="165" t="n">
        <v>1</v>
      </c>
      <c r="R1362" s="165" t="n">
        <v>1</v>
      </c>
      <c r="S1362" s="165" t="n">
        <v>1</v>
      </c>
      <c r="T1362" s="165" t="n">
        <v>0</v>
      </c>
      <c r="U1362" s="166" t="n">
        <v>1</v>
      </c>
      <c r="V1362" s="166" t="n">
        <v>0</v>
      </c>
      <c r="W1362" t="inlineStr">
        <is>
          <t>X</t>
        </is>
      </c>
      <c r="X1362" t="inlineStr">
        <is>
          <t>0.00</t>
        </is>
      </c>
      <c r="Y1362" t="inlineStr"/>
      <c r="Z1362" t="inlineStr">
        <is>
          <t>OMNIAELECTRONICS, S.L.</t>
        </is>
      </c>
      <c r="AA1362" t="inlineStr">
        <is>
          <t>PACTECH</t>
        </is>
      </c>
      <c r="AB1362" t="inlineStr">
        <is>
          <t>MM-C6Y-35-28LSZH-F</t>
        </is>
      </c>
      <c r="AC1362" t="inlineStr"/>
      <c r="AD1362" s="164" t="n">
        <v>0</v>
      </c>
      <c r="AE1362" s="185" t="n">
        <v>0</v>
      </c>
      <c r="AG1362" s="167" t="inlineStr">
        <is>
          <t>7218|JA2585_1001</t>
        </is>
      </c>
      <c r="AH1362" s="47">
        <f>IF(M1362=0,"-",M1362-J1362)</f>
        <v/>
      </c>
      <c r="AI1362" s="46">
        <f>IF(AND(S1362=0,M1362&gt;0,L1362=0),IF(AH1362&gt;=120,"VERY HIGH",IF(AH1362&gt;=90,"HIGH",IF(AH1362&gt;=60,"MEDIUM",IF(AH1362&lt;60,"LOW")))),"-")</f>
        <v/>
      </c>
      <c r="AJ1362" s="12" t="n"/>
      <c r="AK1362" s="53">
        <f>IF(AND(W1362="X",M1362&lt;=$AJ$2),"YES","")</f>
        <v/>
      </c>
      <c r="AL1362" s="54">
        <f>IF(AND(W1362="X",M1362&lt;=$AJ$2),S1362,"")</f>
        <v/>
      </c>
      <c r="AM1362" s="35" t="n"/>
      <c r="AN1362" s="35">
        <f>IF(AND(W1362="X",M1362&gt;$AJ$2),S1362,"")</f>
        <v/>
      </c>
      <c r="AO1362" s="35">
        <f>IF(AND(W1362="",M1362&gt;0,$AJ$2&gt;M1362,L1362=""),1,0)</f>
        <v/>
      </c>
      <c r="AP1362" s="35">
        <f>IF(AND(AK1362="YES",W1362="X"),"X","")</f>
        <v/>
      </c>
      <c r="AQ1362" s="55">
        <f>IF(AP1362="X",100%,0%)</f>
        <v/>
      </c>
      <c r="AR1362" s="25">
        <f>IF(AND(T1362&gt;0,L1362=""),H1362,"")</f>
        <v/>
      </c>
      <c r="AS1362" s="25">
        <f>IF(AND(D1362&gt;0,H1362=0,G1362=""),1,"")</f>
        <v/>
      </c>
      <c r="AT1362" s="25">
        <f>IF(G1362="BLOQ",1,"")</f>
        <v/>
      </c>
      <c r="AU1362" s="25">
        <f>IF(L1362="BLOQ",1,"")</f>
        <v/>
      </c>
      <c r="AV1362" s="25">
        <f>MONTH(F1362)</f>
        <v/>
      </c>
      <c r="AW1362" s="65">
        <f>IF(AP1362="",100%,0%)</f>
        <v/>
      </c>
      <c r="AX1362" s="56" t="n"/>
      <c r="AY1362" s="24">
        <f>IF(M1362=0,"",M1362-$AX$2)</f>
        <v/>
      </c>
      <c r="AZ1362" s="66">
        <f>IF(AND(W1362="",AY1362&gt;0,AY1362&lt;15),1,0)</f>
        <v/>
      </c>
      <c r="BA1362" s="24">
        <f>IF(AND(W1362="",AY1362&gt;0,AY1362&lt;15),T1362,"")</f>
        <v/>
      </c>
      <c r="BB1362" s="87">
        <f>IF(R1362&lt;Q1362,"X","")</f>
        <v/>
      </c>
      <c r="BC1362" s="190" t="inlineStr">
        <is>
          <t>NO</t>
        </is>
      </c>
      <c r="BD1362" s="191" t="inlineStr">
        <is>
          <t>SI</t>
        </is>
      </c>
    </row>
    <row r="1363" ht="15" customHeight="1" s="162">
      <c r="A1363" s="7" t="n">
        <v>1362</v>
      </c>
      <c r="B1363" t="inlineStr">
        <is>
          <t>1229508280505</t>
        </is>
      </c>
      <c r="C1363" t="inlineStr">
        <is>
          <t>CBL EQ UTP RJ45-M/M 50FT AMAR CAT6 LSZH</t>
        </is>
      </c>
      <c r="D1363" t="inlineStr">
        <is>
          <t>1800113570</t>
        </is>
      </c>
      <c r="E1363" t="inlineStr">
        <is>
          <t>60</t>
        </is>
      </c>
      <c r="F1363" s="163" t="n">
        <v>45572</v>
      </c>
      <c r="G1363" t="inlineStr"/>
      <c r="H1363" t="inlineStr">
        <is>
          <t>4200582605</t>
        </is>
      </c>
      <c r="I1363" t="inlineStr">
        <is>
          <t>100</t>
        </is>
      </c>
      <c r="J1363" s="163" t="n">
        <v>45588</v>
      </c>
      <c r="K1363" s="163" t="n">
        <v>45589</v>
      </c>
      <c r="L1363" t="inlineStr"/>
      <c r="M1363" s="163" t="n">
        <v>45618</v>
      </c>
      <c r="N1363" s="164" t="n">
        <v>65</v>
      </c>
      <c r="O1363" s="164" t="n">
        <v>8</v>
      </c>
      <c r="P1363" t="inlineStr">
        <is>
          <t>Liberado</t>
        </is>
      </c>
      <c r="Q1363" s="165" t="n">
        <v>3</v>
      </c>
      <c r="R1363" s="165" t="n">
        <v>3</v>
      </c>
      <c r="S1363" s="165" t="n">
        <v>3</v>
      </c>
      <c r="T1363" s="165" t="n">
        <v>0</v>
      </c>
      <c r="U1363" s="166" t="n">
        <v>3</v>
      </c>
      <c r="V1363" s="166" t="n">
        <v>0</v>
      </c>
      <c r="W1363" t="inlineStr">
        <is>
          <t>X</t>
        </is>
      </c>
      <c r="X1363" t="inlineStr">
        <is>
          <t>0.00</t>
        </is>
      </c>
      <c r="Y1363" t="inlineStr"/>
      <c r="Z1363" t="inlineStr">
        <is>
          <t>INFORMATICA CALCULO Y TECNICA, S.A.</t>
        </is>
      </c>
      <c r="AA1363" t="inlineStr">
        <is>
          <t>PACTECH</t>
        </is>
      </c>
      <c r="AB1363" t="inlineStr">
        <is>
          <t>MM-C6Y-50-28LSZH-F</t>
        </is>
      </c>
      <c r="AC1363" t="inlineStr"/>
      <c r="AD1363" s="164" t="n">
        <v>0</v>
      </c>
      <c r="AE1363" s="185" t="n">
        <v>0</v>
      </c>
      <c r="AG1363" s="167" t="inlineStr">
        <is>
          <t>7218|JA2585_1001</t>
        </is>
      </c>
      <c r="AH1363" s="47">
        <f>IF(M1363=0,"-",M1363-J1363)</f>
        <v/>
      </c>
      <c r="AI1363" s="46">
        <f>IF(AND(S1363=0,M1363&gt;0,L1363=0),IF(AH1363&gt;=120,"VERY HIGH",IF(AH1363&gt;=90,"HIGH",IF(AH1363&gt;=60,"MEDIUM",IF(AH1363&lt;60,"LOW")))),"-")</f>
        <v/>
      </c>
      <c r="AJ1363" s="12" t="n"/>
      <c r="AK1363" s="53">
        <f>IF(AND(W1363="X",M1363&lt;=$AJ$2),"YES","")</f>
        <v/>
      </c>
      <c r="AL1363" s="54">
        <f>IF(AND(W1363="X",M1363&lt;=$AJ$2),S1363,"")</f>
        <v/>
      </c>
      <c r="AM1363" s="35" t="n"/>
      <c r="AN1363" s="35">
        <f>IF(AND(W1363="X",M1363&gt;$AJ$2),S1363,"")</f>
        <v/>
      </c>
      <c r="AO1363" s="35">
        <f>IF(AND(W1363="",M1363&gt;0,$AJ$2&gt;M1363,L1363=""),1,0)</f>
        <v/>
      </c>
      <c r="AP1363" s="35">
        <f>IF(AND(AK1363="YES",W1363="X"),"X","")</f>
        <v/>
      </c>
      <c r="AQ1363" s="55">
        <f>IF(AP1363="X",100%,0%)</f>
        <v/>
      </c>
      <c r="AR1363" s="25">
        <f>IF(AND(T1363&gt;0,L1363=""),H1363,"")</f>
        <v/>
      </c>
      <c r="AS1363" s="25">
        <f>IF(AND(D1363&gt;0,H1363=0,G1363=""),1,"")</f>
        <v/>
      </c>
      <c r="AT1363" s="25">
        <f>IF(G1363="BLOQ",1,"")</f>
        <v/>
      </c>
      <c r="AU1363" s="25">
        <f>IF(L1363="BLOQ",1,"")</f>
        <v/>
      </c>
      <c r="AV1363" s="25">
        <f>MONTH(F1363)</f>
        <v/>
      </c>
      <c r="AW1363" s="65">
        <f>IF(AP1363="",100%,0%)</f>
        <v/>
      </c>
      <c r="AX1363" s="56" t="n"/>
      <c r="AY1363" s="24">
        <f>IF(M1363=0,"",M1363-$AX$2)</f>
        <v/>
      </c>
      <c r="AZ1363" s="66">
        <f>IF(AND(W1363="",AY1363&gt;0,AY1363&lt;15),1,0)</f>
        <v/>
      </c>
      <c r="BA1363" s="24">
        <f>IF(AND(W1363="",AY1363&gt;0,AY1363&lt;15),T1363,"")</f>
        <v/>
      </c>
      <c r="BB1363" s="87">
        <f>IF(R1363&lt;Q1363,"X","")</f>
        <v/>
      </c>
      <c r="BC1363" s="190" t="inlineStr">
        <is>
          <t>NO</t>
        </is>
      </c>
      <c r="BD1363" s="191" t="inlineStr">
        <is>
          <t>SI</t>
        </is>
      </c>
    </row>
    <row r="1364" ht="15" customHeight="1" s="162">
      <c r="A1364" s="7" t="n">
        <v>1363</v>
      </c>
      <c r="B1364" t="inlineStr">
        <is>
          <t>1229598280203</t>
        </is>
      </c>
      <c r="C1364" t="inlineStr">
        <is>
          <t>CBL EQ ASSY RJ45-M/M LSZH AZUL-OSC L10FT</t>
        </is>
      </c>
      <c r="D1364" t="inlineStr">
        <is>
          <t>1800113570</t>
        </is>
      </c>
      <c r="E1364" t="inlineStr">
        <is>
          <t>70</t>
        </is>
      </c>
      <c r="F1364" s="163" t="n">
        <v>45572</v>
      </c>
      <c r="G1364" t="inlineStr"/>
      <c r="H1364" t="inlineStr">
        <is>
          <t>4200582605</t>
        </is>
      </c>
      <c r="I1364" t="inlineStr">
        <is>
          <t>110</t>
        </is>
      </c>
      <c r="J1364" s="163" t="n">
        <v>45588</v>
      </c>
      <c r="K1364" s="163" t="n">
        <v>45589</v>
      </c>
      <c r="L1364" t="inlineStr"/>
      <c r="M1364" s="163" t="n">
        <v>45618</v>
      </c>
      <c r="N1364" s="164" t="n">
        <v>30</v>
      </c>
      <c r="O1364" s="164" t="n">
        <v>8</v>
      </c>
      <c r="P1364" t="inlineStr">
        <is>
          <t>Liberado</t>
        </is>
      </c>
      <c r="Q1364" s="165" t="n">
        <v>3</v>
      </c>
      <c r="R1364" s="165" t="n">
        <v>3</v>
      </c>
      <c r="S1364" s="165" t="n">
        <v>3</v>
      </c>
      <c r="T1364" s="165" t="n">
        <v>0</v>
      </c>
      <c r="U1364" s="166" t="n">
        <v>3</v>
      </c>
      <c r="V1364" s="166" t="n">
        <v>0</v>
      </c>
      <c r="W1364" t="inlineStr">
        <is>
          <t>X</t>
        </is>
      </c>
      <c r="X1364" t="inlineStr">
        <is>
          <t>0.00</t>
        </is>
      </c>
      <c r="Y1364" t="inlineStr"/>
      <c r="Z1364" t="inlineStr">
        <is>
          <t>INFORMATICA CALCULO Y TECNICA, S.A.</t>
        </is>
      </c>
      <c r="AA1364" t="inlineStr">
        <is>
          <t>PACTECH</t>
        </is>
      </c>
      <c r="AB1364" t="inlineStr">
        <is>
          <t>MM-C6T-10-28LSZH-F</t>
        </is>
      </c>
      <c r="AC1364" t="inlineStr"/>
      <c r="AD1364" s="164" t="n">
        <v>0</v>
      </c>
      <c r="AE1364" s="185" t="n">
        <v>0</v>
      </c>
      <c r="AG1364" s="167" t="inlineStr">
        <is>
          <t>7218|JA2585_1001</t>
        </is>
      </c>
      <c r="AH1364" s="47">
        <f>IF(M1364=0,"-",M1364-J1364)</f>
        <v/>
      </c>
      <c r="AI1364" s="46">
        <f>IF(AND(S1364=0,M1364&gt;0,L1364=0),IF(AH1364&gt;=120,"VERY HIGH",IF(AH1364&gt;=90,"HIGH",IF(AH1364&gt;=60,"MEDIUM",IF(AH1364&lt;60,"LOW")))),"-")</f>
        <v/>
      </c>
      <c r="AJ1364" s="12" t="n"/>
      <c r="AK1364" s="53">
        <f>IF(AND(W1364="X",M1364&lt;=$AJ$2),"YES","")</f>
        <v/>
      </c>
      <c r="AL1364" s="54">
        <f>IF(AND(W1364="X",M1364&lt;=$AJ$2),S1364,"")</f>
        <v/>
      </c>
      <c r="AM1364" s="35" t="n"/>
      <c r="AN1364" s="35">
        <f>IF(AND(W1364="X",M1364&gt;$AJ$2),S1364,"")</f>
        <v/>
      </c>
      <c r="AO1364" s="35">
        <f>IF(AND(W1364="",M1364&gt;0,$AJ$2&gt;M1364,L1364=""),1,0)</f>
        <v/>
      </c>
      <c r="AP1364" s="35">
        <f>IF(AND(AK1364="YES",W1364="X"),"X","")</f>
        <v/>
      </c>
      <c r="AQ1364" s="55">
        <f>IF(AP1364="X",100%,0%)</f>
        <v/>
      </c>
      <c r="AR1364" s="25">
        <f>IF(AND(T1364&gt;0,L1364=""),H1364,"")</f>
        <v/>
      </c>
      <c r="AS1364" s="25">
        <f>IF(AND(D1364&gt;0,H1364=0,G1364=""),1,"")</f>
        <v/>
      </c>
      <c r="AT1364" s="25">
        <f>IF(G1364="BLOQ",1,"")</f>
        <v/>
      </c>
      <c r="AU1364" s="25">
        <f>IF(L1364="BLOQ",1,"")</f>
        <v/>
      </c>
      <c r="AV1364" s="25">
        <f>MONTH(F1364)</f>
        <v/>
      </c>
      <c r="AW1364" s="65">
        <f>IF(AP1364="",100%,0%)</f>
        <v/>
      </c>
      <c r="AX1364" s="56" t="n"/>
      <c r="AY1364" s="24">
        <f>IF(M1364=0,"",M1364-$AX$2)</f>
        <v/>
      </c>
      <c r="AZ1364" s="66">
        <f>IF(AND(W1364="",AY1364&gt;0,AY1364&lt;15),1,0)</f>
        <v/>
      </c>
      <c r="BA1364" s="24">
        <f>IF(AND(W1364="",AY1364&gt;0,AY1364&lt;15),T1364,"")</f>
        <v/>
      </c>
      <c r="BB1364" s="87">
        <f>IF(R1364&lt;Q1364,"X","")</f>
        <v/>
      </c>
      <c r="BC1364" s="190" t="inlineStr">
        <is>
          <t>NO</t>
        </is>
      </c>
      <c r="BD1364" s="191" t="inlineStr">
        <is>
          <t>SI</t>
        </is>
      </c>
    </row>
    <row r="1365" ht="15" customHeight="1" s="162">
      <c r="A1365" s="7" t="n">
        <v>1364</v>
      </c>
      <c r="B1365" t="inlineStr">
        <is>
          <t>3210104723503</t>
        </is>
      </c>
      <c r="C1365" t="inlineStr">
        <is>
          <t>CBL EQ PATCHCORD CAT7 RJ45 LSZH WH L=45M</t>
        </is>
      </c>
      <c r="D1365" t="inlineStr">
        <is>
          <t>1800113570</t>
        </is>
      </c>
      <c r="E1365" t="inlineStr">
        <is>
          <t>80</t>
        </is>
      </c>
      <c r="F1365" s="163" t="n">
        <v>45572</v>
      </c>
      <c r="G1365" t="inlineStr"/>
      <c r="H1365" t="inlineStr">
        <is>
          <t>4200580562</t>
        </is>
      </c>
      <c r="I1365" t="inlineStr">
        <is>
          <t>40</t>
        </is>
      </c>
      <c r="J1365" s="163" t="n">
        <v>45574</v>
      </c>
      <c r="K1365" s="163" t="n">
        <v>45575</v>
      </c>
      <c r="L1365" t="inlineStr"/>
      <c r="M1365" s="163" t="n">
        <v>45614</v>
      </c>
      <c r="N1365" s="164" t="n">
        <v>40</v>
      </c>
      <c r="O1365" s="164" t="n">
        <v>8</v>
      </c>
      <c r="P1365" t="inlineStr">
        <is>
          <t>Liberado</t>
        </is>
      </c>
      <c r="Q1365" s="165" t="n">
        <v>25</v>
      </c>
      <c r="R1365" s="165" t="n">
        <v>25</v>
      </c>
      <c r="S1365" s="165" t="n">
        <v>25</v>
      </c>
      <c r="T1365" s="165" t="n">
        <v>0</v>
      </c>
      <c r="U1365" s="166" t="n">
        <v>25</v>
      </c>
      <c r="V1365" s="166" t="n">
        <v>0</v>
      </c>
      <c r="W1365" t="inlineStr">
        <is>
          <t>X</t>
        </is>
      </c>
      <c r="X1365" t="inlineStr">
        <is>
          <t>0.00</t>
        </is>
      </c>
      <c r="Y1365" t="inlineStr"/>
      <c r="Z1365" t="inlineStr">
        <is>
          <t>CUBITEL,S.L</t>
        </is>
      </c>
      <c r="AA1365" t="inlineStr">
        <is>
          <t>CUBITEL</t>
        </is>
      </c>
      <c r="AB1365" t="inlineStr">
        <is>
          <t>CBT-CAT7F-45</t>
        </is>
      </c>
      <c r="AC1365" t="inlineStr"/>
      <c r="AD1365" s="164" t="n">
        <v>0</v>
      </c>
      <c r="AE1365" s="185" t="n">
        <v>0</v>
      </c>
      <c r="AG1365" s="167" t="inlineStr">
        <is>
          <t>7218|JA2585_1001</t>
        </is>
      </c>
      <c r="AH1365" s="47">
        <f>IF(M1365=0,"-",M1365-J1365)</f>
        <v/>
      </c>
      <c r="AI1365" s="46">
        <f>IF(AND(S1365=0,M1365&gt;0,L1365=0),IF(AH1365&gt;=120,"VERY HIGH",IF(AH1365&gt;=90,"HIGH",IF(AH1365&gt;=60,"MEDIUM",IF(AH1365&lt;60,"LOW")))),"-")</f>
        <v/>
      </c>
      <c r="AJ1365" s="12" t="n"/>
      <c r="AK1365" s="53">
        <f>IF(AND(W1365="X",M1365&lt;=$AJ$2),"YES","")</f>
        <v/>
      </c>
      <c r="AL1365" s="54">
        <f>IF(AND(W1365="X",M1365&lt;=$AJ$2),S1365,"")</f>
        <v/>
      </c>
      <c r="AM1365" s="35" t="n"/>
      <c r="AN1365" s="35">
        <f>IF(AND(W1365="X",M1365&gt;$AJ$2),S1365,"")</f>
        <v/>
      </c>
      <c r="AO1365" s="35">
        <f>IF(AND(W1365="",M1365&gt;0,$AJ$2&gt;M1365,L1365=""),1,0)</f>
        <v/>
      </c>
      <c r="AP1365" s="35">
        <f>IF(AND(AK1365="YES",W1365="X"),"X","")</f>
        <v/>
      </c>
      <c r="AQ1365" s="55">
        <f>IF(AP1365="X",100%,0%)</f>
        <v/>
      </c>
      <c r="AR1365" s="25">
        <f>IF(AND(T1365&gt;0,L1365=""),H1365,"")</f>
        <v/>
      </c>
      <c r="AS1365" s="25">
        <f>IF(AND(D1365&gt;0,H1365=0,G1365=""),1,"")</f>
        <v/>
      </c>
      <c r="AT1365" s="25">
        <f>IF(G1365="BLOQ",1,"")</f>
        <v/>
      </c>
      <c r="AU1365" s="25">
        <f>IF(L1365="BLOQ",1,"")</f>
        <v/>
      </c>
      <c r="AV1365" s="25">
        <f>MONTH(F1365)</f>
        <v/>
      </c>
      <c r="AW1365" s="65">
        <f>IF(AP1365="",100%,0%)</f>
        <v/>
      </c>
      <c r="AX1365" s="56" t="n"/>
      <c r="AY1365" s="24">
        <f>IF(M1365=0,"",M1365-$AX$2)</f>
        <v/>
      </c>
      <c r="AZ1365" s="66">
        <f>IF(AND(W1365="",AY1365&gt;0,AY1365&lt;15),1,0)</f>
        <v/>
      </c>
      <c r="BA1365" s="24">
        <f>IF(AND(W1365="",AY1365&gt;0,AY1365&lt;15),T1365,"")</f>
        <v/>
      </c>
      <c r="BB1365" s="87">
        <f>IF(R1365&lt;Q1365,"X","")</f>
        <v/>
      </c>
      <c r="BC1365" s="190" t="inlineStr">
        <is>
          <t>NO</t>
        </is>
      </c>
      <c r="BD1365" s="191" t="inlineStr">
        <is>
          <t>SI</t>
        </is>
      </c>
    </row>
    <row r="1366" ht="15" customHeight="1" s="162">
      <c r="A1366" s="7" t="n">
        <v>1365</v>
      </c>
      <c r="B1366" t="inlineStr">
        <is>
          <t>7883000582700</t>
        </is>
      </c>
      <c r="C1366" t="inlineStr">
        <is>
          <t>ALFOMBRA SEGURIDAD RKP 1890X750MM CBL=2/</t>
        </is>
      </c>
      <c r="D1366" t="inlineStr">
        <is>
          <t>1800113571</t>
        </is>
      </c>
      <c r="E1366" t="inlineStr">
        <is>
          <t>10</t>
        </is>
      </c>
      <c r="F1366" s="163" t="n">
        <v>45572</v>
      </c>
      <c r="G1366" t="inlineStr"/>
      <c r="H1366" t="inlineStr">
        <is>
          <t>4200580607</t>
        </is>
      </c>
      <c r="I1366" t="inlineStr">
        <is>
          <t>10</t>
        </is>
      </c>
      <c r="J1366" s="163" t="n">
        <v>45574</v>
      </c>
      <c r="K1366" s="163" t="n">
        <v>45576</v>
      </c>
      <c r="L1366" t="inlineStr"/>
      <c r="M1366" s="163" t="n">
        <v>45592</v>
      </c>
      <c r="N1366" s="164" t="n">
        <v>40</v>
      </c>
      <c r="O1366" s="164" t="n">
        <v>8</v>
      </c>
      <c r="P1366" t="inlineStr">
        <is>
          <t>Liberado</t>
        </is>
      </c>
      <c r="Q1366" s="165" t="n">
        <v>2</v>
      </c>
      <c r="R1366" s="165" t="n">
        <v>2</v>
      </c>
      <c r="S1366" s="165" t="n">
        <v>2</v>
      </c>
      <c r="T1366" s="165" t="n">
        <v>0</v>
      </c>
      <c r="U1366" s="166" t="n">
        <v>0</v>
      </c>
      <c r="V1366" s="166" t="n">
        <v>0</v>
      </c>
      <c r="W1366" t="inlineStr">
        <is>
          <t>X</t>
        </is>
      </c>
      <c r="X1366" t="inlineStr">
        <is>
          <t>0.00</t>
        </is>
      </c>
      <c r="Y1366" t="inlineStr"/>
      <c r="Z1366" t="inlineStr">
        <is>
          <t>SAFEWORK, S.L.</t>
        </is>
      </c>
      <c r="AA1366" t="inlineStr">
        <is>
          <t>SAFEWORK</t>
        </is>
      </c>
      <c r="AB1366" t="inlineStr">
        <is>
          <t>RKP TBC 9/1890X750MM</t>
        </is>
      </c>
      <c r="AC1366" t="inlineStr"/>
      <c r="AD1366" s="164" t="n">
        <v>0</v>
      </c>
      <c r="AE1366" s="185" t="n">
        <v>0</v>
      </c>
      <c r="AG1366" s="167" t="inlineStr">
        <is>
          <t>7218|JA2612_1001</t>
        </is>
      </c>
      <c r="AH1366" s="47">
        <f>IF(M1366=0,"-",M1366-J1366)</f>
        <v/>
      </c>
      <c r="AI1366" s="46">
        <f>IF(AND(S1366=0,M1366&gt;0,L1366=0),IF(AH1366&gt;=120,"VERY HIGH",IF(AH1366&gt;=90,"HIGH",IF(AH1366&gt;=60,"MEDIUM",IF(AH1366&lt;60,"LOW")))),"-")</f>
        <v/>
      </c>
      <c r="AJ1366" s="12" t="n"/>
      <c r="AK1366" s="53">
        <f>IF(AND(W1366="X",M1366&lt;=$AJ$2),"YES","")</f>
        <v/>
      </c>
      <c r="AL1366" s="54">
        <f>IF(AND(W1366="X",M1366&lt;=$AJ$2),S1366,"")</f>
        <v/>
      </c>
      <c r="AM1366" s="35" t="n"/>
      <c r="AN1366" s="35">
        <f>IF(AND(W1366="X",M1366&gt;$AJ$2),S1366,"")</f>
        <v/>
      </c>
      <c r="AO1366" s="35">
        <f>IF(AND(W1366="",M1366&gt;0,$AJ$2&gt;M1366,L1366=""),1,0)</f>
        <v/>
      </c>
      <c r="AP1366" s="35">
        <f>IF(AND(AK1366="YES",W1366="X"),"X","")</f>
        <v/>
      </c>
      <c r="AQ1366" s="55">
        <f>IF(AP1366="X",100%,0%)</f>
        <v/>
      </c>
      <c r="AR1366" s="25">
        <f>IF(AND(T1366&gt;0,L1366=""),H1366,"")</f>
        <v/>
      </c>
      <c r="AS1366" s="25">
        <f>IF(AND(D1366&gt;0,H1366=0,G1366=""),1,"")</f>
        <v/>
      </c>
      <c r="AT1366" s="25">
        <f>IF(G1366="BLOQ",1,"")</f>
        <v/>
      </c>
      <c r="AU1366" s="25">
        <f>IF(L1366="BLOQ",1,"")</f>
        <v/>
      </c>
      <c r="AV1366" s="25">
        <f>MONTH(F1366)</f>
        <v/>
      </c>
      <c r="AW1366" s="65">
        <f>IF(AP1366="",100%,0%)</f>
        <v/>
      </c>
      <c r="AX1366" s="56" t="n"/>
      <c r="AY1366" s="24">
        <f>IF(M1366=0,"",M1366-$AX$2)</f>
        <v/>
      </c>
      <c r="AZ1366" s="66">
        <f>IF(AND(W1366="",AY1366&gt;0,AY1366&lt;15),1,0)</f>
        <v/>
      </c>
      <c r="BA1366" s="24">
        <f>IF(AND(W1366="",AY1366&gt;0,AY1366&lt;15),T1366,"")</f>
        <v/>
      </c>
      <c r="BB1366" s="87">
        <f>IF(R1366&lt;Q1366,"X","")</f>
        <v/>
      </c>
      <c r="BC1366" s="191" t="inlineStr">
        <is>
          <t>SI</t>
        </is>
      </c>
      <c r="BD1366" s="191" t="inlineStr">
        <is>
          <t>SI</t>
        </is>
      </c>
    </row>
    <row r="1367" ht="15" customHeight="1" s="162">
      <c r="A1367" s="7" t="n">
        <v>1366</v>
      </c>
      <c r="B1367" t="inlineStr">
        <is>
          <t>7883000582800</t>
        </is>
      </c>
      <c r="C1367" t="inlineStr">
        <is>
          <t>ALFOMBRA SEGURIDAD RKP 1280X795MM CBL=2/</t>
        </is>
      </c>
      <c r="D1367" t="inlineStr">
        <is>
          <t>1800113571</t>
        </is>
      </c>
      <c r="E1367" t="inlineStr">
        <is>
          <t>20</t>
        </is>
      </c>
      <c r="F1367" s="163" t="n">
        <v>45572</v>
      </c>
      <c r="G1367" t="inlineStr"/>
      <c r="H1367" t="inlineStr">
        <is>
          <t>4200580607</t>
        </is>
      </c>
      <c r="I1367" t="inlineStr">
        <is>
          <t>20</t>
        </is>
      </c>
      <c r="J1367" s="163" t="n">
        <v>45574</v>
      </c>
      <c r="K1367" s="163" t="n">
        <v>45576</v>
      </c>
      <c r="L1367" t="inlineStr"/>
      <c r="M1367" s="163" t="n">
        <v>45592</v>
      </c>
      <c r="N1367" s="164" t="n">
        <v>40</v>
      </c>
      <c r="O1367" s="164" t="n">
        <v>8</v>
      </c>
      <c r="P1367" t="inlineStr">
        <is>
          <t>Liberado</t>
        </is>
      </c>
      <c r="Q1367" s="165" t="n">
        <v>3</v>
      </c>
      <c r="R1367" s="165" t="n">
        <v>3</v>
      </c>
      <c r="S1367" s="165" t="n">
        <v>3</v>
      </c>
      <c r="T1367" s="165" t="n">
        <v>0</v>
      </c>
      <c r="U1367" s="166" t="n">
        <v>0</v>
      </c>
      <c r="V1367" s="166" t="n">
        <v>0</v>
      </c>
      <c r="W1367" t="inlineStr">
        <is>
          <t>X</t>
        </is>
      </c>
      <c r="X1367" t="inlineStr">
        <is>
          <t>0.00</t>
        </is>
      </c>
      <c r="Y1367" t="inlineStr"/>
      <c r="Z1367" t="inlineStr">
        <is>
          <t>SAFEWORK, S.L.</t>
        </is>
      </c>
      <c r="AA1367" t="inlineStr">
        <is>
          <t>SAFEWORK</t>
        </is>
      </c>
      <c r="AB1367" t="inlineStr">
        <is>
          <t>RKP TBC 10/1280X795MM</t>
        </is>
      </c>
      <c r="AC1367" t="inlineStr"/>
      <c r="AD1367" s="164" t="n">
        <v>0</v>
      </c>
      <c r="AE1367" s="185" t="n">
        <v>0</v>
      </c>
      <c r="AG1367" s="167" t="inlineStr">
        <is>
          <t>7218|JA2612_1001</t>
        </is>
      </c>
      <c r="AH1367" s="47">
        <f>IF(M1367=0,"-",M1367-J1367)</f>
        <v/>
      </c>
      <c r="AI1367" s="46">
        <f>IF(AND(S1367=0,M1367&gt;0,L1367=0),IF(AH1367&gt;=120,"VERY HIGH",IF(AH1367&gt;=90,"HIGH",IF(AH1367&gt;=60,"MEDIUM",IF(AH1367&lt;60,"LOW")))),"-")</f>
        <v/>
      </c>
      <c r="AJ1367" s="12" t="n"/>
      <c r="AK1367" s="53">
        <f>IF(AND(W1367="X",M1367&lt;=$AJ$2),"YES","")</f>
        <v/>
      </c>
      <c r="AL1367" s="54">
        <f>IF(AND(W1367="X",M1367&lt;=$AJ$2),S1367,"")</f>
        <v/>
      </c>
      <c r="AM1367" s="35" t="n"/>
      <c r="AN1367" s="35">
        <f>IF(AND(W1367="X",M1367&gt;$AJ$2),S1367,"")</f>
        <v/>
      </c>
      <c r="AO1367" s="35">
        <f>IF(AND(W1367="",M1367&gt;0,$AJ$2&gt;M1367,L1367=""),1,0)</f>
        <v/>
      </c>
      <c r="AP1367" s="35">
        <f>IF(AND(AK1367="YES",W1367="X"),"X","")</f>
        <v/>
      </c>
      <c r="AQ1367" s="55">
        <f>IF(AP1367="X",100%,0%)</f>
        <v/>
      </c>
      <c r="AR1367" s="25">
        <f>IF(AND(T1367&gt;0,L1367=""),H1367,"")</f>
        <v/>
      </c>
      <c r="AS1367" s="25">
        <f>IF(AND(D1367&gt;0,H1367=0,G1367=""),1,"")</f>
        <v/>
      </c>
      <c r="AT1367" s="25">
        <f>IF(G1367="BLOQ",1,"")</f>
        <v/>
      </c>
      <c r="AU1367" s="25">
        <f>IF(L1367="BLOQ",1,"")</f>
        <v/>
      </c>
      <c r="AV1367" s="25">
        <f>MONTH(F1367)</f>
        <v/>
      </c>
      <c r="AW1367" s="65">
        <f>IF(AP1367="",100%,0%)</f>
        <v/>
      </c>
      <c r="AX1367" s="56" t="n"/>
      <c r="AY1367" s="24">
        <f>IF(M1367=0,"",M1367-$AX$2)</f>
        <v/>
      </c>
      <c r="AZ1367" s="66">
        <f>IF(AND(W1367="",AY1367&gt;0,AY1367&lt;15),1,0)</f>
        <v/>
      </c>
      <c r="BA1367" s="24">
        <f>IF(AND(W1367="",AY1367&gt;0,AY1367&lt;15),T1367,"")</f>
        <v/>
      </c>
      <c r="BB1367" s="87">
        <f>IF(R1367&lt;Q1367,"X","")</f>
        <v/>
      </c>
      <c r="BC1367" s="191" t="inlineStr">
        <is>
          <t>SI</t>
        </is>
      </c>
      <c r="BD1367" s="191" t="inlineStr">
        <is>
          <t>SI</t>
        </is>
      </c>
    </row>
    <row r="1368" ht="15" customHeight="1" s="162">
      <c r="A1368" s="7" t="n">
        <v>1367</v>
      </c>
      <c r="B1368" t="inlineStr">
        <is>
          <t>7883000582900</t>
        </is>
      </c>
      <c r="C1368" t="inlineStr">
        <is>
          <t>ALFOMBRA SEGURIDAD RKP 2500X725MM CBL=2/</t>
        </is>
      </c>
      <c r="D1368" t="inlineStr">
        <is>
          <t>1800113571</t>
        </is>
      </c>
      <c r="E1368" t="inlineStr">
        <is>
          <t>30</t>
        </is>
      </c>
      <c r="F1368" s="163" t="n">
        <v>45572</v>
      </c>
      <c r="G1368" t="inlineStr"/>
      <c r="H1368" t="inlineStr">
        <is>
          <t>4200580607</t>
        </is>
      </c>
      <c r="I1368" t="inlineStr">
        <is>
          <t>30</t>
        </is>
      </c>
      <c r="J1368" s="163" t="n">
        <v>45574</v>
      </c>
      <c r="K1368" s="163" t="n">
        <v>45576</v>
      </c>
      <c r="L1368" t="inlineStr"/>
      <c r="M1368" s="163" t="n">
        <v>45592</v>
      </c>
      <c r="N1368" s="164" t="n">
        <v>40</v>
      </c>
      <c r="O1368" s="164" t="n">
        <v>8</v>
      </c>
      <c r="P1368" t="inlineStr">
        <is>
          <t>Liberado</t>
        </is>
      </c>
      <c r="Q1368" s="165" t="n">
        <v>1</v>
      </c>
      <c r="R1368" s="165" t="n">
        <v>1</v>
      </c>
      <c r="S1368" s="165" t="n">
        <v>1</v>
      </c>
      <c r="T1368" s="165" t="n">
        <v>0</v>
      </c>
      <c r="U1368" s="166" t="n">
        <v>0</v>
      </c>
      <c r="V1368" s="166" t="n">
        <v>0</v>
      </c>
      <c r="W1368" t="inlineStr">
        <is>
          <t>X</t>
        </is>
      </c>
      <c r="X1368" t="inlineStr">
        <is>
          <t>0.00</t>
        </is>
      </c>
      <c r="Y1368" t="inlineStr"/>
      <c r="Z1368" t="inlineStr">
        <is>
          <t>SAFEWORK, S.L.</t>
        </is>
      </c>
      <c r="AA1368" t="inlineStr">
        <is>
          <t>SAFEWORK</t>
        </is>
      </c>
      <c r="AB1368" t="inlineStr">
        <is>
          <t>RKP TBC 11/2500X725MM</t>
        </is>
      </c>
      <c r="AC1368" t="inlineStr"/>
      <c r="AD1368" s="164" t="n">
        <v>0</v>
      </c>
      <c r="AE1368" s="185" t="n">
        <v>0</v>
      </c>
      <c r="AG1368" s="167" t="inlineStr">
        <is>
          <t>7218|JA2612_1001</t>
        </is>
      </c>
      <c r="AH1368" s="47">
        <f>IF(M1368=0,"-",M1368-J1368)</f>
        <v/>
      </c>
      <c r="AI1368" s="46">
        <f>IF(AND(S1368=0,M1368&gt;0,L1368=0),IF(AH1368&gt;=120,"VERY HIGH",IF(AH1368&gt;=90,"HIGH",IF(AH1368&gt;=60,"MEDIUM",IF(AH1368&lt;60,"LOW")))),"-")</f>
        <v/>
      </c>
      <c r="AJ1368" s="12" t="n"/>
      <c r="AK1368" s="53">
        <f>IF(AND(W1368="X",M1368&lt;=$AJ$2),"YES","")</f>
        <v/>
      </c>
      <c r="AL1368" s="54">
        <f>IF(AND(W1368="X",M1368&lt;=$AJ$2),S1368,"")</f>
        <v/>
      </c>
      <c r="AM1368" s="35" t="n"/>
      <c r="AN1368" s="35">
        <f>IF(AND(W1368="X",M1368&gt;$AJ$2),S1368,"")</f>
        <v/>
      </c>
      <c r="AO1368" s="35">
        <f>IF(AND(W1368="",M1368&gt;0,$AJ$2&gt;M1368,L1368=""),1,0)</f>
        <v/>
      </c>
      <c r="AP1368" s="35">
        <f>IF(AND(AK1368="YES",W1368="X"),"X","")</f>
        <v/>
      </c>
      <c r="AQ1368" s="55">
        <f>IF(AP1368="X",100%,0%)</f>
        <v/>
      </c>
      <c r="AR1368" s="25">
        <f>IF(AND(T1368&gt;0,L1368=""),H1368,"")</f>
        <v/>
      </c>
      <c r="AS1368" s="25">
        <f>IF(AND(D1368&gt;0,H1368=0,G1368=""),1,"")</f>
        <v/>
      </c>
      <c r="AT1368" s="25">
        <f>IF(G1368="BLOQ",1,"")</f>
        <v/>
      </c>
      <c r="AU1368" s="25">
        <f>IF(L1368="BLOQ",1,"")</f>
        <v/>
      </c>
      <c r="AV1368" s="25">
        <f>MONTH(F1368)</f>
        <v/>
      </c>
      <c r="AW1368" s="65">
        <f>IF(AP1368="",100%,0%)</f>
        <v/>
      </c>
      <c r="AX1368" s="56" t="n"/>
      <c r="AY1368" s="24">
        <f>IF(M1368=0,"",M1368-$AX$2)</f>
        <v/>
      </c>
      <c r="AZ1368" s="66">
        <f>IF(AND(W1368="",AY1368&gt;0,AY1368&lt;15),1,0)</f>
        <v/>
      </c>
      <c r="BA1368" s="24">
        <f>IF(AND(W1368="",AY1368&gt;0,AY1368&lt;15),T1368,"")</f>
        <v/>
      </c>
      <c r="BB1368" s="87">
        <f>IF(R1368&lt;Q1368,"X","")</f>
        <v/>
      </c>
      <c r="BC1368" s="191" t="inlineStr">
        <is>
          <t>SI</t>
        </is>
      </c>
      <c r="BD1368" s="191" t="inlineStr">
        <is>
          <t>SI</t>
        </is>
      </c>
    </row>
    <row r="1369" ht="15" customHeight="1" s="162">
      <c r="A1369" s="7" t="n">
        <v>1368</v>
      </c>
      <c r="B1369" t="inlineStr">
        <is>
          <t>7883000583000</t>
        </is>
      </c>
      <c r="C1369" t="inlineStr">
        <is>
          <t>ALFOMBRA SEGURIDAD RKP 1100X620MM CBL=5M</t>
        </is>
      </c>
      <c r="D1369" t="inlineStr">
        <is>
          <t>1800113571</t>
        </is>
      </c>
      <c r="E1369" t="inlineStr">
        <is>
          <t>40</t>
        </is>
      </c>
      <c r="F1369" s="163" t="n">
        <v>45572</v>
      </c>
      <c r="G1369" t="inlineStr"/>
      <c r="H1369" t="inlineStr">
        <is>
          <t>4200580607</t>
        </is>
      </c>
      <c r="I1369" t="inlineStr">
        <is>
          <t>40</t>
        </is>
      </c>
      <c r="J1369" s="163" t="n">
        <v>45574</v>
      </c>
      <c r="K1369" s="163" t="n">
        <v>45576</v>
      </c>
      <c r="L1369" t="inlineStr"/>
      <c r="M1369" s="163" t="n">
        <v>45592</v>
      </c>
      <c r="N1369" s="164" t="n">
        <v>40</v>
      </c>
      <c r="O1369" s="164" t="n">
        <v>8</v>
      </c>
      <c r="P1369" t="inlineStr">
        <is>
          <t>Liberado</t>
        </is>
      </c>
      <c r="Q1369" s="165" t="n">
        <v>2</v>
      </c>
      <c r="R1369" s="165" t="n">
        <v>2</v>
      </c>
      <c r="S1369" s="165" t="n">
        <v>2</v>
      </c>
      <c r="T1369" s="165" t="n">
        <v>0</v>
      </c>
      <c r="U1369" s="166" t="n">
        <v>0</v>
      </c>
      <c r="V1369" s="166" t="n">
        <v>0</v>
      </c>
      <c r="W1369" t="inlineStr">
        <is>
          <t>X</t>
        </is>
      </c>
      <c r="X1369" t="inlineStr">
        <is>
          <t>0.00</t>
        </is>
      </c>
      <c r="Y1369" t="inlineStr"/>
      <c r="Z1369" t="inlineStr">
        <is>
          <t>SAFEWORK, S.L.</t>
        </is>
      </c>
      <c r="AA1369" t="inlineStr">
        <is>
          <t>SAFEWORK</t>
        </is>
      </c>
      <c r="AB1369" t="inlineStr">
        <is>
          <t>RKP TBC 12/1100X620MM</t>
        </is>
      </c>
      <c r="AC1369" t="inlineStr"/>
      <c r="AD1369" s="164" t="n">
        <v>0</v>
      </c>
      <c r="AE1369" s="185" t="n">
        <v>0</v>
      </c>
      <c r="AG1369" s="167" t="inlineStr">
        <is>
          <t>7218|JA2612_1001</t>
        </is>
      </c>
      <c r="AH1369" s="47">
        <f>IF(M1369=0,"-",M1369-J1369)</f>
        <v/>
      </c>
      <c r="AI1369" s="46">
        <f>IF(AND(S1369=0,M1369&gt;0,L1369=0),IF(AH1369&gt;=120,"VERY HIGH",IF(AH1369&gt;=90,"HIGH",IF(AH1369&gt;=60,"MEDIUM",IF(AH1369&lt;60,"LOW")))),"-")</f>
        <v/>
      </c>
      <c r="AJ1369" s="12" t="n"/>
      <c r="AK1369" s="53">
        <f>IF(AND(W1369="X",M1369&lt;=$AJ$2),"YES","")</f>
        <v/>
      </c>
      <c r="AL1369" s="54">
        <f>IF(AND(W1369="X",M1369&lt;=$AJ$2),S1369,"")</f>
        <v/>
      </c>
      <c r="AM1369" s="35" t="n"/>
      <c r="AN1369" s="35">
        <f>IF(AND(W1369="X",M1369&gt;$AJ$2),S1369,"")</f>
        <v/>
      </c>
      <c r="AO1369" s="35">
        <f>IF(AND(W1369="",M1369&gt;0,$AJ$2&gt;M1369,L1369=""),1,0)</f>
        <v/>
      </c>
      <c r="AP1369" s="35">
        <f>IF(AND(AK1369="YES",W1369="X"),"X","")</f>
        <v/>
      </c>
      <c r="AQ1369" s="55">
        <f>IF(AP1369="X",100%,0%)</f>
        <v/>
      </c>
      <c r="AR1369" s="25">
        <f>IF(AND(T1369&gt;0,L1369=""),H1369,"")</f>
        <v/>
      </c>
      <c r="AS1369" s="25">
        <f>IF(AND(D1369&gt;0,H1369=0,G1369=""),1,"")</f>
        <v/>
      </c>
      <c r="AT1369" s="25">
        <f>IF(G1369="BLOQ",1,"")</f>
        <v/>
      </c>
      <c r="AU1369" s="25">
        <f>IF(L1369="BLOQ",1,"")</f>
        <v/>
      </c>
      <c r="AV1369" s="25">
        <f>MONTH(F1369)</f>
        <v/>
      </c>
      <c r="AW1369" s="65">
        <f>IF(AP1369="",100%,0%)</f>
        <v/>
      </c>
      <c r="AX1369" s="56" t="n"/>
      <c r="AY1369" s="24">
        <f>IF(M1369=0,"",M1369-$AX$2)</f>
        <v/>
      </c>
      <c r="AZ1369" s="66">
        <f>IF(AND(W1369="",AY1369&gt;0,AY1369&lt;15),1,0)</f>
        <v/>
      </c>
      <c r="BA1369" s="24">
        <f>IF(AND(W1369="",AY1369&gt;0,AY1369&lt;15),T1369,"")</f>
        <v/>
      </c>
      <c r="BB1369" s="87">
        <f>IF(R1369&lt;Q1369,"X","")</f>
        <v/>
      </c>
      <c r="BC1369" s="191" t="inlineStr">
        <is>
          <t>SI</t>
        </is>
      </c>
      <c r="BD1369" s="191" t="inlineStr">
        <is>
          <t>SI</t>
        </is>
      </c>
    </row>
    <row r="1370" ht="15" customHeight="1" s="162">
      <c r="A1370" s="7" t="n">
        <v>1369</v>
      </c>
      <c r="B1370" t="inlineStr">
        <is>
          <t>0917987000100</t>
        </is>
      </c>
      <c r="C1370" t="inlineStr">
        <is>
          <t>LABEL, IDENTIFICATION</t>
        </is>
      </c>
      <c r="D1370" t="inlineStr">
        <is>
          <t>1800113765</t>
        </is>
      </c>
      <c r="E1370" t="inlineStr">
        <is>
          <t>10</t>
        </is>
      </c>
      <c r="F1370" s="163" t="n">
        <v>45575</v>
      </c>
      <c r="G1370" t="inlineStr"/>
      <c r="H1370" t="inlineStr">
        <is>
          <t>4200582374</t>
        </is>
      </c>
      <c r="I1370" t="inlineStr">
        <is>
          <t>10</t>
        </is>
      </c>
      <c r="J1370" s="163" t="n">
        <v>45587</v>
      </c>
      <c r="K1370" s="163" t="n">
        <v>45590</v>
      </c>
      <c r="L1370" t="inlineStr">
        <is>
          <t>BORR</t>
        </is>
      </c>
      <c r="M1370" s="163" t="n">
        <v>45824</v>
      </c>
      <c r="N1370" s="164" t="n">
        <v>50</v>
      </c>
      <c r="O1370" s="164" t="n">
        <v>8</v>
      </c>
      <c r="P1370" t="inlineStr"/>
      <c r="Q1370" s="165" t="n">
        <v>7</v>
      </c>
      <c r="R1370" s="165" t="n">
        <v>7</v>
      </c>
      <c r="S1370" s="165" t="n">
        <v>0</v>
      </c>
      <c r="T1370" s="165" t="n">
        <v>7</v>
      </c>
      <c r="U1370" s="166" t="n">
        <v>0</v>
      </c>
      <c r="V1370" s="166" t="n">
        <v>0</v>
      </c>
      <c r="W1370" t="inlineStr"/>
      <c r="X1370" t="inlineStr">
        <is>
          <t>210.00</t>
        </is>
      </c>
      <c r="Y1370" t="inlineStr"/>
      <c r="Z1370" t="inlineStr">
        <is>
          <t>MARKABLE SOLUTIONS, S.L.</t>
        </is>
      </c>
      <c r="AA1370" t="inlineStr">
        <is>
          <t>INDRA SISTEMAS S.A.</t>
        </is>
      </c>
      <c r="AB1370" t="inlineStr">
        <is>
          <t>0917987000100</t>
        </is>
      </c>
      <c r="AC1370" t="inlineStr"/>
      <c r="AD1370" s="164" t="n">
        <v>3</v>
      </c>
      <c r="AE1370" s="185" t="n">
        <v>1</v>
      </c>
      <c r="AG1370" s="167" t="inlineStr">
        <is>
          <t>7218|JA2582_1001</t>
        </is>
      </c>
      <c r="AH1370" s="47">
        <f>IF(M1370=0,"-",M1370-J1370)</f>
        <v/>
      </c>
      <c r="AI1370" s="46">
        <f>IF(AND(S1370=0,M1370&gt;0,L1370=0),IF(AH1370&gt;=120,"VERY HIGH",IF(AH1370&gt;=90,"HIGH",IF(AH1370&gt;=60,"MEDIUM",IF(AH1370&lt;60,"LOW")))),"-")</f>
        <v/>
      </c>
      <c r="AJ1370" s="12" t="n"/>
      <c r="AK1370" s="53">
        <f>IF(AND(W1370="X",M1370&lt;=$AJ$2),"YES","")</f>
        <v/>
      </c>
      <c r="AL1370" s="54">
        <f>IF(AND(W1370="X",M1370&lt;=$AJ$2),S1370,"")</f>
        <v/>
      </c>
      <c r="AM1370" s="35" t="n"/>
      <c r="AN1370" s="35">
        <f>IF(AND(W1370="X",M1370&gt;$AJ$2),S1370,"")</f>
        <v/>
      </c>
      <c r="AO1370" s="35">
        <f>IF(AND(W1370="",M1370&gt;0,$AJ$2&gt;M1370,L1370=""),1,0)</f>
        <v/>
      </c>
      <c r="AP1370" s="35">
        <f>IF(AND(AK1370="YES",W1370="X"),"X","")</f>
        <v/>
      </c>
      <c r="AQ1370" s="55">
        <f>IF(AP1370="X",100%,0%)</f>
        <v/>
      </c>
      <c r="AR1370" s="25">
        <f>IF(AND(T1370&gt;0,L1370=""),H1370,"")</f>
        <v/>
      </c>
      <c r="AS1370" s="25">
        <f>IF(AND(D1370&gt;0,H1370=0,G1370=""),1,"")</f>
        <v/>
      </c>
      <c r="AT1370" s="25">
        <f>IF(G1370="BLOQ",1,"")</f>
        <v/>
      </c>
      <c r="AU1370" s="25">
        <f>IF(L1370="BLOQ",1,"")</f>
        <v/>
      </c>
      <c r="AV1370" s="25">
        <f>MONTH(F1370)</f>
        <v/>
      </c>
      <c r="AW1370" s="65">
        <f>IF(AP1370="",100%,0%)</f>
        <v/>
      </c>
      <c r="AX1370" s="56" t="n"/>
      <c r="AY1370" s="24">
        <f>IF(M1370=0,"",M1370-$AX$2)</f>
        <v/>
      </c>
      <c r="AZ1370" s="66">
        <f>IF(AND(W1370="",AY1370&gt;0,AY1370&lt;15),1,0)</f>
        <v/>
      </c>
      <c r="BA1370" s="24">
        <f>IF(AND(W1370="",AY1370&gt;0,AY1370&lt;15),T1370,"")</f>
        <v/>
      </c>
      <c r="BB1370" s="87">
        <f>IF(R1370&lt;Q1370,"X","")</f>
        <v/>
      </c>
      <c r="BC1370" s="190" t="inlineStr">
        <is>
          <t>NO</t>
        </is>
      </c>
      <c r="BD1370" s="191" t="inlineStr">
        <is>
          <t>SI</t>
        </is>
      </c>
    </row>
    <row r="1371" ht="15" customHeight="1" s="162">
      <c r="A1371" s="7" t="n">
        <v>1370</v>
      </c>
      <c r="B1371" t="inlineStr">
        <is>
          <t>0917987000100</t>
        </is>
      </c>
      <c r="C1371" t="inlineStr">
        <is>
          <t>LABEL, IDENTIFICATION</t>
        </is>
      </c>
      <c r="D1371" t="inlineStr">
        <is>
          <t>1800113765</t>
        </is>
      </c>
      <c r="E1371" t="inlineStr">
        <is>
          <t>10</t>
        </is>
      </c>
      <c r="F1371" s="163" t="n">
        <v>45575</v>
      </c>
      <c r="G1371" t="inlineStr"/>
      <c r="H1371" t="inlineStr">
        <is>
          <t>4200614189</t>
        </is>
      </c>
      <c r="I1371" t="inlineStr">
        <is>
          <t>10</t>
        </is>
      </c>
      <c r="J1371" s="163" t="n">
        <v>45812</v>
      </c>
      <c r="K1371" s="163" t="n">
        <v>45813</v>
      </c>
      <c r="L1371" t="inlineStr"/>
      <c r="M1371" s="163" t="n">
        <v>45824</v>
      </c>
      <c r="N1371" s="164" t="n">
        <v>50</v>
      </c>
      <c r="O1371" s="164" t="n">
        <v>8</v>
      </c>
      <c r="P1371" t="inlineStr">
        <is>
          <t>Liberado</t>
        </is>
      </c>
      <c r="Q1371" s="165" t="n">
        <v>7</v>
      </c>
      <c r="R1371" s="165" t="n">
        <v>7</v>
      </c>
      <c r="S1371" s="165" t="n">
        <v>7</v>
      </c>
      <c r="T1371" s="165" t="n">
        <v>0</v>
      </c>
      <c r="U1371" s="166" t="n">
        <v>7</v>
      </c>
      <c r="V1371" s="166" t="n">
        <v>0</v>
      </c>
      <c r="W1371" t="inlineStr">
        <is>
          <t>X</t>
        </is>
      </c>
      <c r="X1371" t="inlineStr">
        <is>
          <t>0.00</t>
        </is>
      </c>
      <c r="Y1371" t="inlineStr"/>
      <c r="Z1371" t="inlineStr">
        <is>
          <t>TALLERES LITOMETAL LIMEL,S.L</t>
        </is>
      </c>
      <c r="AA1371" t="inlineStr">
        <is>
          <t>INDRA SISTEMAS S.A.</t>
        </is>
      </c>
      <c r="AB1371" t="inlineStr">
        <is>
          <t>0917987000100</t>
        </is>
      </c>
      <c r="AC1371" t="inlineStr"/>
      <c r="AD1371" s="164" t="n">
        <v>1</v>
      </c>
      <c r="AE1371" s="185" t="n">
        <v>1</v>
      </c>
      <c r="AG1371" s="167" t="inlineStr">
        <is>
          <t>7218|JA2582_1001</t>
        </is>
      </c>
      <c r="AH1371" s="47">
        <f>IF(M1371=0,"-",M1371-J1371)</f>
        <v/>
      </c>
      <c r="AI1371" s="46">
        <f>IF(AND(S1371=0,M1371&gt;0,L1371=0),IF(AH1371&gt;=120,"VERY HIGH",IF(AH1371&gt;=90,"HIGH",IF(AH1371&gt;=60,"MEDIUM",IF(AH1371&lt;60,"LOW")))),"-")</f>
        <v/>
      </c>
      <c r="AJ1371" s="12" t="n"/>
      <c r="AK1371" s="53">
        <f>IF(AND(W1371="X",M1371&lt;=$AJ$2),"YES","")</f>
        <v/>
      </c>
      <c r="AL1371" s="54">
        <f>IF(AND(W1371="X",M1371&lt;=$AJ$2),S1371,"")</f>
        <v/>
      </c>
      <c r="AM1371" s="35" t="n"/>
      <c r="AN1371" s="35">
        <f>IF(AND(W1371="X",M1371&gt;$AJ$2),S1371,"")</f>
        <v/>
      </c>
      <c r="AO1371" s="35">
        <f>IF(AND(W1371="",M1371&gt;0,$AJ$2&gt;M1371,L1371=""),1,0)</f>
        <v/>
      </c>
      <c r="AP1371" s="35">
        <f>IF(AND(AK1371="YES",W1371="X"),"X","")</f>
        <v/>
      </c>
      <c r="AQ1371" s="55">
        <f>IF(AP1371="X",100%,0%)</f>
        <v/>
      </c>
      <c r="AR1371" s="25">
        <f>IF(AND(T1371&gt;0,L1371=""),H1371,"")</f>
        <v/>
      </c>
      <c r="AS1371" s="25">
        <f>IF(AND(D1371&gt;0,H1371=0,G1371=""),1,"")</f>
        <v/>
      </c>
      <c r="AT1371" s="25">
        <f>IF(G1371="BLOQ",1,"")</f>
        <v/>
      </c>
      <c r="AU1371" s="25">
        <f>IF(L1371="BLOQ",1,"")</f>
        <v/>
      </c>
      <c r="AV1371" s="25">
        <f>MONTH(F1371)</f>
        <v/>
      </c>
      <c r="AW1371" s="65">
        <f>IF(AP1371="",100%,0%)</f>
        <v/>
      </c>
      <c r="AX1371" s="56" t="n"/>
      <c r="AY1371" s="24">
        <f>IF(M1371=0,"",M1371-$AX$2)</f>
        <v/>
      </c>
      <c r="AZ1371" s="66">
        <f>IF(AND(W1371="",AY1371&gt;0,AY1371&lt;15),1,0)</f>
        <v/>
      </c>
      <c r="BA1371" s="24">
        <f>IF(AND(W1371="",AY1371&gt;0,AY1371&lt;15),T1371,"")</f>
        <v/>
      </c>
      <c r="BB1371" s="87">
        <f>IF(R1371&lt;Q1371,"X","")</f>
        <v/>
      </c>
      <c r="BC1371" s="190" t="inlineStr">
        <is>
          <t>NO</t>
        </is>
      </c>
      <c r="BD1371" s="191" t="inlineStr">
        <is>
          <t>SI</t>
        </is>
      </c>
    </row>
    <row r="1372" ht="15" customHeight="1" s="162">
      <c r="A1372" s="7" t="n">
        <v>1371</v>
      </c>
      <c r="B1372" t="inlineStr">
        <is>
          <t>1136032281208</t>
        </is>
      </c>
      <c r="C1372" t="inlineStr">
        <is>
          <t>INT DIFERENCIAL 1PN C 16A 30MA ASI RCBO</t>
        </is>
      </c>
      <c r="D1372" t="inlineStr">
        <is>
          <t>1800113765</t>
        </is>
      </c>
      <c r="E1372" t="inlineStr">
        <is>
          <t>20</t>
        </is>
      </c>
      <c r="F1372" s="163" t="n">
        <v>45575</v>
      </c>
      <c r="G1372" t="inlineStr"/>
      <c r="H1372" t="inlineStr">
        <is>
          <t>4200581670</t>
        </is>
      </c>
      <c r="I1372" t="inlineStr">
        <is>
          <t>20</t>
        </is>
      </c>
      <c r="J1372" s="163" t="n">
        <v>45582</v>
      </c>
      <c r="K1372" s="163" t="n">
        <v>45586</v>
      </c>
      <c r="L1372" t="inlineStr"/>
      <c r="M1372" s="163" t="n">
        <v>45592</v>
      </c>
      <c r="N1372" s="164" t="n">
        <v>40</v>
      </c>
      <c r="O1372" s="164" t="n">
        <v>8</v>
      </c>
      <c r="P1372" t="inlineStr">
        <is>
          <t>Liberado</t>
        </is>
      </c>
      <c r="Q1372" s="165" t="n">
        <v>1</v>
      </c>
      <c r="R1372" s="165" t="n">
        <v>1</v>
      </c>
      <c r="S1372" s="165" t="n">
        <v>1</v>
      </c>
      <c r="T1372" s="165" t="n">
        <v>0</v>
      </c>
      <c r="U1372" s="166" t="n">
        <v>1</v>
      </c>
      <c r="V1372" s="166" t="n">
        <v>0</v>
      </c>
      <c r="W1372" t="inlineStr">
        <is>
          <t>X</t>
        </is>
      </c>
      <c r="X1372" t="inlineStr">
        <is>
          <t>0.00</t>
        </is>
      </c>
      <c r="Y1372" t="inlineStr"/>
      <c r="Z1372" t="inlineStr">
        <is>
          <t>(AEMSA)ALMACENES ELECTRICOS MADRILE</t>
        </is>
      </c>
      <c r="AA1372" t="inlineStr">
        <is>
          <t>SCHNEIDER ELECTRIC</t>
        </is>
      </c>
      <c r="AB1372" t="inlineStr">
        <is>
          <t>A9DF3616</t>
        </is>
      </c>
      <c r="AC1372" t="inlineStr"/>
      <c r="AD1372" s="164" t="n">
        <v>0</v>
      </c>
      <c r="AE1372" s="185" t="n">
        <v>0</v>
      </c>
      <c r="AG1372" s="167" t="inlineStr">
        <is>
          <t>7218|JA2582_1001</t>
        </is>
      </c>
      <c r="AH1372" s="47">
        <f>IF(M1372=0,"-",M1372-J1372)</f>
        <v/>
      </c>
      <c r="AI1372" s="46">
        <f>IF(AND(S1372=0,M1372&gt;0,L1372=0),IF(AH1372&gt;=120,"VERY HIGH",IF(AH1372&gt;=90,"HIGH",IF(AH1372&gt;=60,"MEDIUM",IF(AH1372&lt;60,"LOW")))),"-")</f>
        <v/>
      </c>
      <c r="AJ1372" s="12" t="n"/>
      <c r="AK1372" s="53">
        <f>IF(AND(W1372="X",M1372&lt;=$AJ$2),"YES","")</f>
        <v/>
      </c>
      <c r="AL1372" s="54">
        <f>IF(AND(W1372="X",M1372&lt;=$AJ$2),S1372,"")</f>
        <v/>
      </c>
      <c r="AM1372" s="35" t="n"/>
      <c r="AN1372" s="35">
        <f>IF(AND(W1372="X",M1372&gt;$AJ$2),S1372,"")</f>
        <v/>
      </c>
      <c r="AO1372" s="35">
        <f>IF(AND(W1372="",M1372&gt;0,$AJ$2&gt;M1372,L1372=""),1,0)</f>
        <v/>
      </c>
      <c r="AP1372" s="35">
        <f>IF(AND(AK1372="YES",W1372="X"),"X","")</f>
        <v/>
      </c>
      <c r="AQ1372" s="55">
        <f>IF(AP1372="X",100%,0%)</f>
        <v/>
      </c>
      <c r="AR1372" s="25">
        <f>IF(AND(T1372&gt;0,L1372=""),H1372,"")</f>
        <v/>
      </c>
      <c r="AS1372" s="25">
        <f>IF(AND(D1372&gt;0,H1372=0,G1372=""),1,"")</f>
        <v/>
      </c>
      <c r="AT1372" s="25">
        <f>IF(G1372="BLOQ",1,"")</f>
        <v/>
      </c>
      <c r="AU1372" s="25">
        <f>IF(L1372="BLOQ",1,"")</f>
        <v/>
      </c>
      <c r="AV1372" s="25">
        <f>MONTH(F1372)</f>
        <v/>
      </c>
      <c r="AW1372" s="65">
        <f>IF(AP1372="",100%,0%)</f>
        <v/>
      </c>
      <c r="AX1372" s="56" t="n"/>
      <c r="AY1372" s="24">
        <f>IF(M1372=0,"",M1372-$AX$2)</f>
        <v/>
      </c>
      <c r="AZ1372" s="66">
        <f>IF(AND(W1372="",AY1372&gt;0,AY1372&lt;15),1,0)</f>
        <v/>
      </c>
      <c r="BA1372" s="24">
        <f>IF(AND(W1372="",AY1372&gt;0,AY1372&lt;15),T1372,"")</f>
        <v/>
      </c>
      <c r="BB1372" s="87">
        <f>IF(R1372&lt;Q1372,"X","")</f>
        <v/>
      </c>
      <c r="BC1372" s="190" t="inlineStr">
        <is>
          <t>NO</t>
        </is>
      </c>
      <c r="BD1372" s="191" t="inlineStr">
        <is>
          <t>SI</t>
        </is>
      </c>
    </row>
    <row r="1373" ht="15" customHeight="1" s="162">
      <c r="A1373" s="7" t="n">
        <v>1372</v>
      </c>
      <c r="B1373" t="inlineStr">
        <is>
          <t>0970785470500</t>
        </is>
      </c>
      <c r="C1373" t="inlineStr">
        <is>
          <t>FIXING STEEL STICK</t>
        </is>
      </c>
      <c r="D1373" t="inlineStr">
        <is>
          <t>1800113767</t>
        </is>
      </c>
      <c r="E1373" t="inlineStr">
        <is>
          <t>10</t>
        </is>
      </c>
      <c r="F1373" s="163" t="n">
        <v>45575</v>
      </c>
      <c r="G1373" t="inlineStr">
        <is>
          <t>BORR</t>
        </is>
      </c>
      <c r="H1373" t="inlineStr">
        <is>
          <t>4200585312</t>
        </is>
      </c>
      <c r="I1373" t="inlineStr">
        <is>
          <t>10</t>
        </is>
      </c>
      <c r="J1373" s="163" t="n">
        <v>45608</v>
      </c>
      <c r="K1373" s="163" t="n">
        <v>45636</v>
      </c>
      <c r="L1373" t="inlineStr">
        <is>
          <t>BORR</t>
        </is>
      </c>
      <c r="M1373" s="163" t="n">
        <v>45653</v>
      </c>
      <c r="N1373" s="164" t="n">
        <v>40</v>
      </c>
      <c r="O1373" s="164" t="n">
        <v>8</v>
      </c>
      <c r="P1373" t="inlineStr">
        <is>
          <t>Liberado</t>
        </is>
      </c>
      <c r="Q1373" s="165" t="n">
        <v>2</v>
      </c>
      <c r="R1373" s="165" t="n">
        <v>2</v>
      </c>
      <c r="S1373" s="165" t="n">
        <v>0</v>
      </c>
      <c r="T1373" s="165" t="n">
        <v>2</v>
      </c>
      <c r="U1373" s="166" t="n">
        <v>0</v>
      </c>
      <c r="V1373" s="166" t="n">
        <v>0</v>
      </c>
      <c r="W1373" t="inlineStr"/>
      <c r="X1373" t="inlineStr">
        <is>
          <t>67.40</t>
        </is>
      </c>
      <c r="Y1373" t="inlineStr"/>
      <c r="Z1373" t="inlineStr">
        <is>
          <t>PUNZOMET S.L.</t>
        </is>
      </c>
      <c r="AA1373" t="inlineStr">
        <is>
          <t>INDRA SISTEMAS S.A.</t>
        </is>
      </c>
      <c r="AB1373" t="inlineStr">
        <is>
          <t>0970785470500</t>
        </is>
      </c>
      <c r="AC1373" t="inlineStr"/>
      <c r="AD1373" s="164" t="n">
        <v>0</v>
      </c>
      <c r="AE1373" s="185" t="n">
        <v>0</v>
      </c>
      <c r="AG1373" s="167" t="inlineStr">
        <is>
          <t>7218|JA2583_1001</t>
        </is>
      </c>
      <c r="AH1373" s="47">
        <f>IF(M1373=0,"-",M1373-J1373)</f>
        <v/>
      </c>
      <c r="AI1373" s="46">
        <f>IF(AND(S1373=0,M1373&gt;0,L1373=0),IF(AH1373&gt;=120,"VERY HIGH",IF(AH1373&gt;=90,"HIGH",IF(AH1373&gt;=60,"MEDIUM",IF(AH1373&lt;60,"LOW")))),"-")</f>
        <v/>
      </c>
      <c r="AJ1373" s="12" t="n"/>
      <c r="AK1373" s="53">
        <f>IF(AND(W1373="X",M1373&lt;=$AJ$2),"YES","")</f>
        <v/>
      </c>
      <c r="AL1373" s="54">
        <f>IF(AND(W1373="X",M1373&lt;=$AJ$2),S1373,"")</f>
        <v/>
      </c>
      <c r="AM1373" s="35" t="n"/>
      <c r="AN1373" s="35">
        <f>IF(AND(W1373="X",M1373&gt;$AJ$2),S1373,"")</f>
        <v/>
      </c>
      <c r="AO1373" s="35">
        <f>IF(AND(W1373="",M1373&gt;0,$AJ$2&gt;M1373,L1373=""),1,0)</f>
        <v/>
      </c>
      <c r="AP1373" s="35">
        <f>IF(AND(AK1373="YES",W1373="X"),"X","")</f>
        <v/>
      </c>
      <c r="AQ1373" s="55">
        <f>IF(AP1373="X",100%,0%)</f>
        <v/>
      </c>
      <c r="AR1373" s="25">
        <f>IF(AND(T1373&gt;0,L1373=""),H1373,"")</f>
        <v/>
      </c>
      <c r="AS1373" s="25">
        <f>IF(AND(D1373&gt;0,H1373=0,G1373=""),1,"")</f>
        <v/>
      </c>
      <c r="AT1373" s="25">
        <f>IF(G1373="BLOQ",1,"")</f>
        <v/>
      </c>
      <c r="AU1373" s="25">
        <f>IF(L1373="BLOQ",1,"")</f>
        <v/>
      </c>
      <c r="AV1373" s="25">
        <f>MONTH(F1373)</f>
        <v/>
      </c>
      <c r="AW1373" s="65">
        <f>IF(AP1373="",100%,0%)</f>
        <v/>
      </c>
      <c r="AX1373" s="56" t="n"/>
      <c r="AY1373" s="24">
        <f>IF(M1373=0,"",M1373-$AX$2)</f>
        <v/>
      </c>
      <c r="AZ1373" s="66">
        <f>IF(AND(W1373="",AY1373&gt;0,AY1373&lt;15),1,0)</f>
        <v/>
      </c>
      <c r="BA1373" s="24">
        <f>IF(AND(W1373="",AY1373&gt;0,AY1373&lt;15),T1373,"")</f>
        <v/>
      </c>
      <c r="BB1373" s="87">
        <f>IF(R1373&lt;Q1373,"X","")</f>
        <v/>
      </c>
      <c r="BC1373" s="190" t="inlineStr">
        <is>
          <t>NO</t>
        </is>
      </c>
      <c r="BD1373" s="191" t="inlineStr">
        <is>
          <t>SI</t>
        </is>
      </c>
    </row>
    <row r="1374" ht="15" customHeight="1" s="162">
      <c r="A1374" s="7" t="n">
        <v>1373</v>
      </c>
      <c r="B1374" t="inlineStr">
        <is>
          <t>0972128051800</t>
        </is>
      </c>
      <c r="C1374" t="inlineStr">
        <is>
          <t>CLS SERVO DRIVES BOX MECH ASSY</t>
        </is>
      </c>
      <c r="D1374" t="inlineStr">
        <is>
          <t>1800113769</t>
        </is>
      </c>
      <c r="E1374" t="inlineStr">
        <is>
          <t>10</t>
        </is>
      </c>
      <c r="F1374" s="163" t="n">
        <v>45575</v>
      </c>
      <c r="G1374" t="inlineStr"/>
      <c r="H1374" t="inlineStr">
        <is>
          <t>4200584352</t>
        </is>
      </c>
      <c r="I1374" t="inlineStr">
        <is>
          <t>20</t>
        </is>
      </c>
      <c r="J1374" s="163" t="n">
        <v>45601</v>
      </c>
      <c r="K1374" s="163" t="n">
        <v>45602</v>
      </c>
      <c r="L1374" t="inlineStr">
        <is>
          <t>BORR</t>
        </is>
      </c>
      <c r="M1374" s="163" t="n">
        <v>45699</v>
      </c>
      <c r="N1374" s="164" t="n">
        <v>30</v>
      </c>
      <c r="O1374" s="164" t="n">
        <v>8</v>
      </c>
      <c r="P1374" t="inlineStr"/>
      <c r="Q1374" s="165" t="n">
        <v>1</v>
      </c>
      <c r="R1374" s="165" t="n">
        <v>1</v>
      </c>
      <c r="S1374" s="165" t="n">
        <v>0</v>
      </c>
      <c r="T1374" s="165" t="n">
        <v>1</v>
      </c>
      <c r="U1374" s="166" t="n">
        <v>0</v>
      </c>
      <c r="V1374" s="166" t="n">
        <v>0</v>
      </c>
      <c r="W1374" t="inlineStr"/>
      <c r="X1374" t="inlineStr">
        <is>
          <t>460.92</t>
        </is>
      </c>
      <c r="Y1374" t="inlineStr"/>
      <c r="Z1374" t="inlineStr">
        <is>
          <t>CONSUEGRA SOC. COOP. LTD.</t>
        </is>
      </c>
      <c r="AA1374" t="inlineStr">
        <is>
          <t>INDRA SISTEMAS S.A.</t>
        </is>
      </c>
      <c r="AB1374" t="inlineStr">
        <is>
          <t>0972128051800</t>
        </is>
      </c>
      <c r="AC1374" t="inlineStr"/>
      <c r="AD1374" s="164" t="n">
        <v>0</v>
      </c>
      <c r="AE1374" s="185" t="n">
        <v>0</v>
      </c>
      <c r="AG1374" s="167" t="inlineStr">
        <is>
          <t>7218|JA2589_1001</t>
        </is>
      </c>
      <c r="AH1374" s="47">
        <f>IF(M1374=0,"-",M1374-J1374)</f>
        <v/>
      </c>
      <c r="AI1374" s="46">
        <f>IF(AND(S1374=0,M1374&gt;0,L1374=0),IF(AH1374&gt;=120,"VERY HIGH",IF(AH1374&gt;=90,"HIGH",IF(AH1374&gt;=60,"MEDIUM",IF(AH1374&lt;60,"LOW")))),"-")</f>
        <v/>
      </c>
      <c r="AJ1374" s="12" t="n"/>
      <c r="AK1374" s="53">
        <f>IF(AND(W1374="X",M1374&lt;=$AJ$2),"YES","")</f>
        <v/>
      </c>
      <c r="AL1374" s="54">
        <f>IF(AND(W1374="X",M1374&lt;=$AJ$2),S1374,"")</f>
        <v/>
      </c>
      <c r="AM1374" s="35" t="n"/>
      <c r="AN1374" s="35">
        <f>IF(AND(W1374="X",M1374&gt;$AJ$2),S1374,"")</f>
        <v/>
      </c>
      <c r="AO1374" s="35">
        <f>IF(AND(W1374="",M1374&gt;0,$AJ$2&gt;M1374,L1374=""),1,0)</f>
        <v/>
      </c>
      <c r="AP1374" s="35">
        <f>IF(AND(AK1374="YES",W1374="X"),"X","")</f>
        <v/>
      </c>
      <c r="AQ1374" s="55">
        <f>IF(AP1374="X",100%,0%)</f>
        <v/>
      </c>
      <c r="AR1374" s="25">
        <f>IF(AND(T1374&gt;0,L1374=""),H1374,"")</f>
        <v/>
      </c>
      <c r="AS1374" s="25">
        <f>IF(AND(D1374&gt;0,H1374=0,G1374=""),1,"")</f>
        <v/>
      </c>
      <c r="AT1374" s="25">
        <f>IF(G1374="BLOQ",1,"")</f>
        <v/>
      </c>
      <c r="AU1374" s="25">
        <f>IF(L1374="BLOQ",1,"")</f>
        <v/>
      </c>
      <c r="AV1374" s="25">
        <f>MONTH(F1374)</f>
        <v/>
      </c>
      <c r="AW1374" s="65">
        <f>IF(AP1374="",100%,0%)</f>
        <v/>
      </c>
      <c r="AX1374" s="56" t="n"/>
      <c r="AY1374" s="24">
        <f>IF(M1374=0,"",M1374-$AX$2)</f>
        <v/>
      </c>
      <c r="AZ1374" s="66">
        <f>IF(AND(W1374="",AY1374&gt;0,AY1374&lt;15),1,0)</f>
        <v/>
      </c>
      <c r="BA1374" s="24">
        <f>IF(AND(W1374="",AY1374&gt;0,AY1374&lt;15),T1374,"")</f>
        <v/>
      </c>
      <c r="BB1374" s="87">
        <f>IF(R1374&lt;Q1374,"X","")</f>
        <v/>
      </c>
      <c r="BC1374" s="191" t="inlineStr">
        <is>
          <t>SI</t>
        </is>
      </c>
      <c r="BD1374" s="191" t="inlineStr">
        <is>
          <t>SI</t>
        </is>
      </c>
    </row>
    <row r="1375" ht="15" customHeight="1" s="162">
      <c r="A1375" s="7" t="n">
        <v>1374</v>
      </c>
      <c r="B1375" t="inlineStr">
        <is>
          <t>0972128051800</t>
        </is>
      </c>
      <c r="C1375" t="inlineStr">
        <is>
          <t>CLS SERVO DRIVES BOX MECH ASSY</t>
        </is>
      </c>
      <c r="D1375" t="inlineStr">
        <is>
          <t>1800113769</t>
        </is>
      </c>
      <c r="E1375" t="inlineStr">
        <is>
          <t>10</t>
        </is>
      </c>
      <c r="F1375" s="163" t="n">
        <v>45575</v>
      </c>
      <c r="G1375" t="inlineStr"/>
      <c r="H1375" t="inlineStr">
        <is>
          <t>4200593634</t>
        </is>
      </c>
      <c r="I1375" t="inlineStr">
        <is>
          <t>10</t>
        </is>
      </c>
      <c r="J1375" s="163" t="n">
        <v>45677</v>
      </c>
      <c r="K1375" s="163" t="n">
        <v>45678</v>
      </c>
      <c r="L1375" t="inlineStr"/>
      <c r="M1375" s="163" t="n">
        <v>45695</v>
      </c>
      <c r="N1375" s="164" t="n">
        <v>30</v>
      </c>
      <c r="O1375" s="164" t="n">
        <v>8</v>
      </c>
      <c r="P1375" t="inlineStr">
        <is>
          <t>Liberado</t>
        </is>
      </c>
      <c r="Q1375" s="165" t="n">
        <v>1</v>
      </c>
      <c r="R1375" s="165" t="n">
        <v>1</v>
      </c>
      <c r="S1375" s="165" t="n">
        <v>1</v>
      </c>
      <c r="T1375" s="165" t="n">
        <v>0</v>
      </c>
      <c r="U1375" s="166" t="n">
        <v>1</v>
      </c>
      <c r="V1375" s="166" t="n">
        <v>0</v>
      </c>
      <c r="W1375" t="inlineStr">
        <is>
          <t>X</t>
        </is>
      </c>
      <c r="X1375" t="inlineStr">
        <is>
          <t>0.00</t>
        </is>
      </c>
      <c r="Y1375" t="inlineStr"/>
      <c r="Z1375" t="inlineStr">
        <is>
          <t>TALLERES XUQUER, SL</t>
        </is>
      </c>
      <c r="AA1375" t="inlineStr">
        <is>
          <t>INDRA SISTEMAS S.A.</t>
        </is>
      </c>
      <c r="AB1375" t="inlineStr">
        <is>
          <t>0972128051800</t>
        </is>
      </c>
      <c r="AC1375" t="inlineStr"/>
      <c r="AD1375" s="164" t="n">
        <v>0</v>
      </c>
      <c r="AE1375" s="185" t="n">
        <v>0</v>
      </c>
      <c r="AG1375" s="167" t="inlineStr">
        <is>
          <t>7218|JA2589_1001</t>
        </is>
      </c>
      <c r="AH1375" s="47">
        <f>IF(M1375=0,"-",M1375-J1375)</f>
        <v/>
      </c>
      <c r="AI1375" s="46">
        <f>IF(AND(S1375=0,M1375&gt;0,L1375=0),IF(AH1375&gt;=120,"VERY HIGH",IF(AH1375&gt;=90,"HIGH",IF(AH1375&gt;=60,"MEDIUM",IF(AH1375&lt;60,"LOW")))),"-")</f>
        <v/>
      </c>
      <c r="AJ1375" s="12" t="n"/>
      <c r="AK1375" s="53">
        <f>IF(AND(W1375="X",M1375&lt;=$AJ$2),"YES","")</f>
        <v/>
      </c>
      <c r="AL1375" s="54">
        <f>IF(AND(W1375="X",M1375&lt;=$AJ$2),S1375,"")</f>
        <v/>
      </c>
      <c r="AM1375" s="35" t="n"/>
      <c r="AN1375" s="35">
        <f>IF(AND(W1375="X",M1375&gt;$AJ$2),S1375,"")</f>
        <v/>
      </c>
      <c r="AO1375" s="35">
        <f>IF(AND(W1375="",M1375&gt;0,$AJ$2&gt;M1375,L1375=""),1,0)</f>
        <v/>
      </c>
      <c r="AP1375" s="35">
        <f>IF(AND(AK1375="YES",W1375="X"),"X","")</f>
        <v/>
      </c>
      <c r="AQ1375" s="55">
        <f>IF(AP1375="X",100%,0%)</f>
        <v/>
      </c>
      <c r="AR1375" s="25">
        <f>IF(AND(T1375&gt;0,L1375=""),H1375,"")</f>
        <v/>
      </c>
      <c r="AS1375" s="25">
        <f>IF(AND(D1375&gt;0,H1375=0,G1375=""),1,"")</f>
        <v/>
      </c>
      <c r="AT1375" s="25">
        <f>IF(G1375="BLOQ",1,"")</f>
        <v/>
      </c>
      <c r="AU1375" s="25">
        <f>IF(L1375="BLOQ",1,"")</f>
        <v/>
      </c>
      <c r="AV1375" s="25">
        <f>MONTH(F1375)</f>
        <v/>
      </c>
      <c r="AW1375" s="65">
        <f>IF(AP1375="",100%,0%)</f>
        <v/>
      </c>
      <c r="AX1375" s="56" t="n"/>
      <c r="AY1375" s="24">
        <f>IF(M1375=0,"",M1375-$AX$2)</f>
        <v/>
      </c>
      <c r="AZ1375" s="66">
        <f>IF(AND(W1375="",AY1375&gt;0,AY1375&lt;15),1,0)</f>
        <v/>
      </c>
      <c r="BA1375" s="24">
        <f>IF(AND(W1375="",AY1375&gt;0,AY1375&lt;15),T1375,"")</f>
        <v/>
      </c>
      <c r="BB1375" s="87">
        <f>IF(R1375&lt;Q1375,"X","")</f>
        <v/>
      </c>
      <c r="BC1375" s="191" t="inlineStr">
        <is>
          <t>SI</t>
        </is>
      </c>
      <c r="BD1375" s="191" t="inlineStr">
        <is>
          <t>SI</t>
        </is>
      </c>
    </row>
    <row r="1376" ht="15" customHeight="1" s="162">
      <c r="A1376" s="7" t="n">
        <v>1375</v>
      </c>
      <c r="B1376" t="inlineStr">
        <is>
          <t>1130622471000</t>
        </is>
      </c>
      <c r="C1376" t="inlineStr">
        <is>
          <t>RELE DPDT 12A MINI PLUG-IN 24VDC</t>
        </is>
      </c>
      <c r="D1376" t="inlineStr">
        <is>
          <t>1800113816</t>
        </is>
      </c>
      <c r="E1376" t="inlineStr">
        <is>
          <t>10</t>
        </is>
      </c>
      <c r="F1376" s="163" t="n">
        <v>45575</v>
      </c>
      <c r="G1376" t="inlineStr"/>
      <c r="H1376" t="inlineStr">
        <is>
          <t>4200581444</t>
        </is>
      </c>
      <c r="I1376" t="inlineStr">
        <is>
          <t>20</t>
        </is>
      </c>
      <c r="J1376" s="163" t="n">
        <v>45581</v>
      </c>
      <c r="K1376" s="163" t="n">
        <v>45582</v>
      </c>
      <c r="L1376" t="inlineStr"/>
      <c r="M1376" s="163" t="n">
        <v>45827</v>
      </c>
      <c r="N1376" s="164" t="n">
        <v>80</v>
      </c>
      <c r="O1376" s="164" t="n">
        <v>8</v>
      </c>
      <c r="P1376" t="inlineStr">
        <is>
          <t>Liberado</t>
        </is>
      </c>
      <c r="Q1376" s="165" t="n">
        <v>14</v>
      </c>
      <c r="R1376" s="165" t="n">
        <v>14</v>
      </c>
      <c r="S1376" s="165" t="n">
        <v>14</v>
      </c>
      <c r="T1376" s="165" t="n">
        <v>0</v>
      </c>
      <c r="U1376" s="166" t="n">
        <v>14</v>
      </c>
      <c r="V1376" s="166" t="n">
        <v>0</v>
      </c>
      <c r="W1376" t="inlineStr">
        <is>
          <t>X</t>
        </is>
      </c>
      <c r="X1376" t="inlineStr">
        <is>
          <t>0.00</t>
        </is>
      </c>
      <c r="Y1376" t="inlineStr"/>
      <c r="Z1376" t="inlineStr">
        <is>
          <t>GITEC CONTROL, S.L.</t>
        </is>
      </c>
      <c r="AA1376" t="inlineStr">
        <is>
          <t>FINDER</t>
        </is>
      </c>
      <c r="AB1376" t="inlineStr">
        <is>
          <t>56.32.9.024.0040</t>
        </is>
      </c>
      <c r="AC1376" t="inlineStr"/>
      <c r="AD1376" s="164" t="n">
        <v>2</v>
      </c>
      <c r="AE1376" s="185" t="n">
        <v>0</v>
      </c>
      <c r="AG1376" s="167" t="inlineStr">
        <is>
          <t>7218|JA2582_1001</t>
        </is>
      </c>
      <c r="AH1376" s="47">
        <f>IF(M1376=0,"-",M1376-J1376)</f>
        <v/>
      </c>
      <c r="AI1376" s="46">
        <f>IF(AND(S1376=0,M1376&gt;0,L1376=0),IF(AH1376&gt;=120,"VERY HIGH",IF(AH1376&gt;=90,"HIGH",IF(AH1376&gt;=60,"MEDIUM",IF(AH1376&lt;60,"LOW")))),"-")</f>
        <v/>
      </c>
      <c r="AJ1376" s="12" t="n"/>
      <c r="AK1376" s="53">
        <f>IF(AND(W1376="X",M1376&lt;=$AJ$2),"YES","")</f>
        <v/>
      </c>
      <c r="AL1376" s="54">
        <f>IF(AND(W1376="X",M1376&lt;=$AJ$2),S1376,"")</f>
        <v/>
      </c>
      <c r="AM1376" s="35" t="n"/>
      <c r="AN1376" s="35">
        <f>IF(AND(W1376="X",M1376&gt;$AJ$2),S1376,"")</f>
        <v/>
      </c>
      <c r="AO1376" s="35">
        <f>IF(AND(W1376="",M1376&gt;0,$AJ$2&gt;M1376,L1376=""),1,0)</f>
        <v/>
      </c>
      <c r="AP1376" s="35">
        <f>IF(AND(AK1376="YES",W1376="X"),"X","")</f>
        <v/>
      </c>
      <c r="AQ1376" s="55">
        <f>IF(AP1376="X",100%,0%)</f>
        <v/>
      </c>
      <c r="AR1376" s="25">
        <f>IF(AND(T1376&gt;0,L1376=""),H1376,"")</f>
        <v/>
      </c>
      <c r="AS1376" s="25">
        <f>IF(AND(D1376&gt;0,H1376=0,G1376=""),1,"")</f>
        <v/>
      </c>
      <c r="AT1376" s="25">
        <f>IF(G1376="BLOQ",1,"")</f>
        <v/>
      </c>
      <c r="AU1376" s="25">
        <f>IF(L1376="BLOQ",1,"")</f>
        <v/>
      </c>
      <c r="AV1376" s="25">
        <f>MONTH(F1376)</f>
        <v/>
      </c>
      <c r="AW1376" s="65">
        <f>IF(AP1376="",100%,0%)</f>
        <v/>
      </c>
      <c r="AX1376" s="56" t="n"/>
      <c r="AY1376" s="24">
        <f>IF(M1376=0,"",M1376-$AX$2)</f>
        <v/>
      </c>
      <c r="AZ1376" s="66">
        <f>IF(AND(W1376="",AY1376&gt;0,AY1376&lt;15),1,0)</f>
        <v/>
      </c>
      <c r="BA1376" s="24">
        <f>IF(AND(W1376="",AY1376&gt;0,AY1376&lt;15),T1376,"")</f>
        <v/>
      </c>
      <c r="BB1376" s="87">
        <f>IF(R1376&lt;Q1376,"X","")</f>
        <v/>
      </c>
      <c r="BC1376" s="190" t="inlineStr">
        <is>
          <t>NO</t>
        </is>
      </c>
      <c r="BD1376" s="191" t="inlineStr">
        <is>
          <t>SI</t>
        </is>
      </c>
    </row>
    <row r="1377" ht="15" customHeight="1" s="162">
      <c r="A1377" s="7" t="n">
        <v>1376</v>
      </c>
      <c r="B1377" t="inlineStr">
        <is>
          <t>1139990091100</t>
        </is>
      </c>
      <c r="C1377" t="inlineStr">
        <is>
          <t>ZOCALO RELE CARRIL DIN P/RELE 4PCO</t>
        </is>
      </c>
      <c r="D1377" t="inlineStr">
        <is>
          <t>1800113816</t>
        </is>
      </c>
      <c r="E1377" t="inlineStr">
        <is>
          <t>20</t>
        </is>
      </c>
      <c r="F1377" s="163" t="n">
        <v>45575</v>
      </c>
      <c r="G1377" t="inlineStr"/>
      <c r="H1377" t="inlineStr">
        <is>
          <t>4200581444</t>
        </is>
      </c>
      <c r="I1377" t="inlineStr">
        <is>
          <t>30</t>
        </is>
      </c>
      <c r="J1377" s="163" t="n">
        <v>45581</v>
      </c>
      <c r="K1377" s="163" t="n">
        <v>45582</v>
      </c>
      <c r="L1377" t="inlineStr"/>
      <c r="M1377" s="163" t="n">
        <v>45827</v>
      </c>
      <c r="N1377" s="164" t="n">
        <v>30</v>
      </c>
      <c r="O1377" s="164" t="n">
        <v>8</v>
      </c>
      <c r="P1377" t="inlineStr">
        <is>
          <t>Liberado</t>
        </is>
      </c>
      <c r="Q1377" s="165" t="n">
        <v>14</v>
      </c>
      <c r="R1377" s="165" t="n">
        <v>14</v>
      </c>
      <c r="S1377" s="165" t="n">
        <v>14</v>
      </c>
      <c r="T1377" s="165" t="n">
        <v>0</v>
      </c>
      <c r="U1377" s="166" t="n">
        <v>14</v>
      </c>
      <c r="V1377" s="166" t="n">
        <v>0</v>
      </c>
      <c r="W1377" t="inlineStr">
        <is>
          <t>X</t>
        </is>
      </c>
      <c r="X1377" t="inlineStr">
        <is>
          <t>0.00</t>
        </is>
      </c>
      <c r="Y1377" t="inlineStr"/>
      <c r="Z1377" t="inlineStr">
        <is>
          <t>GITEC CONTROL, S.L.</t>
        </is>
      </c>
      <c r="AA1377" t="inlineStr">
        <is>
          <t>FINDER</t>
        </is>
      </c>
      <c r="AB1377" t="inlineStr">
        <is>
          <t>96.72</t>
        </is>
      </c>
      <c r="AC1377" t="inlineStr"/>
      <c r="AD1377" s="164" t="n">
        <v>2</v>
      </c>
      <c r="AE1377" s="185" t="n">
        <v>0</v>
      </c>
      <c r="AG1377" s="167" t="inlineStr">
        <is>
          <t>7218|JA2582_1001</t>
        </is>
      </c>
      <c r="AH1377" s="47">
        <f>IF(M1377=0,"-",M1377-J1377)</f>
        <v/>
      </c>
      <c r="AI1377" s="46">
        <f>IF(AND(S1377=0,M1377&gt;0,L1377=0),IF(AH1377&gt;=120,"VERY HIGH",IF(AH1377&gt;=90,"HIGH",IF(AH1377&gt;=60,"MEDIUM",IF(AH1377&lt;60,"LOW")))),"-")</f>
        <v/>
      </c>
      <c r="AJ1377" s="12" t="n"/>
      <c r="AK1377" s="53">
        <f>IF(AND(W1377="X",M1377&lt;=$AJ$2),"YES","")</f>
        <v/>
      </c>
      <c r="AL1377" s="54">
        <f>IF(AND(W1377="X",M1377&lt;=$AJ$2),S1377,"")</f>
        <v/>
      </c>
      <c r="AM1377" s="35" t="n"/>
      <c r="AN1377" s="35">
        <f>IF(AND(W1377="X",M1377&gt;$AJ$2),S1377,"")</f>
        <v/>
      </c>
      <c r="AO1377" s="35">
        <f>IF(AND(W1377="",M1377&gt;0,$AJ$2&gt;M1377,L1377=""),1,0)</f>
        <v/>
      </c>
      <c r="AP1377" s="35">
        <f>IF(AND(AK1377="YES",W1377="X"),"X","")</f>
        <v/>
      </c>
      <c r="AQ1377" s="55">
        <f>IF(AP1377="X",100%,0%)</f>
        <v/>
      </c>
      <c r="AR1377" s="25">
        <f>IF(AND(T1377&gt;0,L1377=""),H1377,"")</f>
        <v/>
      </c>
      <c r="AS1377" s="25">
        <f>IF(AND(D1377&gt;0,H1377=0,G1377=""),1,"")</f>
        <v/>
      </c>
      <c r="AT1377" s="25">
        <f>IF(G1377="BLOQ",1,"")</f>
        <v/>
      </c>
      <c r="AU1377" s="25">
        <f>IF(L1377="BLOQ",1,"")</f>
        <v/>
      </c>
      <c r="AV1377" s="25">
        <f>MONTH(F1377)</f>
        <v/>
      </c>
      <c r="AW1377" s="65">
        <f>IF(AP1377="",100%,0%)</f>
        <v/>
      </c>
      <c r="AX1377" s="56" t="n"/>
      <c r="AY1377" s="24">
        <f>IF(M1377=0,"",M1377-$AX$2)</f>
        <v/>
      </c>
      <c r="AZ1377" s="66">
        <f>IF(AND(W1377="",AY1377&gt;0,AY1377&lt;15),1,0)</f>
        <v/>
      </c>
      <c r="BA1377" s="24">
        <f>IF(AND(W1377="",AY1377&gt;0,AY1377&lt;15),T1377,"")</f>
        <v/>
      </c>
      <c r="BB1377" s="87">
        <f>IF(R1377&lt;Q1377,"X","")</f>
        <v/>
      </c>
      <c r="BC1377" s="190" t="inlineStr">
        <is>
          <t>NO</t>
        </is>
      </c>
      <c r="BD1377" s="191" t="inlineStr">
        <is>
          <t>SI</t>
        </is>
      </c>
    </row>
    <row r="1378" ht="15" customHeight="1" s="162">
      <c r="A1378" s="7" t="n">
        <v>1377</v>
      </c>
      <c r="B1378" t="inlineStr">
        <is>
          <t>1246003150000</t>
        </is>
      </c>
      <c r="C1378" t="inlineStr">
        <is>
          <t>VENTILADOR CENTRIF 230VAC 115W 140X237MM</t>
        </is>
      </c>
      <c r="D1378" t="inlineStr">
        <is>
          <t>1800113816</t>
        </is>
      </c>
      <c r="E1378" t="inlineStr">
        <is>
          <t>30</t>
        </is>
      </c>
      <c r="F1378" s="163" t="n">
        <v>45575</v>
      </c>
      <c r="G1378" t="inlineStr"/>
      <c r="H1378" t="inlineStr">
        <is>
          <t>4200581883</t>
        </is>
      </c>
      <c r="I1378" t="inlineStr">
        <is>
          <t>80</t>
        </is>
      </c>
      <c r="J1378" s="163" t="n">
        <v>45583</v>
      </c>
      <c r="K1378" s="163" t="n">
        <v>45586</v>
      </c>
      <c r="L1378" t="inlineStr"/>
      <c r="M1378" s="163" t="n">
        <v>45639</v>
      </c>
      <c r="N1378" s="164" t="n">
        <v>40</v>
      </c>
      <c r="O1378" s="164" t="n">
        <v>8</v>
      </c>
      <c r="P1378" t="inlineStr">
        <is>
          <t>Liberado</t>
        </is>
      </c>
      <c r="Q1378" s="165" t="n">
        <v>1</v>
      </c>
      <c r="R1378" s="165" t="n">
        <v>1</v>
      </c>
      <c r="S1378" s="165" t="n">
        <v>1</v>
      </c>
      <c r="T1378" s="165" t="n">
        <v>0</v>
      </c>
      <c r="U1378" s="166" t="n">
        <v>1</v>
      </c>
      <c r="V1378" s="166" t="n">
        <v>0</v>
      </c>
      <c r="W1378" t="inlineStr">
        <is>
          <t>X</t>
        </is>
      </c>
      <c r="X1378" t="inlineStr">
        <is>
          <t>0.00</t>
        </is>
      </c>
      <c r="Y1378" t="inlineStr"/>
      <c r="Z1378" t="inlineStr">
        <is>
          <t>LUJISA, S.A.</t>
        </is>
      </c>
      <c r="AA1378" t="inlineStr">
        <is>
          <t>EBM</t>
        </is>
      </c>
      <c r="AB1378" t="inlineStr">
        <is>
          <t>G2E140-NS38-01</t>
        </is>
      </c>
      <c r="AC1378" t="inlineStr"/>
      <c r="AD1378" s="164" t="n">
        <v>1</v>
      </c>
      <c r="AE1378" s="185" t="n">
        <v>1</v>
      </c>
      <c r="AG1378" s="167" t="inlineStr">
        <is>
          <t>7218|JA2582_1001</t>
        </is>
      </c>
      <c r="AH1378" s="47">
        <f>IF(M1378=0,"-",M1378-J1378)</f>
        <v/>
      </c>
      <c r="AI1378" s="46">
        <f>IF(AND(S1378=0,M1378&gt;0,L1378=0),IF(AH1378&gt;=120,"VERY HIGH",IF(AH1378&gt;=90,"HIGH",IF(AH1378&gt;=60,"MEDIUM",IF(AH1378&lt;60,"LOW")))),"-")</f>
        <v/>
      </c>
      <c r="AJ1378" s="12" t="n"/>
      <c r="AK1378" s="53">
        <f>IF(AND(W1378="X",M1378&lt;=$AJ$2),"YES","")</f>
        <v/>
      </c>
      <c r="AL1378" s="54">
        <f>IF(AND(W1378="X",M1378&lt;=$AJ$2),S1378,"")</f>
        <v/>
      </c>
      <c r="AM1378" s="35" t="n"/>
      <c r="AN1378" s="35">
        <f>IF(AND(W1378="X",M1378&gt;$AJ$2),S1378,"")</f>
        <v/>
      </c>
      <c r="AO1378" s="35">
        <f>IF(AND(W1378="",M1378&gt;0,$AJ$2&gt;M1378,L1378=""),1,0)</f>
        <v/>
      </c>
      <c r="AP1378" s="35">
        <f>IF(AND(AK1378="YES",W1378="X"),"X","")</f>
        <v/>
      </c>
      <c r="AQ1378" s="55">
        <f>IF(AP1378="X",100%,0%)</f>
        <v/>
      </c>
      <c r="AR1378" s="25">
        <f>IF(AND(T1378&gt;0,L1378=""),H1378,"")</f>
        <v/>
      </c>
      <c r="AS1378" s="25">
        <f>IF(AND(D1378&gt;0,H1378=0,G1378=""),1,"")</f>
        <v/>
      </c>
      <c r="AT1378" s="25">
        <f>IF(G1378="BLOQ",1,"")</f>
        <v/>
      </c>
      <c r="AU1378" s="25">
        <f>IF(L1378="BLOQ",1,"")</f>
        <v/>
      </c>
      <c r="AV1378" s="25">
        <f>MONTH(F1378)</f>
        <v/>
      </c>
      <c r="AW1378" s="65">
        <f>IF(AP1378="",100%,0%)</f>
        <v/>
      </c>
      <c r="AX1378" s="56" t="n"/>
      <c r="AY1378" s="24">
        <f>IF(M1378=0,"",M1378-$AX$2)</f>
        <v/>
      </c>
      <c r="AZ1378" s="66">
        <f>IF(AND(W1378="",AY1378&gt;0,AY1378&lt;15),1,0)</f>
        <v/>
      </c>
      <c r="BA1378" s="24">
        <f>IF(AND(W1378="",AY1378&gt;0,AY1378&lt;15),T1378,"")</f>
        <v/>
      </c>
      <c r="BB1378" s="87">
        <f>IF(R1378&lt;Q1378,"X","")</f>
        <v/>
      </c>
      <c r="BC1378" s="191" t="inlineStr">
        <is>
          <t>SI</t>
        </is>
      </c>
      <c r="BD1378" s="191" t="inlineStr">
        <is>
          <t>SI</t>
        </is>
      </c>
    </row>
    <row r="1379" ht="15" customHeight="1" s="162">
      <c r="A1379" s="7" t="n">
        <v>1378</v>
      </c>
      <c r="B1379" t="inlineStr">
        <is>
          <t>1399901561000</t>
        </is>
      </c>
      <c r="C1379" t="inlineStr">
        <is>
          <t>GENERADOR DE HUMO MOD. ETNA</t>
        </is>
      </c>
      <c r="D1379" t="inlineStr">
        <is>
          <t>1800113816</t>
        </is>
      </c>
      <c r="E1379" t="inlineStr">
        <is>
          <t>40</t>
        </is>
      </c>
      <c r="F1379" s="163" t="n">
        <v>45575</v>
      </c>
      <c r="G1379" t="inlineStr"/>
      <c r="H1379" t="inlineStr">
        <is>
          <t>4200585668</t>
        </is>
      </c>
      <c r="I1379" t="inlineStr">
        <is>
          <t>10</t>
        </is>
      </c>
      <c r="J1379" s="163" t="n">
        <v>45610</v>
      </c>
      <c r="K1379" s="163" t="n">
        <v>45643</v>
      </c>
      <c r="L1379" t="inlineStr"/>
      <c r="M1379" s="163" t="n">
        <v>45656</v>
      </c>
      <c r="N1379" s="164" t="n">
        <v>40</v>
      </c>
      <c r="O1379" s="164" t="n">
        <v>8</v>
      </c>
      <c r="P1379" t="inlineStr">
        <is>
          <t>Liberado</t>
        </is>
      </c>
      <c r="Q1379" s="165" t="n">
        <v>1</v>
      </c>
      <c r="R1379" s="165" t="n">
        <v>1</v>
      </c>
      <c r="S1379" s="165" t="n">
        <v>2</v>
      </c>
      <c r="T1379" s="165" t="n">
        <v>0</v>
      </c>
      <c r="U1379" s="166" t="n">
        <v>1</v>
      </c>
      <c r="V1379" s="166" t="n">
        <v>1</v>
      </c>
      <c r="W1379" t="inlineStr">
        <is>
          <t>X</t>
        </is>
      </c>
      <c r="X1379" t="inlineStr">
        <is>
          <t>0.00</t>
        </is>
      </c>
      <c r="Y1379" t="inlineStr"/>
      <c r="Z1379" t="inlineStr">
        <is>
          <t>ITURRI, S.A.</t>
        </is>
      </c>
      <c r="AA1379" t="inlineStr">
        <is>
          <t>Haagen S.L.</t>
        </is>
      </c>
      <c r="AB1379" t="inlineStr">
        <is>
          <t>017500</t>
        </is>
      </c>
      <c r="AC1379" t="inlineStr"/>
      <c r="AD1379" s="164" t="n">
        <v>2</v>
      </c>
      <c r="AE1379" s="185" t="n">
        <v>2</v>
      </c>
      <c r="AG1379" s="167" t="inlineStr">
        <is>
          <t>7218|JA2582_1001</t>
        </is>
      </c>
      <c r="AH1379" s="47">
        <f>IF(M1379=0,"-",M1379-J1379)</f>
        <v/>
      </c>
      <c r="AI1379" s="46">
        <f>IF(AND(S1379=0,M1379&gt;0,L1379=0),IF(AH1379&gt;=120,"VERY HIGH",IF(AH1379&gt;=90,"HIGH",IF(AH1379&gt;=60,"MEDIUM",IF(AH1379&lt;60,"LOW")))),"-")</f>
        <v/>
      </c>
      <c r="AJ1379" s="12" t="n"/>
      <c r="AK1379" s="53">
        <f>IF(AND(W1379="X",M1379&lt;=$AJ$2),"YES","")</f>
        <v/>
      </c>
      <c r="AL1379" s="54">
        <f>IF(AND(W1379="X",M1379&lt;=$AJ$2),S1379,"")</f>
        <v/>
      </c>
      <c r="AM1379" s="35" t="n"/>
      <c r="AN1379" s="35">
        <f>IF(AND(W1379="X",M1379&gt;$AJ$2),S1379,"")</f>
        <v/>
      </c>
      <c r="AO1379" s="35">
        <f>IF(AND(W1379="",M1379&gt;0,$AJ$2&gt;M1379,L1379=""),1,0)</f>
        <v/>
      </c>
      <c r="AP1379" s="35">
        <f>IF(AND(AK1379="YES",W1379="X"),"X","")</f>
        <v/>
      </c>
      <c r="AQ1379" s="55">
        <f>IF(AP1379="X",100%,0%)</f>
        <v/>
      </c>
      <c r="AR1379" s="25">
        <f>IF(AND(T1379&gt;0,L1379=""),H1379,"")</f>
        <v/>
      </c>
      <c r="AS1379" s="25">
        <f>IF(AND(D1379&gt;0,H1379=0,G1379=""),1,"")</f>
        <v/>
      </c>
      <c r="AT1379" s="25">
        <f>IF(G1379="BLOQ",1,"")</f>
        <v/>
      </c>
      <c r="AU1379" s="25">
        <f>IF(L1379="BLOQ",1,"")</f>
        <v/>
      </c>
      <c r="AV1379" s="25">
        <f>MONTH(F1379)</f>
        <v/>
      </c>
      <c r="AW1379" s="65">
        <f>IF(AP1379="",100%,0%)</f>
        <v/>
      </c>
      <c r="AX1379" s="56" t="n"/>
      <c r="AY1379" s="24">
        <f>IF(M1379=0,"",M1379-$AX$2)</f>
        <v/>
      </c>
      <c r="AZ1379" s="66">
        <f>IF(AND(W1379="",AY1379&gt;0,AY1379&lt;15),1,0)</f>
        <v/>
      </c>
      <c r="BA1379" s="24">
        <f>IF(AND(W1379="",AY1379&gt;0,AY1379&lt;15),T1379,"")</f>
        <v/>
      </c>
      <c r="BB1379" s="87">
        <f>IF(R1379&lt;Q1379,"X","")</f>
        <v/>
      </c>
      <c r="BC1379" s="191" t="inlineStr">
        <is>
          <t>SI</t>
        </is>
      </c>
      <c r="BD1379" s="191" t="inlineStr">
        <is>
          <t>SI</t>
        </is>
      </c>
    </row>
    <row r="1380" ht="15" customHeight="1" s="162">
      <c r="A1380" s="7" t="n">
        <v>1379</v>
      </c>
      <c r="B1380" t="inlineStr">
        <is>
          <t>1399901561100</t>
        </is>
      </c>
      <c r="C1380" t="inlineStr">
        <is>
          <t>SET TUBO CONDUCTOR DE HUMO DE 5 MT</t>
        </is>
      </c>
      <c r="D1380" t="inlineStr">
        <is>
          <t>1800113816</t>
        </is>
      </c>
      <c r="E1380" t="inlineStr">
        <is>
          <t>50</t>
        </is>
      </c>
      <c r="F1380" s="163" t="n">
        <v>45575</v>
      </c>
      <c r="G1380" t="inlineStr"/>
      <c r="H1380" t="inlineStr">
        <is>
          <t>4200585668</t>
        </is>
      </c>
      <c r="I1380" t="inlineStr">
        <is>
          <t>20</t>
        </is>
      </c>
      <c r="J1380" s="163" t="n">
        <v>45610</v>
      </c>
      <c r="K1380" s="163" t="n">
        <v>45643</v>
      </c>
      <c r="L1380" t="inlineStr"/>
      <c r="M1380" s="163" t="n">
        <v>45656</v>
      </c>
      <c r="N1380" s="164" t="n">
        <v>40</v>
      </c>
      <c r="O1380" s="164" t="n">
        <v>8</v>
      </c>
      <c r="P1380" t="inlineStr">
        <is>
          <t>Liberado</t>
        </is>
      </c>
      <c r="Q1380" s="165" t="n">
        <v>1</v>
      </c>
      <c r="R1380" s="165" t="n">
        <v>1</v>
      </c>
      <c r="S1380" s="165" t="n">
        <v>2</v>
      </c>
      <c r="T1380" s="165" t="n">
        <v>0</v>
      </c>
      <c r="U1380" s="166" t="n">
        <v>1</v>
      </c>
      <c r="V1380" s="166" t="n">
        <v>1</v>
      </c>
      <c r="W1380" t="inlineStr">
        <is>
          <t>X</t>
        </is>
      </c>
      <c r="X1380" t="inlineStr">
        <is>
          <t>0.00</t>
        </is>
      </c>
      <c r="Y1380" t="inlineStr"/>
      <c r="Z1380" t="inlineStr">
        <is>
          <t>ITURRI, S.A.</t>
        </is>
      </c>
      <c r="AA1380" t="inlineStr">
        <is>
          <t>Haagen S.L.</t>
        </is>
      </c>
      <c r="AB1380" t="inlineStr">
        <is>
          <t>017800</t>
        </is>
      </c>
      <c r="AC1380" t="inlineStr"/>
      <c r="AD1380" s="164" t="n">
        <v>2</v>
      </c>
      <c r="AE1380" s="185" t="n">
        <v>2</v>
      </c>
      <c r="AG1380" s="167" t="inlineStr">
        <is>
          <t>7218|JA2582_1001</t>
        </is>
      </c>
      <c r="AH1380" s="47">
        <f>IF(M1380=0,"-",M1380-J1380)</f>
        <v/>
      </c>
      <c r="AI1380" s="46">
        <f>IF(AND(S1380=0,M1380&gt;0,L1380=0),IF(AH1380&gt;=120,"VERY HIGH",IF(AH1380&gt;=90,"HIGH",IF(AH1380&gt;=60,"MEDIUM",IF(AH1380&lt;60,"LOW")))),"-")</f>
        <v/>
      </c>
      <c r="AJ1380" s="12" t="n"/>
      <c r="AK1380" s="53">
        <f>IF(AND(W1380="X",M1380&lt;=$AJ$2),"YES","")</f>
        <v/>
      </c>
      <c r="AL1380" s="54">
        <f>IF(AND(W1380="X",M1380&lt;=$AJ$2),S1380,"")</f>
        <v/>
      </c>
      <c r="AM1380" s="35" t="n"/>
      <c r="AN1380" s="35">
        <f>IF(AND(W1380="X",M1380&gt;$AJ$2),S1380,"")</f>
        <v/>
      </c>
      <c r="AO1380" s="35">
        <f>IF(AND(W1380="",M1380&gt;0,$AJ$2&gt;M1380,L1380=""),1,0)</f>
        <v/>
      </c>
      <c r="AP1380" s="35">
        <f>IF(AND(AK1380="YES",W1380="X"),"X","")</f>
        <v/>
      </c>
      <c r="AQ1380" s="55">
        <f>IF(AP1380="X",100%,0%)</f>
        <v/>
      </c>
      <c r="AR1380" s="25">
        <f>IF(AND(T1380&gt;0,L1380=""),H1380,"")</f>
        <v/>
      </c>
      <c r="AS1380" s="25">
        <f>IF(AND(D1380&gt;0,H1380=0,G1380=""),1,"")</f>
        <v/>
      </c>
      <c r="AT1380" s="25">
        <f>IF(G1380="BLOQ",1,"")</f>
        <v/>
      </c>
      <c r="AU1380" s="25">
        <f>IF(L1380="BLOQ",1,"")</f>
        <v/>
      </c>
      <c r="AV1380" s="25">
        <f>MONTH(F1380)</f>
        <v/>
      </c>
      <c r="AW1380" s="65">
        <f>IF(AP1380="",100%,0%)</f>
        <v/>
      </c>
      <c r="AX1380" s="56" t="n"/>
      <c r="AY1380" s="24">
        <f>IF(M1380=0,"",M1380-$AX$2)</f>
        <v/>
      </c>
      <c r="AZ1380" s="66">
        <f>IF(AND(W1380="",AY1380&gt;0,AY1380&lt;15),1,0)</f>
        <v/>
      </c>
      <c r="BA1380" s="24">
        <f>IF(AND(W1380="",AY1380&gt;0,AY1380&lt;15),T1380,"")</f>
        <v/>
      </c>
      <c r="BB1380" s="87">
        <f>IF(R1380&lt;Q1380,"X","")</f>
        <v/>
      </c>
      <c r="BC1380" s="190" t="inlineStr">
        <is>
          <t>NO</t>
        </is>
      </c>
      <c r="BD1380" s="191" t="inlineStr">
        <is>
          <t>SI</t>
        </is>
      </c>
    </row>
    <row r="1381" ht="15" customHeight="1" s="162">
      <c r="A1381" s="7" t="n">
        <v>1380</v>
      </c>
      <c r="B1381" t="inlineStr">
        <is>
          <t>1807990300100</t>
        </is>
      </c>
      <c r="C1381" t="inlineStr">
        <is>
          <t>HUMO LIQUIDO LION 20L</t>
        </is>
      </c>
      <c r="D1381" t="inlineStr">
        <is>
          <t>1800113816</t>
        </is>
      </c>
      <c r="E1381" t="inlineStr">
        <is>
          <t>60</t>
        </is>
      </c>
      <c r="F1381" s="163" t="n">
        <v>45575</v>
      </c>
      <c r="G1381" t="inlineStr"/>
      <c r="H1381" t="inlineStr">
        <is>
          <t>4200593898</t>
        </is>
      </c>
      <c r="I1381" t="inlineStr">
        <is>
          <t>10</t>
        </is>
      </c>
      <c r="J1381" s="163" t="n">
        <v>45678</v>
      </c>
      <c r="K1381" s="163" t="n">
        <v>45681</v>
      </c>
      <c r="L1381" t="inlineStr"/>
      <c r="M1381" s="163" t="n">
        <v>45734</v>
      </c>
      <c r="N1381" s="164" t="n">
        <v>55</v>
      </c>
      <c r="O1381" s="164" t="n">
        <v>8</v>
      </c>
      <c r="P1381" t="inlineStr">
        <is>
          <t>Liberado</t>
        </is>
      </c>
      <c r="Q1381" s="165" t="n">
        <v>1</v>
      </c>
      <c r="R1381" s="165" t="n">
        <v>20</v>
      </c>
      <c r="S1381" s="165" t="n">
        <v>20</v>
      </c>
      <c r="T1381" s="165" t="n">
        <v>0</v>
      </c>
      <c r="U1381" s="166" t="n">
        <v>20</v>
      </c>
      <c r="V1381" s="166" t="n">
        <v>0</v>
      </c>
      <c r="W1381" t="inlineStr">
        <is>
          <t>X</t>
        </is>
      </c>
      <c r="X1381" t="inlineStr">
        <is>
          <t>0.00</t>
        </is>
      </c>
      <c r="Y1381" t="inlineStr"/>
      <c r="Z1381" t="inlineStr">
        <is>
          <t>ITURRI, S.A.</t>
        </is>
      </c>
      <c r="AA1381" t="inlineStr">
        <is>
          <t>LION PROTECTS B.V.</t>
        </is>
      </c>
      <c r="AB1381" t="inlineStr">
        <is>
          <t>010850</t>
        </is>
      </c>
      <c r="AC1381" t="inlineStr"/>
      <c r="AD1381" s="164" t="n">
        <v>0</v>
      </c>
      <c r="AE1381" s="185" t="n">
        <v>0</v>
      </c>
      <c r="AG1381" s="167" t="inlineStr">
        <is>
          <t>7218|JA2582_1001</t>
        </is>
      </c>
      <c r="AH1381" s="47">
        <f>IF(M1381=0,"-",M1381-J1381)</f>
        <v/>
      </c>
      <c r="AI1381" s="46">
        <f>IF(AND(S1381=0,M1381&gt;0,L1381=0),IF(AH1381&gt;=120,"VERY HIGH",IF(AH1381&gt;=90,"HIGH",IF(AH1381&gt;=60,"MEDIUM",IF(AH1381&lt;60,"LOW")))),"-")</f>
        <v/>
      </c>
      <c r="AJ1381" s="12" t="n"/>
      <c r="AK1381" s="53">
        <f>IF(AND(W1381="X",M1381&lt;=$AJ$2),"YES","")</f>
        <v/>
      </c>
      <c r="AL1381" s="54">
        <f>IF(AND(W1381="X",M1381&lt;=$AJ$2),S1381,"")</f>
        <v/>
      </c>
      <c r="AM1381" s="35" t="n"/>
      <c r="AN1381" s="35">
        <f>IF(AND(W1381="X",M1381&gt;$AJ$2),S1381,"")</f>
        <v/>
      </c>
      <c r="AO1381" s="35">
        <f>IF(AND(W1381="",M1381&gt;0,$AJ$2&gt;M1381,L1381=""),1,0)</f>
        <v/>
      </c>
      <c r="AP1381" s="35">
        <f>IF(AND(AK1381="YES",W1381="X"),"X","")</f>
        <v/>
      </c>
      <c r="AQ1381" s="55">
        <f>IF(AP1381="X",100%,0%)</f>
        <v/>
      </c>
      <c r="AR1381" s="25">
        <f>IF(AND(T1381&gt;0,L1381=""),H1381,"")</f>
        <v/>
      </c>
      <c r="AS1381" s="25">
        <f>IF(AND(D1381&gt;0,H1381=0,G1381=""),1,"")</f>
        <v/>
      </c>
      <c r="AT1381" s="25">
        <f>IF(G1381="BLOQ",1,"")</f>
        <v/>
      </c>
      <c r="AU1381" s="25">
        <f>IF(L1381="BLOQ",1,"")</f>
        <v/>
      </c>
      <c r="AV1381" s="25">
        <f>MONTH(F1381)</f>
        <v/>
      </c>
      <c r="AW1381" s="65">
        <f>IF(AP1381="",100%,0%)</f>
        <v/>
      </c>
      <c r="AX1381" s="56" t="n"/>
      <c r="AY1381" s="24">
        <f>IF(M1381=0,"",M1381-$AX$2)</f>
        <v/>
      </c>
      <c r="AZ1381" s="66">
        <f>IF(AND(W1381="",AY1381&gt;0,AY1381&lt;15),1,0)</f>
        <v/>
      </c>
      <c r="BA1381" s="24">
        <f>IF(AND(W1381="",AY1381&gt;0,AY1381&lt;15),T1381,"")</f>
        <v/>
      </c>
      <c r="BB1381" s="87">
        <f>IF(R1381&lt;Q1381,"X","")</f>
        <v/>
      </c>
      <c r="BC1381" s="190" t="inlineStr">
        <is>
          <t>NO</t>
        </is>
      </c>
      <c r="BD1381" s="191" t="inlineStr">
        <is>
          <t>SI</t>
        </is>
      </c>
    </row>
    <row r="1382" ht="15" customHeight="1" s="162">
      <c r="A1382" s="7" t="n">
        <v>1381</v>
      </c>
      <c r="B1382" t="inlineStr">
        <is>
          <t>1229593780102</t>
        </is>
      </c>
      <c r="C1382" t="inlineStr">
        <is>
          <t>CBL EQ USB2.0 A-M/B-M 480MBPS NEGRO L=1M</t>
        </is>
      </c>
      <c r="D1382" t="inlineStr">
        <is>
          <t>1800113817</t>
        </is>
      </c>
      <c r="E1382" t="inlineStr">
        <is>
          <t>10</t>
        </is>
      </c>
      <c r="F1382" s="163" t="n">
        <v>45575</v>
      </c>
      <c r="G1382" t="inlineStr"/>
      <c r="H1382" t="inlineStr">
        <is>
          <t>4200583931</t>
        </is>
      </c>
      <c r="I1382" t="inlineStr">
        <is>
          <t>10</t>
        </is>
      </c>
      <c r="J1382" s="163" t="n">
        <v>45596</v>
      </c>
      <c r="K1382" s="163" t="n">
        <v>45600</v>
      </c>
      <c r="L1382" t="inlineStr"/>
      <c r="M1382" s="163" t="n">
        <v>45607</v>
      </c>
      <c r="N1382" s="164" t="n">
        <v>40</v>
      </c>
      <c r="O1382" s="164" t="n">
        <v>8</v>
      </c>
      <c r="P1382" t="inlineStr">
        <is>
          <t>Liberado</t>
        </is>
      </c>
      <c r="Q1382" s="166" t="n">
        <v>4</v>
      </c>
      <c r="R1382" s="166" t="n">
        <v>4</v>
      </c>
      <c r="S1382" s="166" t="n">
        <v>4</v>
      </c>
      <c r="T1382" s="166" t="n">
        <v>0</v>
      </c>
      <c r="U1382" s="166" t="n">
        <v>4</v>
      </c>
      <c r="V1382" s="166" t="n">
        <v>0</v>
      </c>
      <c r="W1382" t="inlineStr">
        <is>
          <t>X</t>
        </is>
      </c>
      <c r="X1382" t="inlineStr">
        <is>
          <t>0.00</t>
        </is>
      </c>
      <c r="Y1382" t="inlineStr"/>
      <c r="Z1382" t="inlineStr">
        <is>
          <t>ICOMPPLUS ELECTRONICS S.L</t>
        </is>
      </c>
      <c r="AA1382" t="inlineStr">
        <is>
          <t>LANBERG</t>
        </is>
      </c>
      <c r="AB1382" t="inlineStr">
        <is>
          <t>CA-USBA-15CU-0010-BK</t>
        </is>
      </c>
      <c r="AC1382" t="inlineStr"/>
      <c r="AD1382" s="164" t="n">
        <v>0</v>
      </c>
      <c r="AE1382" s="185" t="n">
        <v>0</v>
      </c>
      <c r="AG1382" s="167" t="inlineStr">
        <is>
          <t>7218|JA2586_1001</t>
        </is>
      </c>
      <c r="AH1382" s="47">
        <f>IF(M1382=0,"-",M1382-J1382)</f>
        <v/>
      </c>
      <c r="AI1382" s="46">
        <f>IF(AND(S1382=0,M1382&gt;0,L1382=0),IF(AH1382&gt;=120,"VERY HIGH",IF(AH1382&gt;=90,"HIGH",IF(AH1382&gt;=60,"MEDIUM",IF(AH1382&lt;60,"LOW")))),"-")</f>
        <v/>
      </c>
      <c r="AJ1382" s="12" t="n"/>
      <c r="AK1382" s="53">
        <f>IF(AND(W1382="X",M1382&lt;=$AJ$2),"YES","")</f>
        <v/>
      </c>
      <c r="AL1382" s="54">
        <f>IF(AND(W1382="X",M1382&lt;=$AJ$2),S1382,"")</f>
        <v/>
      </c>
      <c r="AM1382" s="35" t="n"/>
      <c r="AN1382" s="35">
        <f>IF(AND(W1382="X",M1382&gt;$AJ$2),S1382,"")</f>
        <v/>
      </c>
      <c r="AO1382" s="35">
        <f>IF(AND(W1382="",M1382&gt;0,$AJ$2&gt;M1382,L1382=""),1,0)</f>
        <v/>
      </c>
      <c r="AP1382" s="35">
        <f>IF(AND(AK1382="YES",W1382="X"),"X","")</f>
        <v/>
      </c>
      <c r="AQ1382" s="55">
        <f>IF(AP1382="X",100%,0%)</f>
        <v/>
      </c>
      <c r="AR1382" s="25">
        <f>IF(AND(T1382&gt;0,L1382=""),H1382,"")</f>
        <v/>
      </c>
      <c r="AS1382" s="25">
        <f>IF(AND(D1382&gt;0,H1382=0,G1382=""),1,"")</f>
        <v/>
      </c>
      <c r="AT1382" s="25">
        <f>IF(G1382="BLOQ",1,"")</f>
        <v/>
      </c>
      <c r="AU1382" s="25">
        <f>IF(L1382="BLOQ",1,"")</f>
        <v/>
      </c>
      <c r="AV1382" s="25">
        <f>MONTH(F1382)</f>
        <v/>
      </c>
      <c r="AW1382" s="65">
        <f>IF(AP1382="",100%,0%)</f>
        <v/>
      </c>
      <c r="AX1382" s="56" t="n"/>
      <c r="AY1382" s="24">
        <f>IF(M1382=0,"",M1382-$AX$2)</f>
        <v/>
      </c>
      <c r="AZ1382" s="66">
        <f>IF(AND(W1382="",AY1382&gt;0,AY1382&lt;15),1,0)</f>
        <v/>
      </c>
      <c r="BA1382" s="24">
        <f>IF(AND(W1382="",AY1382&gt;0,AY1382&lt;15),T1382,"")</f>
        <v/>
      </c>
      <c r="BB1382" s="87">
        <f>IF(R1382&lt;Q1382,"X","")</f>
        <v/>
      </c>
      <c r="BC1382" s="190" t="inlineStr">
        <is>
          <t>NO</t>
        </is>
      </c>
      <c r="BD1382" s="191" t="inlineStr">
        <is>
          <t>SI</t>
        </is>
      </c>
    </row>
    <row r="1383" ht="15" customHeight="1" s="162">
      <c r="A1383" s="7" t="n">
        <v>1382</v>
      </c>
      <c r="B1383" t="inlineStr">
        <is>
          <t>1204200330020</t>
        </is>
      </c>
      <c r="C1383" t="inlineStr">
        <is>
          <t>CNC CIR 9-98 3M PLUG CRIMP</t>
        </is>
      </c>
      <c r="D1383" t="inlineStr">
        <is>
          <t>1800113826</t>
        </is>
      </c>
      <c r="E1383" t="inlineStr">
        <is>
          <t>10</t>
        </is>
      </c>
      <c r="F1383" s="163" t="n">
        <v>45575</v>
      </c>
      <c r="G1383" t="inlineStr"/>
      <c r="H1383" t="inlineStr">
        <is>
          <t>4200582242</t>
        </is>
      </c>
      <c r="I1383" t="inlineStr">
        <is>
          <t>140</t>
        </is>
      </c>
      <c r="J1383" s="163" t="n">
        <v>45587</v>
      </c>
      <c r="K1383" s="163" t="n">
        <v>45588</v>
      </c>
      <c r="L1383" t="inlineStr"/>
      <c r="M1383" s="163" t="n">
        <v>45621</v>
      </c>
      <c r="N1383" s="164" t="n">
        <v>30</v>
      </c>
      <c r="O1383" s="164" t="n">
        <v>8</v>
      </c>
      <c r="P1383" t="inlineStr">
        <is>
          <t>Liberado</t>
        </is>
      </c>
      <c r="Q1383" s="166" t="n">
        <v>2</v>
      </c>
      <c r="R1383" s="166" t="n">
        <v>4</v>
      </c>
      <c r="S1383" s="166" t="n">
        <v>4</v>
      </c>
      <c r="T1383" s="166" t="n">
        <v>0</v>
      </c>
      <c r="U1383" s="166" t="n">
        <v>4</v>
      </c>
      <c r="V1383" s="166" t="n">
        <v>0</v>
      </c>
      <c r="W1383" t="inlineStr">
        <is>
          <t>X</t>
        </is>
      </c>
      <c r="X1383" t="inlineStr">
        <is>
          <t>0.00</t>
        </is>
      </c>
      <c r="Y1383" t="inlineStr"/>
      <c r="Z1383" t="inlineStr">
        <is>
          <t>AMALFI TRADING, INC</t>
        </is>
      </c>
      <c r="AA1383" t="inlineStr">
        <is>
          <t>AMPHENOL CORP</t>
        </is>
      </c>
      <c r="AB1383" t="inlineStr">
        <is>
          <t>D38999/26ZA98PN</t>
        </is>
      </c>
      <c r="AC1383" t="inlineStr"/>
      <c r="AD1383" s="164" t="n">
        <v>1</v>
      </c>
      <c r="AE1383" s="185" t="n">
        <v>1</v>
      </c>
      <c r="AG1383" s="167" t="inlineStr">
        <is>
          <t>7218|JA2582_1001</t>
        </is>
      </c>
      <c r="AH1383" s="47">
        <f>IF(M1383=0,"-",M1383-J1383)</f>
        <v/>
      </c>
      <c r="AI1383" s="46">
        <f>IF(AND(S1383=0,M1383&gt;0,L1383=0),IF(AH1383&gt;=120,"VERY HIGH",IF(AH1383&gt;=90,"HIGH",IF(AH1383&gt;=60,"MEDIUM",IF(AH1383&lt;60,"LOW")))),"-")</f>
        <v/>
      </c>
      <c r="AJ1383" s="12" t="n"/>
      <c r="AK1383" s="53">
        <f>IF(AND(W1383="X",M1383&lt;=$AJ$2),"YES","")</f>
        <v/>
      </c>
      <c r="AL1383" s="54">
        <f>IF(AND(W1383="X",M1383&lt;=$AJ$2),S1383,"")</f>
        <v/>
      </c>
      <c r="AM1383" s="35" t="n"/>
      <c r="AN1383" s="35">
        <f>IF(AND(W1383="X",M1383&gt;$AJ$2),S1383,"")</f>
        <v/>
      </c>
      <c r="AO1383" s="35">
        <f>IF(AND(W1383="",M1383&gt;0,$AJ$2&gt;M1383,L1383=""),1,0)</f>
        <v/>
      </c>
      <c r="AP1383" s="35">
        <f>IF(AND(AK1383="YES",W1383="X"),"X","")</f>
        <v/>
      </c>
      <c r="AQ1383" s="55">
        <f>IF(AP1383="X",100%,0%)</f>
        <v/>
      </c>
      <c r="AR1383" s="25">
        <f>IF(AND(T1383&gt;0,L1383=""),H1383,"")</f>
        <v/>
      </c>
      <c r="AS1383" s="25">
        <f>IF(AND(D1383&gt;0,H1383=0,G1383=""),1,"")</f>
        <v/>
      </c>
      <c r="AT1383" s="25">
        <f>IF(G1383="BLOQ",1,"")</f>
        <v/>
      </c>
      <c r="AU1383" s="25">
        <f>IF(L1383="BLOQ",1,"")</f>
        <v/>
      </c>
      <c r="AV1383" s="25">
        <f>MONTH(F1383)</f>
        <v/>
      </c>
      <c r="AW1383" s="65">
        <f>IF(AP1383="",100%,0%)</f>
        <v/>
      </c>
      <c r="AX1383" s="56" t="n"/>
      <c r="AY1383" s="24">
        <f>IF(M1383=0,"",M1383-$AX$2)</f>
        <v/>
      </c>
      <c r="AZ1383" s="66">
        <f>IF(AND(W1383="",AY1383&gt;0,AY1383&lt;15),1,0)</f>
        <v/>
      </c>
      <c r="BA1383" s="24">
        <f>IF(AND(W1383="",AY1383&gt;0,AY1383&lt;15),T1383,"")</f>
        <v/>
      </c>
      <c r="BB1383" s="87">
        <f>IF(R1383&lt;Q1383,"X","")</f>
        <v/>
      </c>
      <c r="BC1383" s="190" t="inlineStr">
        <is>
          <t>NO</t>
        </is>
      </c>
      <c r="BD1383" s="191" t="inlineStr">
        <is>
          <t>SI</t>
        </is>
      </c>
    </row>
    <row r="1384" ht="15" customHeight="1" s="162">
      <c r="A1384" s="7" t="n">
        <v>1383</v>
      </c>
      <c r="B1384" t="inlineStr">
        <is>
          <t>1209994000023</t>
        </is>
      </c>
      <c r="C1384" t="inlineStr">
        <is>
          <t>ACC CNC CIR BACKSHELL 15 ALU ROHS</t>
        </is>
      </c>
      <c r="D1384" t="inlineStr">
        <is>
          <t>1800113826</t>
        </is>
      </c>
      <c r="E1384" t="inlineStr">
        <is>
          <t>20</t>
        </is>
      </c>
      <c r="F1384" s="163" t="n">
        <v>45575</v>
      </c>
      <c r="G1384" t="inlineStr"/>
      <c r="H1384" t="inlineStr">
        <is>
          <t>4200581036</t>
        </is>
      </c>
      <c r="I1384" t="inlineStr">
        <is>
          <t>60</t>
        </is>
      </c>
      <c r="J1384" s="163" t="n">
        <v>45579</v>
      </c>
      <c r="K1384" s="163" t="n">
        <v>45586</v>
      </c>
      <c r="L1384" t="inlineStr"/>
      <c r="M1384" s="163" t="n">
        <v>45628</v>
      </c>
      <c r="N1384" s="164" t="n">
        <v>40</v>
      </c>
      <c r="O1384" s="164" t="n">
        <v>8</v>
      </c>
      <c r="P1384" t="inlineStr">
        <is>
          <t>Liberado</t>
        </is>
      </c>
      <c r="Q1384" s="166" t="n">
        <v>3</v>
      </c>
      <c r="R1384" s="166" t="n">
        <v>3</v>
      </c>
      <c r="S1384" s="166" t="n">
        <v>3</v>
      </c>
      <c r="T1384" s="166" t="n">
        <v>0</v>
      </c>
      <c r="U1384" s="166" t="n">
        <v>3</v>
      </c>
      <c r="V1384" s="166" t="n">
        <v>0</v>
      </c>
      <c r="W1384" t="inlineStr">
        <is>
          <t>X</t>
        </is>
      </c>
      <c r="X1384" t="inlineStr">
        <is>
          <t>0.00</t>
        </is>
      </c>
      <c r="Y1384" t="inlineStr"/>
      <c r="Z1384" t="inlineStr">
        <is>
          <t>CONECTORES Y CABLES VAHER, S.A.</t>
        </is>
      </c>
      <c r="AA1384" t="inlineStr">
        <is>
          <t>MILITARY SPECS.</t>
        </is>
      </c>
      <c r="AB1384" t="inlineStr">
        <is>
          <t>M85049/38-15N</t>
        </is>
      </c>
      <c r="AC1384" t="inlineStr"/>
      <c r="AD1384" s="164" t="n">
        <v>1</v>
      </c>
      <c r="AE1384" s="185" t="n">
        <v>0</v>
      </c>
      <c r="AG1384" s="167" t="inlineStr">
        <is>
          <t>7218|JA2582_1001</t>
        </is>
      </c>
      <c r="AH1384" s="47">
        <f>IF(M1384=0,"-",M1384-J1384)</f>
        <v/>
      </c>
      <c r="AI1384" s="46">
        <f>IF(AND(S1384=0,M1384&gt;0,L1384=0),IF(AH1384&gt;=120,"VERY HIGH",IF(AH1384&gt;=90,"HIGH",IF(AH1384&gt;=60,"MEDIUM",IF(AH1384&lt;60,"LOW")))),"-")</f>
        <v/>
      </c>
      <c r="AJ1384" s="12" t="n"/>
      <c r="AK1384" s="53">
        <f>IF(AND(W1384="X",M1384&lt;=$AJ$2),"YES","")</f>
        <v/>
      </c>
      <c r="AL1384" s="54">
        <f>IF(AND(W1384="X",M1384&lt;=$AJ$2),S1384,"")</f>
        <v/>
      </c>
      <c r="AM1384" s="35" t="n"/>
      <c r="AN1384" s="35">
        <f>IF(AND(W1384="X",M1384&gt;$AJ$2),S1384,"")</f>
        <v/>
      </c>
      <c r="AO1384" s="35">
        <f>IF(AND(W1384="",M1384&gt;0,$AJ$2&gt;M1384,L1384=""),1,0)</f>
        <v/>
      </c>
      <c r="AP1384" s="35">
        <f>IF(AND(AK1384="YES",W1384="X"),"X","")</f>
        <v/>
      </c>
      <c r="AQ1384" s="55">
        <f>IF(AP1384="X",100%,0%)</f>
        <v/>
      </c>
      <c r="AR1384" s="25">
        <f>IF(AND(T1384&gt;0,L1384=""),H1384,"")</f>
        <v/>
      </c>
      <c r="AS1384" s="25">
        <f>IF(AND(D1384&gt;0,H1384=0,G1384=""),1,"")</f>
        <v/>
      </c>
      <c r="AT1384" s="25">
        <f>IF(G1384="BLOQ",1,"")</f>
        <v/>
      </c>
      <c r="AU1384" s="25">
        <f>IF(L1384="BLOQ",1,"")</f>
        <v/>
      </c>
      <c r="AV1384" s="25">
        <f>MONTH(F1384)</f>
        <v/>
      </c>
      <c r="AW1384" s="65">
        <f>IF(AP1384="",100%,0%)</f>
        <v/>
      </c>
      <c r="AX1384" s="56" t="n"/>
      <c r="AY1384" s="24">
        <f>IF(M1384=0,"",M1384-$AX$2)</f>
        <v/>
      </c>
      <c r="AZ1384" s="66">
        <f>IF(AND(W1384="",AY1384&gt;0,AY1384&lt;15),1,0)</f>
        <v/>
      </c>
      <c r="BA1384" s="24">
        <f>IF(AND(W1384="",AY1384&gt;0,AY1384&lt;15),T1384,"")</f>
        <v/>
      </c>
      <c r="BB1384" s="87">
        <f>IF(R1384&lt;Q1384,"X","")</f>
        <v/>
      </c>
      <c r="BC1384" s="190" t="inlineStr">
        <is>
          <t>NO</t>
        </is>
      </c>
      <c r="BD1384" s="191" t="inlineStr">
        <is>
          <t>SI</t>
        </is>
      </c>
    </row>
    <row r="1385" ht="15" customHeight="1" s="162">
      <c r="A1385" s="7" t="n">
        <v>1384</v>
      </c>
      <c r="B1385" t="inlineStr">
        <is>
          <t>1209994130022</t>
        </is>
      </c>
      <c r="C1385" t="inlineStr">
        <is>
          <t>STRAIN RELIEF #13 AL/NI M85049/38-13N</t>
        </is>
      </c>
      <c r="D1385" t="inlineStr">
        <is>
          <t>1800113826</t>
        </is>
      </c>
      <c r="E1385" t="inlineStr">
        <is>
          <t>30</t>
        </is>
      </c>
      <c r="F1385" s="163" t="n">
        <v>45575</v>
      </c>
      <c r="G1385" t="inlineStr"/>
      <c r="H1385" t="inlineStr">
        <is>
          <t>4200581959</t>
        </is>
      </c>
      <c r="I1385" t="inlineStr">
        <is>
          <t>20</t>
        </is>
      </c>
      <c r="J1385" s="163" t="n">
        <v>45583</v>
      </c>
      <c r="K1385" s="163" t="n">
        <v>45583</v>
      </c>
      <c r="L1385" t="inlineStr"/>
      <c r="M1385" s="163" t="n">
        <v>45604</v>
      </c>
      <c r="N1385" s="164" t="n">
        <v>30</v>
      </c>
      <c r="O1385" s="164" t="n">
        <v>8</v>
      </c>
      <c r="P1385" t="inlineStr">
        <is>
          <t>Liberado</t>
        </is>
      </c>
      <c r="Q1385" s="166" t="n">
        <v>2</v>
      </c>
      <c r="R1385" s="166" t="n">
        <v>2</v>
      </c>
      <c r="S1385" s="166" t="n">
        <v>2</v>
      </c>
      <c r="T1385" s="166" t="n">
        <v>0</v>
      </c>
      <c r="U1385" s="166" t="n">
        <v>2</v>
      </c>
      <c r="V1385" s="166" t="n">
        <v>0</v>
      </c>
      <c r="W1385" t="inlineStr">
        <is>
          <t>X</t>
        </is>
      </c>
      <c r="X1385" t="inlineStr">
        <is>
          <t>0.00</t>
        </is>
      </c>
      <c r="Y1385" t="inlineStr"/>
      <c r="Z1385" t="inlineStr">
        <is>
          <t>SUMINISTROS CONECTORES PROF.,SA.</t>
        </is>
      </c>
      <c r="AA1385" t="inlineStr">
        <is>
          <t>SAE INC.</t>
        </is>
      </c>
      <c r="AB1385" t="inlineStr">
        <is>
          <t>AS85049/38-13N</t>
        </is>
      </c>
      <c r="AC1385" t="inlineStr"/>
      <c r="AD1385" s="164" t="n">
        <v>0</v>
      </c>
      <c r="AE1385" s="185" t="n">
        <v>0</v>
      </c>
      <c r="AG1385" s="167" t="inlineStr">
        <is>
          <t>7218|JA2582_1001</t>
        </is>
      </c>
      <c r="AH1385" s="47">
        <f>IF(M1385=0,"-",M1385-J1385)</f>
        <v/>
      </c>
      <c r="AI1385" s="46">
        <f>IF(AND(S1385=0,M1385&gt;0,L1385=0),IF(AH1385&gt;=120,"VERY HIGH",IF(AH1385&gt;=90,"HIGH",IF(AH1385&gt;=60,"MEDIUM",IF(AH1385&lt;60,"LOW")))),"-")</f>
        <v/>
      </c>
      <c r="AJ1385" s="12" t="n"/>
      <c r="AK1385" s="53">
        <f>IF(AND(W1385="X",M1385&lt;=$AJ$2),"YES","")</f>
        <v/>
      </c>
      <c r="AL1385" s="54">
        <f>IF(AND(W1385="X",M1385&lt;=$AJ$2),S1385,"")</f>
        <v/>
      </c>
      <c r="AM1385" s="35" t="n"/>
      <c r="AN1385" s="35">
        <f>IF(AND(W1385="X",M1385&gt;$AJ$2),S1385,"")</f>
        <v/>
      </c>
      <c r="AO1385" s="35">
        <f>IF(AND(W1385="",M1385&gt;0,$AJ$2&gt;M1385,L1385=""),1,0)</f>
        <v/>
      </c>
      <c r="AP1385" s="35">
        <f>IF(AND(AK1385="YES",W1385="X"),"X","")</f>
        <v/>
      </c>
      <c r="AQ1385" s="55">
        <f>IF(AP1385="X",100%,0%)</f>
        <v/>
      </c>
      <c r="AR1385" s="25">
        <f>IF(AND(T1385&gt;0,L1385=""),H1385,"")</f>
        <v/>
      </c>
      <c r="AS1385" s="25">
        <f>IF(AND(D1385&gt;0,H1385=0,G1385=""),1,"")</f>
        <v/>
      </c>
      <c r="AT1385" s="25">
        <f>IF(G1385="BLOQ",1,"")</f>
        <v/>
      </c>
      <c r="AU1385" s="25">
        <f>IF(L1385="BLOQ",1,"")</f>
        <v/>
      </c>
      <c r="AV1385" s="25">
        <f>MONTH(F1385)</f>
        <v/>
      </c>
      <c r="AW1385" s="65">
        <f>IF(AP1385="",100%,0%)</f>
        <v/>
      </c>
      <c r="AX1385" s="56" t="n"/>
      <c r="AY1385" s="24">
        <f>IF(M1385=0,"",M1385-$AX$2)</f>
        <v/>
      </c>
      <c r="AZ1385" s="66">
        <f>IF(AND(W1385="",AY1385&gt;0,AY1385&lt;15),1,0)</f>
        <v/>
      </c>
      <c r="BA1385" s="24">
        <f>IF(AND(W1385="",AY1385&gt;0,AY1385&lt;15),T1385,"")</f>
        <v/>
      </c>
      <c r="BB1385" s="87">
        <f>IF(R1385&lt;Q1385,"X","")</f>
        <v/>
      </c>
      <c r="BC1385" s="190" t="inlineStr">
        <is>
          <t>NO</t>
        </is>
      </c>
      <c r="BD1385" s="191" t="inlineStr">
        <is>
          <t>SI</t>
        </is>
      </c>
    </row>
    <row r="1386" ht="15" customHeight="1" s="162">
      <c r="A1386" s="7" t="n">
        <v>1385</v>
      </c>
      <c r="B1386" t="inlineStr">
        <is>
          <t>1214200530720</t>
        </is>
      </c>
      <c r="C1386" t="inlineStr">
        <is>
          <t>CNC CIR 15-5 5H PLUG RECT ZN/NI ROT-N</t>
        </is>
      </c>
      <c r="D1386" t="inlineStr">
        <is>
          <t>1800113826</t>
        </is>
      </c>
      <c r="E1386" t="inlineStr">
        <is>
          <t>40</t>
        </is>
      </c>
      <c r="F1386" s="163" t="n">
        <v>45575</v>
      </c>
      <c r="G1386" t="inlineStr"/>
      <c r="H1386" t="inlineStr">
        <is>
          <t>4200581878</t>
        </is>
      </c>
      <c r="I1386" t="inlineStr">
        <is>
          <t>180</t>
        </is>
      </c>
      <c r="J1386" s="163" t="n">
        <v>45583</v>
      </c>
      <c r="K1386" s="163" t="n">
        <v>45588</v>
      </c>
      <c r="L1386" t="inlineStr"/>
      <c r="M1386" s="163" t="n">
        <v>45611</v>
      </c>
      <c r="N1386" s="164" t="n">
        <v>40</v>
      </c>
      <c r="O1386" s="164" t="n">
        <v>8</v>
      </c>
      <c r="P1386" t="inlineStr">
        <is>
          <t>Liberado</t>
        </is>
      </c>
      <c r="Q1386" s="166" t="n">
        <v>2</v>
      </c>
      <c r="R1386" s="166" t="n">
        <v>2</v>
      </c>
      <c r="S1386" s="166" t="n">
        <v>2</v>
      </c>
      <c r="T1386" s="166" t="n">
        <v>0</v>
      </c>
      <c r="U1386" s="166" t="n">
        <v>2</v>
      </c>
      <c r="V1386" s="166" t="n">
        <v>0</v>
      </c>
      <c r="W1386" t="inlineStr">
        <is>
          <t>X</t>
        </is>
      </c>
      <c r="X1386" t="inlineStr">
        <is>
          <t>0.00</t>
        </is>
      </c>
      <c r="Y1386" t="inlineStr"/>
      <c r="Z1386" t="inlineStr">
        <is>
          <t>SUMINISTROS CONECTORES PROF.,SA.</t>
        </is>
      </c>
      <c r="AA1386" t="inlineStr">
        <is>
          <t>MILITARY SPECS.</t>
        </is>
      </c>
      <c r="AB1386" t="inlineStr">
        <is>
          <t>D38999/26ZD5SN</t>
        </is>
      </c>
      <c r="AC1386" t="inlineStr"/>
      <c r="AD1386" s="164" t="n">
        <v>1</v>
      </c>
      <c r="AE1386" s="185" t="n">
        <v>0</v>
      </c>
      <c r="AG1386" s="167" t="inlineStr">
        <is>
          <t>7218|JA2582_1001</t>
        </is>
      </c>
      <c r="AH1386" s="47">
        <f>IF(M1386=0,"-",M1386-J1386)</f>
        <v/>
      </c>
      <c r="AI1386" s="46">
        <f>IF(AND(S1386=0,M1386&gt;0,L1386=0),IF(AH1386&gt;=120,"VERY HIGH",IF(AH1386&gt;=90,"HIGH",IF(AH1386&gt;=60,"MEDIUM",IF(AH1386&lt;60,"LOW")))),"-")</f>
        <v/>
      </c>
      <c r="AJ1386" s="12" t="n"/>
      <c r="AK1386" s="53">
        <f>IF(AND(W1386="X",M1386&lt;=$AJ$2),"YES","")</f>
        <v/>
      </c>
      <c r="AL1386" s="54">
        <f>IF(AND(W1386="X",M1386&lt;=$AJ$2),S1386,"")</f>
        <v/>
      </c>
      <c r="AM1386" s="35" t="n"/>
      <c r="AN1386" s="35">
        <f>IF(AND(W1386="X",M1386&gt;$AJ$2),S1386,"")</f>
        <v/>
      </c>
      <c r="AO1386" s="35">
        <f>IF(AND(W1386="",M1386&gt;0,$AJ$2&gt;M1386,L1386=""),1,0)</f>
        <v/>
      </c>
      <c r="AP1386" s="35">
        <f>IF(AND(AK1386="YES",W1386="X"),"X","")</f>
        <v/>
      </c>
      <c r="AQ1386" s="55">
        <f>IF(AP1386="X",100%,0%)</f>
        <v/>
      </c>
      <c r="AR1386" s="25">
        <f>IF(AND(T1386&gt;0,L1386=""),H1386,"")</f>
        <v/>
      </c>
      <c r="AS1386" s="25">
        <f>IF(AND(D1386&gt;0,H1386=0,G1386=""),1,"")</f>
        <v/>
      </c>
      <c r="AT1386" s="25">
        <f>IF(G1386="BLOQ",1,"")</f>
        <v/>
      </c>
      <c r="AU1386" s="25">
        <f>IF(L1386="BLOQ",1,"")</f>
        <v/>
      </c>
      <c r="AV1386" s="25">
        <f>MONTH(F1386)</f>
        <v/>
      </c>
      <c r="AW1386" s="65">
        <f>IF(AP1386="",100%,0%)</f>
        <v/>
      </c>
      <c r="AX1386" s="56" t="n"/>
      <c r="AY1386" s="24">
        <f>IF(M1386=0,"",M1386-$AX$2)</f>
        <v/>
      </c>
      <c r="AZ1386" s="66">
        <f>IF(AND(W1386="",AY1386&gt;0,AY1386&lt;15),1,0)</f>
        <v/>
      </c>
      <c r="BA1386" s="24">
        <f>IF(AND(W1386="",AY1386&gt;0,AY1386&lt;15),T1386,"")</f>
        <v/>
      </c>
      <c r="BB1386" s="87">
        <f>IF(R1386&lt;Q1386,"X","")</f>
        <v/>
      </c>
      <c r="BC1386" s="190" t="inlineStr">
        <is>
          <t>NO</t>
        </is>
      </c>
      <c r="BD1386" s="191" t="inlineStr">
        <is>
          <t>SI</t>
        </is>
      </c>
    </row>
    <row r="1387" ht="15" customHeight="1" s="162">
      <c r="A1387" s="7" t="n">
        <v>1386</v>
      </c>
      <c r="B1387" t="inlineStr">
        <is>
          <t>1238514152005</t>
        </is>
      </c>
      <c r="C1387" t="inlineStr">
        <is>
          <t>TERM PREAIS PUNTERA S=1,5MM2 L=12MM NEGR</t>
        </is>
      </c>
      <c r="D1387" t="inlineStr">
        <is>
          <t>1800113826</t>
        </is>
      </c>
      <c r="E1387" t="inlineStr">
        <is>
          <t>50</t>
        </is>
      </c>
      <c r="F1387" s="163" t="n">
        <v>45575</v>
      </c>
      <c r="G1387" t="inlineStr"/>
      <c r="H1387" t="inlineStr">
        <is>
          <t>4200581503</t>
        </is>
      </c>
      <c r="I1387" t="inlineStr">
        <is>
          <t>20</t>
        </is>
      </c>
      <c r="J1387" s="163" t="n">
        <v>45581</v>
      </c>
      <c r="K1387" s="163" t="n">
        <v>45583</v>
      </c>
      <c r="L1387" t="inlineStr"/>
      <c r="M1387" s="163" t="n">
        <v>45592</v>
      </c>
      <c r="N1387" s="164" t="n">
        <v>110</v>
      </c>
      <c r="O1387" s="164" t="n">
        <v>8</v>
      </c>
      <c r="P1387" t="inlineStr">
        <is>
          <t>Liberado</t>
        </is>
      </c>
      <c r="Q1387" s="166" t="n">
        <v>100</v>
      </c>
      <c r="R1387" s="166" t="n">
        <v>500</v>
      </c>
      <c r="S1387" s="166" t="n">
        <v>500</v>
      </c>
      <c r="T1387" s="166" t="n">
        <v>0</v>
      </c>
      <c r="U1387" s="166" t="n">
        <v>500</v>
      </c>
      <c r="V1387" s="166" t="n">
        <v>0</v>
      </c>
      <c r="W1387" t="inlineStr">
        <is>
          <t>X</t>
        </is>
      </c>
      <c r="X1387" t="inlineStr">
        <is>
          <t>0.00</t>
        </is>
      </c>
      <c r="Y1387" t="inlineStr"/>
      <c r="Z1387" t="inlineStr">
        <is>
          <t>(AEMSA)ALMACENES ELECTRICOS MADRILE</t>
        </is>
      </c>
      <c r="AA1387" t="inlineStr">
        <is>
          <t>CEMBRE</t>
        </is>
      </c>
      <c r="AB1387" t="inlineStr">
        <is>
          <t>PKD-1512</t>
        </is>
      </c>
      <c r="AC1387" t="inlineStr"/>
      <c r="AD1387" s="164" t="n">
        <v>0</v>
      </c>
      <c r="AE1387" s="185" t="n">
        <v>0</v>
      </c>
      <c r="AG1387" s="167" t="inlineStr">
        <is>
          <t>7218|JA2582_1001</t>
        </is>
      </c>
      <c r="AH1387" s="47">
        <f>IF(M1387=0,"-",M1387-J1387)</f>
        <v/>
      </c>
      <c r="AI1387" s="46">
        <f>IF(AND(S1387=0,M1387&gt;0,L1387=0),IF(AH1387&gt;=120,"VERY HIGH",IF(AH1387&gt;=90,"HIGH",IF(AH1387&gt;=60,"MEDIUM",IF(AH1387&lt;60,"LOW")))),"-")</f>
        <v/>
      </c>
      <c r="AJ1387" s="12" t="n"/>
      <c r="AK1387" s="53">
        <f>IF(AND(W1387="X",M1387&lt;=$AJ$2),"YES","")</f>
        <v/>
      </c>
      <c r="AL1387" s="54">
        <f>IF(AND(W1387="X",M1387&lt;=$AJ$2),S1387,"")</f>
        <v/>
      </c>
      <c r="AM1387" s="35" t="n"/>
      <c r="AN1387" s="35">
        <f>IF(AND(W1387="X",M1387&gt;$AJ$2),S1387,"")</f>
        <v/>
      </c>
      <c r="AO1387" s="35">
        <f>IF(AND(W1387="",M1387&gt;0,$AJ$2&gt;M1387,L1387=""),1,0)</f>
        <v/>
      </c>
      <c r="AP1387" s="35">
        <f>IF(AND(AK1387="YES",W1387="X"),"X","")</f>
        <v/>
      </c>
      <c r="AQ1387" s="55">
        <f>IF(AP1387="X",100%,0%)</f>
        <v/>
      </c>
      <c r="AR1387" s="25">
        <f>IF(AND(T1387&gt;0,L1387=""),H1387,"")</f>
        <v/>
      </c>
      <c r="AS1387" s="25">
        <f>IF(AND(D1387&gt;0,H1387=0,G1387=""),1,"")</f>
        <v/>
      </c>
      <c r="AT1387" s="25">
        <f>IF(G1387="BLOQ",1,"")</f>
        <v/>
      </c>
      <c r="AU1387" s="25">
        <f>IF(L1387="BLOQ",1,"")</f>
        <v/>
      </c>
      <c r="AV1387" s="25">
        <f>MONTH(F1387)</f>
        <v/>
      </c>
      <c r="AW1387" s="65">
        <f>IF(AP1387="",100%,0%)</f>
        <v/>
      </c>
      <c r="AX1387" s="56" t="n"/>
      <c r="AY1387" s="24">
        <f>IF(M1387=0,"",M1387-$AX$2)</f>
        <v/>
      </c>
      <c r="AZ1387" s="66">
        <f>IF(AND(W1387="",AY1387&gt;0,AY1387&lt;15),1,0)</f>
        <v/>
      </c>
      <c r="BA1387" s="24">
        <f>IF(AND(W1387="",AY1387&gt;0,AY1387&lt;15),T1387,"")</f>
        <v/>
      </c>
      <c r="BB1387" s="87">
        <f>IF(R1387&lt;Q1387,"X","")</f>
        <v/>
      </c>
      <c r="BC1387" s="190" t="inlineStr">
        <is>
          <t>NO</t>
        </is>
      </c>
      <c r="BD1387" s="191" t="inlineStr">
        <is>
          <t>SI</t>
        </is>
      </c>
    </row>
    <row r="1388" ht="15" customHeight="1" s="162">
      <c r="A1388" s="7" t="n">
        <v>1387</v>
      </c>
      <c r="B1388" t="inlineStr">
        <is>
          <t>0973580310100</t>
        </is>
      </c>
      <c r="C1388" t="inlineStr">
        <is>
          <t>CARRIL DIN</t>
        </is>
      </c>
      <c r="D1388" t="inlineStr">
        <is>
          <t>1800113827</t>
        </is>
      </c>
      <c r="E1388" t="inlineStr">
        <is>
          <t>10</t>
        </is>
      </c>
      <c r="F1388" s="163" t="n">
        <v>45575</v>
      </c>
      <c r="G1388" t="inlineStr"/>
      <c r="H1388" t="inlineStr">
        <is>
          <t>4200585312</t>
        </is>
      </c>
      <c r="I1388" t="inlineStr">
        <is>
          <t>20</t>
        </is>
      </c>
      <c r="J1388" s="163" t="n">
        <v>45608</v>
      </c>
      <c r="K1388" s="163" t="n">
        <v>45636</v>
      </c>
      <c r="L1388" t="inlineStr"/>
      <c r="M1388" s="163" t="n">
        <v>45866</v>
      </c>
      <c r="N1388" s="164" t="n">
        <v>0</v>
      </c>
      <c r="O1388" s="164" t="n">
        <v>8</v>
      </c>
      <c r="P1388" t="inlineStr">
        <is>
          <t>Liberado</t>
        </is>
      </c>
      <c r="Q1388" s="165" t="n">
        <v>2</v>
      </c>
      <c r="R1388" s="165" t="n">
        <v>2</v>
      </c>
      <c r="S1388" s="165" t="n">
        <v>6</v>
      </c>
      <c r="T1388" s="165" t="n">
        <v>0</v>
      </c>
      <c r="U1388" s="166" t="n">
        <v>2</v>
      </c>
      <c r="V1388" s="166" t="n">
        <v>4</v>
      </c>
      <c r="W1388" t="inlineStr">
        <is>
          <t>X</t>
        </is>
      </c>
      <c r="X1388" t="inlineStr">
        <is>
          <t>0.00</t>
        </is>
      </c>
      <c r="Y1388" t="inlineStr"/>
      <c r="Z1388" t="inlineStr">
        <is>
          <t>PUNZOMET S.L.</t>
        </is>
      </c>
      <c r="AA1388" t="inlineStr">
        <is>
          <t>INDRA SISTEMAS S.A.</t>
        </is>
      </c>
      <c r="AB1388" t="inlineStr">
        <is>
          <t>0973580310100</t>
        </is>
      </c>
      <c r="AC1388" t="inlineStr"/>
      <c r="AD1388" s="164" t="n">
        <v>2</v>
      </c>
      <c r="AE1388" s="185" t="n">
        <v>1</v>
      </c>
      <c r="AG1388" s="167" t="inlineStr">
        <is>
          <t>7218|JA2583_1001</t>
        </is>
      </c>
      <c r="AH1388" s="47">
        <f>IF(M1388=0,"-",M1388-J1388)</f>
        <v/>
      </c>
      <c r="AI1388" s="46">
        <f>IF(AND(S1388=0,M1388&gt;0,L1388=0),IF(AH1388&gt;=120,"VERY HIGH",IF(AH1388&gt;=90,"HIGH",IF(AH1388&gt;=60,"MEDIUM",IF(AH1388&lt;60,"LOW")))),"-")</f>
        <v/>
      </c>
      <c r="AJ1388" s="12" t="n"/>
      <c r="AK1388" s="53">
        <f>IF(AND(W1388="X",M1388&lt;=$AJ$2),"YES","")</f>
        <v/>
      </c>
      <c r="AL1388" s="54">
        <f>IF(AND(W1388="X",M1388&lt;=$AJ$2),S1388,"")</f>
        <v/>
      </c>
      <c r="AM1388" s="35" t="n"/>
      <c r="AN1388" s="35">
        <f>IF(AND(W1388="X",M1388&gt;$AJ$2),S1388,"")</f>
        <v/>
      </c>
      <c r="AO1388" s="35">
        <f>IF(AND(W1388="",M1388&gt;0,$AJ$2&gt;M1388,L1388=""),1,0)</f>
        <v/>
      </c>
      <c r="AP1388" s="35">
        <f>IF(AND(AK1388="YES",W1388="X"),"X","")</f>
        <v/>
      </c>
      <c r="AQ1388" s="55">
        <f>IF(AP1388="X",100%,0%)</f>
        <v/>
      </c>
      <c r="AR1388" s="25">
        <f>IF(AND(T1388&gt;0,L1388=""),H1388,"")</f>
        <v/>
      </c>
      <c r="AS1388" s="25">
        <f>IF(AND(D1388&gt;0,H1388=0,G1388=""),1,"")</f>
        <v/>
      </c>
      <c r="AT1388" s="25">
        <f>IF(G1388="BLOQ",1,"")</f>
        <v/>
      </c>
      <c r="AU1388" s="25">
        <f>IF(L1388="BLOQ",1,"")</f>
        <v/>
      </c>
      <c r="AV1388" s="25">
        <f>MONTH(F1388)</f>
        <v/>
      </c>
      <c r="AW1388" s="65">
        <f>IF(AP1388="",100%,0%)</f>
        <v/>
      </c>
      <c r="AX1388" s="56" t="n"/>
      <c r="AY1388" s="24">
        <f>IF(M1388=0,"",M1388-$AX$2)</f>
        <v/>
      </c>
      <c r="AZ1388" s="66">
        <f>IF(AND(W1388="",AY1388&gt;0,AY1388&lt;15),1,0)</f>
        <v/>
      </c>
      <c r="BA1388" s="24">
        <f>IF(AND(W1388="",AY1388&gt;0,AY1388&lt;15),T1388,"")</f>
        <v/>
      </c>
      <c r="BB1388" s="87">
        <f>IF(R1388&lt;Q1388,"X","")</f>
        <v/>
      </c>
      <c r="BC1388" s="191" t="inlineStr">
        <is>
          <t>SI</t>
        </is>
      </c>
      <c r="BD1388" s="191" t="inlineStr">
        <is>
          <t>SI</t>
        </is>
      </c>
    </row>
    <row r="1389" ht="15" customHeight="1" s="162">
      <c r="A1389" s="7" t="n">
        <v>1388</v>
      </c>
      <c r="B1389" t="inlineStr">
        <is>
          <t>0973581310100</t>
        </is>
      </c>
      <c r="C1389" t="inlineStr">
        <is>
          <t>CARRIL DIN</t>
        </is>
      </c>
      <c r="D1389" t="inlineStr">
        <is>
          <t>1800113827</t>
        </is>
      </c>
      <c r="E1389" t="inlineStr">
        <is>
          <t>20</t>
        </is>
      </c>
      <c r="F1389" s="163" t="n">
        <v>45575</v>
      </c>
      <c r="G1389" t="inlineStr"/>
      <c r="H1389" t="inlineStr">
        <is>
          <t>4200585312</t>
        </is>
      </c>
      <c r="I1389" t="inlineStr">
        <is>
          <t>30</t>
        </is>
      </c>
      <c r="J1389" s="163" t="n">
        <v>45608</v>
      </c>
      <c r="K1389" s="163" t="n">
        <v>45636</v>
      </c>
      <c r="L1389" t="inlineStr"/>
      <c r="M1389" s="163" t="n">
        <v>45653</v>
      </c>
      <c r="N1389" s="164" t="n">
        <v>0</v>
      </c>
      <c r="O1389" s="164" t="n">
        <v>8</v>
      </c>
      <c r="P1389" t="inlineStr">
        <is>
          <t>Liberado</t>
        </is>
      </c>
      <c r="Q1389" s="165" t="n">
        <v>1</v>
      </c>
      <c r="R1389" s="165" t="n">
        <v>1</v>
      </c>
      <c r="S1389" s="165" t="n">
        <v>1</v>
      </c>
      <c r="T1389" s="165" t="n">
        <v>0</v>
      </c>
      <c r="U1389" s="166" t="n">
        <v>1</v>
      </c>
      <c r="V1389" s="166" t="n">
        <v>0</v>
      </c>
      <c r="W1389" t="inlineStr">
        <is>
          <t>X</t>
        </is>
      </c>
      <c r="X1389" t="inlineStr">
        <is>
          <t>0.00</t>
        </is>
      </c>
      <c r="Y1389" t="inlineStr"/>
      <c r="Z1389" t="inlineStr">
        <is>
          <t>PUNZOMET S.L.</t>
        </is>
      </c>
      <c r="AA1389" t="inlineStr">
        <is>
          <t>INDRA SISTEMAS S.A.</t>
        </is>
      </c>
      <c r="AB1389" t="inlineStr">
        <is>
          <t>0973581310100</t>
        </is>
      </c>
      <c r="AC1389" t="inlineStr"/>
      <c r="AD1389" s="164" t="n">
        <v>0</v>
      </c>
      <c r="AE1389" s="185" t="n">
        <v>0</v>
      </c>
      <c r="AG1389" s="167" t="inlineStr">
        <is>
          <t>7218|JA2583_1001</t>
        </is>
      </c>
      <c r="AH1389" s="47">
        <f>IF(M1389=0,"-",M1389-J1389)</f>
        <v/>
      </c>
      <c r="AI1389" s="46">
        <f>IF(AND(S1389=0,M1389&gt;0,L1389=0),IF(AH1389&gt;=120,"VERY HIGH",IF(AH1389&gt;=90,"HIGH",IF(AH1389&gt;=60,"MEDIUM",IF(AH1389&lt;60,"LOW")))),"-")</f>
        <v/>
      </c>
      <c r="AJ1389" s="12" t="n"/>
      <c r="AK1389" s="53">
        <f>IF(AND(W1389="X",M1389&lt;=$AJ$2),"YES","")</f>
        <v/>
      </c>
      <c r="AL1389" s="54">
        <f>IF(AND(W1389="X",M1389&lt;=$AJ$2),S1389,"")</f>
        <v/>
      </c>
      <c r="AM1389" s="35" t="n"/>
      <c r="AN1389" s="35">
        <f>IF(AND(W1389="X",M1389&gt;$AJ$2),S1389,"")</f>
        <v/>
      </c>
      <c r="AO1389" s="35">
        <f>IF(AND(W1389="",M1389&gt;0,$AJ$2&gt;M1389,L1389=""),1,0)</f>
        <v/>
      </c>
      <c r="AP1389" s="35">
        <f>IF(AND(AK1389="YES",W1389="X"),"X","")</f>
        <v/>
      </c>
      <c r="AQ1389" s="55">
        <f>IF(AP1389="X",100%,0%)</f>
        <v/>
      </c>
      <c r="AR1389" s="25">
        <f>IF(AND(T1389&gt;0,L1389=""),H1389,"")</f>
        <v/>
      </c>
      <c r="AS1389" s="25">
        <f>IF(AND(D1389&gt;0,H1389=0,G1389=""),1,"")</f>
        <v/>
      </c>
      <c r="AT1389" s="25">
        <f>IF(G1389="BLOQ",1,"")</f>
        <v/>
      </c>
      <c r="AU1389" s="25">
        <f>IF(L1389="BLOQ",1,"")</f>
        <v/>
      </c>
      <c r="AV1389" s="25">
        <f>MONTH(F1389)</f>
        <v/>
      </c>
      <c r="AW1389" s="65">
        <f>IF(AP1389="",100%,0%)</f>
        <v/>
      </c>
      <c r="AX1389" s="56" t="n"/>
      <c r="AY1389" s="24">
        <f>IF(M1389=0,"",M1389-$AX$2)</f>
        <v/>
      </c>
      <c r="AZ1389" s="66">
        <f>IF(AND(W1389="",AY1389&gt;0,AY1389&lt;15),1,0)</f>
        <v/>
      </c>
      <c r="BA1389" s="24">
        <f>IF(AND(W1389="",AY1389&gt;0,AY1389&lt;15),T1389,"")</f>
        <v/>
      </c>
      <c r="BB1389" s="87">
        <f>IF(R1389&lt;Q1389,"X","")</f>
        <v/>
      </c>
      <c r="BC1389" s="191" t="inlineStr">
        <is>
          <t>SI</t>
        </is>
      </c>
      <c r="BD1389" s="191" t="inlineStr">
        <is>
          <t>SI</t>
        </is>
      </c>
    </row>
    <row r="1390" ht="15" customHeight="1" s="162">
      <c r="A1390" s="7" t="n">
        <v>1389</v>
      </c>
      <c r="B1390" t="inlineStr">
        <is>
          <t>1002548203009</t>
        </is>
      </c>
      <c r="C1390" t="inlineStr">
        <is>
          <t>RST PELCAR 8K205% 1/4W 0207</t>
        </is>
      </c>
      <c r="D1390" t="inlineStr">
        <is>
          <t>1800113827</t>
        </is>
      </c>
      <c r="E1390" t="inlineStr">
        <is>
          <t>30</t>
        </is>
      </c>
      <c r="F1390" s="163" t="n">
        <v>45575</v>
      </c>
      <c r="G1390" t="inlineStr"/>
      <c r="H1390" t="inlineStr">
        <is>
          <t>4200581080</t>
        </is>
      </c>
      <c r="I1390" t="inlineStr">
        <is>
          <t>100</t>
        </is>
      </c>
      <c r="J1390" s="163" t="n">
        <v>45579</v>
      </c>
      <c r="K1390" s="163" t="n">
        <v>45581</v>
      </c>
      <c r="L1390" t="inlineStr"/>
      <c r="M1390" s="163" t="n">
        <v>45595</v>
      </c>
      <c r="N1390" s="164" t="n">
        <v>30</v>
      </c>
      <c r="O1390" s="164" t="n">
        <v>8</v>
      </c>
      <c r="P1390" t="inlineStr">
        <is>
          <t>Liberado</t>
        </is>
      </c>
      <c r="Q1390" s="165" t="n">
        <v>40</v>
      </c>
      <c r="R1390" s="165" t="n">
        <v>40</v>
      </c>
      <c r="S1390" s="165" t="n">
        <v>40</v>
      </c>
      <c r="T1390" s="165" t="n">
        <v>0</v>
      </c>
      <c r="U1390" s="166" t="n">
        <v>40</v>
      </c>
      <c r="V1390" s="166" t="n">
        <v>0</v>
      </c>
      <c r="W1390" t="inlineStr">
        <is>
          <t>X</t>
        </is>
      </c>
      <c r="X1390" t="inlineStr">
        <is>
          <t>0.00</t>
        </is>
      </c>
      <c r="Y1390" t="inlineStr"/>
      <c r="Z1390" t="inlineStr">
        <is>
          <t>TCX MICRO, S.L.U</t>
        </is>
      </c>
      <c r="AA1390" t="inlineStr"/>
      <c r="AB1390" t="inlineStr"/>
      <c r="AC1390" t="inlineStr"/>
      <c r="AD1390" s="164" t="n">
        <v>0</v>
      </c>
      <c r="AE1390" s="185" t="n">
        <v>0</v>
      </c>
      <c r="AG1390" s="167" t="inlineStr">
        <is>
          <t>7218|JA2583_1001</t>
        </is>
      </c>
      <c r="AH1390" s="47">
        <f>IF(M1390=0,"-",M1390-J1390)</f>
        <v/>
      </c>
      <c r="AI1390" s="46">
        <f>IF(AND(S1390=0,M1390&gt;0,L1390=0),IF(AH1390&gt;=120,"VERY HIGH",IF(AH1390&gt;=90,"HIGH",IF(AH1390&gt;=60,"MEDIUM",IF(AH1390&lt;60,"LOW")))),"-")</f>
        <v/>
      </c>
      <c r="AJ1390" s="12" t="n"/>
      <c r="AK1390" s="53">
        <f>IF(AND(W1390="X",M1390&lt;=$AJ$2),"YES","")</f>
        <v/>
      </c>
      <c r="AL1390" s="54">
        <f>IF(AND(W1390="X",M1390&lt;=$AJ$2),S1390,"")</f>
        <v/>
      </c>
      <c r="AM1390" s="35" t="n"/>
      <c r="AN1390" s="35">
        <f>IF(AND(W1390="X",M1390&gt;$AJ$2),S1390,"")</f>
        <v/>
      </c>
      <c r="AO1390" s="35">
        <f>IF(AND(W1390="",M1390&gt;0,$AJ$2&gt;M1390,L1390=""),1,0)</f>
        <v/>
      </c>
      <c r="AP1390" s="35">
        <f>IF(AND(AK1390="YES",W1390="X"),"X","")</f>
        <v/>
      </c>
      <c r="AQ1390" s="55">
        <f>IF(AP1390="X",100%,0%)</f>
        <v/>
      </c>
      <c r="AR1390" s="25">
        <f>IF(AND(T1390&gt;0,L1390=""),H1390,"")</f>
        <v/>
      </c>
      <c r="AS1390" s="25">
        <f>IF(AND(D1390&gt;0,H1390=0,G1390=""),1,"")</f>
        <v/>
      </c>
      <c r="AT1390" s="25">
        <f>IF(G1390="BLOQ",1,"")</f>
        <v/>
      </c>
      <c r="AU1390" s="25">
        <f>IF(L1390="BLOQ",1,"")</f>
        <v/>
      </c>
      <c r="AV1390" s="25">
        <f>MONTH(F1390)</f>
        <v/>
      </c>
      <c r="AW1390" s="65">
        <f>IF(AP1390="",100%,0%)</f>
        <v/>
      </c>
      <c r="AX1390" s="56" t="n"/>
      <c r="AY1390" s="24">
        <f>IF(M1390=0,"",M1390-$AX$2)</f>
        <v/>
      </c>
      <c r="AZ1390" s="66">
        <f>IF(AND(W1390="",AY1390&gt;0,AY1390&lt;15),1,0)</f>
        <v/>
      </c>
      <c r="BA1390" s="24">
        <f>IF(AND(W1390="",AY1390&gt;0,AY1390&lt;15),T1390,"")</f>
        <v/>
      </c>
      <c r="BB1390" s="87">
        <f>IF(R1390&lt;Q1390,"X","")</f>
        <v/>
      </c>
      <c r="BC1390" s="190" t="inlineStr">
        <is>
          <t>NO</t>
        </is>
      </c>
      <c r="BD1390" s="191" t="inlineStr">
        <is>
          <t>SI</t>
        </is>
      </c>
    </row>
    <row r="1391" ht="15" customHeight="1" s="162">
      <c r="A1391" s="7" t="n">
        <v>1390</v>
      </c>
      <c r="B1391" t="inlineStr">
        <is>
          <t>1390700725500</t>
        </is>
      </c>
      <c r="C1391" t="inlineStr">
        <is>
          <t>GEAR BOX A320</t>
        </is>
      </c>
      <c r="D1391" t="inlineStr">
        <is>
          <t>1800113827</t>
        </is>
      </c>
      <c r="E1391" t="inlineStr">
        <is>
          <t>40</t>
        </is>
      </c>
      <c r="F1391" s="163" t="n">
        <v>45575</v>
      </c>
      <c r="G1391" t="inlineStr"/>
      <c r="H1391" t="inlineStr">
        <is>
          <t>4600004155</t>
        </is>
      </c>
      <c r="I1391" t="inlineStr">
        <is>
          <t>10</t>
        </is>
      </c>
      <c r="J1391" s="163" t="n">
        <v>45610</v>
      </c>
      <c r="K1391" s="163" t="n">
        <v>45610</v>
      </c>
      <c r="L1391" t="inlineStr">
        <is>
          <t>BORR</t>
        </is>
      </c>
      <c r="M1391" s="163" t="n">
        <v>45622</v>
      </c>
      <c r="N1391" s="164" t="n">
        <v>40</v>
      </c>
      <c r="O1391" s="164" t="n">
        <v>8</v>
      </c>
      <c r="P1391" t="inlineStr"/>
      <c r="Q1391" s="165" t="n">
        <v>1</v>
      </c>
      <c r="R1391" s="165" t="n">
        <v>1</v>
      </c>
      <c r="S1391" s="165" t="n">
        <v>0</v>
      </c>
      <c r="T1391" s="165" t="n">
        <v>1</v>
      </c>
      <c r="U1391" s="166" t="n">
        <v>0</v>
      </c>
      <c r="V1391" s="166" t="n">
        <v>0</v>
      </c>
      <c r="W1391" t="inlineStr"/>
      <c r="X1391" t="inlineStr">
        <is>
          <t>1470.00</t>
        </is>
      </c>
      <c r="Y1391" t="inlineStr"/>
      <c r="Z1391" t="inlineStr">
        <is>
          <t>TOULOUSE AIR SPARES</t>
        </is>
      </c>
      <c r="AA1391" t="inlineStr">
        <is>
          <t>AIRBUS INDUSTRIE</t>
        </is>
      </c>
      <c r="AB1391" t="inlineStr">
        <is>
          <t>D3231007000100</t>
        </is>
      </c>
      <c r="AC1391" t="inlineStr"/>
      <c r="AD1391" s="164" t="n">
        <v>0</v>
      </c>
      <c r="AE1391" s="185" t="n">
        <v>0</v>
      </c>
      <c r="AG1391" s="167" t="inlineStr">
        <is>
          <t>7218|JA2583_1001</t>
        </is>
      </c>
      <c r="AH1391" s="47">
        <f>IF(M1391=0,"-",M1391-J1391)</f>
        <v/>
      </c>
      <c r="AI1391" s="46">
        <f>IF(AND(S1391=0,M1391&gt;0,L1391=0),IF(AH1391&gt;=120,"VERY HIGH",IF(AH1391&gt;=90,"HIGH",IF(AH1391&gt;=60,"MEDIUM",IF(AH1391&lt;60,"LOW")))),"-")</f>
        <v/>
      </c>
      <c r="AJ1391" s="12" t="n"/>
      <c r="AK1391" s="53">
        <f>IF(AND(W1391="X",M1391&lt;=$AJ$2),"YES","")</f>
        <v/>
      </c>
      <c r="AL1391" s="54">
        <f>IF(AND(W1391="X",M1391&lt;=$AJ$2),S1391,"")</f>
        <v/>
      </c>
      <c r="AM1391" s="35" t="n"/>
      <c r="AN1391" s="35">
        <f>IF(AND(W1391="X",M1391&gt;$AJ$2),S1391,"")</f>
        <v/>
      </c>
      <c r="AO1391" s="35">
        <f>IF(AND(W1391="",M1391&gt;0,$AJ$2&gt;M1391,L1391=""),1,0)</f>
        <v/>
      </c>
      <c r="AP1391" s="35">
        <f>IF(AND(AK1391="YES",W1391="X"),"X","")</f>
        <v/>
      </c>
      <c r="AQ1391" s="55">
        <f>IF(AP1391="X",100%,0%)</f>
        <v/>
      </c>
      <c r="AR1391" s="25">
        <f>IF(AND(T1391&gt;0,L1391=""),H1391,"")</f>
        <v/>
      </c>
      <c r="AS1391" s="25">
        <f>IF(AND(D1391&gt;0,H1391=0,G1391=""),1,"")</f>
        <v/>
      </c>
      <c r="AT1391" s="25">
        <f>IF(G1391="BLOQ",1,"")</f>
        <v/>
      </c>
      <c r="AU1391" s="25">
        <f>IF(L1391="BLOQ",1,"")</f>
        <v/>
      </c>
      <c r="AV1391" s="25">
        <f>MONTH(F1391)</f>
        <v/>
      </c>
      <c r="AW1391" s="65">
        <f>IF(AP1391="",100%,0%)</f>
        <v/>
      </c>
      <c r="AX1391" s="56" t="n"/>
      <c r="AY1391" s="24">
        <f>IF(M1391=0,"",M1391-$AX$2)</f>
        <v/>
      </c>
      <c r="AZ1391" s="66">
        <f>IF(AND(W1391="",AY1391&gt;0,AY1391&lt;15),1,0)</f>
        <v/>
      </c>
      <c r="BA1391" s="24">
        <f>IF(AND(W1391="",AY1391&gt;0,AY1391&lt;15),T1391,"")</f>
        <v/>
      </c>
      <c r="BB1391" s="87">
        <f>IF(R1391&lt;Q1391,"X","")</f>
        <v/>
      </c>
      <c r="BC1391" s="191" t="inlineStr">
        <is>
          <t>SI</t>
        </is>
      </c>
      <c r="BD1391" s="191" t="inlineStr">
        <is>
          <t>SI</t>
        </is>
      </c>
    </row>
    <row r="1392" ht="15" customHeight="1" s="162">
      <c r="A1392" s="7" t="n">
        <v>1391</v>
      </c>
      <c r="B1392" t="inlineStr">
        <is>
          <t>1390700725500</t>
        </is>
      </c>
      <c r="C1392" t="inlineStr">
        <is>
          <t>GEAR BOX A320</t>
        </is>
      </c>
      <c r="D1392" t="inlineStr">
        <is>
          <t>1800113827</t>
        </is>
      </c>
      <c r="E1392" t="inlineStr">
        <is>
          <t>40</t>
        </is>
      </c>
      <c r="F1392" s="163" t="n">
        <v>45575</v>
      </c>
      <c r="G1392" t="inlineStr"/>
      <c r="H1392" t="inlineStr">
        <is>
          <t>4600004293</t>
        </is>
      </c>
      <c r="I1392" t="inlineStr">
        <is>
          <t>10</t>
        </is>
      </c>
      <c r="J1392" s="163" t="n">
        <v>45677</v>
      </c>
      <c r="K1392" s="163" t="n">
        <v>45678</v>
      </c>
      <c r="L1392" t="inlineStr"/>
      <c r="M1392" s="163" t="n">
        <v>45686</v>
      </c>
      <c r="N1392" s="164" t="n">
        <v>40</v>
      </c>
      <c r="O1392" s="164" t="n">
        <v>8</v>
      </c>
      <c r="P1392" t="inlineStr">
        <is>
          <t>Liberado</t>
        </is>
      </c>
      <c r="Q1392" s="165" t="n">
        <v>1</v>
      </c>
      <c r="R1392" s="165" t="n">
        <v>1</v>
      </c>
      <c r="S1392" s="165" t="n">
        <v>0</v>
      </c>
      <c r="T1392" s="165" t="n">
        <v>1</v>
      </c>
      <c r="U1392" s="166" t="n">
        <v>0</v>
      </c>
      <c r="V1392" s="166" t="n">
        <v>0</v>
      </c>
      <c r="W1392" t="inlineStr"/>
      <c r="X1392" t="inlineStr">
        <is>
          <t>1470.00</t>
        </is>
      </c>
      <c r="Y1392" t="inlineStr"/>
      <c r="Z1392" t="inlineStr">
        <is>
          <t>TOULOUSE AIR SPARES</t>
        </is>
      </c>
      <c r="AA1392" t="inlineStr">
        <is>
          <t>AIRBUS INDUSTRIE</t>
        </is>
      </c>
      <c r="AB1392" t="inlineStr">
        <is>
          <t>D3231007000100</t>
        </is>
      </c>
      <c r="AC1392" t="inlineStr"/>
      <c r="AD1392" s="164" t="n">
        <v>0</v>
      </c>
      <c r="AE1392" s="185" t="n">
        <v>0</v>
      </c>
      <c r="AG1392" s="167" t="inlineStr">
        <is>
          <t>7218|JA2583_1001</t>
        </is>
      </c>
      <c r="AH1392" s="47">
        <f>IF(M1392=0,"-",M1392-J1392)</f>
        <v/>
      </c>
      <c r="AI1392" s="46">
        <f>IF(AND(S1392=0,M1392&gt;0,L1392=0),IF(AH1392&gt;=120,"VERY HIGH",IF(AH1392&gt;=90,"HIGH",IF(AH1392&gt;=60,"MEDIUM",IF(AH1392&lt;60,"LOW")))),"-")</f>
        <v/>
      </c>
      <c r="AJ1392" s="12" t="n"/>
      <c r="AK1392" s="53">
        <f>IF(AND(W1392="X",M1392&lt;=$AJ$2),"YES","")</f>
        <v/>
      </c>
      <c r="AL1392" s="54">
        <f>IF(AND(W1392="X",M1392&lt;=$AJ$2),S1392,"")</f>
        <v/>
      </c>
      <c r="AM1392" s="35" t="n"/>
      <c r="AN1392" s="35">
        <f>IF(AND(W1392="X",M1392&gt;$AJ$2),S1392,"")</f>
        <v/>
      </c>
      <c r="AO1392" s="35">
        <f>IF(AND(W1392="",M1392&gt;0,$AJ$2&gt;M1392,L1392=""),1,0)</f>
        <v/>
      </c>
      <c r="AP1392" s="35">
        <f>IF(AND(AK1392="YES",W1392="X"),"X","")</f>
        <v/>
      </c>
      <c r="AQ1392" s="55">
        <f>IF(AP1392="X",100%,0%)</f>
        <v/>
      </c>
      <c r="AR1392" s="25">
        <f>IF(AND(T1392&gt;0,L1392=""),H1392,"")</f>
        <v/>
      </c>
      <c r="AS1392" s="25">
        <f>IF(AND(D1392&gt;0,H1392=0,G1392=""),1,"")</f>
        <v/>
      </c>
      <c r="AT1392" s="25">
        <f>IF(G1392="BLOQ",1,"")</f>
        <v/>
      </c>
      <c r="AU1392" s="25">
        <f>IF(L1392="BLOQ",1,"")</f>
        <v/>
      </c>
      <c r="AV1392" s="25">
        <f>MONTH(F1392)</f>
        <v/>
      </c>
      <c r="AW1392" s="65">
        <f>IF(AP1392="",100%,0%)</f>
        <v/>
      </c>
      <c r="AX1392" s="56" t="n"/>
      <c r="AY1392" s="24">
        <f>IF(M1392=0,"",M1392-$AX$2)</f>
        <v/>
      </c>
      <c r="AZ1392" s="66">
        <f>IF(AND(W1392="",AY1392&gt;0,AY1392&lt;15),1,0)</f>
        <v/>
      </c>
      <c r="BA1392" s="24">
        <f>IF(AND(W1392="",AY1392&gt;0,AY1392&lt;15),T1392,"")</f>
        <v/>
      </c>
      <c r="BB1392" s="87">
        <f>IF(R1392&lt;Q1392,"X","")</f>
        <v/>
      </c>
      <c r="BC1392" s="191" t="inlineStr">
        <is>
          <t>SI</t>
        </is>
      </c>
      <c r="BD1392" s="191" t="inlineStr">
        <is>
          <t>SI</t>
        </is>
      </c>
    </row>
    <row r="1393" ht="15" customHeight="1" s="162">
      <c r="A1393" s="7" t="n">
        <v>1392</v>
      </c>
      <c r="B1393" t="inlineStr">
        <is>
          <t>1580160090000</t>
        </is>
      </c>
      <c r="C1393" t="inlineStr">
        <is>
          <t>SEPARADOR HEXAG M3 M/H L=5MM LATON NI</t>
        </is>
      </c>
      <c r="D1393" t="inlineStr">
        <is>
          <t>1800113828</t>
        </is>
      </c>
      <c r="E1393" t="inlineStr">
        <is>
          <t>10</t>
        </is>
      </c>
      <c r="F1393" s="163" t="n">
        <v>45575</v>
      </c>
      <c r="G1393" t="inlineStr"/>
      <c r="H1393" t="inlineStr">
        <is>
          <t>4200587937</t>
        </is>
      </c>
      <c r="I1393" t="inlineStr">
        <is>
          <t>50</t>
        </is>
      </c>
      <c r="J1393" s="163" t="n">
        <v>45625</v>
      </c>
      <c r="K1393" s="163" t="n">
        <v>45722</v>
      </c>
      <c r="L1393" t="inlineStr"/>
      <c r="M1393" s="163" t="n">
        <v>45670</v>
      </c>
      <c r="N1393" s="164" t="n">
        <v>30</v>
      </c>
      <c r="O1393" s="164" t="n">
        <v>8</v>
      </c>
      <c r="P1393" t="inlineStr">
        <is>
          <t>Liberado</t>
        </is>
      </c>
      <c r="Q1393" s="165" t="n">
        <v>400</v>
      </c>
      <c r="R1393" s="165" t="n">
        <v>400</v>
      </c>
      <c r="S1393" s="165" t="n">
        <v>400</v>
      </c>
      <c r="T1393" s="165" t="n">
        <v>0</v>
      </c>
      <c r="U1393" s="166" t="n">
        <v>400</v>
      </c>
      <c r="V1393" s="166" t="n">
        <v>0</v>
      </c>
      <c r="W1393" t="inlineStr">
        <is>
          <t>X</t>
        </is>
      </c>
      <c r="X1393" t="inlineStr">
        <is>
          <t>0.00</t>
        </is>
      </c>
      <c r="Y1393" t="inlineStr"/>
      <c r="Z1393" t="inlineStr">
        <is>
          <t>AMIDATA, S.A.</t>
        </is>
      </c>
      <c r="AA1393" t="inlineStr">
        <is>
          <t>RS</t>
        </is>
      </c>
      <c r="AB1393" t="inlineStr">
        <is>
          <t>606-670</t>
        </is>
      </c>
      <c r="AC1393" t="inlineStr"/>
      <c r="AD1393" s="164" t="n">
        <v>1</v>
      </c>
      <c r="AE1393" s="185" t="n">
        <v>1</v>
      </c>
      <c r="AG1393" s="167" t="inlineStr">
        <is>
          <t>7218|JA2584_1001</t>
        </is>
      </c>
      <c r="AH1393" s="47">
        <f>IF(M1393=0,"-",M1393-J1393)</f>
        <v/>
      </c>
      <c r="AI1393" s="46">
        <f>IF(AND(S1393=0,M1393&gt;0,L1393=0),IF(AH1393&gt;=120,"VERY HIGH",IF(AH1393&gt;=90,"HIGH",IF(AH1393&gt;=60,"MEDIUM",IF(AH1393&lt;60,"LOW")))),"-")</f>
        <v/>
      </c>
      <c r="AJ1393" s="12" t="n"/>
      <c r="AK1393" s="53">
        <f>IF(AND(W1393="X",M1393&lt;=$AJ$2),"YES","")</f>
        <v/>
      </c>
      <c r="AL1393" s="54">
        <f>IF(AND(W1393="X",M1393&lt;=$AJ$2),S1393,"")</f>
        <v/>
      </c>
      <c r="AM1393" s="35" t="n"/>
      <c r="AN1393" s="35">
        <f>IF(AND(W1393="X",M1393&gt;$AJ$2),S1393,"")</f>
        <v/>
      </c>
      <c r="AO1393" s="35">
        <f>IF(AND(W1393="",M1393&gt;0,$AJ$2&gt;M1393,L1393=""),1,0)</f>
        <v/>
      </c>
      <c r="AP1393" s="35">
        <f>IF(AND(AK1393="YES",W1393="X"),"X","")</f>
        <v/>
      </c>
      <c r="AQ1393" s="55">
        <f>IF(AP1393="X",100%,0%)</f>
        <v/>
      </c>
      <c r="AR1393" s="25">
        <f>IF(AND(T1393&gt;0,L1393=""),H1393,"")</f>
        <v/>
      </c>
      <c r="AS1393" s="25">
        <f>IF(AND(D1393&gt;0,H1393=0,G1393=""),1,"")</f>
        <v/>
      </c>
      <c r="AT1393" s="25">
        <f>IF(G1393="BLOQ",1,"")</f>
        <v/>
      </c>
      <c r="AU1393" s="25">
        <f>IF(L1393="BLOQ",1,"")</f>
        <v/>
      </c>
      <c r="AV1393" s="25">
        <f>MONTH(F1393)</f>
        <v/>
      </c>
      <c r="AW1393" s="65">
        <f>IF(AP1393="",100%,0%)</f>
        <v/>
      </c>
      <c r="AX1393" s="56" t="n"/>
      <c r="AY1393" s="24">
        <f>IF(M1393=0,"",M1393-$AX$2)</f>
        <v/>
      </c>
      <c r="AZ1393" s="66">
        <f>IF(AND(W1393="",AY1393&gt;0,AY1393&lt;15),1,0)</f>
        <v/>
      </c>
      <c r="BA1393" s="24">
        <f>IF(AND(W1393="",AY1393&gt;0,AY1393&lt;15),T1393,"")</f>
        <v/>
      </c>
      <c r="BB1393" s="87">
        <f>IF(R1393&lt;Q1393,"X","")</f>
        <v/>
      </c>
      <c r="BC1393" s="190" t="inlineStr">
        <is>
          <t>NO</t>
        </is>
      </c>
      <c r="BD1393" s="191" t="inlineStr">
        <is>
          <t>SI</t>
        </is>
      </c>
    </row>
    <row r="1394" ht="15" customHeight="1" s="162">
      <c r="A1394" s="7" t="n">
        <v>1393</v>
      </c>
      <c r="B1394" t="inlineStr">
        <is>
          <t>3050501221300</t>
        </is>
      </c>
      <c r="C1394" t="inlineStr">
        <is>
          <t>MEMORY RAM SODIMM 16GB 3200MHZ 1.2V DDR4</t>
        </is>
      </c>
      <c r="D1394" t="inlineStr">
        <is>
          <t>1800113829</t>
        </is>
      </c>
      <c r="E1394" t="inlineStr">
        <is>
          <t>10</t>
        </is>
      </c>
      <c r="F1394" s="163" t="n">
        <v>45575</v>
      </c>
      <c r="G1394" t="inlineStr"/>
      <c r="H1394" t="inlineStr">
        <is>
          <t>4200581704</t>
        </is>
      </c>
      <c r="I1394" t="inlineStr">
        <is>
          <t>10</t>
        </is>
      </c>
      <c r="J1394" s="163" t="n">
        <v>45582</v>
      </c>
      <c r="K1394" s="163" t="n">
        <v>45583</v>
      </c>
      <c r="L1394" t="inlineStr"/>
      <c r="M1394" s="163" t="n">
        <v>45595</v>
      </c>
      <c r="N1394" s="164" t="n">
        <v>40</v>
      </c>
      <c r="O1394" s="164" t="n">
        <v>8</v>
      </c>
      <c r="P1394" t="inlineStr">
        <is>
          <t>Liberado</t>
        </is>
      </c>
      <c r="Q1394" s="165" t="n">
        <v>2</v>
      </c>
      <c r="R1394" s="165" t="n">
        <v>2</v>
      </c>
      <c r="S1394" s="165" t="n">
        <v>2</v>
      </c>
      <c r="T1394" s="165" t="n">
        <v>0</v>
      </c>
      <c r="U1394" s="166" t="n">
        <v>2</v>
      </c>
      <c r="V1394" s="166" t="n">
        <v>0</v>
      </c>
      <c r="W1394" t="inlineStr">
        <is>
          <t>X</t>
        </is>
      </c>
      <c r="X1394" t="inlineStr">
        <is>
          <t>0.00</t>
        </is>
      </c>
      <c r="Y1394" t="inlineStr"/>
      <c r="Z1394" t="inlineStr">
        <is>
          <t>COMPUTER TRADING S. L.</t>
        </is>
      </c>
      <c r="AA1394" t="inlineStr">
        <is>
          <t>CRUCIAL</t>
        </is>
      </c>
      <c r="AB1394" t="inlineStr">
        <is>
          <t>CT16G4SFD832A</t>
        </is>
      </c>
      <c r="AC1394" t="inlineStr"/>
      <c r="AD1394" s="164" t="n">
        <v>0</v>
      </c>
      <c r="AE1394" s="185" t="n">
        <v>0</v>
      </c>
      <c r="AG1394" s="167" t="inlineStr">
        <is>
          <t>7218|JA2585_1001</t>
        </is>
      </c>
      <c r="AH1394" s="47">
        <f>IF(M1394=0,"-",M1394-J1394)</f>
        <v/>
      </c>
      <c r="AI1394" s="46">
        <f>IF(AND(S1394=0,M1394&gt;0,L1394=0),IF(AH1394&gt;=120,"VERY HIGH",IF(AH1394&gt;=90,"HIGH",IF(AH1394&gt;=60,"MEDIUM",IF(AH1394&lt;60,"LOW")))),"-")</f>
        <v/>
      </c>
      <c r="AJ1394" s="12" t="n"/>
      <c r="AK1394" s="53">
        <f>IF(AND(W1394="X",M1394&lt;=$AJ$2),"YES","")</f>
        <v/>
      </c>
      <c r="AL1394" s="54">
        <f>IF(AND(W1394="X",M1394&lt;=$AJ$2),S1394,"")</f>
        <v/>
      </c>
      <c r="AM1394" s="35" t="n"/>
      <c r="AN1394" s="35">
        <f>IF(AND(W1394="X",M1394&gt;$AJ$2),S1394,"")</f>
        <v/>
      </c>
      <c r="AO1394" s="35">
        <f>IF(AND(W1394="",M1394&gt;0,$AJ$2&gt;M1394,L1394=""),1,0)</f>
        <v/>
      </c>
      <c r="AP1394" s="35">
        <f>IF(AND(AK1394="YES",W1394="X"),"X","")</f>
        <v/>
      </c>
      <c r="AQ1394" s="55">
        <f>IF(AP1394="X",100%,0%)</f>
        <v/>
      </c>
      <c r="AR1394" s="25">
        <f>IF(AND(T1394&gt;0,L1394=""),H1394,"")</f>
        <v/>
      </c>
      <c r="AS1394" s="25">
        <f>IF(AND(D1394&gt;0,H1394=0,G1394=""),1,"")</f>
        <v/>
      </c>
      <c r="AT1394" s="25">
        <f>IF(G1394="BLOQ",1,"")</f>
        <v/>
      </c>
      <c r="AU1394" s="25">
        <f>IF(L1394="BLOQ",1,"")</f>
        <v/>
      </c>
      <c r="AV1394" s="25">
        <f>MONTH(F1394)</f>
        <v/>
      </c>
      <c r="AW1394" s="65">
        <f>IF(AP1394="",100%,0%)</f>
        <v/>
      </c>
      <c r="AX1394" s="56" t="n"/>
      <c r="AY1394" s="24">
        <f>IF(M1394=0,"",M1394-$AX$2)</f>
        <v/>
      </c>
      <c r="AZ1394" s="66">
        <f>IF(AND(W1394="",AY1394&gt;0,AY1394&lt;15),1,0)</f>
        <v/>
      </c>
      <c r="BA1394" s="24">
        <f>IF(AND(W1394="",AY1394&gt;0,AY1394&lt;15),T1394,"")</f>
        <v/>
      </c>
      <c r="BB1394" s="87">
        <f>IF(R1394&lt;Q1394,"X","")</f>
        <v/>
      </c>
      <c r="BC1394" s="191" t="inlineStr">
        <is>
          <t>SI</t>
        </is>
      </c>
      <c r="BD1394" s="191" t="inlineStr">
        <is>
          <t>SI</t>
        </is>
      </c>
    </row>
    <row r="1395" ht="15" customHeight="1" s="162">
      <c r="A1395" s="7" t="n">
        <v>1394</v>
      </c>
      <c r="B1395" t="inlineStr">
        <is>
          <t>3060303930200</t>
        </is>
      </c>
      <c r="C1395" t="inlineStr">
        <is>
          <t>DISK SSD 250GB M.2 NVME PCIE G4X4 3D TLC</t>
        </is>
      </c>
      <c r="D1395" t="inlineStr">
        <is>
          <t>1800113829</t>
        </is>
      </c>
      <c r="E1395" t="inlineStr">
        <is>
          <t>20</t>
        </is>
      </c>
      <c r="F1395" s="163" t="n">
        <v>45575</v>
      </c>
      <c r="G1395" t="inlineStr"/>
      <c r="H1395" t="inlineStr">
        <is>
          <t>4200581716</t>
        </is>
      </c>
      <c r="I1395" t="inlineStr">
        <is>
          <t>10</t>
        </is>
      </c>
      <c r="J1395" s="163" t="n">
        <v>45582</v>
      </c>
      <c r="K1395" s="163" t="n">
        <v>45583</v>
      </c>
      <c r="L1395" t="inlineStr"/>
      <c r="M1395" s="163" t="n">
        <v>45595</v>
      </c>
      <c r="N1395" s="164" t="n">
        <v>40</v>
      </c>
      <c r="O1395" s="164" t="n">
        <v>8</v>
      </c>
      <c r="P1395" t="inlineStr">
        <is>
          <t>Liberado</t>
        </is>
      </c>
      <c r="Q1395" s="165" t="n">
        <v>2</v>
      </c>
      <c r="R1395" s="165" t="n">
        <v>2</v>
      </c>
      <c r="S1395" s="165" t="n">
        <v>2</v>
      </c>
      <c r="T1395" s="165" t="n">
        <v>0</v>
      </c>
      <c r="U1395" s="166" t="n">
        <v>2</v>
      </c>
      <c r="V1395" s="166" t="n">
        <v>0</v>
      </c>
      <c r="W1395" t="inlineStr">
        <is>
          <t>X</t>
        </is>
      </c>
      <c r="X1395" t="inlineStr">
        <is>
          <t>0.00</t>
        </is>
      </c>
      <c r="Y1395" t="inlineStr"/>
      <c r="Z1395" t="inlineStr">
        <is>
          <t>TD SYNNEX SPAIN, S.L.U.</t>
        </is>
      </c>
      <c r="AA1395" t="inlineStr">
        <is>
          <t>KINGSTON</t>
        </is>
      </c>
      <c r="AB1395" t="inlineStr">
        <is>
          <t>SNV2S/250G</t>
        </is>
      </c>
      <c r="AC1395" t="inlineStr"/>
      <c r="AD1395" s="164" t="n">
        <v>0</v>
      </c>
      <c r="AE1395" s="185" t="n">
        <v>0</v>
      </c>
      <c r="AG1395" s="167" t="inlineStr">
        <is>
          <t>7218|JA2585_1001</t>
        </is>
      </c>
      <c r="AH1395" s="47">
        <f>IF(M1395=0,"-",M1395-J1395)</f>
        <v/>
      </c>
      <c r="AI1395" s="46">
        <f>IF(AND(S1395=0,M1395&gt;0,L1395=0),IF(AH1395&gt;=120,"VERY HIGH",IF(AH1395&gt;=90,"HIGH",IF(AH1395&gt;=60,"MEDIUM",IF(AH1395&lt;60,"LOW")))),"-")</f>
        <v/>
      </c>
      <c r="AJ1395" s="12" t="n"/>
      <c r="AK1395" s="53">
        <f>IF(AND(W1395="X",M1395&lt;=$AJ$2),"YES","")</f>
        <v/>
      </c>
      <c r="AL1395" s="54">
        <f>IF(AND(W1395="X",M1395&lt;=$AJ$2),S1395,"")</f>
        <v/>
      </c>
      <c r="AM1395" s="35" t="n"/>
      <c r="AN1395" s="35">
        <f>IF(AND(W1395="X",M1395&gt;$AJ$2),S1395,"")</f>
        <v/>
      </c>
      <c r="AO1395" s="35">
        <f>IF(AND(W1395="",M1395&gt;0,$AJ$2&gt;M1395,L1395=""),1,0)</f>
        <v/>
      </c>
      <c r="AP1395" s="35">
        <f>IF(AND(AK1395="YES",W1395="X"),"X","")</f>
        <v/>
      </c>
      <c r="AQ1395" s="55">
        <f>IF(AP1395="X",100%,0%)</f>
        <v/>
      </c>
      <c r="AR1395" s="25">
        <f>IF(AND(T1395&gt;0,L1395=""),H1395,"")</f>
        <v/>
      </c>
      <c r="AS1395" s="25">
        <f>IF(AND(D1395&gt;0,H1395=0,G1395=""),1,"")</f>
        <v/>
      </c>
      <c r="AT1395" s="25">
        <f>IF(G1395="BLOQ",1,"")</f>
        <v/>
      </c>
      <c r="AU1395" s="25">
        <f>IF(L1395="BLOQ",1,"")</f>
        <v/>
      </c>
      <c r="AV1395" s="25">
        <f>MONTH(F1395)</f>
        <v/>
      </c>
      <c r="AW1395" s="65">
        <f>IF(AP1395="",100%,0%)</f>
        <v/>
      </c>
      <c r="AX1395" s="56" t="n"/>
      <c r="AY1395" s="24">
        <f>IF(M1395=0,"",M1395-$AX$2)</f>
        <v/>
      </c>
      <c r="AZ1395" s="66">
        <f>IF(AND(W1395="",AY1395&gt;0,AY1395&lt;15),1,0)</f>
        <v/>
      </c>
      <c r="BA1395" s="24">
        <f>IF(AND(W1395="",AY1395&gt;0,AY1395&lt;15),T1395,"")</f>
        <v/>
      </c>
      <c r="BB1395" s="87">
        <f>IF(R1395&lt;Q1395,"X","")</f>
        <v/>
      </c>
      <c r="BC1395" s="191" t="inlineStr">
        <is>
          <t>SI</t>
        </is>
      </c>
      <c r="BD1395" s="191" t="inlineStr">
        <is>
          <t>SI</t>
        </is>
      </c>
    </row>
    <row r="1396" ht="15" customHeight="1" s="162">
      <c r="A1396" s="7" t="n">
        <v>1395</v>
      </c>
      <c r="B1396" t="inlineStr">
        <is>
          <t>0972881240300</t>
        </is>
      </c>
      <c r="C1396" t="inlineStr">
        <is>
          <t>IOS CNC BOX PLATE 1</t>
        </is>
      </c>
      <c r="D1396" t="inlineStr">
        <is>
          <t>1800113830</t>
        </is>
      </c>
      <c r="E1396" t="inlineStr">
        <is>
          <t>10</t>
        </is>
      </c>
      <c r="F1396" s="163" t="n">
        <v>45575</v>
      </c>
      <c r="G1396" t="inlineStr"/>
      <c r="H1396" t="inlineStr">
        <is>
          <t>4200585312</t>
        </is>
      </c>
      <c r="I1396" t="inlineStr">
        <is>
          <t>40</t>
        </is>
      </c>
      <c r="J1396" s="163" t="n">
        <v>45608</v>
      </c>
      <c r="K1396" s="163" t="n">
        <v>45636</v>
      </c>
      <c r="L1396" t="inlineStr"/>
      <c r="M1396" s="163" t="n">
        <v>45653</v>
      </c>
      <c r="N1396" s="164" t="n">
        <v>90</v>
      </c>
      <c r="O1396" s="164" t="n">
        <v>8</v>
      </c>
      <c r="P1396" t="inlineStr">
        <is>
          <t>Liberado</t>
        </is>
      </c>
      <c r="Q1396" s="165" t="n">
        <v>1</v>
      </c>
      <c r="R1396" s="165" t="n">
        <v>1</v>
      </c>
      <c r="S1396" s="165" t="n">
        <v>2</v>
      </c>
      <c r="T1396" s="165" t="n">
        <v>0</v>
      </c>
      <c r="U1396" s="166" t="n">
        <v>1</v>
      </c>
      <c r="V1396" s="166" t="n">
        <v>1</v>
      </c>
      <c r="W1396" t="inlineStr">
        <is>
          <t>X</t>
        </is>
      </c>
      <c r="X1396" t="inlineStr">
        <is>
          <t>0.00</t>
        </is>
      </c>
      <c r="Y1396" t="inlineStr"/>
      <c r="Z1396" t="inlineStr">
        <is>
          <t>PUNZOMET S.L.</t>
        </is>
      </c>
      <c r="AA1396" t="inlineStr">
        <is>
          <t>INDRA SISTEMAS S.A.</t>
        </is>
      </c>
      <c r="AB1396" t="inlineStr">
        <is>
          <t>0972881240300</t>
        </is>
      </c>
      <c r="AC1396" t="inlineStr"/>
      <c r="AD1396" s="164" t="n">
        <v>0</v>
      </c>
      <c r="AE1396" s="185" t="n">
        <v>0</v>
      </c>
      <c r="AG1396" s="167" t="inlineStr">
        <is>
          <t>7218|JA2588_1001</t>
        </is>
      </c>
      <c r="AH1396" s="47">
        <f>IF(M1396=0,"-",M1396-J1396)</f>
        <v/>
      </c>
      <c r="AI1396" s="46">
        <f>IF(AND(S1396=0,M1396&gt;0,L1396=0),IF(AH1396&gt;=120,"VERY HIGH",IF(AH1396&gt;=90,"HIGH",IF(AH1396&gt;=60,"MEDIUM",IF(AH1396&lt;60,"LOW")))),"-")</f>
        <v/>
      </c>
      <c r="AJ1396" s="12" t="n"/>
      <c r="AK1396" s="53">
        <f>IF(AND(W1396="X",M1396&lt;=$AJ$2),"YES","")</f>
        <v/>
      </c>
      <c r="AL1396" s="54">
        <f>IF(AND(W1396="X",M1396&lt;=$AJ$2),S1396,"")</f>
        <v/>
      </c>
      <c r="AM1396" s="35" t="n"/>
      <c r="AN1396" s="35">
        <f>IF(AND(W1396="X",M1396&gt;$AJ$2),S1396,"")</f>
        <v/>
      </c>
      <c r="AO1396" s="35">
        <f>IF(AND(W1396="",M1396&gt;0,$AJ$2&gt;M1396,L1396=""),1,0)</f>
        <v/>
      </c>
      <c r="AP1396" s="35">
        <f>IF(AND(AK1396="YES",W1396="X"),"X","")</f>
        <v/>
      </c>
      <c r="AQ1396" s="55">
        <f>IF(AP1396="X",100%,0%)</f>
        <v/>
      </c>
      <c r="AR1396" s="25">
        <f>IF(AND(T1396&gt;0,L1396=""),H1396,"")</f>
        <v/>
      </c>
      <c r="AS1396" s="25">
        <f>IF(AND(D1396&gt;0,H1396=0,G1396=""),1,"")</f>
        <v/>
      </c>
      <c r="AT1396" s="25">
        <f>IF(G1396="BLOQ",1,"")</f>
        <v/>
      </c>
      <c r="AU1396" s="25">
        <f>IF(L1396="BLOQ",1,"")</f>
        <v/>
      </c>
      <c r="AV1396" s="25">
        <f>MONTH(F1396)</f>
        <v/>
      </c>
      <c r="AW1396" s="65">
        <f>IF(AP1396="",100%,0%)</f>
        <v/>
      </c>
      <c r="AX1396" s="56" t="n"/>
      <c r="AY1396" s="24">
        <f>IF(M1396=0,"",M1396-$AX$2)</f>
        <v/>
      </c>
      <c r="AZ1396" s="66">
        <f>IF(AND(W1396="",AY1396&gt;0,AY1396&lt;15),1,0)</f>
        <v/>
      </c>
      <c r="BA1396" s="24">
        <f>IF(AND(W1396="",AY1396&gt;0,AY1396&lt;15),T1396,"")</f>
        <v/>
      </c>
      <c r="BB1396" s="87">
        <f>IF(R1396&lt;Q1396,"X","")</f>
        <v/>
      </c>
      <c r="BC1396" s="191" t="inlineStr">
        <is>
          <t>SI</t>
        </is>
      </c>
      <c r="BD1396" s="191" t="inlineStr">
        <is>
          <t>SI</t>
        </is>
      </c>
    </row>
    <row r="1397" ht="15" customHeight="1" s="162">
      <c r="A1397" s="7" t="n">
        <v>1396</v>
      </c>
      <c r="B1397" t="inlineStr">
        <is>
          <t>0972882240300</t>
        </is>
      </c>
      <c r="C1397" t="inlineStr">
        <is>
          <t>IOS CNC BOX PLATE 2</t>
        </is>
      </c>
      <c r="D1397" t="inlineStr">
        <is>
          <t>1800113830</t>
        </is>
      </c>
      <c r="E1397" t="inlineStr">
        <is>
          <t>20</t>
        </is>
      </c>
      <c r="F1397" s="163" t="n">
        <v>45575</v>
      </c>
      <c r="G1397" t="inlineStr"/>
      <c r="H1397" t="inlineStr">
        <is>
          <t>4200585312</t>
        </is>
      </c>
      <c r="I1397" t="inlineStr">
        <is>
          <t>50</t>
        </is>
      </c>
      <c r="J1397" s="163" t="n">
        <v>45608</v>
      </c>
      <c r="K1397" s="163" t="n">
        <v>45636</v>
      </c>
      <c r="L1397" t="inlineStr"/>
      <c r="M1397" s="163" t="n">
        <v>45922</v>
      </c>
      <c r="N1397" s="164" t="n">
        <v>90</v>
      </c>
      <c r="O1397" s="164" t="n">
        <v>8</v>
      </c>
      <c r="P1397" t="inlineStr">
        <is>
          <t>Liberado</t>
        </is>
      </c>
      <c r="Q1397" s="165" t="n">
        <v>1</v>
      </c>
      <c r="R1397" s="165" t="n">
        <v>1</v>
      </c>
      <c r="S1397" s="165" t="n">
        <v>4</v>
      </c>
      <c r="T1397" s="165" t="n">
        <v>0</v>
      </c>
      <c r="U1397" s="166" t="n">
        <v>1</v>
      </c>
      <c r="V1397" s="166" t="n">
        <v>3</v>
      </c>
      <c r="W1397" t="inlineStr">
        <is>
          <t>X</t>
        </is>
      </c>
      <c r="X1397" t="inlineStr">
        <is>
          <t>0.00</t>
        </is>
      </c>
      <c r="Y1397" t="inlineStr"/>
      <c r="Z1397" t="inlineStr">
        <is>
          <t>PUNZOMET S.L.</t>
        </is>
      </c>
      <c r="AA1397" t="inlineStr">
        <is>
          <t>INDRA SISTEMAS S.A.</t>
        </is>
      </c>
      <c r="AB1397" t="inlineStr">
        <is>
          <t>0972882240300</t>
        </is>
      </c>
      <c r="AC1397" t="inlineStr"/>
      <c r="AD1397" s="164" t="n">
        <v>4</v>
      </c>
      <c r="AE1397" s="185" t="n">
        <v>2</v>
      </c>
      <c r="AG1397" s="167" t="inlineStr">
        <is>
          <t>7218|JA2588_1001</t>
        </is>
      </c>
      <c r="AH1397" s="47">
        <f>IF(M1397=0,"-",M1397-J1397)</f>
        <v/>
      </c>
      <c r="AI1397" s="46">
        <f>IF(AND(S1397=0,M1397&gt;0,L1397=0),IF(AH1397&gt;=120,"VERY HIGH",IF(AH1397&gt;=90,"HIGH",IF(AH1397&gt;=60,"MEDIUM",IF(AH1397&lt;60,"LOW")))),"-")</f>
        <v/>
      </c>
      <c r="AJ1397" s="12" t="n"/>
      <c r="AK1397" s="53">
        <f>IF(AND(W1397="X",M1397&lt;=$AJ$2),"YES","")</f>
        <v/>
      </c>
      <c r="AL1397" s="54">
        <f>IF(AND(W1397="X",M1397&lt;=$AJ$2),S1397,"")</f>
        <v/>
      </c>
      <c r="AM1397" s="35" t="n"/>
      <c r="AN1397" s="35">
        <f>IF(AND(W1397="X",M1397&gt;$AJ$2),S1397,"")</f>
        <v/>
      </c>
      <c r="AO1397" s="35">
        <f>IF(AND(W1397="",M1397&gt;0,$AJ$2&gt;M1397,L1397=""),1,0)</f>
        <v/>
      </c>
      <c r="AP1397" s="35">
        <f>IF(AND(AK1397="YES",W1397="X"),"X","")</f>
        <v/>
      </c>
      <c r="AQ1397" s="55">
        <f>IF(AP1397="X",100%,0%)</f>
        <v/>
      </c>
      <c r="AR1397" s="25">
        <f>IF(AND(T1397&gt;0,L1397=""),H1397,"")</f>
        <v/>
      </c>
      <c r="AS1397" s="25">
        <f>IF(AND(D1397&gt;0,H1397=0,G1397=""),1,"")</f>
        <v/>
      </c>
      <c r="AT1397" s="25">
        <f>IF(G1397="BLOQ",1,"")</f>
        <v/>
      </c>
      <c r="AU1397" s="25">
        <f>IF(L1397="BLOQ",1,"")</f>
        <v/>
      </c>
      <c r="AV1397" s="25">
        <f>MONTH(F1397)</f>
        <v/>
      </c>
      <c r="AW1397" s="65">
        <f>IF(AP1397="",100%,0%)</f>
        <v/>
      </c>
      <c r="AX1397" s="56" t="n"/>
      <c r="AY1397" s="24">
        <f>IF(M1397=0,"",M1397-$AX$2)</f>
        <v/>
      </c>
      <c r="AZ1397" s="66">
        <f>IF(AND(W1397="",AY1397&gt;0,AY1397&lt;15),1,0)</f>
        <v/>
      </c>
      <c r="BA1397" s="24">
        <f>IF(AND(W1397="",AY1397&gt;0,AY1397&lt;15),T1397,"")</f>
        <v/>
      </c>
      <c r="BB1397" s="87">
        <f>IF(R1397&lt;Q1397,"X","")</f>
        <v/>
      </c>
      <c r="BC1397" s="191" t="inlineStr">
        <is>
          <t>SI</t>
        </is>
      </c>
      <c r="BD1397" s="191" t="inlineStr">
        <is>
          <t>SI</t>
        </is>
      </c>
    </row>
    <row r="1398" ht="15" customHeight="1" s="162">
      <c r="A1398" s="7" t="n">
        <v>1397</v>
      </c>
      <c r="B1398" t="inlineStr">
        <is>
          <t>1016072008902</t>
        </is>
      </c>
      <c r="C1398" t="inlineStr">
        <is>
          <t>CON POLPNO 2U0 440V 10% D30X56MM ROHS</t>
        </is>
      </c>
      <c r="D1398" t="inlineStr">
        <is>
          <t>1800114061</t>
        </is>
      </c>
      <c r="E1398" t="inlineStr">
        <is>
          <t>10</t>
        </is>
      </c>
      <c r="F1398" s="163" t="n">
        <v>45580</v>
      </c>
      <c r="G1398" t="inlineStr"/>
      <c r="H1398" t="inlineStr">
        <is>
          <t>4200581637</t>
        </is>
      </c>
      <c r="I1398" t="inlineStr">
        <is>
          <t>330</t>
        </is>
      </c>
      <c r="J1398" s="163" t="n">
        <v>45582</v>
      </c>
      <c r="K1398" s="163" t="n">
        <v>45674</v>
      </c>
      <c r="L1398" t="inlineStr"/>
      <c r="M1398" s="163" t="n">
        <v>45606</v>
      </c>
      <c r="N1398" s="164" t="n">
        <v>40</v>
      </c>
      <c r="O1398" s="164" t="n">
        <v>8</v>
      </c>
      <c r="P1398" t="inlineStr">
        <is>
          <t>Liberado</t>
        </is>
      </c>
      <c r="Q1398" s="165" t="n">
        <v>10</v>
      </c>
      <c r="R1398" s="165" t="n">
        <v>10</v>
      </c>
      <c r="S1398" s="165" t="n">
        <v>10</v>
      </c>
      <c r="T1398" s="165" t="n">
        <v>0</v>
      </c>
      <c r="U1398" s="166" t="n">
        <v>10</v>
      </c>
      <c r="V1398" s="166" t="n">
        <v>0</v>
      </c>
      <c r="W1398" t="inlineStr">
        <is>
          <t>X</t>
        </is>
      </c>
      <c r="X1398" t="inlineStr">
        <is>
          <t>0.00</t>
        </is>
      </c>
      <c r="Y1398" t="inlineStr"/>
      <c r="Z1398" t="inlineStr">
        <is>
          <t>ICOMPPLUS ELECTRONICS S.L</t>
        </is>
      </c>
      <c r="AA1398" t="inlineStr">
        <is>
          <t>LCR COMPONENTS</t>
        </is>
      </c>
      <c r="AB1398" t="inlineStr">
        <is>
          <t>MR/P/440/2/B</t>
        </is>
      </c>
      <c r="AC1398" t="inlineStr"/>
      <c r="AD1398" s="164" t="n">
        <v>0</v>
      </c>
      <c r="AE1398" s="185" t="n">
        <v>0</v>
      </c>
      <c r="AG1398" s="167" t="inlineStr">
        <is>
          <t>7218|JA2582_1001</t>
        </is>
      </c>
      <c r="AH1398" s="47">
        <f>IF(M1398=0,"-",M1398-J1398)</f>
        <v/>
      </c>
      <c r="AI1398" s="46">
        <f>IF(AND(S1398=0,M1398&gt;0,L1398=0),IF(AH1398&gt;=120,"VERY HIGH",IF(AH1398&gt;=90,"HIGH",IF(AH1398&gt;=60,"MEDIUM",IF(AH1398&lt;60,"LOW")))),"-")</f>
        <v/>
      </c>
      <c r="AJ1398" s="12" t="n"/>
      <c r="AK1398" s="53">
        <f>IF(AND(W1398="X",M1398&lt;=$AJ$2),"YES","")</f>
        <v/>
      </c>
      <c r="AL1398" s="54">
        <f>IF(AND(W1398="X",M1398&lt;=$AJ$2),S1398,"")</f>
        <v/>
      </c>
      <c r="AM1398" s="35" t="n"/>
      <c r="AN1398" s="35">
        <f>IF(AND(W1398="X",M1398&gt;$AJ$2),S1398,"")</f>
        <v/>
      </c>
      <c r="AO1398" s="35">
        <f>IF(AND(W1398="",M1398&gt;0,$AJ$2&gt;M1398,L1398=""),1,0)</f>
        <v/>
      </c>
      <c r="AP1398" s="35">
        <f>IF(AND(AK1398="YES",W1398="X"),"X","")</f>
        <v/>
      </c>
      <c r="AQ1398" s="55">
        <f>IF(AP1398="X",100%,0%)</f>
        <v/>
      </c>
      <c r="AR1398" s="25">
        <f>IF(AND(T1398&gt;0,L1398=""),H1398,"")</f>
        <v/>
      </c>
      <c r="AS1398" s="25">
        <f>IF(AND(D1398&gt;0,H1398=0,G1398=""),1,"")</f>
        <v/>
      </c>
      <c r="AT1398" s="25">
        <f>IF(G1398="BLOQ",1,"")</f>
        <v/>
      </c>
      <c r="AU1398" s="25">
        <f>IF(L1398="BLOQ",1,"")</f>
        <v/>
      </c>
      <c r="AV1398" s="25">
        <f>MONTH(F1398)</f>
        <v/>
      </c>
      <c r="AW1398" s="65">
        <f>IF(AP1398="",100%,0%)</f>
        <v/>
      </c>
      <c r="AX1398" s="56" t="n"/>
      <c r="AY1398" s="24">
        <f>IF(M1398=0,"",M1398-$AX$2)</f>
        <v/>
      </c>
      <c r="AZ1398" s="66">
        <f>IF(AND(W1398="",AY1398&gt;0,AY1398&lt;15),1,0)</f>
        <v/>
      </c>
      <c r="BA1398" s="24">
        <f>IF(AND(W1398="",AY1398&gt;0,AY1398&lt;15),T1398,"")</f>
        <v/>
      </c>
      <c r="BB1398" s="87">
        <f>IF(R1398&lt;Q1398,"X","")</f>
        <v/>
      </c>
      <c r="BC1398" s="190" t="inlineStr">
        <is>
          <t>NO</t>
        </is>
      </c>
      <c r="BD1398" s="191" t="inlineStr">
        <is>
          <t>SI</t>
        </is>
      </c>
    </row>
    <row r="1399" ht="15" customHeight="1" s="162">
      <c r="A1399" s="7" t="n">
        <v>1398</v>
      </c>
      <c r="B1399" t="inlineStr">
        <is>
          <t>1135234080300</t>
        </is>
      </c>
      <c r="C1399" t="inlineStr">
        <is>
          <t>KIT DISYUNTOR 20-80KW 400V VRLA GALAXYVS</t>
        </is>
      </c>
      <c r="D1399" t="inlineStr">
        <is>
          <t>1800114061</t>
        </is>
      </c>
      <c r="E1399" t="inlineStr">
        <is>
          <t>20</t>
        </is>
      </c>
      <c r="F1399" s="163" t="n">
        <v>45580</v>
      </c>
      <c r="G1399" t="inlineStr"/>
      <c r="H1399" t="inlineStr">
        <is>
          <t>4200582531</t>
        </is>
      </c>
      <c r="I1399" t="inlineStr">
        <is>
          <t>80</t>
        </is>
      </c>
      <c r="J1399" s="163" t="n">
        <v>45588</v>
      </c>
      <c r="K1399" s="163" t="n">
        <v>45589</v>
      </c>
      <c r="L1399" t="inlineStr"/>
      <c r="M1399" s="163" t="n">
        <v>45606</v>
      </c>
      <c r="N1399" s="164" t="n">
        <v>40</v>
      </c>
      <c r="O1399" s="164" t="n">
        <v>8</v>
      </c>
      <c r="P1399" t="inlineStr">
        <is>
          <t>Liberado</t>
        </is>
      </c>
      <c r="Q1399" s="165" t="n">
        <v>1</v>
      </c>
      <c r="R1399" s="165" t="n">
        <v>1</v>
      </c>
      <c r="S1399" s="165" t="n">
        <v>1</v>
      </c>
      <c r="T1399" s="165" t="n">
        <v>0</v>
      </c>
      <c r="U1399" s="166" t="n">
        <v>1</v>
      </c>
      <c r="V1399" s="166" t="n">
        <v>0</v>
      </c>
      <c r="W1399" t="inlineStr">
        <is>
          <t>X</t>
        </is>
      </c>
      <c r="X1399" t="inlineStr">
        <is>
          <t>0.00</t>
        </is>
      </c>
      <c r="Y1399" t="inlineStr"/>
      <c r="Z1399" t="inlineStr">
        <is>
          <t>LUJISA, S.A.</t>
        </is>
      </c>
      <c r="AA1399" t="inlineStr">
        <is>
          <t>SCHNEIDER ELECTRIC</t>
        </is>
      </c>
      <c r="AB1399" t="inlineStr">
        <is>
          <t>GVSBBK20K80H</t>
        </is>
      </c>
      <c r="AC1399" t="inlineStr"/>
      <c r="AD1399" s="164" t="n">
        <v>0</v>
      </c>
      <c r="AE1399" s="185" t="n">
        <v>0</v>
      </c>
      <c r="AG1399" s="167" t="inlineStr">
        <is>
          <t>7218|JA2582_1001</t>
        </is>
      </c>
      <c r="AH1399" s="47">
        <f>IF(M1399=0,"-",M1399-J1399)</f>
        <v/>
      </c>
      <c r="AI1399" s="46">
        <f>IF(AND(S1399=0,M1399&gt;0,L1399=0),IF(AH1399&gt;=120,"VERY HIGH",IF(AH1399&gt;=90,"HIGH",IF(AH1399&gt;=60,"MEDIUM",IF(AH1399&lt;60,"LOW")))),"-")</f>
        <v/>
      </c>
      <c r="AJ1399" s="12" t="n"/>
      <c r="AK1399" s="53">
        <f>IF(AND(W1399="X",M1399&lt;=$AJ$2),"YES","")</f>
        <v/>
      </c>
      <c r="AL1399" s="54">
        <f>IF(AND(W1399="X",M1399&lt;=$AJ$2),S1399,"")</f>
        <v/>
      </c>
      <c r="AM1399" s="35" t="n"/>
      <c r="AN1399" s="35">
        <f>IF(AND(W1399="X",M1399&gt;$AJ$2),S1399,"")</f>
        <v/>
      </c>
      <c r="AO1399" s="35">
        <f>IF(AND(W1399="",M1399&gt;0,$AJ$2&gt;M1399,L1399=""),1,0)</f>
        <v/>
      </c>
      <c r="AP1399" s="35">
        <f>IF(AND(AK1399="YES",W1399="X"),"X","")</f>
        <v/>
      </c>
      <c r="AQ1399" s="55">
        <f>IF(AP1399="X",100%,0%)</f>
        <v/>
      </c>
      <c r="AR1399" s="25">
        <f>IF(AND(T1399&gt;0,L1399=""),H1399,"")</f>
        <v/>
      </c>
      <c r="AS1399" s="25">
        <f>IF(AND(D1399&gt;0,H1399=0,G1399=""),1,"")</f>
        <v/>
      </c>
      <c r="AT1399" s="25">
        <f>IF(G1399="BLOQ",1,"")</f>
        <v/>
      </c>
      <c r="AU1399" s="25">
        <f>IF(L1399="BLOQ",1,"")</f>
        <v/>
      </c>
      <c r="AV1399" s="25">
        <f>MONTH(F1399)</f>
        <v/>
      </c>
      <c r="AW1399" s="65">
        <f>IF(AP1399="",100%,0%)</f>
        <v/>
      </c>
      <c r="AX1399" s="56" t="n"/>
      <c r="AY1399" s="24">
        <f>IF(M1399=0,"",M1399-$AX$2)</f>
        <v/>
      </c>
      <c r="AZ1399" s="66">
        <f>IF(AND(W1399="",AY1399&gt;0,AY1399&lt;15),1,0)</f>
        <v/>
      </c>
      <c r="BA1399" s="24">
        <f>IF(AND(W1399="",AY1399&gt;0,AY1399&lt;15),T1399,"")</f>
        <v/>
      </c>
      <c r="BB1399" s="87">
        <f>IF(R1399&lt;Q1399,"X","")</f>
        <v/>
      </c>
      <c r="BC1399" s="190" t="inlineStr">
        <is>
          <t>NO</t>
        </is>
      </c>
      <c r="BD1399" s="191" t="inlineStr">
        <is>
          <t>SI</t>
        </is>
      </c>
    </row>
    <row r="1400" ht="15" customHeight="1" s="162">
      <c r="A1400" s="7" t="n">
        <v>1399</v>
      </c>
      <c r="B1400" t="inlineStr">
        <is>
          <t>1204200530620</t>
        </is>
      </c>
      <c r="C1400" t="inlineStr">
        <is>
          <t>CNC CIR 15-5 5M PLUG RECT CRMP NI-ZN R-N</t>
        </is>
      </c>
      <c r="D1400" t="inlineStr">
        <is>
          <t>1800114061</t>
        </is>
      </c>
      <c r="E1400" t="inlineStr">
        <is>
          <t>30</t>
        </is>
      </c>
      <c r="F1400" s="163" t="n">
        <v>45580</v>
      </c>
      <c r="G1400" t="inlineStr"/>
      <c r="H1400" t="inlineStr">
        <is>
          <t>4200582737</t>
        </is>
      </c>
      <c r="I1400" t="inlineStr">
        <is>
          <t>30</t>
        </is>
      </c>
      <c r="J1400" s="163" t="n">
        <v>45589</v>
      </c>
      <c r="K1400" s="163" t="n">
        <v>45594</v>
      </c>
      <c r="L1400" t="inlineStr"/>
      <c r="M1400" s="163" t="n">
        <v>45606</v>
      </c>
      <c r="N1400" s="164" t="n">
        <v>40</v>
      </c>
      <c r="O1400" s="164" t="n">
        <v>8</v>
      </c>
      <c r="P1400" t="inlineStr">
        <is>
          <t>Liberado</t>
        </is>
      </c>
      <c r="Q1400" s="165" t="n">
        <v>2</v>
      </c>
      <c r="R1400" s="165" t="n">
        <v>2</v>
      </c>
      <c r="S1400" s="165" t="n">
        <v>2</v>
      </c>
      <c r="T1400" s="165" t="n">
        <v>0</v>
      </c>
      <c r="U1400" s="166" t="n">
        <v>2</v>
      </c>
      <c r="V1400" s="166" t="n">
        <v>0</v>
      </c>
      <c r="W1400" t="inlineStr">
        <is>
          <t>X</t>
        </is>
      </c>
      <c r="X1400" t="inlineStr">
        <is>
          <t>0.00</t>
        </is>
      </c>
      <c r="Y1400" t="inlineStr"/>
      <c r="Z1400" t="inlineStr">
        <is>
          <t>SUMINISTROS CONECTORES PROF.,SA.</t>
        </is>
      </c>
      <c r="AA1400" t="inlineStr">
        <is>
          <t>MILITARY SPECS.</t>
        </is>
      </c>
      <c r="AB1400" t="inlineStr">
        <is>
          <t>D38999/26ZD5PN</t>
        </is>
      </c>
      <c r="AC1400" t="inlineStr"/>
      <c r="AD1400" s="164" t="n">
        <v>0</v>
      </c>
      <c r="AE1400" s="185" t="n">
        <v>0</v>
      </c>
      <c r="AG1400" s="167" t="inlineStr">
        <is>
          <t>7218|JA2582_1001</t>
        </is>
      </c>
      <c r="AH1400" s="47">
        <f>IF(M1400=0,"-",M1400-J1400)</f>
        <v/>
      </c>
      <c r="AI1400" s="46">
        <f>IF(AND(S1400=0,M1400&gt;0,L1400=0),IF(AH1400&gt;=120,"VERY HIGH",IF(AH1400&gt;=90,"HIGH",IF(AH1400&gt;=60,"MEDIUM",IF(AH1400&lt;60,"LOW")))),"-")</f>
        <v/>
      </c>
      <c r="AJ1400" s="12" t="n"/>
      <c r="AK1400" s="53">
        <f>IF(AND(W1400="X",M1400&lt;=$AJ$2),"YES","")</f>
        <v/>
      </c>
      <c r="AL1400" s="54">
        <f>IF(AND(W1400="X",M1400&lt;=$AJ$2),S1400,"")</f>
        <v/>
      </c>
      <c r="AM1400" s="35" t="n"/>
      <c r="AN1400" s="35">
        <f>IF(AND(W1400="X",M1400&gt;$AJ$2),S1400,"")</f>
        <v/>
      </c>
      <c r="AO1400" s="35">
        <f>IF(AND(W1400="",M1400&gt;0,$AJ$2&gt;M1400,L1400=""),1,0)</f>
        <v/>
      </c>
      <c r="AP1400" s="35">
        <f>IF(AND(AK1400="YES",W1400="X"),"X","")</f>
        <v/>
      </c>
      <c r="AQ1400" s="55">
        <f>IF(AP1400="X",100%,0%)</f>
        <v/>
      </c>
      <c r="AR1400" s="25">
        <f>IF(AND(T1400&gt;0,L1400=""),H1400,"")</f>
        <v/>
      </c>
      <c r="AS1400" s="25">
        <f>IF(AND(D1400&gt;0,H1400=0,G1400=""),1,"")</f>
        <v/>
      </c>
      <c r="AT1400" s="25">
        <f>IF(G1400="BLOQ",1,"")</f>
        <v/>
      </c>
      <c r="AU1400" s="25">
        <f>IF(L1400="BLOQ",1,"")</f>
        <v/>
      </c>
      <c r="AV1400" s="25">
        <f>MONTH(F1400)</f>
        <v/>
      </c>
      <c r="AW1400" s="65">
        <f>IF(AP1400="",100%,0%)</f>
        <v/>
      </c>
      <c r="AX1400" s="56" t="n"/>
      <c r="AY1400" s="24">
        <f>IF(M1400=0,"",M1400-$AX$2)</f>
        <v/>
      </c>
      <c r="AZ1400" s="66">
        <f>IF(AND(W1400="",AY1400&gt;0,AY1400&lt;15),1,0)</f>
        <v/>
      </c>
      <c r="BA1400" s="24">
        <f>IF(AND(W1400="",AY1400&gt;0,AY1400&lt;15),T1400,"")</f>
        <v/>
      </c>
      <c r="BB1400" s="87">
        <f>IF(R1400&lt;Q1400,"X","")</f>
        <v/>
      </c>
      <c r="BC1400" s="190" t="inlineStr">
        <is>
          <t>NO</t>
        </is>
      </c>
      <c r="BD1400" s="191" t="inlineStr">
        <is>
          <t>SI</t>
        </is>
      </c>
    </row>
    <row r="1401" ht="15" customHeight="1" s="162">
      <c r="A1401" s="7" t="n">
        <v>1400</v>
      </c>
      <c r="B1401" t="inlineStr">
        <is>
          <t>1209994090221</t>
        </is>
      </c>
      <c r="C1401" t="inlineStr">
        <is>
          <t>ACC BACKSHELL #9 RECTO AL ELEC-NI</t>
        </is>
      </c>
      <c r="D1401" t="inlineStr">
        <is>
          <t>1800114061</t>
        </is>
      </c>
      <c r="E1401" t="inlineStr">
        <is>
          <t>40</t>
        </is>
      </c>
      <c r="F1401" s="163" t="n">
        <v>45580</v>
      </c>
      <c r="G1401" t="inlineStr"/>
      <c r="H1401" t="inlineStr">
        <is>
          <t>4200582738</t>
        </is>
      </c>
      <c r="I1401" t="inlineStr">
        <is>
          <t>70</t>
        </is>
      </c>
      <c r="J1401" s="163" t="n">
        <v>45589</v>
      </c>
      <c r="K1401" s="163" t="n">
        <v>45615</v>
      </c>
      <c r="L1401" t="inlineStr"/>
      <c r="M1401" s="163" t="n">
        <v>45606</v>
      </c>
      <c r="N1401" s="164" t="n">
        <v>30</v>
      </c>
      <c r="O1401" s="164" t="n">
        <v>8</v>
      </c>
      <c r="P1401" t="inlineStr">
        <is>
          <t>Liberado</t>
        </is>
      </c>
      <c r="Q1401" s="165" t="n">
        <v>3</v>
      </c>
      <c r="R1401" s="165" t="n">
        <v>3</v>
      </c>
      <c r="S1401" s="165" t="n">
        <v>3</v>
      </c>
      <c r="T1401" s="165" t="n">
        <v>0</v>
      </c>
      <c r="U1401" s="166" t="n">
        <v>3</v>
      </c>
      <c r="V1401" s="166" t="n">
        <v>0</v>
      </c>
      <c r="W1401" t="inlineStr">
        <is>
          <t>X</t>
        </is>
      </c>
      <c r="X1401" t="inlineStr">
        <is>
          <t>0.00</t>
        </is>
      </c>
      <c r="Y1401" t="inlineStr"/>
      <c r="Z1401" t="inlineStr">
        <is>
          <t>Electro Enterprises New York</t>
        </is>
      </c>
      <c r="AA1401" t="inlineStr">
        <is>
          <t>MILITARY SPECS.</t>
        </is>
      </c>
      <c r="AB1401" t="inlineStr">
        <is>
          <t>M85049/38-9N</t>
        </is>
      </c>
      <c r="AC1401" t="inlineStr"/>
      <c r="AD1401" s="164" t="n">
        <v>0</v>
      </c>
      <c r="AE1401" s="185" t="n">
        <v>0</v>
      </c>
      <c r="AG1401" s="167" t="inlineStr">
        <is>
          <t>7218|JA2582_1001</t>
        </is>
      </c>
      <c r="AH1401" s="47">
        <f>IF(M1401=0,"-",M1401-J1401)</f>
        <v/>
      </c>
      <c r="AI1401" s="46">
        <f>IF(AND(S1401=0,M1401&gt;0,L1401=0),IF(AH1401&gt;=120,"VERY HIGH",IF(AH1401&gt;=90,"HIGH",IF(AH1401&gt;=60,"MEDIUM",IF(AH1401&lt;60,"LOW")))),"-")</f>
        <v/>
      </c>
      <c r="AJ1401" s="12" t="n"/>
      <c r="AK1401" s="53">
        <f>IF(AND(W1401="X",M1401&lt;=$AJ$2),"YES","")</f>
        <v/>
      </c>
      <c r="AL1401" s="54">
        <f>IF(AND(W1401="X",M1401&lt;=$AJ$2),S1401,"")</f>
        <v/>
      </c>
      <c r="AM1401" s="35" t="n"/>
      <c r="AN1401" s="35">
        <f>IF(AND(W1401="X",M1401&gt;$AJ$2),S1401,"")</f>
        <v/>
      </c>
      <c r="AO1401" s="35">
        <f>IF(AND(W1401="",M1401&gt;0,$AJ$2&gt;M1401,L1401=""),1,0)</f>
        <v/>
      </c>
      <c r="AP1401" s="35">
        <f>IF(AND(AK1401="YES",W1401="X"),"X","")</f>
        <v/>
      </c>
      <c r="AQ1401" s="55">
        <f>IF(AP1401="X",100%,0%)</f>
        <v/>
      </c>
      <c r="AR1401" s="25">
        <f>IF(AND(T1401&gt;0,L1401=""),H1401,"")</f>
        <v/>
      </c>
      <c r="AS1401" s="25">
        <f>IF(AND(D1401&gt;0,H1401=0,G1401=""),1,"")</f>
        <v/>
      </c>
      <c r="AT1401" s="25">
        <f>IF(G1401="BLOQ",1,"")</f>
        <v/>
      </c>
      <c r="AU1401" s="25">
        <f>IF(L1401="BLOQ",1,"")</f>
        <v/>
      </c>
      <c r="AV1401" s="25">
        <f>MONTH(F1401)</f>
        <v/>
      </c>
      <c r="AW1401" s="65">
        <f>IF(AP1401="",100%,0%)</f>
        <v/>
      </c>
      <c r="AX1401" s="56" t="n"/>
      <c r="AY1401" s="24">
        <f>IF(M1401=0,"",M1401-$AX$2)</f>
        <v/>
      </c>
      <c r="AZ1401" s="66">
        <f>IF(AND(W1401="",AY1401&gt;0,AY1401&lt;15),1,0)</f>
        <v/>
      </c>
      <c r="BA1401" s="24">
        <f>IF(AND(W1401="",AY1401&gt;0,AY1401&lt;15),T1401,"")</f>
        <v/>
      </c>
      <c r="BB1401" s="87">
        <f>IF(R1401&lt;Q1401,"X","")</f>
        <v/>
      </c>
      <c r="BC1401" s="190" t="inlineStr">
        <is>
          <t>NO</t>
        </is>
      </c>
      <c r="BD1401" s="191" t="inlineStr">
        <is>
          <t>SI</t>
        </is>
      </c>
    </row>
    <row r="1402" ht="15" customHeight="1" s="162">
      <c r="A1402" s="7" t="n">
        <v>1401</v>
      </c>
      <c r="B1402" t="inlineStr">
        <is>
          <t>1209994190024</t>
        </is>
      </c>
      <c r="C1402" t="inlineStr">
        <is>
          <t>ABRAZADERA CNC CIR #19 RECT AL/EL-NI</t>
        </is>
      </c>
      <c r="D1402" t="inlineStr">
        <is>
          <t>1800114061</t>
        </is>
      </c>
      <c r="E1402" t="inlineStr">
        <is>
          <t>50</t>
        </is>
      </c>
      <c r="F1402" s="163" t="n">
        <v>45580</v>
      </c>
      <c r="G1402" t="inlineStr"/>
      <c r="H1402" t="inlineStr">
        <is>
          <t>4200582738</t>
        </is>
      </c>
      <c r="I1402" t="inlineStr">
        <is>
          <t>80</t>
        </is>
      </c>
      <c r="J1402" s="163" t="n">
        <v>45589</v>
      </c>
      <c r="K1402" s="163" t="n">
        <v>45615</v>
      </c>
      <c r="L1402" t="inlineStr"/>
      <c r="M1402" s="163" t="n">
        <v>45606</v>
      </c>
      <c r="N1402" s="164" t="n">
        <v>45</v>
      </c>
      <c r="O1402" s="164" t="n">
        <v>8</v>
      </c>
      <c r="P1402" t="inlineStr">
        <is>
          <t>Liberado</t>
        </is>
      </c>
      <c r="Q1402" s="165" t="n">
        <v>2</v>
      </c>
      <c r="R1402" s="165" t="n">
        <v>2</v>
      </c>
      <c r="S1402" s="165" t="n">
        <v>2</v>
      </c>
      <c r="T1402" s="165" t="n">
        <v>0</v>
      </c>
      <c r="U1402" s="166" t="n">
        <v>2</v>
      </c>
      <c r="V1402" s="166" t="n">
        <v>0</v>
      </c>
      <c r="W1402" t="inlineStr">
        <is>
          <t>X</t>
        </is>
      </c>
      <c r="X1402" t="inlineStr">
        <is>
          <t>0.00</t>
        </is>
      </c>
      <c r="Y1402" t="inlineStr"/>
      <c r="Z1402" t="inlineStr">
        <is>
          <t>Electro Enterprises New York</t>
        </is>
      </c>
      <c r="AA1402" t="inlineStr">
        <is>
          <t>MILITARY SPECS.</t>
        </is>
      </c>
      <c r="AB1402" t="inlineStr">
        <is>
          <t>M85049/38-19N</t>
        </is>
      </c>
      <c r="AC1402" t="inlineStr"/>
      <c r="AD1402" s="164" t="n">
        <v>0</v>
      </c>
      <c r="AE1402" s="185" t="n">
        <v>0</v>
      </c>
      <c r="AG1402" s="167" t="inlineStr">
        <is>
          <t>7218|JA2582_1001</t>
        </is>
      </c>
      <c r="AH1402" s="47">
        <f>IF(M1402=0,"-",M1402-J1402)</f>
        <v/>
      </c>
      <c r="AI1402" s="46">
        <f>IF(AND(S1402=0,M1402&gt;0,L1402=0),IF(AH1402&gt;=120,"VERY HIGH",IF(AH1402&gt;=90,"HIGH",IF(AH1402&gt;=60,"MEDIUM",IF(AH1402&lt;60,"LOW")))),"-")</f>
        <v/>
      </c>
      <c r="AJ1402" s="12" t="n"/>
      <c r="AK1402" s="53">
        <f>IF(AND(W1402="X",M1402&lt;=$AJ$2),"YES","")</f>
        <v/>
      </c>
      <c r="AL1402" s="54">
        <f>IF(AND(W1402="X",M1402&lt;=$AJ$2),S1402,"")</f>
        <v/>
      </c>
      <c r="AM1402" s="35" t="n"/>
      <c r="AN1402" s="35">
        <f>IF(AND(W1402="X",M1402&gt;$AJ$2),S1402,"")</f>
        <v/>
      </c>
      <c r="AO1402" s="35">
        <f>IF(AND(W1402="",M1402&gt;0,$AJ$2&gt;M1402,L1402=""),1,0)</f>
        <v/>
      </c>
      <c r="AP1402" s="35">
        <f>IF(AND(AK1402="YES",W1402="X"),"X","")</f>
        <v/>
      </c>
      <c r="AQ1402" s="55">
        <f>IF(AP1402="X",100%,0%)</f>
        <v/>
      </c>
      <c r="AR1402" s="25">
        <f>IF(AND(T1402&gt;0,L1402=""),H1402,"")</f>
        <v/>
      </c>
      <c r="AS1402" s="25">
        <f>IF(AND(D1402&gt;0,H1402=0,G1402=""),1,"")</f>
        <v/>
      </c>
      <c r="AT1402" s="25">
        <f>IF(G1402="BLOQ",1,"")</f>
        <v/>
      </c>
      <c r="AU1402" s="25">
        <f>IF(L1402="BLOQ",1,"")</f>
        <v/>
      </c>
      <c r="AV1402" s="25">
        <f>MONTH(F1402)</f>
        <v/>
      </c>
      <c r="AW1402" s="65">
        <f>IF(AP1402="",100%,0%)</f>
        <v/>
      </c>
      <c r="AX1402" s="56" t="n"/>
      <c r="AY1402" s="24">
        <f>IF(M1402=0,"",M1402-$AX$2)</f>
        <v/>
      </c>
      <c r="AZ1402" s="66">
        <f>IF(AND(W1402="",AY1402&gt;0,AY1402&lt;15),1,0)</f>
        <v/>
      </c>
      <c r="BA1402" s="24">
        <f>IF(AND(W1402="",AY1402&gt;0,AY1402&lt;15),T1402,"")</f>
        <v/>
      </c>
      <c r="BB1402" s="87">
        <f>IF(R1402&lt;Q1402,"X","")</f>
        <v/>
      </c>
      <c r="BC1402" s="190" t="inlineStr">
        <is>
          <t>NO</t>
        </is>
      </c>
      <c r="BD1402" s="191" t="inlineStr">
        <is>
          <t>SI</t>
        </is>
      </c>
    </row>
    <row r="1403" ht="15" customHeight="1" s="162">
      <c r="A1403" s="7" t="n">
        <v>1402</v>
      </c>
      <c r="B1403" t="inlineStr">
        <is>
          <t>1209994240424</t>
        </is>
      </c>
      <c r="C1403" t="inlineStr">
        <is>
          <t>ACC BACKSHELL 21 ALU MIL-DTL-38999III IV</t>
        </is>
      </c>
      <c r="D1403" t="inlineStr">
        <is>
          <t>1800114061</t>
        </is>
      </c>
      <c r="E1403" t="inlineStr">
        <is>
          <t>60</t>
        </is>
      </c>
      <c r="F1403" s="163" t="n">
        <v>45580</v>
      </c>
      <c r="G1403" t="inlineStr"/>
      <c r="H1403" t="inlineStr">
        <is>
          <t>4200582738</t>
        </is>
      </c>
      <c r="I1403" t="inlineStr">
        <is>
          <t>90</t>
        </is>
      </c>
      <c r="J1403" s="163" t="n">
        <v>45589</v>
      </c>
      <c r="K1403" s="163" t="n">
        <v>45615</v>
      </c>
      <c r="L1403" t="inlineStr"/>
      <c r="M1403" s="163" t="n">
        <v>45606</v>
      </c>
      <c r="N1403" s="164" t="n">
        <v>40</v>
      </c>
      <c r="O1403" s="164" t="n">
        <v>8</v>
      </c>
      <c r="P1403" t="inlineStr">
        <is>
          <t>Liberado</t>
        </is>
      </c>
      <c r="Q1403" s="165" t="n">
        <v>3</v>
      </c>
      <c r="R1403" s="165" t="n">
        <v>3</v>
      </c>
      <c r="S1403" s="165" t="n">
        <v>3</v>
      </c>
      <c r="T1403" s="165" t="n">
        <v>0</v>
      </c>
      <c r="U1403" s="166" t="n">
        <v>3</v>
      </c>
      <c r="V1403" s="166" t="n">
        <v>0</v>
      </c>
      <c r="W1403" t="inlineStr">
        <is>
          <t>X</t>
        </is>
      </c>
      <c r="X1403" t="inlineStr">
        <is>
          <t>0.00</t>
        </is>
      </c>
      <c r="Y1403" t="inlineStr"/>
      <c r="Z1403" t="inlineStr">
        <is>
          <t>Electro Enterprises New York</t>
        </is>
      </c>
      <c r="AA1403" t="inlineStr">
        <is>
          <t>MILITARY SPECS.</t>
        </is>
      </c>
      <c r="AB1403" t="inlineStr">
        <is>
          <t>M85049/38-21N</t>
        </is>
      </c>
      <c r="AC1403" t="inlineStr"/>
      <c r="AD1403" s="164" t="n">
        <v>0</v>
      </c>
      <c r="AE1403" s="185" t="n">
        <v>0</v>
      </c>
      <c r="AG1403" s="167" t="inlineStr">
        <is>
          <t>7218|JA2582_1001</t>
        </is>
      </c>
      <c r="AH1403" s="47">
        <f>IF(M1403=0,"-",M1403-J1403)</f>
        <v/>
      </c>
      <c r="AI1403" s="46">
        <f>IF(AND(S1403=0,M1403&gt;0,L1403=0),IF(AH1403&gt;=120,"VERY HIGH",IF(AH1403&gt;=90,"HIGH",IF(AH1403&gt;=60,"MEDIUM",IF(AH1403&lt;60,"LOW")))),"-")</f>
        <v/>
      </c>
      <c r="AJ1403" s="12" t="n"/>
      <c r="AK1403" s="53">
        <f>IF(AND(W1403="X",M1403&lt;=$AJ$2),"YES","")</f>
        <v/>
      </c>
      <c r="AL1403" s="54">
        <f>IF(AND(W1403="X",M1403&lt;=$AJ$2),S1403,"")</f>
        <v/>
      </c>
      <c r="AM1403" s="35" t="n"/>
      <c r="AN1403" s="35">
        <f>IF(AND(W1403="X",M1403&gt;$AJ$2),S1403,"")</f>
        <v/>
      </c>
      <c r="AO1403" s="35">
        <f>IF(AND(W1403="",M1403&gt;0,$AJ$2&gt;M1403,L1403=""),1,0)</f>
        <v/>
      </c>
      <c r="AP1403" s="35">
        <f>IF(AND(AK1403="YES",W1403="X"),"X","")</f>
        <v/>
      </c>
      <c r="AQ1403" s="55">
        <f>IF(AP1403="X",100%,0%)</f>
        <v/>
      </c>
      <c r="AR1403" s="25">
        <f>IF(AND(T1403&gt;0,L1403=""),H1403,"")</f>
        <v/>
      </c>
      <c r="AS1403" s="25">
        <f>IF(AND(D1403&gt;0,H1403=0,G1403=""),1,"")</f>
        <v/>
      </c>
      <c r="AT1403" s="25">
        <f>IF(G1403="BLOQ",1,"")</f>
        <v/>
      </c>
      <c r="AU1403" s="25">
        <f>IF(L1403="BLOQ",1,"")</f>
        <v/>
      </c>
      <c r="AV1403" s="25">
        <f>MONTH(F1403)</f>
        <v/>
      </c>
      <c r="AW1403" s="65">
        <f>IF(AP1403="",100%,0%)</f>
        <v/>
      </c>
      <c r="AX1403" s="56" t="n"/>
      <c r="AY1403" s="24">
        <f>IF(M1403=0,"",M1403-$AX$2)</f>
        <v/>
      </c>
      <c r="AZ1403" s="66">
        <f>IF(AND(W1403="",AY1403&gt;0,AY1403&lt;15),1,0)</f>
        <v/>
      </c>
      <c r="BA1403" s="24">
        <f>IF(AND(W1403="",AY1403&gt;0,AY1403&lt;15),T1403,"")</f>
        <v/>
      </c>
      <c r="BB1403" s="87">
        <f>IF(R1403&lt;Q1403,"X","")</f>
        <v/>
      </c>
      <c r="BC1403" s="190" t="inlineStr">
        <is>
          <t>NO</t>
        </is>
      </c>
      <c r="BD1403" s="191" t="inlineStr">
        <is>
          <t>SI</t>
        </is>
      </c>
    </row>
    <row r="1404" ht="15" customHeight="1" s="162">
      <c r="A1404" s="7" t="n">
        <v>1403</v>
      </c>
      <c r="B1404" t="inlineStr">
        <is>
          <t>1214300330020</t>
        </is>
      </c>
      <c r="C1404" t="inlineStr">
        <is>
          <t>CNC CIR 9-98S/3H RECEPT RECT CRIMP ZN/NI</t>
        </is>
      </c>
      <c r="D1404" t="inlineStr">
        <is>
          <t>1800114061</t>
        </is>
      </c>
      <c r="E1404" t="inlineStr">
        <is>
          <t>70</t>
        </is>
      </c>
      <c r="F1404" s="163" t="n">
        <v>45580</v>
      </c>
      <c r="G1404" t="inlineStr"/>
      <c r="H1404" t="inlineStr">
        <is>
          <t>4200582738</t>
        </is>
      </c>
      <c r="I1404" t="inlineStr">
        <is>
          <t>100</t>
        </is>
      </c>
      <c r="J1404" s="163" t="n">
        <v>45589</v>
      </c>
      <c r="K1404" s="163" t="n">
        <v>45615</v>
      </c>
      <c r="L1404" t="inlineStr"/>
      <c r="M1404" s="163" t="n">
        <v>45606</v>
      </c>
      <c r="N1404" s="164" t="n">
        <v>40</v>
      </c>
      <c r="O1404" s="164" t="n">
        <v>8</v>
      </c>
      <c r="P1404" t="inlineStr">
        <is>
          <t>Liberado</t>
        </is>
      </c>
      <c r="Q1404" s="165" t="n">
        <v>1</v>
      </c>
      <c r="R1404" s="165" t="n">
        <v>1</v>
      </c>
      <c r="S1404" s="165" t="n">
        <v>1</v>
      </c>
      <c r="T1404" s="165" t="n">
        <v>0</v>
      </c>
      <c r="U1404" s="166" t="n">
        <v>1</v>
      </c>
      <c r="V1404" s="166" t="n">
        <v>0</v>
      </c>
      <c r="W1404" t="inlineStr">
        <is>
          <t>X</t>
        </is>
      </c>
      <c r="X1404" t="inlineStr">
        <is>
          <t>0.00</t>
        </is>
      </c>
      <c r="Y1404" t="inlineStr"/>
      <c r="Z1404" t="inlineStr">
        <is>
          <t>Electro Enterprises New York</t>
        </is>
      </c>
      <c r="AA1404" t="inlineStr">
        <is>
          <t>MILITARY SPECS.</t>
        </is>
      </c>
      <c r="AB1404" t="inlineStr">
        <is>
          <t>D38999/20ZA98SN</t>
        </is>
      </c>
      <c r="AC1404" t="inlineStr"/>
      <c r="AD1404" s="164" t="n">
        <v>0</v>
      </c>
      <c r="AE1404" s="185" t="n">
        <v>0</v>
      </c>
      <c r="AG1404" s="167" t="inlineStr">
        <is>
          <t>7218|JA2582_1001</t>
        </is>
      </c>
      <c r="AH1404" s="47">
        <f>IF(M1404=0,"-",M1404-J1404)</f>
        <v/>
      </c>
      <c r="AI1404" s="46">
        <f>IF(AND(S1404=0,M1404&gt;0,L1404=0),IF(AH1404&gt;=120,"VERY HIGH",IF(AH1404&gt;=90,"HIGH",IF(AH1404&gt;=60,"MEDIUM",IF(AH1404&lt;60,"LOW")))),"-")</f>
        <v/>
      </c>
      <c r="AJ1404" s="12" t="n"/>
      <c r="AK1404" s="53">
        <f>IF(AND(W1404="X",M1404&lt;=$AJ$2),"YES","")</f>
        <v/>
      </c>
      <c r="AL1404" s="54">
        <f>IF(AND(W1404="X",M1404&lt;=$AJ$2),S1404,"")</f>
        <v/>
      </c>
      <c r="AM1404" s="35" t="n"/>
      <c r="AN1404" s="35">
        <f>IF(AND(W1404="X",M1404&gt;$AJ$2),S1404,"")</f>
        <v/>
      </c>
      <c r="AO1404" s="35">
        <f>IF(AND(W1404="",M1404&gt;0,$AJ$2&gt;M1404,L1404=""),1,0)</f>
        <v/>
      </c>
      <c r="AP1404" s="35">
        <f>IF(AND(AK1404="YES",W1404="X"),"X","")</f>
        <v/>
      </c>
      <c r="AQ1404" s="55">
        <f>IF(AP1404="X",100%,0%)</f>
        <v/>
      </c>
      <c r="AR1404" s="25">
        <f>IF(AND(T1404&gt;0,L1404=""),H1404,"")</f>
        <v/>
      </c>
      <c r="AS1404" s="25">
        <f>IF(AND(D1404&gt;0,H1404=0,G1404=""),1,"")</f>
        <v/>
      </c>
      <c r="AT1404" s="25">
        <f>IF(G1404="BLOQ",1,"")</f>
        <v/>
      </c>
      <c r="AU1404" s="25">
        <f>IF(L1404="BLOQ",1,"")</f>
        <v/>
      </c>
      <c r="AV1404" s="25">
        <f>MONTH(F1404)</f>
        <v/>
      </c>
      <c r="AW1404" s="65">
        <f>IF(AP1404="",100%,0%)</f>
        <v/>
      </c>
      <c r="AX1404" s="56" t="n"/>
      <c r="AY1404" s="24">
        <f>IF(M1404=0,"",M1404-$AX$2)</f>
        <v/>
      </c>
      <c r="AZ1404" s="66">
        <f>IF(AND(W1404="",AY1404&gt;0,AY1404&lt;15),1,0)</f>
        <v/>
      </c>
      <c r="BA1404" s="24">
        <f>IF(AND(W1404="",AY1404&gt;0,AY1404&lt;15),T1404,"")</f>
        <v/>
      </c>
      <c r="BB1404" s="87">
        <f>IF(R1404&lt;Q1404,"X","")</f>
        <v/>
      </c>
      <c r="BC1404" s="190" t="inlineStr">
        <is>
          <t>NO</t>
        </is>
      </c>
      <c r="BD1404" s="191" t="inlineStr">
        <is>
          <t>SI</t>
        </is>
      </c>
    </row>
    <row r="1405" ht="15" customHeight="1" s="162">
      <c r="A1405" s="7" t="n">
        <v>1404</v>
      </c>
      <c r="B1405" t="inlineStr">
        <is>
          <t>1264011783100</t>
        </is>
      </c>
      <c r="C1405" t="inlineStr">
        <is>
          <t>SAI 80KW 3F 400V PUESTA-5X8 GALAXY-VS</t>
        </is>
      </c>
      <c r="D1405" t="inlineStr">
        <is>
          <t>1800114061</t>
        </is>
      </c>
      <c r="E1405" t="inlineStr">
        <is>
          <t>80</t>
        </is>
      </c>
      <c r="F1405" s="163" t="n">
        <v>45580</v>
      </c>
      <c r="G1405" t="inlineStr"/>
      <c r="H1405" t="inlineStr">
        <is>
          <t>4200582962</t>
        </is>
      </c>
      <c r="I1405" t="inlineStr">
        <is>
          <t>10</t>
        </is>
      </c>
      <c r="J1405" s="163" t="n">
        <v>45590</v>
      </c>
      <c r="K1405" s="163" t="n">
        <v>45594</v>
      </c>
      <c r="L1405" t="inlineStr"/>
      <c r="M1405" s="163" t="n">
        <v>45636</v>
      </c>
      <c r="N1405" s="164" t="n">
        <v>40</v>
      </c>
      <c r="O1405" s="164" t="n">
        <v>8</v>
      </c>
      <c r="P1405" t="inlineStr">
        <is>
          <t>Liberado</t>
        </is>
      </c>
      <c r="Q1405" s="165" t="n">
        <v>1</v>
      </c>
      <c r="R1405" s="165" t="n">
        <v>1</v>
      </c>
      <c r="S1405" s="165" t="n">
        <v>1</v>
      </c>
      <c r="T1405" s="165" t="n">
        <v>0</v>
      </c>
      <c r="U1405" s="166" t="n">
        <v>1</v>
      </c>
      <c r="V1405" s="166" t="n">
        <v>0</v>
      </c>
      <c r="W1405" t="inlineStr">
        <is>
          <t>X</t>
        </is>
      </c>
      <c r="X1405" t="inlineStr">
        <is>
          <t>0.00</t>
        </is>
      </c>
      <c r="Y1405" t="inlineStr"/>
      <c r="Z1405" t="inlineStr">
        <is>
          <t>LUJISA, S.A.</t>
        </is>
      </c>
      <c r="AA1405" t="inlineStr">
        <is>
          <t>SCHNEIDER ELECTRIC</t>
        </is>
      </c>
      <c r="AB1405" t="inlineStr">
        <is>
          <t>GVSUPS80KHS</t>
        </is>
      </c>
      <c r="AC1405" t="inlineStr"/>
      <c r="AD1405" s="164" t="n">
        <v>1</v>
      </c>
      <c r="AE1405" s="185" t="n">
        <v>1</v>
      </c>
      <c r="AG1405" s="167" t="inlineStr">
        <is>
          <t>7218|JA2582_1001</t>
        </is>
      </c>
      <c r="AH1405" s="47">
        <f>IF(M1405=0,"-",M1405-J1405)</f>
        <v/>
      </c>
      <c r="AI1405" s="46">
        <f>IF(AND(S1405=0,M1405&gt;0,L1405=0),IF(AH1405&gt;=120,"VERY HIGH",IF(AH1405&gt;=90,"HIGH",IF(AH1405&gt;=60,"MEDIUM",IF(AH1405&lt;60,"LOW")))),"-")</f>
        <v/>
      </c>
      <c r="AJ1405" s="12" t="n"/>
      <c r="AK1405" s="53">
        <f>IF(AND(W1405="X",M1405&lt;=$AJ$2),"YES","")</f>
        <v/>
      </c>
      <c r="AL1405" s="54">
        <f>IF(AND(W1405="X",M1405&lt;=$AJ$2),S1405,"")</f>
        <v/>
      </c>
      <c r="AM1405" s="35" t="n"/>
      <c r="AN1405" s="35">
        <f>IF(AND(W1405="X",M1405&gt;$AJ$2),S1405,"")</f>
        <v/>
      </c>
      <c r="AO1405" s="35">
        <f>IF(AND(W1405="",M1405&gt;0,$AJ$2&gt;M1405,L1405=""),1,0)</f>
        <v/>
      </c>
      <c r="AP1405" s="35">
        <f>IF(AND(AK1405="YES",W1405="X"),"X","")</f>
        <v/>
      </c>
      <c r="AQ1405" s="55">
        <f>IF(AP1405="X",100%,0%)</f>
        <v/>
      </c>
      <c r="AR1405" s="25">
        <f>IF(AND(T1405&gt;0,L1405=""),H1405,"")</f>
        <v/>
      </c>
      <c r="AS1405" s="25">
        <f>IF(AND(D1405&gt;0,H1405=0,G1405=""),1,"")</f>
        <v/>
      </c>
      <c r="AT1405" s="25">
        <f>IF(G1405="BLOQ",1,"")</f>
        <v/>
      </c>
      <c r="AU1405" s="25">
        <f>IF(L1405="BLOQ",1,"")</f>
        <v/>
      </c>
      <c r="AV1405" s="25">
        <f>MONTH(F1405)</f>
        <v/>
      </c>
      <c r="AW1405" s="65">
        <f>IF(AP1405="",100%,0%)</f>
        <v/>
      </c>
      <c r="AX1405" s="56" t="n"/>
      <c r="AY1405" s="24">
        <f>IF(M1405=0,"",M1405-$AX$2)</f>
        <v/>
      </c>
      <c r="AZ1405" s="66">
        <f>IF(AND(W1405="",AY1405&gt;0,AY1405&lt;15),1,0)</f>
        <v/>
      </c>
      <c r="BA1405" s="24">
        <f>IF(AND(W1405="",AY1405&gt;0,AY1405&lt;15),T1405,"")</f>
        <v/>
      </c>
      <c r="BB1405" s="87">
        <f>IF(R1405&lt;Q1405,"X","")</f>
        <v/>
      </c>
      <c r="BC1405" s="190" t="inlineStr">
        <is>
          <t>NO</t>
        </is>
      </c>
      <c r="BD1405" s="191" t="inlineStr">
        <is>
          <t>SI</t>
        </is>
      </c>
    </row>
    <row r="1406" ht="15" customHeight="1" s="162">
      <c r="A1406" s="7" t="n">
        <v>1405</v>
      </c>
      <c r="B1406" t="inlineStr">
        <is>
          <t>1264011789300</t>
        </is>
      </c>
      <c r="C1406" t="inlineStr">
        <is>
          <t>SERVICIO 1YR EAA UPG 3P P/SAI 41-150KVA</t>
        </is>
      </c>
      <c r="D1406" t="inlineStr">
        <is>
          <t>1800114061</t>
        </is>
      </c>
      <c r="E1406" t="inlineStr">
        <is>
          <t>90</t>
        </is>
      </c>
      <c r="F1406" s="163" t="n">
        <v>45580</v>
      </c>
      <c r="G1406" t="inlineStr"/>
      <c r="H1406" t="inlineStr">
        <is>
          <t>4200582962</t>
        </is>
      </c>
      <c r="I1406" t="inlineStr">
        <is>
          <t>20</t>
        </is>
      </c>
      <c r="J1406" s="163" t="n">
        <v>45590</v>
      </c>
      <c r="K1406" s="163" t="n">
        <v>45594</v>
      </c>
      <c r="L1406" t="inlineStr"/>
      <c r="M1406" s="163" t="n">
        <v>45636</v>
      </c>
      <c r="N1406" s="164" t="n">
        <v>40</v>
      </c>
      <c r="O1406" s="164" t="n">
        <v>8</v>
      </c>
      <c r="P1406" t="inlineStr">
        <is>
          <t>Liberado</t>
        </is>
      </c>
      <c r="Q1406" s="166" t="n">
        <v>1</v>
      </c>
      <c r="R1406" s="166" t="n">
        <v>1</v>
      </c>
      <c r="S1406" s="166" t="n">
        <v>1</v>
      </c>
      <c r="T1406" s="166" t="n">
        <v>0</v>
      </c>
      <c r="U1406" s="166" t="n">
        <v>1</v>
      </c>
      <c r="V1406" s="166" t="n">
        <v>0</v>
      </c>
      <c r="W1406" t="inlineStr">
        <is>
          <t>X</t>
        </is>
      </c>
      <c r="X1406" t="inlineStr">
        <is>
          <t>0.00</t>
        </is>
      </c>
      <c r="Y1406" t="inlineStr"/>
      <c r="Z1406" t="inlineStr">
        <is>
          <t>LUJISA, S.A.</t>
        </is>
      </c>
      <c r="AA1406" t="inlineStr">
        <is>
          <t>SCHNEIDER ELECTRIC</t>
        </is>
      </c>
      <c r="AB1406" t="inlineStr">
        <is>
          <t>WUPGEAA-UG-02</t>
        </is>
      </c>
      <c r="AC1406" t="inlineStr"/>
      <c r="AD1406" s="164" t="n">
        <v>1</v>
      </c>
      <c r="AE1406" s="185" t="n">
        <v>1</v>
      </c>
      <c r="AG1406" s="167" t="inlineStr">
        <is>
          <t>7218|JA2582_1001</t>
        </is>
      </c>
      <c r="AH1406" s="47">
        <f>IF(M1406=0,"-",M1406-J1406)</f>
        <v/>
      </c>
      <c r="AI1406" s="46">
        <f>IF(AND(S1406=0,M1406&gt;0,L1406=0),IF(AH1406&gt;=120,"VERY HIGH",IF(AH1406&gt;=90,"HIGH",IF(AH1406&gt;=60,"MEDIUM",IF(AH1406&lt;60,"LOW")))),"-")</f>
        <v/>
      </c>
      <c r="AJ1406" s="12" t="n"/>
      <c r="AK1406" s="53">
        <f>IF(AND(W1406="X",M1406&lt;=$AJ$2),"YES","")</f>
        <v/>
      </c>
      <c r="AL1406" s="54">
        <f>IF(AND(W1406="X",M1406&lt;=$AJ$2),S1406,"")</f>
        <v/>
      </c>
      <c r="AM1406" s="35" t="n"/>
      <c r="AN1406" s="35">
        <f>IF(AND(W1406="X",M1406&gt;$AJ$2),S1406,"")</f>
        <v/>
      </c>
      <c r="AO1406" s="35">
        <f>IF(AND(W1406="",M1406&gt;0,$AJ$2&gt;M1406,L1406=""),1,0)</f>
        <v/>
      </c>
      <c r="AP1406" s="35">
        <f>IF(AND(AK1406="YES",W1406="X"),"X","")</f>
        <v/>
      </c>
      <c r="AQ1406" s="55">
        <f>IF(AP1406="X",100%,0%)</f>
        <v/>
      </c>
      <c r="AR1406" s="25">
        <f>IF(AND(T1406&gt;0,L1406=""),H1406,"")</f>
        <v/>
      </c>
      <c r="AS1406" s="25">
        <f>IF(AND(D1406&gt;0,H1406=0,G1406=""),1,"")</f>
        <v/>
      </c>
      <c r="AT1406" s="25">
        <f>IF(G1406="BLOQ",1,"")</f>
        <v/>
      </c>
      <c r="AU1406" s="25">
        <f>IF(L1406="BLOQ",1,"")</f>
        <v/>
      </c>
      <c r="AV1406" s="25">
        <f>MONTH(F1406)</f>
        <v/>
      </c>
      <c r="AW1406" s="65">
        <f>IF(AP1406="",100%,0%)</f>
        <v/>
      </c>
      <c r="AX1406" s="56" t="n"/>
      <c r="AY1406" s="24">
        <f>IF(M1406=0,"",M1406-$AX$2)</f>
        <v/>
      </c>
      <c r="AZ1406" s="66">
        <f>IF(AND(W1406="",AY1406&gt;0,AY1406&lt;15),1,0)</f>
        <v/>
      </c>
      <c r="BA1406" s="24">
        <f>IF(AND(W1406="",AY1406&gt;0,AY1406&lt;15),T1406,"")</f>
        <v/>
      </c>
      <c r="BB1406" s="87">
        <f>IF(R1406&lt;Q1406,"X","")</f>
        <v/>
      </c>
      <c r="BC1406" s="190" t="inlineStr">
        <is>
          <t>NO</t>
        </is>
      </c>
      <c r="BD1406" s="191" t="inlineStr">
        <is>
          <t>SI</t>
        </is>
      </c>
    </row>
    <row r="1407" ht="15" customHeight="1" s="162">
      <c r="A1407" s="7" t="n">
        <v>1406</v>
      </c>
      <c r="B1407" t="inlineStr">
        <is>
          <t>1264011789400</t>
        </is>
      </c>
      <c r="C1407" t="inlineStr">
        <is>
          <t>SERVICIO INSTAL CONJ BATERIA VRLA 1X48</t>
        </is>
      </c>
      <c r="D1407" t="inlineStr">
        <is>
          <t>1800114061</t>
        </is>
      </c>
      <c r="E1407" t="inlineStr">
        <is>
          <t>100</t>
        </is>
      </c>
      <c r="F1407" s="163" t="n">
        <v>45580</v>
      </c>
      <c r="G1407" t="inlineStr"/>
      <c r="H1407" t="inlineStr">
        <is>
          <t>4200582962</t>
        </is>
      </c>
      <c r="I1407" t="inlineStr">
        <is>
          <t>30</t>
        </is>
      </c>
      <c r="J1407" s="163" t="n">
        <v>45590</v>
      </c>
      <c r="K1407" s="163" t="n">
        <v>45594</v>
      </c>
      <c r="L1407" t="inlineStr"/>
      <c r="M1407" s="163" t="n">
        <v>45636</v>
      </c>
      <c r="N1407" s="164" t="n">
        <v>40</v>
      </c>
      <c r="O1407" s="164" t="n">
        <v>8</v>
      </c>
      <c r="P1407" t="inlineStr">
        <is>
          <t>Liberado</t>
        </is>
      </c>
      <c r="Q1407" s="165" t="n">
        <v>1</v>
      </c>
      <c r="R1407" s="165" t="n">
        <v>1</v>
      </c>
      <c r="S1407" s="165" t="n">
        <v>1</v>
      </c>
      <c r="T1407" s="165" t="n">
        <v>0</v>
      </c>
      <c r="U1407" s="166" t="n">
        <v>1</v>
      </c>
      <c r="V1407" s="166" t="n">
        <v>0</v>
      </c>
      <c r="W1407" t="inlineStr">
        <is>
          <t>X</t>
        </is>
      </c>
      <c r="X1407" t="inlineStr">
        <is>
          <t>0.00</t>
        </is>
      </c>
      <c r="Y1407" t="inlineStr"/>
      <c r="Z1407" t="inlineStr">
        <is>
          <t>LUJISA, S.A.</t>
        </is>
      </c>
      <c r="AA1407" t="inlineStr">
        <is>
          <t>SCHNEIDER ELECTRIC</t>
        </is>
      </c>
      <c r="AB1407" t="inlineStr">
        <is>
          <t>QBATT-01</t>
        </is>
      </c>
      <c r="AC1407" t="inlineStr"/>
      <c r="AD1407" s="164" t="n">
        <v>1</v>
      </c>
      <c r="AE1407" s="185" t="n">
        <v>1</v>
      </c>
      <c r="AG1407" s="167" t="inlineStr">
        <is>
          <t>7218|JA2582_1001</t>
        </is>
      </c>
      <c r="AH1407" s="47">
        <f>IF(M1407=0,"-",M1407-J1407)</f>
        <v/>
      </c>
      <c r="AI1407" s="46">
        <f>IF(AND(S1407=0,M1407&gt;0,L1407=0),IF(AH1407&gt;=120,"VERY HIGH",IF(AH1407&gt;=90,"HIGH",IF(AH1407&gt;=60,"MEDIUM",IF(AH1407&lt;60,"LOW")))),"-")</f>
        <v/>
      </c>
      <c r="AJ1407" s="12" t="n"/>
      <c r="AK1407" s="53">
        <f>IF(AND(W1407="X",M1407&lt;=$AJ$2),"YES","")</f>
        <v/>
      </c>
      <c r="AL1407" s="54">
        <f>IF(AND(W1407="X",M1407&lt;=$AJ$2),S1407,"")</f>
        <v/>
      </c>
      <c r="AM1407" s="35" t="n"/>
      <c r="AN1407" s="35">
        <f>IF(AND(W1407="X",M1407&gt;$AJ$2),S1407,"")</f>
        <v/>
      </c>
      <c r="AO1407" s="35">
        <f>IF(AND(W1407="",M1407&gt;0,$AJ$2&gt;M1407,L1407=""),1,0)</f>
        <v/>
      </c>
      <c r="AP1407" s="35">
        <f>IF(AND(AK1407="YES",W1407="X"),"X","")</f>
        <v/>
      </c>
      <c r="AQ1407" s="55">
        <f>IF(AP1407="X",100%,0%)</f>
        <v/>
      </c>
      <c r="AR1407" s="25">
        <f>IF(AND(T1407&gt;0,L1407=""),H1407,"")</f>
        <v/>
      </c>
      <c r="AS1407" s="25">
        <f>IF(AND(D1407&gt;0,H1407=0,G1407=""),1,"")</f>
        <v/>
      </c>
      <c r="AT1407" s="25">
        <f>IF(G1407="BLOQ",1,"")</f>
        <v/>
      </c>
      <c r="AU1407" s="25">
        <f>IF(L1407="BLOQ",1,"")</f>
        <v/>
      </c>
      <c r="AV1407" s="25">
        <f>MONTH(F1407)</f>
        <v/>
      </c>
      <c r="AW1407" s="65">
        <f>IF(AP1407="",100%,0%)</f>
        <v/>
      </c>
      <c r="AX1407" s="56" t="n"/>
      <c r="AY1407" s="24">
        <f>IF(M1407=0,"",M1407-$AX$2)</f>
        <v/>
      </c>
      <c r="AZ1407" s="66">
        <f>IF(AND(W1407="",AY1407&gt;0,AY1407&lt;15),1,0)</f>
        <v/>
      </c>
      <c r="BA1407" s="24">
        <f>IF(AND(W1407="",AY1407&gt;0,AY1407&lt;15),T1407,"")</f>
        <v/>
      </c>
      <c r="BB1407" s="87">
        <f>IF(R1407&lt;Q1407,"X","")</f>
        <v/>
      </c>
      <c r="BC1407" s="190" t="inlineStr">
        <is>
          <t>NO</t>
        </is>
      </c>
      <c r="BD1407" s="191" t="inlineStr">
        <is>
          <t>SI</t>
        </is>
      </c>
    </row>
    <row r="1408" ht="15" customHeight="1" s="162">
      <c r="A1408" s="7" t="n">
        <v>1407</v>
      </c>
      <c r="B1408" t="inlineStr">
        <is>
          <t>1351303410000</t>
        </is>
      </c>
      <c r="C1408" t="inlineStr">
        <is>
          <t>T. RED GEST LCES2 C/MODBUS/ETH/SENS-AUX</t>
        </is>
      </c>
      <c r="D1408" t="inlineStr">
        <is>
          <t>1800114061</t>
        </is>
      </c>
      <c r="E1408" t="inlineStr">
        <is>
          <t>110</t>
        </is>
      </c>
      <c r="F1408" s="163" t="n">
        <v>45580</v>
      </c>
      <c r="G1408" t="inlineStr"/>
      <c r="H1408" t="inlineStr">
        <is>
          <t>4200582962</t>
        </is>
      </c>
      <c r="I1408" t="inlineStr">
        <is>
          <t>40</t>
        </is>
      </c>
      <c r="J1408" s="163" t="n">
        <v>45590</v>
      </c>
      <c r="K1408" s="163" t="n">
        <v>45594</v>
      </c>
      <c r="L1408" t="inlineStr"/>
      <c r="M1408" s="163" t="n">
        <v>45636</v>
      </c>
      <c r="N1408" s="164" t="n">
        <v>40</v>
      </c>
      <c r="O1408" s="164" t="n">
        <v>8</v>
      </c>
      <c r="P1408" t="inlineStr">
        <is>
          <t>Liberado</t>
        </is>
      </c>
      <c r="Q1408" s="165" t="n">
        <v>1</v>
      </c>
      <c r="R1408" s="165" t="n">
        <v>1</v>
      </c>
      <c r="S1408" s="165" t="n">
        <v>1</v>
      </c>
      <c r="T1408" s="165" t="n">
        <v>0</v>
      </c>
      <c r="U1408" s="166" t="n">
        <v>1</v>
      </c>
      <c r="V1408" s="166" t="n">
        <v>0</v>
      </c>
      <c r="W1408" t="inlineStr">
        <is>
          <t>X</t>
        </is>
      </c>
      <c r="X1408" t="inlineStr">
        <is>
          <t>0.00</t>
        </is>
      </c>
      <c r="Y1408" t="inlineStr"/>
      <c r="Z1408" t="inlineStr">
        <is>
          <t>LUJISA, S.A.</t>
        </is>
      </c>
      <c r="AA1408" t="inlineStr">
        <is>
          <t>SCHNEIDER ELECTRIC</t>
        </is>
      </c>
      <c r="AB1408" t="inlineStr">
        <is>
          <t>AP9644</t>
        </is>
      </c>
      <c r="AC1408" t="inlineStr"/>
      <c r="AD1408" s="164" t="n">
        <v>1</v>
      </c>
      <c r="AE1408" s="185" t="n">
        <v>1</v>
      </c>
      <c r="AG1408" s="167" t="inlineStr">
        <is>
          <t>7218|JA2582_1001</t>
        </is>
      </c>
      <c r="AH1408" s="47">
        <f>IF(M1408=0,"-",M1408-J1408)</f>
        <v/>
      </c>
      <c r="AI1408" s="46">
        <f>IF(AND(S1408=0,M1408&gt;0,L1408=0),IF(AH1408&gt;=120,"VERY HIGH",IF(AH1408&gt;=90,"HIGH",IF(AH1408&gt;=60,"MEDIUM",IF(AH1408&lt;60,"LOW")))),"-")</f>
        <v/>
      </c>
      <c r="AJ1408" s="12" t="n"/>
      <c r="AK1408" s="53">
        <f>IF(AND(W1408="X",M1408&lt;=$AJ$2),"YES","")</f>
        <v/>
      </c>
      <c r="AL1408" s="54">
        <f>IF(AND(W1408="X",M1408&lt;=$AJ$2),S1408,"")</f>
        <v/>
      </c>
      <c r="AM1408" s="35" t="n"/>
      <c r="AN1408" s="35">
        <f>IF(AND(W1408="X",M1408&gt;$AJ$2),S1408,"")</f>
        <v/>
      </c>
      <c r="AO1408" s="35">
        <f>IF(AND(W1408="",M1408&gt;0,$AJ$2&gt;M1408,L1408=""),1,0)</f>
        <v/>
      </c>
      <c r="AP1408" s="35">
        <f>IF(AND(AK1408="YES",W1408="X"),"X","")</f>
        <v/>
      </c>
      <c r="AQ1408" s="55">
        <f>IF(AP1408="X",100%,0%)</f>
        <v/>
      </c>
      <c r="AR1408" s="25">
        <f>IF(AND(T1408&gt;0,L1408=""),H1408,"")</f>
        <v/>
      </c>
      <c r="AS1408" s="25">
        <f>IF(AND(D1408&gt;0,H1408=0,G1408=""),1,"")</f>
        <v/>
      </c>
      <c r="AT1408" s="25">
        <f>IF(G1408="BLOQ",1,"")</f>
        <v/>
      </c>
      <c r="AU1408" s="25">
        <f>IF(L1408="BLOQ",1,"")</f>
        <v/>
      </c>
      <c r="AV1408" s="25">
        <f>MONTH(F1408)</f>
        <v/>
      </c>
      <c r="AW1408" s="65">
        <f>IF(AP1408="",100%,0%)</f>
        <v/>
      </c>
      <c r="AX1408" s="56" t="n"/>
      <c r="AY1408" s="24">
        <f>IF(M1408=0,"",M1408-$AX$2)</f>
        <v/>
      </c>
      <c r="AZ1408" s="66">
        <f>IF(AND(W1408="",AY1408&gt;0,AY1408&lt;15),1,0)</f>
        <v/>
      </c>
      <c r="BA1408" s="24">
        <f>IF(AND(W1408="",AY1408&gt;0,AY1408&lt;15),T1408,"")</f>
        <v/>
      </c>
      <c r="BB1408" s="87">
        <f>IF(R1408&lt;Q1408,"X","")</f>
        <v/>
      </c>
      <c r="BC1408" s="190" t="inlineStr">
        <is>
          <t>NO</t>
        </is>
      </c>
      <c r="BD1408" s="191" t="inlineStr">
        <is>
          <t>SI</t>
        </is>
      </c>
    </row>
    <row r="1409" ht="15" customHeight="1" s="162">
      <c r="A1409" s="7" t="n">
        <v>1408</v>
      </c>
      <c r="B1409" t="inlineStr">
        <is>
          <t>1700103180000</t>
        </is>
      </c>
      <c r="C1409" t="inlineStr">
        <is>
          <t>ARMARIO BATERIA VACIO VRLA 197X110X85CM</t>
        </is>
      </c>
      <c r="D1409" t="inlineStr">
        <is>
          <t>1800114061</t>
        </is>
      </c>
      <c r="E1409" t="inlineStr">
        <is>
          <t>120</t>
        </is>
      </c>
      <c r="F1409" s="163" t="n">
        <v>45580</v>
      </c>
      <c r="G1409" t="inlineStr"/>
      <c r="H1409" t="inlineStr">
        <is>
          <t>4200582261</t>
        </is>
      </c>
      <c r="I1409" t="inlineStr">
        <is>
          <t>10</t>
        </is>
      </c>
      <c r="J1409" s="163" t="n">
        <v>45587</v>
      </c>
      <c r="K1409" s="163" t="n">
        <v>45587</v>
      </c>
      <c r="L1409" t="inlineStr"/>
      <c r="M1409" s="163" t="n">
        <v>45615</v>
      </c>
      <c r="N1409" s="164" t="n">
        <v>40</v>
      </c>
      <c r="O1409" s="164" t="n">
        <v>8</v>
      </c>
      <c r="P1409" t="inlineStr">
        <is>
          <t>Liberado</t>
        </is>
      </c>
      <c r="Q1409" s="165" t="n">
        <v>1</v>
      </c>
      <c r="R1409" s="165" t="n">
        <v>1</v>
      </c>
      <c r="S1409" s="165" t="n">
        <v>1</v>
      </c>
      <c r="T1409" s="165" t="n">
        <v>0</v>
      </c>
      <c r="U1409" s="166" t="n">
        <v>1</v>
      </c>
      <c r="V1409" s="166" t="n">
        <v>0</v>
      </c>
      <c r="W1409" t="inlineStr">
        <is>
          <t>X</t>
        </is>
      </c>
      <c r="X1409" t="inlineStr">
        <is>
          <t>0.00</t>
        </is>
      </c>
      <c r="Y1409" t="inlineStr"/>
      <c r="Z1409" t="inlineStr">
        <is>
          <t>(AEMSA)ALMACENES ELECTRICOS MADRILE</t>
        </is>
      </c>
      <c r="AA1409" t="inlineStr">
        <is>
          <t>SCHNEIDER ELECTRIC</t>
        </is>
      </c>
      <c r="AB1409" t="inlineStr">
        <is>
          <t>GVEBC11</t>
        </is>
      </c>
      <c r="AC1409" t="inlineStr"/>
      <c r="AD1409" s="164" t="n">
        <v>0</v>
      </c>
      <c r="AE1409" s="185" t="n">
        <v>0</v>
      </c>
      <c r="AG1409" s="167" t="inlineStr">
        <is>
          <t>7218|JA2582_1001</t>
        </is>
      </c>
      <c r="AH1409" s="47">
        <f>IF(M1409=0,"-",M1409-J1409)</f>
        <v/>
      </c>
      <c r="AI1409" s="46">
        <f>IF(AND(S1409=0,M1409&gt;0,L1409=0),IF(AH1409&gt;=120,"VERY HIGH",IF(AH1409&gt;=90,"HIGH",IF(AH1409&gt;=60,"MEDIUM",IF(AH1409&lt;60,"LOW")))),"-")</f>
        <v/>
      </c>
      <c r="AJ1409" s="12" t="n"/>
      <c r="AK1409" s="53">
        <f>IF(AND(W1409="X",M1409&lt;=$AJ$2),"YES","")</f>
        <v/>
      </c>
      <c r="AL1409" s="54">
        <f>IF(AND(W1409="X",M1409&lt;=$AJ$2),S1409,"")</f>
        <v/>
      </c>
      <c r="AM1409" s="35" t="n"/>
      <c r="AN1409" s="35">
        <f>IF(AND(W1409="X",M1409&gt;$AJ$2),S1409,"")</f>
        <v/>
      </c>
      <c r="AO1409" s="35">
        <f>IF(AND(W1409="",M1409&gt;0,$AJ$2&gt;M1409,L1409=""),1,0)</f>
        <v/>
      </c>
      <c r="AP1409" s="35">
        <f>IF(AND(AK1409="YES",W1409="X"),"X","")</f>
        <v/>
      </c>
      <c r="AQ1409" s="55">
        <f>IF(AP1409="X",100%,0%)</f>
        <v/>
      </c>
      <c r="AR1409" s="25">
        <f>IF(AND(T1409&gt;0,L1409=""),H1409,"")</f>
        <v/>
      </c>
      <c r="AS1409" s="25">
        <f>IF(AND(D1409&gt;0,H1409=0,G1409=""),1,"")</f>
        <v/>
      </c>
      <c r="AT1409" s="25">
        <f>IF(G1409="BLOQ",1,"")</f>
        <v/>
      </c>
      <c r="AU1409" s="25">
        <f>IF(L1409="BLOQ",1,"")</f>
        <v/>
      </c>
      <c r="AV1409" s="25">
        <f>MONTH(F1409)</f>
        <v/>
      </c>
      <c r="AW1409" s="65">
        <f>IF(AP1409="",100%,0%)</f>
        <v/>
      </c>
      <c r="AX1409" s="56" t="n"/>
      <c r="AY1409" s="24">
        <f>IF(M1409=0,"",M1409-$AX$2)</f>
        <v/>
      </c>
      <c r="AZ1409" s="66">
        <f>IF(AND(W1409="",AY1409&gt;0,AY1409&lt;15),1,0)</f>
        <v/>
      </c>
      <c r="BA1409" s="24">
        <f>IF(AND(W1409="",AY1409&gt;0,AY1409&lt;15),T1409,"")</f>
        <v/>
      </c>
      <c r="BB1409" s="87">
        <f>IF(R1409&lt;Q1409,"X","")</f>
        <v/>
      </c>
      <c r="BC1409" s="190" t="inlineStr">
        <is>
          <t>NO</t>
        </is>
      </c>
      <c r="BD1409" s="191" t="inlineStr">
        <is>
          <t>SI</t>
        </is>
      </c>
    </row>
    <row r="1410" ht="15" customHeight="1" s="162">
      <c r="A1410" s="7" t="n">
        <v>1409</v>
      </c>
      <c r="B1410" t="inlineStr">
        <is>
          <t>1751100080100</t>
        </is>
      </c>
      <c r="C1410" t="inlineStr">
        <is>
          <t>BASE DE 8 ENCHUFES INTERRUPTOR RACK 19"</t>
        </is>
      </c>
      <c r="D1410" t="inlineStr">
        <is>
          <t>1800114062</t>
        </is>
      </c>
      <c r="E1410" t="inlineStr">
        <is>
          <t>10</t>
        </is>
      </c>
      <c r="F1410" s="163" t="n">
        <v>45580</v>
      </c>
      <c r="G1410" t="inlineStr"/>
      <c r="H1410" t="inlineStr">
        <is>
          <t>4200585889</t>
        </is>
      </c>
      <c r="I1410" t="inlineStr">
        <is>
          <t>150</t>
        </is>
      </c>
      <c r="J1410" s="163" t="n">
        <v>45611</v>
      </c>
      <c r="K1410" s="163" t="n">
        <v>45616</v>
      </c>
      <c r="L1410" t="inlineStr"/>
      <c r="M1410" s="163" t="n">
        <v>45621</v>
      </c>
      <c r="N1410" s="164" t="n">
        <v>60</v>
      </c>
      <c r="O1410" s="164" t="n">
        <v>8</v>
      </c>
      <c r="P1410" t="inlineStr">
        <is>
          <t>Liberado</t>
        </is>
      </c>
      <c r="Q1410" s="165" t="n">
        <v>2</v>
      </c>
      <c r="R1410" s="165" t="n">
        <v>2</v>
      </c>
      <c r="S1410" s="165" t="n">
        <v>2</v>
      </c>
      <c r="T1410" s="165" t="n">
        <v>0</v>
      </c>
      <c r="U1410" s="166" t="n">
        <v>2</v>
      </c>
      <c r="V1410" s="166" t="n">
        <v>0</v>
      </c>
      <c r="W1410" t="inlineStr">
        <is>
          <t>X</t>
        </is>
      </c>
      <c r="X1410" t="inlineStr">
        <is>
          <t>0.00</t>
        </is>
      </c>
      <c r="Y1410" t="inlineStr"/>
      <c r="Z1410" t="inlineStr">
        <is>
          <t>OMNIAELECTRONICS, S.L.</t>
        </is>
      </c>
      <c r="AA1410" t="inlineStr">
        <is>
          <t>SCHROFF</t>
        </is>
      </c>
      <c r="AB1410" t="inlineStr">
        <is>
          <t>60110-206</t>
        </is>
      </c>
      <c r="AC1410" t="inlineStr"/>
      <c r="AD1410" s="164" t="n">
        <v>0</v>
      </c>
      <c r="AE1410" s="185" t="n">
        <v>0</v>
      </c>
      <c r="AG1410" s="167" t="inlineStr">
        <is>
          <t>7218|JA2585_1001</t>
        </is>
      </c>
      <c r="AH1410" s="47">
        <f>IF(M1410=0,"-",M1410-J1410)</f>
        <v/>
      </c>
      <c r="AI1410" s="46">
        <f>IF(AND(S1410=0,M1410&gt;0,L1410=0),IF(AH1410&gt;=120,"VERY HIGH",IF(AH1410&gt;=90,"HIGH",IF(AH1410&gt;=60,"MEDIUM",IF(AH1410&lt;60,"LOW")))),"-")</f>
        <v/>
      </c>
      <c r="AJ1410" s="12" t="n"/>
      <c r="AK1410" s="53">
        <f>IF(AND(W1410="X",M1410&lt;=$AJ$2),"YES","")</f>
        <v/>
      </c>
      <c r="AL1410" s="54">
        <f>IF(AND(W1410="X",M1410&lt;=$AJ$2),S1410,"")</f>
        <v/>
      </c>
      <c r="AM1410" s="35" t="n"/>
      <c r="AN1410" s="35">
        <f>IF(AND(W1410="X",M1410&gt;$AJ$2),S1410,"")</f>
        <v/>
      </c>
      <c r="AO1410" s="35">
        <f>IF(AND(W1410="",M1410&gt;0,$AJ$2&gt;M1410,L1410=""),1,0)</f>
        <v/>
      </c>
      <c r="AP1410" s="35">
        <f>IF(AND(AK1410="YES",W1410="X"),"X","")</f>
        <v/>
      </c>
      <c r="AQ1410" s="55">
        <f>IF(AP1410="X",100%,0%)</f>
        <v/>
      </c>
      <c r="AR1410" s="25">
        <f>IF(AND(T1410&gt;0,L1410=""),H1410,"")</f>
        <v/>
      </c>
      <c r="AS1410" s="25">
        <f>IF(AND(D1410&gt;0,H1410=0,G1410=""),1,"")</f>
        <v/>
      </c>
      <c r="AT1410" s="25">
        <f>IF(G1410="BLOQ",1,"")</f>
        <v/>
      </c>
      <c r="AU1410" s="25">
        <f>IF(L1410="BLOQ",1,"")</f>
        <v/>
      </c>
      <c r="AV1410" s="25">
        <f>MONTH(F1410)</f>
        <v/>
      </c>
      <c r="AW1410" s="65">
        <f>IF(AP1410="",100%,0%)</f>
        <v/>
      </c>
      <c r="AX1410" s="56" t="n"/>
      <c r="AY1410" s="24">
        <f>IF(M1410=0,"",M1410-$AX$2)</f>
        <v/>
      </c>
      <c r="AZ1410" s="66">
        <f>IF(AND(W1410="",AY1410&gt;0,AY1410&lt;15),1,0)</f>
        <v/>
      </c>
      <c r="BA1410" s="24">
        <f>IF(AND(W1410="",AY1410&gt;0,AY1410&lt;15),T1410,"")</f>
        <v/>
      </c>
      <c r="BB1410" s="87">
        <f>IF(R1410&lt;Q1410,"X","")</f>
        <v/>
      </c>
      <c r="BC1410" s="191" t="inlineStr">
        <is>
          <t>SI</t>
        </is>
      </c>
      <c r="BD1410" s="191" t="inlineStr">
        <is>
          <t>SI</t>
        </is>
      </c>
    </row>
    <row r="1411" ht="15" customHeight="1" s="162">
      <c r="A1411" s="7" t="n">
        <v>1410</v>
      </c>
      <c r="B1411" t="inlineStr">
        <is>
          <t>3120301930000</t>
        </is>
      </c>
      <c r="C1411" t="inlineStr">
        <is>
          <t>PANEL CONEX ACOP CAT6A 1U 24P P/RACK 19"</t>
        </is>
      </c>
      <c r="D1411" t="inlineStr">
        <is>
          <t>1800114062</t>
        </is>
      </c>
      <c r="E1411" t="inlineStr">
        <is>
          <t>20</t>
        </is>
      </c>
      <c r="F1411" s="163" t="n">
        <v>45580</v>
      </c>
      <c r="G1411" t="inlineStr"/>
      <c r="H1411" t="inlineStr">
        <is>
          <t>4200581720</t>
        </is>
      </c>
      <c r="I1411" t="inlineStr">
        <is>
          <t>10</t>
        </is>
      </c>
      <c r="J1411" s="163" t="n">
        <v>45582</v>
      </c>
      <c r="K1411" s="163" t="n">
        <v>45583</v>
      </c>
      <c r="L1411" t="inlineStr"/>
      <c r="M1411" s="163" t="n">
        <v>45609</v>
      </c>
      <c r="N1411" s="164" t="n">
        <v>40</v>
      </c>
      <c r="O1411" s="164" t="n">
        <v>8</v>
      </c>
      <c r="P1411" t="inlineStr">
        <is>
          <t>Liberado</t>
        </is>
      </c>
      <c r="Q1411" s="165" t="n">
        <v>1</v>
      </c>
      <c r="R1411" s="165" t="n">
        <v>1</v>
      </c>
      <c r="S1411" s="165" t="n">
        <v>1</v>
      </c>
      <c r="T1411" s="165" t="n">
        <v>0</v>
      </c>
      <c r="U1411" s="166" t="n">
        <v>1</v>
      </c>
      <c r="V1411" s="166" t="n">
        <v>0</v>
      </c>
      <c r="W1411" t="inlineStr">
        <is>
          <t>X</t>
        </is>
      </c>
      <c r="X1411" t="inlineStr">
        <is>
          <t>0.00</t>
        </is>
      </c>
      <c r="Y1411" t="inlineStr"/>
      <c r="Z1411" t="inlineStr">
        <is>
          <t>KASILH TELECOM, SL</t>
        </is>
      </c>
      <c r="AA1411" t="inlineStr">
        <is>
          <t>FS.COM</t>
        </is>
      </c>
      <c r="AB1411" t="inlineStr">
        <is>
          <t>C6AP-S24FT1U</t>
        </is>
      </c>
      <c r="AC1411" t="inlineStr"/>
      <c r="AD1411" s="164" t="n">
        <v>1</v>
      </c>
      <c r="AE1411" s="185" t="n">
        <v>1</v>
      </c>
      <c r="AG1411" s="167" t="inlineStr">
        <is>
          <t>7218|JA2585_1001</t>
        </is>
      </c>
      <c r="AH1411" s="47">
        <f>IF(M1411=0,"-",M1411-J1411)</f>
        <v/>
      </c>
      <c r="AI1411" s="46">
        <f>IF(AND(S1411=0,M1411&gt;0,L1411=0),IF(AH1411&gt;=120,"VERY HIGH",IF(AH1411&gt;=90,"HIGH",IF(AH1411&gt;=60,"MEDIUM",IF(AH1411&lt;60,"LOW")))),"-")</f>
        <v/>
      </c>
      <c r="AJ1411" s="12" t="n"/>
      <c r="AK1411" s="53">
        <f>IF(AND(W1411="X",M1411&lt;=$AJ$2),"YES","")</f>
        <v/>
      </c>
      <c r="AL1411" s="54">
        <f>IF(AND(W1411="X",M1411&lt;=$AJ$2),S1411,"")</f>
        <v/>
      </c>
      <c r="AM1411" s="35" t="n"/>
      <c r="AN1411" s="35">
        <f>IF(AND(W1411="X",M1411&gt;$AJ$2),S1411,"")</f>
        <v/>
      </c>
      <c r="AO1411" s="35">
        <f>IF(AND(W1411="",M1411&gt;0,$AJ$2&gt;M1411,L1411=""),1,0)</f>
        <v/>
      </c>
      <c r="AP1411" s="35">
        <f>IF(AND(AK1411="YES",W1411="X"),"X","")</f>
        <v/>
      </c>
      <c r="AQ1411" s="55">
        <f>IF(AP1411="X",100%,0%)</f>
        <v/>
      </c>
      <c r="AR1411" s="25">
        <f>IF(AND(T1411&gt;0,L1411=""),H1411,"")</f>
        <v/>
      </c>
      <c r="AS1411" s="25">
        <f>IF(AND(D1411&gt;0,H1411=0,G1411=""),1,"")</f>
        <v/>
      </c>
      <c r="AT1411" s="25">
        <f>IF(G1411="BLOQ",1,"")</f>
        <v/>
      </c>
      <c r="AU1411" s="25">
        <f>IF(L1411="BLOQ",1,"")</f>
        <v/>
      </c>
      <c r="AV1411" s="25">
        <f>MONTH(F1411)</f>
        <v/>
      </c>
      <c r="AW1411" s="65">
        <f>IF(AP1411="",100%,0%)</f>
        <v/>
      </c>
      <c r="AX1411" s="56" t="n"/>
      <c r="AY1411" s="24">
        <f>IF(M1411=0,"",M1411-$AX$2)</f>
        <v/>
      </c>
      <c r="AZ1411" s="66">
        <f>IF(AND(W1411="",AY1411&gt;0,AY1411&lt;15),1,0)</f>
        <v/>
      </c>
      <c r="BA1411" s="24">
        <f>IF(AND(W1411="",AY1411&gt;0,AY1411&lt;15),T1411,"")</f>
        <v/>
      </c>
      <c r="BB1411" s="87">
        <f>IF(R1411&lt;Q1411,"X","")</f>
        <v/>
      </c>
      <c r="BC1411" s="191" t="inlineStr">
        <is>
          <t>SI</t>
        </is>
      </c>
      <c r="BD1411" s="191" t="inlineStr">
        <is>
          <t>SI</t>
        </is>
      </c>
    </row>
    <row r="1412" ht="15" customHeight="1" s="162">
      <c r="A1412" s="7" t="n">
        <v>1411</v>
      </c>
      <c r="B1412" t="inlineStr">
        <is>
          <t>3170405860300</t>
        </is>
      </c>
      <c r="C1412" t="inlineStr">
        <is>
          <t>TRANSCEPTOR SFP+ 10GBASE-T RJ45 PROSAFE</t>
        </is>
      </c>
      <c r="D1412" t="inlineStr">
        <is>
          <t>1800114062</t>
        </is>
      </c>
      <c r="E1412" t="inlineStr">
        <is>
          <t>30</t>
        </is>
      </c>
      <c r="F1412" s="163" t="n">
        <v>45580</v>
      </c>
      <c r="G1412" t="inlineStr"/>
      <c r="H1412" t="inlineStr">
        <is>
          <t>4200581949</t>
        </is>
      </c>
      <c r="I1412" t="inlineStr">
        <is>
          <t>10</t>
        </is>
      </c>
      <c r="J1412" s="163" t="n">
        <v>45583</v>
      </c>
      <c r="K1412" s="163" t="n">
        <v>45583</v>
      </c>
      <c r="L1412" t="inlineStr"/>
      <c r="M1412" s="163" t="n">
        <v>45604</v>
      </c>
      <c r="N1412" s="164" t="n">
        <v>40</v>
      </c>
      <c r="O1412" s="164" t="n">
        <v>8</v>
      </c>
      <c r="P1412" t="inlineStr">
        <is>
          <t>Liberado</t>
        </is>
      </c>
      <c r="Q1412" s="165" t="n">
        <v>1</v>
      </c>
      <c r="R1412" s="165" t="n">
        <v>1</v>
      </c>
      <c r="S1412" s="165" t="n">
        <v>1</v>
      </c>
      <c r="T1412" s="165" t="n">
        <v>0</v>
      </c>
      <c r="U1412" s="166" t="n">
        <v>1</v>
      </c>
      <c r="V1412" s="166" t="n">
        <v>0</v>
      </c>
      <c r="W1412" t="inlineStr">
        <is>
          <t>X</t>
        </is>
      </c>
      <c r="X1412" t="inlineStr">
        <is>
          <t>0.00</t>
        </is>
      </c>
      <c r="Y1412" t="inlineStr"/>
      <c r="Z1412" t="inlineStr">
        <is>
          <t>ESPRINET IBERICA, S.L.U.</t>
        </is>
      </c>
      <c r="AA1412" t="inlineStr">
        <is>
          <t>NETGEAR</t>
        </is>
      </c>
      <c r="AB1412" t="inlineStr">
        <is>
          <t>AXM765</t>
        </is>
      </c>
      <c r="AC1412" t="inlineStr"/>
      <c r="AD1412" s="164" t="n">
        <v>0</v>
      </c>
      <c r="AE1412" s="185" t="n">
        <v>0</v>
      </c>
      <c r="AG1412" s="167" t="inlineStr">
        <is>
          <t>7218|JA2585_1001</t>
        </is>
      </c>
      <c r="AH1412" s="47">
        <f>IF(M1412=0,"-",M1412-J1412)</f>
        <v/>
      </c>
      <c r="AI1412" s="46">
        <f>IF(AND(S1412=0,M1412&gt;0,L1412=0),IF(AH1412&gt;=120,"VERY HIGH",IF(AH1412&gt;=90,"HIGH",IF(AH1412&gt;=60,"MEDIUM",IF(AH1412&lt;60,"LOW")))),"-")</f>
        <v/>
      </c>
      <c r="AJ1412" s="12" t="n"/>
      <c r="AK1412" s="53">
        <f>IF(AND(W1412="X",M1412&lt;=$AJ$2),"YES","")</f>
        <v/>
      </c>
      <c r="AL1412" s="54">
        <f>IF(AND(W1412="X",M1412&lt;=$AJ$2),S1412,"")</f>
        <v/>
      </c>
      <c r="AM1412" s="35" t="n"/>
      <c r="AN1412" s="35">
        <f>IF(AND(W1412="X",M1412&gt;$AJ$2),S1412,"")</f>
        <v/>
      </c>
      <c r="AO1412" s="35">
        <f>IF(AND(W1412="",M1412&gt;0,$AJ$2&gt;M1412,L1412=""),1,0)</f>
        <v/>
      </c>
      <c r="AP1412" s="35">
        <f>IF(AND(AK1412="YES",W1412="X"),"X","")</f>
        <v/>
      </c>
      <c r="AQ1412" s="55">
        <f>IF(AP1412="X",100%,0%)</f>
        <v/>
      </c>
      <c r="AR1412" s="25">
        <f>IF(AND(T1412&gt;0,L1412=""),H1412,"")</f>
        <v/>
      </c>
      <c r="AS1412" s="25">
        <f>IF(AND(D1412&gt;0,H1412=0,G1412=""),1,"")</f>
        <v/>
      </c>
      <c r="AT1412" s="25">
        <f>IF(G1412="BLOQ",1,"")</f>
        <v/>
      </c>
      <c r="AU1412" s="25">
        <f>IF(L1412="BLOQ",1,"")</f>
        <v/>
      </c>
      <c r="AV1412" s="25">
        <f>MONTH(F1412)</f>
        <v/>
      </c>
      <c r="AW1412" s="65">
        <f>IF(AP1412="",100%,0%)</f>
        <v/>
      </c>
      <c r="AX1412" s="56" t="n"/>
      <c r="AY1412" s="24">
        <f>IF(M1412=0,"",M1412-$AX$2)</f>
        <v/>
      </c>
      <c r="AZ1412" s="66">
        <f>IF(AND(W1412="",AY1412&gt;0,AY1412&lt;15),1,0)</f>
        <v/>
      </c>
      <c r="BA1412" s="24">
        <f>IF(AND(W1412="",AY1412&gt;0,AY1412&lt;15),T1412,"")</f>
        <v/>
      </c>
      <c r="BB1412" s="87">
        <f>IF(R1412&lt;Q1412,"X","")</f>
        <v/>
      </c>
      <c r="BC1412" s="190" t="inlineStr">
        <is>
          <t>NO</t>
        </is>
      </c>
      <c r="BD1412" s="191" t="inlineStr">
        <is>
          <t>SI</t>
        </is>
      </c>
    </row>
    <row r="1413" ht="15" customHeight="1" s="162">
      <c r="A1413" s="7" t="n">
        <v>1412</v>
      </c>
      <c r="B1413" t="inlineStr">
        <is>
          <t>1229500180300</t>
        </is>
      </c>
      <c r="C1413" t="inlineStr">
        <is>
          <t>CBL EQ DIV ALIM C14/2XC13 18AWG 18" NEG</t>
        </is>
      </c>
      <c r="D1413" t="inlineStr">
        <is>
          <t>1800114063</t>
        </is>
      </c>
      <c r="E1413" t="inlineStr">
        <is>
          <t>10</t>
        </is>
      </c>
      <c r="F1413" s="163" t="n">
        <v>45580</v>
      </c>
      <c r="G1413" t="inlineStr"/>
      <c r="H1413" t="inlineStr">
        <is>
          <t>4200594459</t>
        </is>
      </c>
      <c r="I1413" t="inlineStr">
        <is>
          <t>10</t>
        </is>
      </c>
      <c r="J1413" s="163" t="n">
        <v>45681</v>
      </c>
      <c r="K1413" s="163" t="n">
        <v>45681</v>
      </c>
      <c r="L1413" t="inlineStr"/>
      <c r="M1413" s="163" t="n">
        <v>45716</v>
      </c>
      <c r="N1413" s="164" t="n">
        <v>40</v>
      </c>
      <c r="O1413" s="164" t="n">
        <v>8</v>
      </c>
      <c r="P1413" t="inlineStr">
        <is>
          <t>Liberado</t>
        </is>
      </c>
      <c r="Q1413" s="165" t="n">
        <v>16</v>
      </c>
      <c r="R1413" s="165" t="n">
        <v>16</v>
      </c>
      <c r="S1413" s="165" t="n">
        <v>16</v>
      </c>
      <c r="T1413" s="165" t="n">
        <v>0</v>
      </c>
      <c r="U1413" s="166" t="n">
        <v>16</v>
      </c>
      <c r="V1413" s="166" t="n">
        <v>0</v>
      </c>
      <c r="W1413" t="inlineStr">
        <is>
          <t>X</t>
        </is>
      </c>
      <c r="X1413" t="inlineStr">
        <is>
          <t>0.00</t>
        </is>
      </c>
      <c r="Y1413" t="inlineStr"/>
      <c r="Z1413" t="inlineStr">
        <is>
          <t>ICOMPPLUS ELECTRONICS S.L</t>
        </is>
      </c>
      <c r="AA1413" t="inlineStr">
        <is>
          <t>TRIPP-LITE</t>
        </is>
      </c>
      <c r="AB1413" t="inlineStr">
        <is>
          <t>P004-18N-2C13</t>
        </is>
      </c>
      <c r="AC1413" t="inlineStr"/>
      <c r="AD1413" s="164" t="n">
        <v>0</v>
      </c>
      <c r="AE1413" s="185" t="n">
        <v>0</v>
      </c>
      <c r="AG1413" s="167" t="inlineStr">
        <is>
          <t>7218|JA2585_1001</t>
        </is>
      </c>
      <c r="AH1413" s="47">
        <f>IF(M1413=0,"-",M1413-J1413)</f>
        <v/>
      </c>
      <c r="AI1413" s="46">
        <f>IF(AND(S1413=0,M1413&gt;0,L1413=0),IF(AH1413&gt;=120,"VERY HIGH",IF(AH1413&gt;=90,"HIGH",IF(AH1413&gt;=60,"MEDIUM",IF(AH1413&lt;60,"LOW")))),"-")</f>
        <v/>
      </c>
      <c r="AJ1413" s="12" t="n"/>
      <c r="AK1413" s="53">
        <f>IF(AND(W1413="X",M1413&lt;=$AJ$2),"YES","")</f>
        <v/>
      </c>
      <c r="AL1413" s="54">
        <f>IF(AND(W1413="X",M1413&lt;=$AJ$2),S1413,"")</f>
        <v/>
      </c>
      <c r="AM1413" s="35" t="n"/>
      <c r="AN1413" s="35">
        <f>IF(AND(W1413="X",M1413&gt;$AJ$2),S1413,"")</f>
        <v/>
      </c>
      <c r="AO1413" s="35">
        <f>IF(AND(W1413="",M1413&gt;0,$AJ$2&gt;M1413,L1413=""),1,0)</f>
        <v/>
      </c>
      <c r="AP1413" s="35">
        <f>IF(AND(AK1413="YES",W1413="X"),"X","")</f>
        <v/>
      </c>
      <c r="AQ1413" s="55">
        <f>IF(AP1413="X",100%,0%)</f>
        <v/>
      </c>
      <c r="AR1413" s="25">
        <f>IF(AND(T1413&gt;0,L1413=""),H1413,"")</f>
        <v/>
      </c>
      <c r="AS1413" s="25">
        <f>IF(AND(D1413&gt;0,H1413=0,G1413=""),1,"")</f>
        <v/>
      </c>
      <c r="AT1413" s="25">
        <f>IF(G1413="BLOQ",1,"")</f>
        <v/>
      </c>
      <c r="AU1413" s="25">
        <f>IF(L1413="BLOQ",1,"")</f>
        <v/>
      </c>
      <c r="AV1413" s="25">
        <f>MONTH(F1413)</f>
        <v/>
      </c>
      <c r="AW1413" s="65">
        <f>IF(AP1413="",100%,0%)</f>
        <v/>
      </c>
      <c r="AX1413" s="56" t="n"/>
      <c r="AY1413" s="24">
        <f>IF(M1413=0,"",M1413-$AX$2)</f>
        <v/>
      </c>
      <c r="AZ1413" s="66">
        <f>IF(AND(W1413="",AY1413&gt;0,AY1413&lt;15),1,0)</f>
        <v/>
      </c>
      <c r="BA1413" s="24">
        <f>IF(AND(W1413="",AY1413&gt;0,AY1413&lt;15),T1413,"")</f>
        <v/>
      </c>
      <c r="BB1413" s="87">
        <f>IF(R1413&lt;Q1413,"X","")</f>
        <v/>
      </c>
      <c r="BC1413" s="190" t="inlineStr">
        <is>
          <t>NO</t>
        </is>
      </c>
      <c r="BD1413" s="191" t="inlineStr">
        <is>
          <t>SI</t>
        </is>
      </c>
    </row>
    <row r="1414" ht="15" customHeight="1" s="162">
      <c r="A1414" s="7" t="n">
        <v>1413</v>
      </c>
      <c r="B1414" t="inlineStr">
        <is>
          <t>3210506330100</t>
        </is>
      </c>
      <c r="C1414" t="inlineStr">
        <is>
          <t>ADAPT DP-MINI-M/HDMI-A-H 2K BLANCO L0.1M</t>
        </is>
      </c>
      <c r="D1414" t="inlineStr">
        <is>
          <t>1800114063</t>
        </is>
      </c>
      <c r="E1414" t="inlineStr">
        <is>
          <t>30</t>
        </is>
      </c>
      <c r="F1414" s="163" t="n">
        <v>45580</v>
      </c>
      <c r="G1414" t="inlineStr"/>
      <c r="H1414" t="inlineStr">
        <is>
          <t>4200582095</t>
        </is>
      </c>
      <c r="I1414" t="inlineStr">
        <is>
          <t>10</t>
        </is>
      </c>
      <c r="J1414" s="163" t="n">
        <v>45586</v>
      </c>
      <c r="K1414" s="163" t="n">
        <v>45586</v>
      </c>
      <c r="L1414" t="inlineStr"/>
      <c r="M1414" s="163" t="n">
        <v>45595</v>
      </c>
      <c r="N1414" s="164" t="n">
        <v>40</v>
      </c>
      <c r="O1414" s="164" t="n">
        <v>8</v>
      </c>
      <c r="P1414" t="inlineStr">
        <is>
          <t>Liberado</t>
        </is>
      </c>
      <c r="Q1414" s="165" t="n">
        <v>11</v>
      </c>
      <c r="R1414" s="165" t="n">
        <v>11</v>
      </c>
      <c r="S1414" s="165" t="n">
        <v>11</v>
      </c>
      <c r="T1414" s="165" t="n">
        <v>0</v>
      </c>
      <c r="U1414" s="166" t="n">
        <v>11</v>
      </c>
      <c r="V1414" s="166" t="n">
        <v>0</v>
      </c>
      <c r="W1414" t="inlineStr">
        <is>
          <t>X</t>
        </is>
      </c>
      <c r="X1414" t="inlineStr">
        <is>
          <t>0.00</t>
        </is>
      </c>
      <c r="Y1414" t="inlineStr"/>
      <c r="Z1414" t="inlineStr">
        <is>
          <t>INFORMATICA CALCULO Y TECNICA, S.A.</t>
        </is>
      </c>
      <c r="AA1414" t="inlineStr">
        <is>
          <t>ROLINE</t>
        </is>
      </c>
      <c r="AB1414" t="inlineStr">
        <is>
          <t>12.03.3129</t>
        </is>
      </c>
      <c r="AC1414" t="inlineStr"/>
      <c r="AD1414" s="164" t="n">
        <v>0</v>
      </c>
      <c r="AE1414" s="185" t="n">
        <v>0</v>
      </c>
      <c r="AG1414" s="167" t="inlineStr">
        <is>
          <t>7218|JA2585_1001</t>
        </is>
      </c>
      <c r="AH1414" s="47">
        <f>IF(M1414=0,"-",M1414-J1414)</f>
        <v/>
      </c>
      <c r="AI1414" s="46">
        <f>IF(AND(S1414=0,M1414&gt;0,L1414=0),IF(AH1414&gt;=120,"VERY HIGH",IF(AH1414&gt;=90,"HIGH",IF(AH1414&gt;=60,"MEDIUM",IF(AH1414&lt;60,"LOW")))),"-")</f>
        <v/>
      </c>
      <c r="AJ1414" s="12" t="n"/>
      <c r="AK1414" s="53">
        <f>IF(AND(W1414="X",M1414&lt;=$AJ$2),"YES","")</f>
        <v/>
      </c>
      <c r="AL1414" s="54">
        <f>IF(AND(W1414="X",M1414&lt;=$AJ$2),S1414,"")</f>
        <v/>
      </c>
      <c r="AM1414" s="35" t="n"/>
      <c r="AN1414" s="35">
        <f>IF(AND(W1414="X",M1414&gt;$AJ$2),S1414,"")</f>
        <v/>
      </c>
      <c r="AO1414" s="35">
        <f>IF(AND(W1414="",M1414&gt;0,$AJ$2&gt;M1414,L1414=""),1,0)</f>
        <v/>
      </c>
      <c r="AP1414" s="35">
        <f>IF(AND(AK1414="YES",W1414="X"),"X","")</f>
        <v/>
      </c>
      <c r="AQ1414" s="55">
        <f>IF(AP1414="X",100%,0%)</f>
        <v/>
      </c>
      <c r="AR1414" s="25">
        <f>IF(AND(T1414&gt;0,L1414=""),H1414,"")</f>
        <v/>
      </c>
      <c r="AS1414" s="25">
        <f>IF(AND(D1414&gt;0,H1414=0,G1414=""),1,"")</f>
        <v/>
      </c>
      <c r="AT1414" s="25">
        <f>IF(G1414="BLOQ",1,"")</f>
        <v/>
      </c>
      <c r="AU1414" s="25">
        <f>IF(L1414="BLOQ",1,"")</f>
        <v/>
      </c>
      <c r="AV1414" s="25">
        <f>MONTH(F1414)</f>
        <v/>
      </c>
      <c r="AW1414" s="65">
        <f>IF(AP1414="",100%,0%)</f>
        <v/>
      </c>
      <c r="AX1414" s="56" t="n"/>
      <c r="AY1414" s="24">
        <f>IF(M1414=0,"",M1414-$AX$2)</f>
        <v/>
      </c>
      <c r="AZ1414" s="66">
        <f>IF(AND(W1414="",AY1414&gt;0,AY1414&lt;15),1,0)</f>
        <v/>
      </c>
      <c r="BA1414" s="24">
        <f>IF(AND(W1414="",AY1414&gt;0,AY1414&lt;15),T1414,"")</f>
        <v/>
      </c>
      <c r="BB1414" s="87">
        <f>IF(R1414&lt;Q1414,"X","")</f>
        <v/>
      </c>
      <c r="BC1414" s="191" t="inlineStr">
        <is>
          <t>SI</t>
        </is>
      </c>
      <c r="BD1414" s="191" t="inlineStr">
        <is>
          <t>SI</t>
        </is>
      </c>
    </row>
    <row r="1415" ht="15" customHeight="1" s="162">
      <c r="A1415" s="7" t="n">
        <v>1414</v>
      </c>
      <c r="B1415" t="inlineStr">
        <is>
          <t>1351708680400</t>
        </is>
      </c>
      <c r="C1415" t="inlineStr">
        <is>
          <t>MOD POSEIDON 3468 48VDC 4XDI 2XDO 230V 1</t>
        </is>
      </c>
      <c r="D1415" t="inlineStr">
        <is>
          <t>1800114067</t>
        </is>
      </c>
      <c r="E1415" t="inlineStr">
        <is>
          <t>10</t>
        </is>
      </c>
      <c r="F1415" s="163" t="n">
        <v>45580</v>
      </c>
      <c r="G1415" t="inlineStr"/>
      <c r="H1415" t="inlineStr">
        <is>
          <t>4200584313</t>
        </is>
      </c>
      <c r="I1415" t="inlineStr">
        <is>
          <t>10</t>
        </is>
      </c>
      <c r="J1415" s="163" t="n">
        <v>45601</v>
      </c>
      <c r="K1415" s="163" t="n">
        <v>45601</v>
      </c>
      <c r="L1415" t="inlineStr"/>
      <c r="M1415" s="163" t="n">
        <v>45607</v>
      </c>
      <c r="N1415" s="164" t="n">
        <v>40</v>
      </c>
      <c r="O1415" s="164" t="n">
        <v>8</v>
      </c>
      <c r="P1415" t="inlineStr">
        <is>
          <t>Liberado</t>
        </is>
      </c>
      <c r="Q1415" s="165" t="n">
        <v>1</v>
      </c>
      <c r="R1415" s="165" t="n">
        <v>1</v>
      </c>
      <c r="S1415" s="165" t="n">
        <v>1</v>
      </c>
      <c r="T1415" s="165" t="n">
        <v>0</v>
      </c>
      <c r="U1415" s="166" t="n">
        <v>1</v>
      </c>
      <c r="V1415" s="166" t="n">
        <v>0</v>
      </c>
      <c r="W1415" t="inlineStr">
        <is>
          <t>X</t>
        </is>
      </c>
      <c r="X1415" t="inlineStr">
        <is>
          <t>0.00</t>
        </is>
      </c>
      <c r="Y1415" t="inlineStr"/>
      <c r="Z1415" t="inlineStr">
        <is>
          <t>CARTRONIC MEMORY, S.A.</t>
        </is>
      </c>
      <c r="AA1415" t="inlineStr">
        <is>
          <t>HW GROUP</t>
        </is>
      </c>
      <c r="AB1415" t="inlineStr">
        <is>
          <t>600570</t>
        </is>
      </c>
      <c r="AC1415" t="inlineStr"/>
      <c r="AD1415" s="164" t="n">
        <v>0</v>
      </c>
      <c r="AE1415" s="185" t="n">
        <v>0</v>
      </c>
      <c r="AG1415" s="167" t="inlineStr">
        <is>
          <t>7218|JA2585_1001</t>
        </is>
      </c>
      <c r="AH1415" s="47">
        <f>IF(M1415=0,"-",M1415-J1415)</f>
        <v/>
      </c>
      <c r="AI1415" s="46">
        <f>IF(AND(S1415=0,M1415&gt;0,L1415=0),IF(AH1415&gt;=120,"VERY HIGH",IF(AH1415&gt;=90,"HIGH",IF(AH1415&gt;=60,"MEDIUM",IF(AH1415&lt;60,"LOW")))),"-")</f>
        <v/>
      </c>
      <c r="AJ1415" s="12" t="n"/>
      <c r="AK1415" s="53">
        <f>IF(AND(W1415="X",M1415&lt;=$AJ$2),"YES","")</f>
        <v/>
      </c>
      <c r="AL1415" s="54">
        <f>IF(AND(W1415="X",M1415&lt;=$AJ$2),S1415,"")</f>
        <v/>
      </c>
      <c r="AM1415" s="35" t="n"/>
      <c r="AN1415" s="35">
        <f>IF(AND(W1415="X",M1415&gt;$AJ$2),S1415,"")</f>
        <v/>
      </c>
      <c r="AO1415" s="35">
        <f>IF(AND(W1415="",M1415&gt;0,$AJ$2&gt;M1415,L1415=""),1,0)</f>
        <v/>
      </c>
      <c r="AP1415" s="35">
        <f>IF(AND(AK1415="YES",W1415="X"),"X","")</f>
        <v/>
      </c>
      <c r="AQ1415" s="55">
        <f>IF(AP1415="X",100%,0%)</f>
        <v/>
      </c>
      <c r="AR1415" s="25">
        <f>IF(AND(T1415&gt;0,L1415=""),H1415,"")</f>
        <v/>
      </c>
      <c r="AS1415" s="25">
        <f>IF(AND(D1415&gt;0,H1415=0,G1415=""),1,"")</f>
        <v/>
      </c>
      <c r="AT1415" s="25">
        <f>IF(G1415="BLOQ",1,"")</f>
        <v/>
      </c>
      <c r="AU1415" s="25">
        <f>IF(L1415="BLOQ",1,"")</f>
        <v/>
      </c>
      <c r="AV1415" s="25">
        <f>MONTH(F1415)</f>
        <v/>
      </c>
      <c r="AW1415" s="65">
        <f>IF(AP1415="",100%,0%)</f>
        <v/>
      </c>
      <c r="AX1415" s="56" t="n"/>
      <c r="AY1415" s="24">
        <f>IF(M1415=0,"",M1415-$AX$2)</f>
        <v/>
      </c>
      <c r="AZ1415" s="66">
        <f>IF(AND(W1415="",AY1415&gt;0,AY1415&lt;15),1,0)</f>
        <v/>
      </c>
      <c r="BA1415" s="24">
        <f>IF(AND(W1415="",AY1415&gt;0,AY1415&lt;15),T1415,"")</f>
        <v/>
      </c>
      <c r="BB1415" s="87">
        <f>IF(R1415&lt;Q1415,"X","")</f>
        <v/>
      </c>
      <c r="BC1415" s="191" t="inlineStr">
        <is>
          <t>SI</t>
        </is>
      </c>
      <c r="BD1415" s="191" t="inlineStr">
        <is>
          <t>SI</t>
        </is>
      </c>
    </row>
    <row r="1416" ht="15" customHeight="1" s="162">
      <c r="A1416" s="7" t="n">
        <v>1415</v>
      </c>
      <c r="B1416" t="inlineStr">
        <is>
          <t>3120500540100</t>
        </is>
      </c>
      <c r="C1416" t="inlineStr">
        <is>
          <t>PDU MANAGED 24XC13/6XC19 32A 22KW RACK</t>
        </is>
      </c>
      <c r="D1416" t="inlineStr">
        <is>
          <t>1800114067</t>
        </is>
      </c>
      <c r="E1416" t="inlineStr">
        <is>
          <t>20</t>
        </is>
      </c>
      <c r="F1416" s="163" t="n">
        <v>45580</v>
      </c>
      <c r="G1416" t="inlineStr"/>
      <c r="H1416" t="inlineStr">
        <is>
          <t>4200582045</t>
        </is>
      </c>
      <c r="I1416" t="inlineStr">
        <is>
          <t>10</t>
        </is>
      </c>
      <c r="J1416" s="163" t="n">
        <v>45586</v>
      </c>
      <c r="K1416" s="163" t="n">
        <v>45586</v>
      </c>
      <c r="L1416" t="inlineStr"/>
      <c r="M1416" s="163" t="n">
        <v>45604</v>
      </c>
      <c r="N1416" s="164" t="n">
        <v>40</v>
      </c>
      <c r="O1416" s="164" t="n">
        <v>8</v>
      </c>
      <c r="P1416" t="inlineStr">
        <is>
          <t>Liberado</t>
        </is>
      </c>
      <c r="Q1416" s="165" t="n">
        <v>1</v>
      </c>
      <c r="R1416" s="165" t="n">
        <v>1</v>
      </c>
      <c r="S1416" s="165" t="n">
        <v>1</v>
      </c>
      <c r="T1416" s="165" t="n">
        <v>0</v>
      </c>
      <c r="U1416" s="166" t="n">
        <v>1</v>
      </c>
      <c r="V1416" s="166" t="n">
        <v>0</v>
      </c>
      <c r="W1416" t="inlineStr">
        <is>
          <t>X</t>
        </is>
      </c>
      <c r="X1416" t="inlineStr">
        <is>
          <t>0.00</t>
        </is>
      </c>
      <c r="Y1416" t="inlineStr"/>
      <c r="Z1416" t="inlineStr">
        <is>
          <t>RITTAL, S.A</t>
        </is>
      </c>
      <c r="AA1416" t="inlineStr">
        <is>
          <t>RITTAL</t>
        </is>
      </c>
      <c r="AB1416" t="inlineStr">
        <is>
          <t>DK 7979.437</t>
        </is>
      </c>
      <c r="AC1416" t="inlineStr"/>
      <c r="AD1416" s="164" t="n">
        <v>0</v>
      </c>
      <c r="AE1416" s="185" t="n">
        <v>0</v>
      </c>
      <c r="AG1416" s="167" t="inlineStr">
        <is>
          <t>7218|JA2585_1001</t>
        </is>
      </c>
      <c r="AH1416" s="47">
        <f>IF(M1416=0,"-",M1416-J1416)</f>
        <v/>
      </c>
      <c r="AI1416" s="46">
        <f>IF(AND(S1416=0,M1416&gt;0,L1416=0),IF(AH1416&gt;=120,"VERY HIGH",IF(AH1416&gt;=90,"HIGH",IF(AH1416&gt;=60,"MEDIUM",IF(AH1416&lt;60,"LOW")))),"-")</f>
        <v/>
      </c>
      <c r="AJ1416" s="12" t="n"/>
      <c r="AK1416" s="53">
        <f>IF(AND(W1416="X",M1416&lt;=$AJ$2),"YES","")</f>
        <v/>
      </c>
      <c r="AL1416" s="54">
        <f>IF(AND(W1416="X",M1416&lt;=$AJ$2),S1416,"")</f>
        <v/>
      </c>
      <c r="AM1416" s="35" t="n"/>
      <c r="AN1416" s="35">
        <f>IF(AND(W1416="X",M1416&gt;$AJ$2),S1416,"")</f>
        <v/>
      </c>
      <c r="AO1416" s="35">
        <f>IF(AND(W1416="",M1416&gt;0,$AJ$2&gt;M1416,L1416=""),1,0)</f>
        <v/>
      </c>
      <c r="AP1416" s="35">
        <f>IF(AND(AK1416="YES",W1416="X"),"X","")</f>
        <v/>
      </c>
      <c r="AQ1416" s="55">
        <f>IF(AP1416="X",100%,0%)</f>
        <v/>
      </c>
      <c r="AR1416" s="25">
        <f>IF(AND(T1416&gt;0,L1416=""),H1416,"")</f>
        <v/>
      </c>
      <c r="AS1416" s="25">
        <f>IF(AND(D1416&gt;0,H1416=0,G1416=""),1,"")</f>
        <v/>
      </c>
      <c r="AT1416" s="25">
        <f>IF(G1416="BLOQ",1,"")</f>
        <v/>
      </c>
      <c r="AU1416" s="25">
        <f>IF(L1416="BLOQ",1,"")</f>
        <v/>
      </c>
      <c r="AV1416" s="25">
        <f>MONTH(F1416)</f>
        <v/>
      </c>
      <c r="AW1416" s="65">
        <f>IF(AP1416="",100%,0%)</f>
        <v/>
      </c>
      <c r="AX1416" s="56" t="n"/>
      <c r="AY1416" s="24">
        <f>IF(M1416=0,"",M1416-$AX$2)</f>
        <v/>
      </c>
      <c r="AZ1416" s="66">
        <f>IF(AND(W1416="",AY1416&gt;0,AY1416&lt;15),1,0)</f>
        <v/>
      </c>
      <c r="BA1416" s="24">
        <f>IF(AND(W1416="",AY1416&gt;0,AY1416&lt;15),T1416,"")</f>
        <v/>
      </c>
      <c r="BB1416" s="87">
        <f>IF(R1416&lt;Q1416,"X","")</f>
        <v/>
      </c>
      <c r="BC1416" s="191" t="inlineStr">
        <is>
          <t>SI</t>
        </is>
      </c>
      <c r="BD1416" s="191" t="inlineStr">
        <is>
          <t>SI</t>
        </is>
      </c>
    </row>
    <row r="1417" ht="15" customHeight="1" s="162">
      <c r="A1417" s="7" t="n">
        <v>1416</v>
      </c>
      <c r="B1417" t="inlineStr">
        <is>
          <t>1209994130022</t>
        </is>
      </c>
      <c r="C1417" t="inlineStr">
        <is>
          <t>STRAIN RELIEF #13 AL/NI M85049/38-13N</t>
        </is>
      </c>
      <c r="D1417" t="inlineStr">
        <is>
          <t>1800114171</t>
        </is>
      </c>
      <c r="E1417" t="inlineStr">
        <is>
          <t>10</t>
        </is>
      </c>
      <c r="F1417" s="163" t="n">
        <v>45581</v>
      </c>
      <c r="G1417" t="inlineStr"/>
      <c r="H1417" t="inlineStr">
        <is>
          <t>4200584417</t>
        </is>
      </c>
      <c r="I1417" t="inlineStr">
        <is>
          <t>20</t>
        </is>
      </c>
      <c r="J1417" s="163" t="n">
        <v>45601</v>
      </c>
      <c r="K1417" s="163" t="n">
        <v>45602</v>
      </c>
      <c r="L1417" t="inlineStr"/>
      <c r="M1417" s="163" t="n">
        <v>45606</v>
      </c>
      <c r="N1417" s="164" t="n">
        <v>30</v>
      </c>
      <c r="O1417" s="164" t="n">
        <v>8</v>
      </c>
      <c r="P1417" t="inlineStr">
        <is>
          <t>Liberado</t>
        </is>
      </c>
      <c r="Q1417" s="165" t="n">
        <v>2</v>
      </c>
      <c r="R1417" s="165" t="n">
        <v>2</v>
      </c>
      <c r="S1417" s="165" t="n">
        <v>2</v>
      </c>
      <c r="T1417" s="165" t="n">
        <v>0</v>
      </c>
      <c r="U1417" s="166" t="n">
        <v>2</v>
      </c>
      <c r="V1417" s="166" t="n">
        <v>0</v>
      </c>
      <c r="W1417" t="inlineStr">
        <is>
          <t>X</t>
        </is>
      </c>
      <c r="X1417" t="inlineStr">
        <is>
          <t>0.00</t>
        </is>
      </c>
      <c r="Y1417" t="inlineStr"/>
      <c r="Z1417" t="inlineStr">
        <is>
          <t>SUMINISTROS CONECTORES PROF.,SA.</t>
        </is>
      </c>
      <c r="AA1417" t="inlineStr">
        <is>
          <t>SAE INC.</t>
        </is>
      </c>
      <c r="AB1417" t="inlineStr">
        <is>
          <t>AS85049/38-13N</t>
        </is>
      </c>
      <c r="AC1417" t="inlineStr"/>
      <c r="AD1417" s="164" t="n">
        <v>0</v>
      </c>
      <c r="AE1417" s="185" t="n">
        <v>0</v>
      </c>
      <c r="AG1417" s="167" t="inlineStr">
        <is>
          <t>7218|JA2582_1001</t>
        </is>
      </c>
      <c r="AH1417" s="47">
        <f>IF(M1417=0,"-",M1417-J1417)</f>
        <v/>
      </c>
      <c r="AI1417" s="46">
        <f>IF(AND(S1417=0,M1417&gt;0,L1417=0),IF(AH1417&gt;=120,"VERY HIGH",IF(AH1417&gt;=90,"HIGH",IF(AH1417&gt;=60,"MEDIUM",IF(AH1417&lt;60,"LOW")))),"-")</f>
        <v/>
      </c>
      <c r="AJ1417" s="12" t="n"/>
      <c r="AK1417" s="53">
        <f>IF(AND(W1417="X",M1417&lt;=$AJ$2),"YES","")</f>
        <v/>
      </c>
      <c r="AL1417" s="54">
        <f>IF(AND(W1417="X",M1417&lt;=$AJ$2),S1417,"")</f>
        <v/>
      </c>
      <c r="AM1417" s="35" t="n"/>
      <c r="AN1417" s="35">
        <f>IF(AND(W1417="X",M1417&gt;$AJ$2),S1417,"")</f>
        <v/>
      </c>
      <c r="AO1417" s="35">
        <f>IF(AND(W1417="",M1417&gt;0,$AJ$2&gt;M1417,L1417=""),1,0)</f>
        <v/>
      </c>
      <c r="AP1417" s="35">
        <f>IF(AND(AK1417="YES",W1417="X"),"X","")</f>
        <v/>
      </c>
      <c r="AQ1417" s="55">
        <f>IF(AP1417="X",100%,0%)</f>
        <v/>
      </c>
      <c r="AR1417" s="25">
        <f>IF(AND(T1417&gt;0,L1417=""),H1417,"")</f>
        <v/>
      </c>
      <c r="AS1417" s="25">
        <f>IF(AND(D1417&gt;0,H1417=0,G1417=""),1,"")</f>
        <v/>
      </c>
      <c r="AT1417" s="25">
        <f>IF(G1417="BLOQ",1,"")</f>
        <v/>
      </c>
      <c r="AU1417" s="25">
        <f>IF(L1417="BLOQ",1,"")</f>
        <v/>
      </c>
      <c r="AV1417" s="25">
        <f>MONTH(F1417)</f>
        <v/>
      </c>
      <c r="AW1417" s="65">
        <f>IF(AP1417="",100%,0%)</f>
        <v/>
      </c>
      <c r="AX1417" s="56" t="n"/>
      <c r="AY1417" s="24">
        <f>IF(M1417=0,"",M1417-$AX$2)</f>
        <v/>
      </c>
      <c r="AZ1417" s="66">
        <f>IF(AND(W1417="",AY1417&gt;0,AY1417&lt;15),1,0)</f>
        <v/>
      </c>
      <c r="BA1417" s="24">
        <f>IF(AND(W1417="",AY1417&gt;0,AY1417&lt;15),T1417,"")</f>
        <v/>
      </c>
      <c r="BB1417" s="87">
        <f>IF(R1417&lt;Q1417,"X","")</f>
        <v/>
      </c>
      <c r="BC1417" s="190" t="inlineStr">
        <is>
          <t>NO</t>
        </is>
      </c>
      <c r="BD1417" s="191" t="inlineStr">
        <is>
          <t>SI</t>
        </is>
      </c>
    </row>
    <row r="1418" ht="15" customHeight="1" s="162">
      <c r="A1418" s="7" t="n">
        <v>1417</v>
      </c>
      <c r="B1418" t="inlineStr">
        <is>
          <t>1231024609900</t>
        </is>
      </c>
      <c r="C1418" t="inlineStr">
        <is>
          <t>TUBO TERMO 1/4 2:1 L=1.219M PVDF CLARO R</t>
        </is>
      </c>
      <c r="D1418" t="inlineStr">
        <is>
          <t>1800114171</t>
        </is>
      </c>
      <c r="E1418" t="inlineStr">
        <is>
          <t>20</t>
        </is>
      </c>
      <c r="F1418" s="163" t="n">
        <v>45581</v>
      </c>
      <c r="G1418" t="inlineStr"/>
      <c r="H1418" t="inlineStr">
        <is>
          <t>4200586375</t>
        </is>
      </c>
      <c r="I1418" t="inlineStr">
        <is>
          <t>1510</t>
        </is>
      </c>
      <c r="J1418" s="163" t="n">
        <v>45615</v>
      </c>
      <c r="K1418" s="163" t="n">
        <v>45805</v>
      </c>
      <c r="L1418" t="inlineStr">
        <is>
          <t>BORR</t>
        </is>
      </c>
      <c r="M1418" s="163" t="n">
        <v>45606</v>
      </c>
      <c r="N1418" s="164" t="n">
        <v>60</v>
      </c>
      <c r="O1418" s="164" t="n">
        <v>8</v>
      </c>
      <c r="P1418" t="inlineStr">
        <is>
          <t>Liberado</t>
        </is>
      </c>
      <c r="Q1418" s="165" t="n">
        <v>2</v>
      </c>
      <c r="R1418" s="165" t="n">
        <v>2</v>
      </c>
      <c r="S1418" s="165" t="n">
        <v>0</v>
      </c>
      <c r="T1418" s="165" t="n">
        <v>2</v>
      </c>
      <c r="U1418" s="166" t="n">
        <v>0</v>
      </c>
      <c r="V1418" s="166" t="n">
        <v>0</v>
      </c>
      <c r="W1418" t="inlineStr"/>
      <c r="X1418" t="inlineStr">
        <is>
          <t>19.88</t>
        </is>
      </c>
      <c r="Y1418" t="inlineStr"/>
      <c r="Z1418" t="inlineStr">
        <is>
          <t>TTI INC.</t>
        </is>
      </c>
      <c r="AA1418" t="inlineStr">
        <is>
          <t>TE CONNECTIVITY</t>
        </is>
      </c>
      <c r="AB1418" t="inlineStr">
        <is>
          <t>RW-175-1/4-X-STK</t>
        </is>
      </c>
      <c r="AC1418" t="inlineStr"/>
      <c r="AD1418" s="164" t="n">
        <v>0</v>
      </c>
      <c r="AE1418" s="185" t="n">
        <v>0</v>
      </c>
      <c r="AG1418" s="167" t="inlineStr">
        <is>
          <t>7218|JA2582_1001</t>
        </is>
      </c>
      <c r="AH1418" s="47">
        <f>IF(M1418=0,"-",M1418-J1418)</f>
        <v/>
      </c>
      <c r="AI1418" s="46">
        <f>IF(AND(S1418=0,M1418&gt;0,L1418=0),IF(AH1418&gt;=120,"VERY HIGH",IF(AH1418&gt;=90,"HIGH",IF(AH1418&gt;=60,"MEDIUM",IF(AH1418&lt;60,"LOW")))),"-")</f>
        <v/>
      </c>
      <c r="AJ1418" s="12" t="n"/>
      <c r="AK1418" s="53">
        <f>IF(AND(W1418="X",M1418&lt;=$AJ$2),"YES","")</f>
        <v/>
      </c>
      <c r="AL1418" s="54">
        <f>IF(AND(W1418="X",M1418&lt;=$AJ$2),S1418,"")</f>
        <v/>
      </c>
      <c r="AM1418" s="35" t="n"/>
      <c r="AN1418" s="35">
        <f>IF(AND(W1418="X",M1418&gt;$AJ$2),S1418,"")</f>
        <v/>
      </c>
      <c r="AO1418" s="35">
        <f>IF(AND(W1418="",M1418&gt;0,$AJ$2&gt;M1418,L1418=""),1,0)</f>
        <v/>
      </c>
      <c r="AP1418" s="35">
        <f>IF(AND(AK1418="YES",W1418="X"),"X","")</f>
        <v/>
      </c>
      <c r="AQ1418" s="55">
        <f>IF(AP1418="X",100%,0%)</f>
        <v/>
      </c>
      <c r="AR1418" s="25">
        <f>IF(AND(T1418&gt;0,L1418=""),H1418,"")</f>
        <v/>
      </c>
      <c r="AS1418" s="25">
        <f>IF(AND(D1418&gt;0,H1418=0,G1418=""),1,"")</f>
        <v/>
      </c>
      <c r="AT1418" s="25">
        <f>IF(G1418="BLOQ",1,"")</f>
        <v/>
      </c>
      <c r="AU1418" s="25">
        <f>IF(L1418="BLOQ",1,"")</f>
        <v/>
      </c>
      <c r="AV1418" s="25">
        <f>MONTH(F1418)</f>
        <v/>
      </c>
      <c r="AW1418" s="65">
        <f>IF(AP1418="",100%,0%)</f>
        <v/>
      </c>
      <c r="AX1418" s="56" t="n"/>
      <c r="AY1418" s="24">
        <f>IF(M1418=0,"",M1418-$AX$2)</f>
        <v/>
      </c>
      <c r="AZ1418" s="66">
        <f>IF(AND(W1418="",AY1418&gt;0,AY1418&lt;15),1,0)</f>
        <v/>
      </c>
      <c r="BA1418" s="24">
        <f>IF(AND(W1418="",AY1418&gt;0,AY1418&lt;15),T1418,"")</f>
        <v/>
      </c>
      <c r="BB1418" s="87">
        <f>IF(R1418&lt;Q1418,"X","")</f>
        <v/>
      </c>
      <c r="BC1418" s="190" t="inlineStr">
        <is>
          <t>NO</t>
        </is>
      </c>
      <c r="BD1418" s="191" t="inlineStr">
        <is>
          <t>SI</t>
        </is>
      </c>
    </row>
    <row r="1419" ht="15" customHeight="1" s="162">
      <c r="A1419" s="7" t="n">
        <v>1418</v>
      </c>
      <c r="B1419" t="inlineStr">
        <is>
          <t>1231024609900</t>
        </is>
      </c>
      <c r="C1419" t="inlineStr">
        <is>
          <t>TUBO TERMO 1/4 2:1 L=1.219M PVDF CLARO R</t>
        </is>
      </c>
      <c r="D1419" t="inlineStr">
        <is>
          <t>1800114171</t>
        </is>
      </c>
      <c r="E1419" t="inlineStr">
        <is>
          <t>20</t>
        </is>
      </c>
      <c r="F1419" s="163" t="n">
        <v>45581</v>
      </c>
      <c r="G1419" t="inlineStr"/>
      <c r="H1419" t="inlineStr">
        <is>
          <t>4200587268</t>
        </is>
      </c>
      <c r="I1419" t="inlineStr">
        <is>
          <t>280</t>
        </is>
      </c>
      <c r="J1419" s="163" t="n">
        <v>45621</v>
      </c>
      <c r="K1419" s="163" t="n">
        <v>45736</v>
      </c>
      <c r="L1419" t="inlineStr"/>
      <c r="M1419" s="163" t="n">
        <v>45726</v>
      </c>
      <c r="N1419" s="164" t="n">
        <v>60</v>
      </c>
      <c r="O1419" s="164" t="n">
        <v>8</v>
      </c>
      <c r="P1419" t="inlineStr">
        <is>
          <t>Liberado</t>
        </is>
      </c>
      <c r="Q1419" s="165" t="n">
        <v>2</v>
      </c>
      <c r="R1419" s="165" t="n">
        <v>2</v>
      </c>
      <c r="S1419" s="165" t="n">
        <v>2</v>
      </c>
      <c r="T1419" s="165" t="n">
        <v>0</v>
      </c>
      <c r="U1419" s="166" t="n">
        <v>2</v>
      </c>
      <c r="V1419" s="166" t="n">
        <v>0</v>
      </c>
      <c r="W1419" t="inlineStr">
        <is>
          <t>X</t>
        </is>
      </c>
      <c r="X1419" t="inlineStr">
        <is>
          <t>0.00</t>
        </is>
      </c>
      <c r="Y1419" t="inlineStr"/>
      <c r="Z1419" t="inlineStr">
        <is>
          <t>MOUSER ELECTRONICS, INC.</t>
        </is>
      </c>
      <c r="AA1419" t="inlineStr">
        <is>
          <t>TE CONNECTIVITY</t>
        </is>
      </c>
      <c r="AB1419" t="inlineStr">
        <is>
          <t>RW-175-1/4-X-STK</t>
        </is>
      </c>
      <c r="AC1419" t="inlineStr"/>
      <c r="AD1419" s="164" t="n">
        <v>1</v>
      </c>
      <c r="AE1419" s="185" t="n">
        <v>0</v>
      </c>
      <c r="AG1419" s="167" t="inlineStr">
        <is>
          <t>7218|JA2582_1001</t>
        </is>
      </c>
      <c r="AH1419" s="47">
        <f>IF(M1419=0,"-",M1419-J1419)</f>
        <v/>
      </c>
      <c r="AI1419" s="46">
        <f>IF(AND(S1419=0,M1419&gt;0,L1419=0),IF(AH1419&gt;=120,"VERY HIGH",IF(AH1419&gt;=90,"HIGH",IF(AH1419&gt;=60,"MEDIUM",IF(AH1419&lt;60,"LOW")))),"-")</f>
        <v/>
      </c>
      <c r="AJ1419" s="12" t="n"/>
      <c r="AK1419" s="53">
        <f>IF(AND(W1419="X",M1419&lt;=$AJ$2),"YES","")</f>
        <v/>
      </c>
      <c r="AL1419" s="54">
        <f>IF(AND(W1419="X",M1419&lt;=$AJ$2),S1419,"")</f>
        <v/>
      </c>
      <c r="AM1419" s="35" t="n"/>
      <c r="AN1419" s="35">
        <f>IF(AND(W1419="X",M1419&gt;$AJ$2),S1419,"")</f>
        <v/>
      </c>
      <c r="AO1419" s="35">
        <f>IF(AND(W1419="",M1419&gt;0,$AJ$2&gt;M1419,L1419=""),1,0)</f>
        <v/>
      </c>
      <c r="AP1419" s="35">
        <f>IF(AND(AK1419="YES",W1419="X"),"X","")</f>
        <v/>
      </c>
      <c r="AQ1419" s="55">
        <f>IF(AP1419="X",100%,0%)</f>
        <v/>
      </c>
      <c r="AR1419" s="25">
        <f>IF(AND(T1419&gt;0,L1419=""),H1419,"")</f>
        <v/>
      </c>
      <c r="AS1419" s="25">
        <f>IF(AND(D1419&gt;0,H1419=0,G1419=""),1,"")</f>
        <v/>
      </c>
      <c r="AT1419" s="25">
        <f>IF(G1419="BLOQ",1,"")</f>
        <v/>
      </c>
      <c r="AU1419" s="25">
        <f>IF(L1419="BLOQ",1,"")</f>
        <v/>
      </c>
      <c r="AV1419" s="25">
        <f>MONTH(F1419)</f>
        <v/>
      </c>
      <c r="AW1419" s="65">
        <f>IF(AP1419="",100%,0%)</f>
        <v/>
      </c>
      <c r="AX1419" s="56" t="n"/>
      <c r="AY1419" s="24">
        <f>IF(M1419=0,"",M1419-$AX$2)</f>
        <v/>
      </c>
      <c r="AZ1419" s="66">
        <f>IF(AND(W1419="",AY1419&gt;0,AY1419&lt;15),1,0)</f>
        <v/>
      </c>
      <c r="BA1419" s="24">
        <f>IF(AND(W1419="",AY1419&gt;0,AY1419&lt;15),T1419,"")</f>
        <v/>
      </c>
      <c r="BB1419" s="87">
        <f>IF(R1419&lt;Q1419,"X","")</f>
        <v/>
      </c>
      <c r="BC1419" s="190" t="inlineStr">
        <is>
          <t>NO</t>
        </is>
      </c>
      <c r="BD1419" s="191" t="inlineStr">
        <is>
          <t>SI</t>
        </is>
      </c>
    </row>
    <row r="1420" ht="15" customHeight="1" s="162">
      <c r="A1420" s="7" t="n">
        <v>1419</v>
      </c>
      <c r="B1420" t="inlineStr">
        <is>
          <t>1231025129901</t>
        </is>
      </c>
      <c r="C1420" t="inlineStr">
        <is>
          <t>TUBO TERMO 1/2 2:1 L=1.219M PVDF CLARO R</t>
        </is>
      </c>
      <c r="D1420" t="inlineStr">
        <is>
          <t>1800114171</t>
        </is>
      </c>
      <c r="E1420" t="inlineStr">
        <is>
          <t>30</t>
        </is>
      </c>
      <c r="F1420" s="163" t="n">
        <v>45581</v>
      </c>
      <c r="G1420" t="inlineStr"/>
      <c r="H1420" t="inlineStr">
        <is>
          <t>4200586375</t>
        </is>
      </c>
      <c r="I1420" t="inlineStr">
        <is>
          <t>1500</t>
        </is>
      </c>
      <c r="J1420" s="163" t="n">
        <v>45615</v>
      </c>
      <c r="K1420" s="163" t="n">
        <v>45805</v>
      </c>
      <c r="L1420" t="inlineStr">
        <is>
          <t>BORR</t>
        </is>
      </c>
      <c r="M1420" s="163" t="n">
        <v>45606</v>
      </c>
      <c r="N1420" s="164" t="n">
        <v>60</v>
      </c>
      <c r="O1420" s="164" t="n">
        <v>8</v>
      </c>
      <c r="P1420" t="inlineStr">
        <is>
          <t>Liberado</t>
        </is>
      </c>
      <c r="Q1420" s="165" t="n">
        <v>2</v>
      </c>
      <c r="R1420" s="165" t="n">
        <v>2</v>
      </c>
      <c r="S1420" s="165" t="n">
        <v>0</v>
      </c>
      <c r="T1420" s="165" t="n">
        <v>2</v>
      </c>
      <c r="U1420" s="166" t="n">
        <v>0</v>
      </c>
      <c r="V1420" s="166" t="n">
        <v>0</v>
      </c>
      <c r="W1420" t="inlineStr"/>
      <c r="X1420" t="inlineStr">
        <is>
          <t>26.76</t>
        </is>
      </c>
      <c r="Y1420" t="inlineStr"/>
      <c r="Z1420" t="inlineStr">
        <is>
          <t>TTI INC.</t>
        </is>
      </c>
      <c r="AA1420" t="inlineStr">
        <is>
          <t>TE CONNECTIVITY</t>
        </is>
      </c>
      <c r="AB1420" t="inlineStr">
        <is>
          <t>RW-175-1/2-X-STK</t>
        </is>
      </c>
      <c r="AC1420" t="inlineStr"/>
      <c r="AD1420" s="164" t="n">
        <v>0</v>
      </c>
      <c r="AE1420" s="185" t="n">
        <v>0</v>
      </c>
      <c r="AG1420" s="167" t="inlineStr">
        <is>
          <t>7218|JA2582_1001</t>
        </is>
      </c>
      <c r="AH1420" s="47">
        <f>IF(M1420=0,"-",M1420-J1420)</f>
        <v/>
      </c>
      <c r="AI1420" s="46">
        <f>IF(AND(S1420=0,M1420&gt;0,L1420=0),IF(AH1420&gt;=120,"VERY HIGH",IF(AH1420&gt;=90,"HIGH",IF(AH1420&gt;=60,"MEDIUM",IF(AH1420&lt;60,"LOW")))),"-")</f>
        <v/>
      </c>
      <c r="AJ1420" s="12" t="n"/>
      <c r="AK1420" s="53">
        <f>IF(AND(W1420="X",M1420&lt;=$AJ$2),"YES","")</f>
        <v/>
      </c>
      <c r="AL1420" s="54">
        <f>IF(AND(W1420="X",M1420&lt;=$AJ$2),S1420,"")</f>
        <v/>
      </c>
      <c r="AM1420" s="35" t="n"/>
      <c r="AN1420" s="35">
        <f>IF(AND(W1420="X",M1420&gt;$AJ$2),S1420,"")</f>
        <v/>
      </c>
      <c r="AO1420" s="35">
        <f>IF(AND(W1420="",M1420&gt;0,$AJ$2&gt;M1420,L1420=""),1,0)</f>
        <v/>
      </c>
      <c r="AP1420" s="35">
        <f>IF(AND(AK1420="YES",W1420="X"),"X","")</f>
        <v/>
      </c>
      <c r="AQ1420" s="55">
        <f>IF(AP1420="X",100%,0%)</f>
        <v/>
      </c>
      <c r="AR1420" s="25">
        <f>IF(AND(T1420&gt;0,L1420=""),H1420,"")</f>
        <v/>
      </c>
      <c r="AS1420" s="25">
        <f>IF(AND(D1420&gt;0,H1420=0,G1420=""),1,"")</f>
        <v/>
      </c>
      <c r="AT1420" s="25">
        <f>IF(G1420="BLOQ",1,"")</f>
        <v/>
      </c>
      <c r="AU1420" s="25">
        <f>IF(L1420="BLOQ",1,"")</f>
        <v/>
      </c>
      <c r="AV1420" s="25">
        <f>MONTH(F1420)</f>
        <v/>
      </c>
      <c r="AW1420" s="65">
        <f>IF(AP1420="",100%,0%)</f>
        <v/>
      </c>
      <c r="AX1420" s="56" t="n"/>
      <c r="AY1420" s="24">
        <f>IF(M1420=0,"",M1420-$AX$2)</f>
        <v/>
      </c>
      <c r="AZ1420" s="66">
        <f>IF(AND(W1420="",AY1420&gt;0,AY1420&lt;15),1,0)</f>
        <v/>
      </c>
      <c r="BA1420" s="24">
        <f>IF(AND(W1420="",AY1420&gt;0,AY1420&lt;15),T1420,"")</f>
        <v/>
      </c>
      <c r="BB1420" s="87">
        <f>IF(R1420&lt;Q1420,"X","")</f>
        <v/>
      </c>
      <c r="BC1420" s="190" t="inlineStr">
        <is>
          <t>NO</t>
        </is>
      </c>
      <c r="BD1420" s="191" t="inlineStr">
        <is>
          <t>SI</t>
        </is>
      </c>
    </row>
    <row r="1421" ht="15" customHeight="1" s="162">
      <c r="A1421" s="7" t="n">
        <v>1420</v>
      </c>
      <c r="B1421" t="inlineStr">
        <is>
          <t>1231025129901</t>
        </is>
      </c>
      <c r="C1421" t="inlineStr">
        <is>
          <t>TUBO TERMO 1/2 2:1 L=1.219M PVDF CLARO R</t>
        </is>
      </c>
      <c r="D1421" t="inlineStr">
        <is>
          <t>1800114171</t>
        </is>
      </c>
      <c r="E1421" t="inlineStr">
        <is>
          <t>30</t>
        </is>
      </c>
      <c r="F1421" s="163" t="n">
        <v>45581</v>
      </c>
      <c r="G1421" t="inlineStr"/>
      <c r="H1421" t="inlineStr">
        <is>
          <t>4200601136</t>
        </is>
      </c>
      <c r="I1421" t="inlineStr">
        <is>
          <t>10</t>
        </is>
      </c>
      <c r="J1421" s="163" t="n">
        <v>45722</v>
      </c>
      <c r="K1421" s="163" t="n">
        <v>45723</v>
      </c>
      <c r="L1421" t="inlineStr"/>
      <c r="M1421" s="163" t="n">
        <v>45743</v>
      </c>
      <c r="N1421" s="164" t="n">
        <v>60</v>
      </c>
      <c r="O1421" s="164" t="n">
        <v>8</v>
      </c>
      <c r="P1421" t="inlineStr">
        <is>
          <t>Liberado</t>
        </is>
      </c>
      <c r="Q1421" s="165" t="n">
        <v>2</v>
      </c>
      <c r="R1421" s="165" t="n">
        <v>2</v>
      </c>
      <c r="S1421" s="165" t="n">
        <v>2</v>
      </c>
      <c r="T1421" s="165" t="n">
        <v>0</v>
      </c>
      <c r="U1421" s="166" t="n">
        <v>2</v>
      </c>
      <c r="V1421" s="166" t="n">
        <v>0</v>
      </c>
      <c r="W1421" t="inlineStr">
        <is>
          <t>X</t>
        </is>
      </c>
      <c r="X1421" t="inlineStr">
        <is>
          <t>0.00</t>
        </is>
      </c>
      <c r="Y1421" t="inlineStr"/>
      <c r="Z1421" t="inlineStr">
        <is>
          <t>TCX MICRO, S.L.U</t>
        </is>
      </c>
      <c r="AA1421" t="inlineStr">
        <is>
          <t>TE CONNECTIVITY</t>
        </is>
      </c>
      <c r="AB1421" t="inlineStr">
        <is>
          <t>RW-175-1/2-X-STK</t>
        </is>
      </c>
      <c r="AC1421" t="inlineStr"/>
      <c r="AD1421" s="164" t="n">
        <v>0</v>
      </c>
      <c r="AE1421" s="185" t="n">
        <v>0</v>
      </c>
      <c r="AG1421" s="167" t="inlineStr">
        <is>
          <t>7218|JA2582_1001</t>
        </is>
      </c>
      <c r="AH1421" s="47">
        <f>IF(M1421=0,"-",M1421-J1421)</f>
        <v/>
      </c>
      <c r="AI1421" s="46">
        <f>IF(AND(S1421=0,M1421&gt;0,L1421=0),IF(AH1421&gt;=120,"VERY HIGH",IF(AH1421&gt;=90,"HIGH",IF(AH1421&gt;=60,"MEDIUM",IF(AH1421&lt;60,"LOW")))),"-")</f>
        <v/>
      </c>
      <c r="AJ1421" s="12" t="n"/>
      <c r="AK1421" s="53">
        <f>IF(AND(W1421="X",M1421&lt;=$AJ$2),"YES","")</f>
        <v/>
      </c>
      <c r="AL1421" s="54">
        <f>IF(AND(W1421="X",M1421&lt;=$AJ$2),S1421,"")</f>
        <v/>
      </c>
      <c r="AM1421" s="35" t="n"/>
      <c r="AN1421" s="35">
        <f>IF(AND(W1421="X",M1421&gt;$AJ$2),S1421,"")</f>
        <v/>
      </c>
      <c r="AO1421" s="35">
        <f>IF(AND(W1421="",M1421&gt;0,$AJ$2&gt;M1421,L1421=""),1,0)</f>
        <v/>
      </c>
      <c r="AP1421" s="35">
        <f>IF(AND(AK1421="YES",W1421="X"),"X","")</f>
        <v/>
      </c>
      <c r="AQ1421" s="55">
        <f>IF(AP1421="X",100%,0%)</f>
        <v/>
      </c>
      <c r="AR1421" s="25">
        <f>IF(AND(T1421&gt;0,L1421=""),H1421,"")</f>
        <v/>
      </c>
      <c r="AS1421" s="25">
        <f>IF(AND(D1421&gt;0,H1421=0,G1421=""),1,"")</f>
        <v/>
      </c>
      <c r="AT1421" s="25">
        <f>IF(G1421="BLOQ",1,"")</f>
        <v/>
      </c>
      <c r="AU1421" s="25">
        <f>IF(L1421="BLOQ",1,"")</f>
        <v/>
      </c>
      <c r="AV1421" s="25">
        <f>MONTH(F1421)</f>
        <v/>
      </c>
      <c r="AW1421" s="65">
        <f>IF(AP1421="",100%,0%)</f>
        <v/>
      </c>
      <c r="AX1421" s="56" t="n"/>
      <c r="AY1421" s="24">
        <f>IF(M1421=0,"",M1421-$AX$2)</f>
        <v/>
      </c>
      <c r="AZ1421" s="66">
        <f>IF(AND(W1421="",AY1421&gt;0,AY1421&lt;15),1,0)</f>
        <v/>
      </c>
      <c r="BA1421" s="24">
        <f>IF(AND(W1421="",AY1421&gt;0,AY1421&lt;15),T1421,"")</f>
        <v/>
      </c>
      <c r="BB1421" s="87">
        <f>IF(R1421&lt;Q1421,"X","")</f>
        <v/>
      </c>
      <c r="BC1421" s="190" t="inlineStr">
        <is>
          <t>NO</t>
        </is>
      </c>
      <c r="BD1421" s="191" t="inlineStr">
        <is>
          <t>SI</t>
        </is>
      </c>
    </row>
    <row r="1422" ht="15" customHeight="1" s="162">
      <c r="A1422" s="7" t="n">
        <v>1421</v>
      </c>
      <c r="B1422" t="inlineStr">
        <is>
          <t>1231025193820</t>
        </is>
      </c>
      <c r="C1422" t="inlineStr">
        <is>
          <t>TUBO TERMO 3/4" 2:1 FLUOPOLYMR CLEAR RHS</t>
        </is>
      </c>
      <c r="D1422" t="inlineStr">
        <is>
          <t>1800114171</t>
        </is>
      </c>
      <c r="E1422" t="inlineStr">
        <is>
          <t>40</t>
        </is>
      </c>
      <c r="F1422" s="163" t="n">
        <v>45581</v>
      </c>
      <c r="G1422" t="inlineStr"/>
      <c r="H1422" t="inlineStr">
        <is>
          <t>4200583884</t>
        </is>
      </c>
      <c r="I1422" t="inlineStr">
        <is>
          <t>10</t>
        </is>
      </c>
      <c r="J1422" s="163" t="n">
        <v>45596</v>
      </c>
      <c r="K1422" s="163" t="n">
        <v>45600</v>
      </c>
      <c r="L1422" t="inlineStr"/>
      <c r="M1422" s="163" t="n">
        <v>45740</v>
      </c>
      <c r="N1422" s="164" t="n">
        <v>30</v>
      </c>
      <c r="O1422" s="164" t="n">
        <v>8</v>
      </c>
      <c r="P1422" t="inlineStr">
        <is>
          <t>Liberado</t>
        </is>
      </c>
      <c r="Q1422" s="165" t="n">
        <v>2</v>
      </c>
      <c r="R1422" s="165" t="n">
        <v>12.5</v>
      </c>
      <c r="S1422" s="165" t="n">
        <v>12.5</v>
      </c>
      <c r="T1422" s="165" t="n">
        <v>0</v>
      </c>
      <c r="U1422" s="166" t="n">
        <v>12.5</v>
      </c>
      <c r="V1422" s="166" t="n">
        <v>0</v>
      </c>
      <c r="W1422" t="inlineStr">
        <is>
          <t>X</t>
        </is>
      </c>
      <c r="X1422" t="inlineStr">
        <is>
          <t>0.00</t>
        </is>
      </c>
      <c r="Y1422" t="inlineStr"/>
      <c r="Z1422" t="inlineStr">
        <is>
          <t>TTI INC.</t>
        </is>
      </c>
      <c r="AA1422" t="inlineStr">
        <is>
          <t>RAYCHEM LTD</t>
        </is>
      </c>
      <c r="AB1422" t="inlineStr">
        <is>
          <t>RW-175-3/4-X</t>
        </is>
      </c>
      <c r="AC1422" t="inlineStr"/>
      <c r="AD1422" s="164" t="n">
        <v>1</v>
      </c>
      <c r="AE1422" s="185" t="n">
        <v>0</v>
      </c>
      <c r="AG1422" s="167" t="inlineStr">
        <is>
          <t>7218|JA2582_1001</t>
        </is>
      </c>
      <c r="AH1422" s="47">
        <f>IF(M1422=0,"-",M1422-J1422)</f>
        <v/>
      </c>
      <c r="AI1422" s="46">
        <f>IF(AND(S1422=0,M1422&gt;0,L1422=0),IF(AH1422&gt;=120,"VERY HIGH",IF(AH1422&gt;=90,"HIGH",IF(AH1422&gt;=60,"MEDIUM",IF(AH1422&lt;60,"LOW")))),"-")</f>
        <v/>
      </c>
      <c r="AJ1422" s="12" t="n"/>
      <c r="AK1422" s="53">
        <f>IF(AND(W1422="X",M1422&lt;=$AJ$2),"YES","")</f>
        <v/>
      </c>
      <c r="AL1422" s="54">
        <f>IF(AND(W1422="X",M1422&lt;=$AJ$2),S1422,"")</f>
        <v/>
      </c>
      <c r="AM1422" s="35" t="n"/>
      <c r="AN1422" s="35">
        <f>IF(AND(W1422="X",M1422&gt;$AJ$2),S1422,"")</f>
        <v/>
      </c>
      <c r="AO1422" s="35">
        <f>IF(AND(W1422="",M1422&gt;0,$AJ$2&gt;M1422,L1422=""),1,0)</f>
        <v/>
      </c>
      <c r="AP1422" s="35">
        <f>IF(AND(AK1422="YES",W1422="X"),"X","")</f>
        <v/>
      </c>
      <c r="AQ1422" s="55">
        <f>IF(AP1422="X",100%,0%)</f>
        <v/>
      </c>
      <c r="AR1422" s="25">
        <f>IF(AND(T1422&gt;0,L1422=""),H1422,"")</f>
        <v/>
      </c>
      <c r="AS1422" s="25">
        <f>IF(AND(D1422&gt;0,H1422=0,G1422=""),1,"")</f>
        <v/>
      </c>
      <c r="AT1422" s="25">
        <f>IF(G1422="BLOQ",1,"")</f>
        <v/>
      </c>
      <c r="AU1422" s="25">
        <f>IF(L1422="BLOQ",1,"")</f>
        <v/>
      </c>
      <c r="AV1422" s="25">
        <f>MONTH(F1422)</f>
        <v/>
      </c>
      <c r="AW1422" s="65">
        <f>IF(AP1422="",100%,0%)</f>
        <v/>
      </c>
      <c r="AX1422" s="56" t="n"/>
      <c r="AY1422" s="24">
        <f>IF(M1422=0,"",M1422-$AX$2)</f>
        <v/>
      </c>
      <c r="AZ1422" s="66">
        <f>IF(AND(W1422="",AY1422&gt;0,AY1422&lt;15),1,0)</f>
        <v/>
      </c>
      <c r="BA1422" s="24">
        <f>IF(AND(W1422="",AY1422&gt;0,AY1422&lt;15),T1422,"")</f>
        <v/>
      </c>
      <c r="BB1422" s="87">
        <f>IF(R1422&lt;Q1422,"X","")</f>
        <v/>
      </c>
      <c r="BC1422" s="190" t="inlineStr">
        <is>
          <t>NO</t>
        </is>
      </c>
      <c r="BD1422" s="191" t="inlineStr">
        <is>
          <t>SI</t>
        </is>
      </c>
    </row>
    <row r="1423" ht="15" customHeight="1" s="162">
      <c r="A1423" s="7" t="n">
        <v>1422</v>
      </c>
      <c r="B1423" t="inlineStr">
        <is>
          <t>1235025400802</t>
        </is>
      </c>
      <c r="C1423" t="inlineStr">
        <is>
          <t>CANALETA 40X40MM PVC GRIS RAL7035 U43X</t>
        </is>
      </c>
      <c r="D1423" t="inlineStr">
        <is>
          <t>1800114171</t>
        </is>
      </c>
      <c r="E1423" t="inlineStr">
        <is>
          <t>50</t>
        </is>
      </c>
      <c r="F1423" s="163" t="n">
        <v>45581</v>
      </c>
      <c r="G1423" t="inlineStr"/>
      <c r="H1423" t="inlineStr">
        <is>
          <t>4200591307</t>
        </is>
      </c>
      <c r="I1423" t="inlineStr">
        <is>
          <t>10</t>
        </is>
      </c>
      <c r="J1423" s="163" t="n">
        <v>45646</v>
      </c>
      <c r="K1423" s="163" t="n">
        <v>45706</v>
      </c>
      <c r="L1423" t="inlineStr"/>
      <c r="M1423" s="163" t="n">
        <v>45673</v>
      </c>
      <c r="N1423" s="164" t="n">
        <v>30</v>
      </c>
      <c r="O1423" s="164" t="n">
        <v>8</v>
      </c>
      <c r="P1423" t="inlineStr">
        <is>
          <t>Liberado</t>
        </is>
      </c>
      <c r="Q1423" s="165" t="n">
        <v>18</v>
      </c>
      <c r="R1423" s="165" t="n">
        <v>18</v>
      </c>
      <c r="S1423" s="165" t="n">
        <v>18</v>
      </c>
      <c r="T1423" s="165" t="n">
        <v>0</v>
      </c>
      <c r="U1423" s="166" t="n">
        <v>18</v>
      </c>
      <c r="V1423" s="166" t="n">
        <v>0</v>
      </c>
      <c r="W1423" t="inlineStr">
        <is>
          <t>X</t>
        </is>
      </c>
      <c r="X1423" t="inlineStr">
        <is>
          <t>0.00</t>
        </is>
      </c>
      <c r="Y1423" t="inlineStr"/>
      <c r="Z1423" t="inlineStr">
        <is>
          <t>ICOMPPLUS ELECTRONICS S.L</t>
        </is>
      </c>
      <c r="AA1423" t="inlineStr">
        <is>
          <t>UNEX</t>
        </is>
      </c>
      <c r="AB1423" t="inlineStr">
        <is>
          <t>40.40.88</t>
        </is>
      </c>
      <c r="AC1423" t="inlineStr"/>
      <c r="AD1423" s="164" t="n">
        <v>0</v>
      </c>
      <c r="AE1423" s="185" t="n">
        <v>0</v>
      </c>
      <c r="AG1423" s="167" t="inlineStr">
        <is>
          <t>7218|JA2582_1001</t>
        </is>
      </c>
      <c r="AH1423" s="47">
        <f>IF(M1423=0,"-",M1423-J1423)</f>
        <v/>
      </c>
      <c r="AI1423" s="46">
        <f>IF(AND(S1423=0,M1423&gt;0,L1423=0),IF(AH1423&gt;=120,"VERY HIGH",IF(AH1423&gt;=90,"HIGH",IF(AH1423&gt;=60,"MEDIUM",IF(AH1423&lt;60,"LOW")))),"-")</f>
        <v/>
      </c>
      <c r="AJ1423" s="12" t="n"/>
      <c r="AK1423" s="53">
        <f>IF(AND(W1423="X",M1423&lt;=$AJ$2),"YES","")</f>
        <v/>
      </c>
      <c r="AL1423" s="54">
        <f>IF(AND(W1423="X",M1423&lt;=$AJ$2),S1423,"")</f>
        <v/>
      </c>
      <c r="AM1423" s="35" t="n"/>
      <c r="AN1423" s="35">
        <f>IF(AND(W1423="X",M1423&gt;$AJ$2),S1423,"")</f>
        <v/>
      </c>
      <c r="AO1423" s="35">
        <f>IF(AND(W1423="",M1423&gt;0,$AJ$2&gt;M1423,L1423=""),1,0)</f>
        <v/>
      </c>
      <c r="AP1423" s="35">
        <f>IF(AND(AK1423="YES",W1423="X"),"X","")</f>
        <v/>
      </c>
      <c r="AQ1423" s="55">
        <f>IF(AP1423="X",100%,0%)</f>
        <v/>
      </c>
      <c r="AR1423" s="25">
        <f>IF(AND(T1423&gt;0,L1423=""),H1423,"")</f>
        <v/>
      </c>
      <c r="AS1423" s="25">
        <f>IF(AND(D1423&gt;0,H1423=0,G1423=""),1,"")</f>
        <v/>
      </c>
      <c r="AT1423" s="25">
        <f>IF(G1423="BLOQ",1,"")</f>
        <v/>
      </c>
      <c r="AU1423" s="25">
        <f>IF(L1423="BLOQ",1,"")</f>
        <v/>
      </c>
      <c r="AV1423" s="25">
        <f>MONTH(F1423)</f>
        <v/>
      </c>
      <c r="AW1423" s="65">
        <f>IF(AP1423="",100%,0%)</f>
        <v/>
      </c>
      <c r="AX1423" s="56" t="n"/>
      <c r="AY1423" s="24">
        <f>IF(M1423=0,"",M1423-$AX$2)</f>
        <v/>
      </c>
      <c r="AZ1423" s="66">
        <f>IF(AND(W1423="",AY1423&gt;0,AY1423&lt;15),1,0)</f>
        <v/>
      </c>
      <c r="BA1423" s="24">
        <f>IF(AND(W1423="",AY1423&gt;0,AY1423&lt;15),T1423,"")</f>
        <v/>
      </c>
      <c r="BB1423" s="87">
        <f>IF(R1423&lt;Q1423,"X","")</f>
        <v/>
      </c>
      <c r="BC1423" s="190" t="inlineStr">
        <is>
          <t>NO</t>
        </is>
      </c>
      <c r="BD1423" s="191" t="inlineStr">
        <is>
          <t>SI</t>
        </is>
      </c>
    </row>
    <row r="1424" ht="15" customHeight="1" s="162">
      <c r="A1424" s="7" t="n">
        <v>1423</v>
      </c>
      <c r="B1424" t="inlineStr">
        <is>
          <t>1238510040000</t>
        </is>
      </c>
      <c r="C1424" t="inlineStr">
        <is>
          <t>PUNTERA PREAISLA 4MM2 NARANJA</t>
        </is>
      </c>
      <c r="D1424" t="inlineStr">
        <is>
          <t>1800114171</t>
        </is>
      </c>
      <c r="E1424" t="inlineStr">
        <is>
          <t>60</t>
        </is>
      </c>
      <c r="F1424" s="163" t="n">
        <v>45581</v>
      </c>
      <c r="G1424" t="inlineStr"/>
      <c r="H1424" t="inlineStr">
        <is>
          <t>4200591047</t>
        </is>
      </c>
      <c r="I1424" t="inlineStr">
        <is>
          <t>10</t>
        </is>
      </c>
      <c r="J1424" s="163" t="n">
        <v>45645</v>
      </c>
      <c r="K1424" s="163" t="n">
        <v>45652</v>
      </c>
      <c r="L1424" t="inlineStr"/>
      <c r="M1424" s="163" t="n">
        <v>45679</v>
      </c>
      <c r="N1424" s="164" t="n">
        <v>110</v>
      </c>
      <c r="O1424" s="164" t="n">
        <v>8</v>
      </c>
      <c r="P1424" t="inlineStr">
        <is>
          <t>Liberado</t>
        </is>
      </c>
      <c r="Q1424" s="165" t="n">
        <v>50</v>
      </c>
      <c r="R1424" s="165" t="n">
        <v>100</v>
      </c>
      <c r="S1424" s="165" t="n">
        <v>100</v>
      </c>
      <c r="T1424" s="165" t="n">
        <v>0</v>
      </c>
      <c r="U1424" s="166" t="n">
        <v>100</v>
      </c>
      <c r="V1424" s="166" t="n">
        <v>0</v>
      </c>
      <c r="W1424" t="inlineStr">
        <is>
          <t>X</t>
        </is>
      </c>
      <c r="X1424" t="inlineStr">
        <is>
          <t>0.00</t>
        </is>
      </c>
      <c r="Y1424" t="inlineStr"/>
      <c r="Z1424" t="inlineStr">
        <is>
          <t>SONEPAR SPAIN S.A.U.</t>
        </is>
      </c>
      <c r="AA1424" t="inlineStr">
        <is>
          <t>BIZLINE</t>
        </is>
      </c>
      <c r="AB1424" t="inlineStr">
        <is>
          <t>BIZ 000 925</t>
        </is>
      </c>
      <c r="AC1424" t="inlineStr"/>
      <c r="AD1424" s="164" t="n">
        <v>0</v>
      </c>
      <c r="AE1424" s="185" t="n">
        <v>0</v>
      </c>
      <c r="AG1424" s="167" t="inlineStr">
        <is>
          <t>7218|JA2582_1001</t>
        </is>
      </c>
      <c r="AH1424" s="47">
        <f>IF(M1424=0,"-",M1424-J1424)</f>
        <v/>
      </c>
      <c r="AI1424" s="46">
        <f>IF(AND(S1424=0,M1424&gt;0,L1424=0),IF(AH1424&gt;=120,"VERY HIGH",IF(AH1424&gt;=90,"HIGH",IF(AH1424&gt;=60,"MEDIUM",IF(AH1424&lt;60,"LOW")))),"-")</f>
        <v/>
      </c>
      <c r="AJ1424" s="12" t="n"/>
      <c r="AK1424" s="53">
        <f>IF(AND(W1424="X",M1424&lt;=$AJ$2),"YES","")</f>
        <v/>
      </c>
      <c r="AL1424" s="54">
        <f>IF(AND(W1424="X",M1424&lt;=$AJ$2),S1424,"")</f>
        <v/>
      </c>
      <c r="AM1424" s="35" t="n"/>
      <c r="AN1424" s="35">
        <f>IF(AND(W1424="X",M1424&gt;$AJ$2),S1424,"")</f>
        <v/>
      </c>
      <c r="AO1424" s="35">
        <f>IF(AND(W1424="",M1424&gt;0,$AJ$2&gt;M1424,L1424=""),1,0)</f>
        <v/>
      </c>
      <c r="AP1424" s="35">
        <f>IF(AND(AK1424="YES",W1424="X"),"X","")</f>
        <v/>
      </c>
      <c r="AQ1424" s="55">
        <f>IF(AP1424="X",100%,0%)</f>
        <v/>
      </c>
      <c r="AR1424" s="25">
        <f>IF(AND(T1424&gt;0,L1424=""),H1424,"")</f>
        <v/>
      </c>
      <c r="AS1424" s="25">
        <f>IF(AND(D1424&gt;0,H1424=0,G1424=""),1,"")</f>
        <v/>
      </c>
      <c r="AT1424" s="25">
        <f>IF(G1424="BLOQ",1,"")</f>
        <v/>
      </c>
      <c r="AU1424" s="25">
        <f>IF(L1424="BLOQ",1,"")</f>
        <v/>
      </c>
      <c r="AV1424" s="25">
        <f>MONTH(F1424)</f>
        <v/>
      </c>
      <c r="AW1424" s="65">
        <f>IF(AP1424="",100%,0%)</f>
        <v/>
      </c>
      <c r="AX1424" s="56" t="n"/>
      <c r="AY1424" s="24">
        <f>IF(M1424=0,"",M1424-$AX$2)</f>
        <v/>
      </c>
      <c r="AZ1424" s="66">
        <f>IF(AND(W1424="",AY1424&gt;0,AY1424&lt;15),1,0)</f>
        <v/>
      </c>
      <c r="BA1424" s="24">
        <f>IF(AND(W1424="",AY1424&gt;0,AY1424&lt;15),T1424,"")</f>
        <v/>
      </c>
      <c r="BB1424" s="87">
        <f>IF(R1424&lt;Q1424,"X","")</f>
        <v/>
      </c>
      <c r="BC1424" s="190" t="inlineStr">
        <is>
          <t>NO</t>
        </is>
      </c>
      <c r="BD1424" s="191" t="inlineStr">
        <is>
          <t>SI</t>
        </is>
      </c>
    </row>
    <row r="1425" ht="15" customHeight="1" s="162">
      <c r="A1425" s="7" t="n">
        <v>1424</v>
      </c>
      <c r="B1425" t="inlineStr">
        <is>
          <t>1002531203209</t>
        </is>
      </c>
      <c r="C1425" t="inlineStr">
        <is>
          <t>RST PELCAR 120R 5% -500,350PPM 1/4W ROHS</t>
        </is>
      </c>
      <c r="D1425" t="inlineStr">
        <is>
          <t>1800114173</t>
        </is>
      </c>
      <c r="E1425" t="inlineStr">
        <is>
          <t>10</t>
        </is>
      </c>
      <c r="F1425" s="163" t="n">
        <v>45581</v>
      </c>
      <c r="G1425" t="inlineStr"/>
      <c r="H1425" t="inlineStr">
        <is>
          <t>4200581768</t>
        </is>
      </c>
      <c r="I1425" t="inlineStr">
        <is>
          <t>160</t>
        </is>
      </c>
      <c r="J1425" s="163" t="n">
        <v>45582</v>
      </c>
      <c r="K1425" s="163" t="n">
        <v>45588</v>
      </c>
      <c r="L1425" t="inlineStr"/>
      <c r="M1425" s="163" t="n">
        <v>45607</v>
      </c>
      <c r="N1425" s="164" t="n">
        <v>30</v>
      </c>
      <c r="O1425" s="164" t="n">
        <v>8</v>
      </c>
      <c r="P1425" t="inlineStr">
        <is>
          <t>Liberado</t>
        </is>
      </c>
      <c r="Q1425" s="165" t="n">
        <v>18</v>
      </c>
      <c r="R1425" s="165" t="n">
        <v>18</v>
      </c>
      <c r="S1425" s="165" t="n">
        <v>18</v>
      </c>
      <c r="T1425" s="165" t="n">
        <v>0</v>
      </c>
      <c r="U1425" s="166" t="n">
        <v>18</v>
      </c>
      <c r="V1425" s="166" t="n">
        <v>0</v>
      </c>
      <c r="W1425" t="inlineStr">
        <is>
          <t>X</t>
        </is>
      </c>
      <c r="X1425" t="inlineStr">
        <is>
          <t>0.00</t>
        </is>
      </c>
      <c r="Y1425" t="inlineStr"/>
      <c r="Z1425" t="inlineStr">
        <is>
          <t>TCX MICRO, S.L.U</t>
        </is>
      </c>
      <c r="AA1425" t="inlineStr">
        <is>
          <t>YAGEO</t>
        </is>
      </c>
      <c r="AB1425" t="inlineStr">
        <is>
          <t>CFR-25JR-52-120R</t>
        </is>
      </c>
      <c r="AC1425" t="inlineStr"/>
      <c r="AD1425" s="164" t="n">
        <v>1</v>
      </c>
      <c r="AE1425" s="185" t="n">
        <v>1</v>
      </c>
      <c r="AG1425" s="167" t="inlineStr">
        <is>
          <t>7218|JA2583_1001</t>
        </is>
      </c>
      <c r="AH1425" s="47">
        <f>IF(M1425=0,"-",M1425-J1425)</f>
        <v/>
      </c>
      <c r="AI1425" s="46">
        <f>IF(AND(S1425=0,M1425&gt;0,L1425=0),IF(AH1425&gt;=120,"VERY HIGH",IF(AH1425&gt;=90,"HIGH",IF(AH1425&gt;=60,"MEDIUM",IF(AH1425&lt;60,"LOW")))),"-")</f>
        <v/>
      </c>
      <c r="AJ1425" s="12" t="n"/>
      <c r="AK1425" s="53">
        <f>IF(AND(W1425="X",M1425&lt;=$AJ$2),"YES","")</f>
        <v/>
      </c>
      <c r="AL1425" s="54">
        <f>IF(AND(W1425="X",M1425&lt;=$AJ$2),S1425,"")</f>
        <v/>
      </c>
      <c r="AM1425" s="35" t="n"/>
      <c r="AN1425" s="35">
        <f>IF(AND(W1425="X",M1425&gt;$AJ$2),S1425,"")</f>
        <v/>
      </c>
      <c r="AO1425" s="35">
        <f>IF(AND(W1425="",M1425&gt;0,$AJ$2&gt;M1425,L1425=""),1,0)</f>
        <v/>
      </c>
      <c r="AP1425" s="35">
        <f>IF(AND(AK1425="YES",W1425="X"),"X","")</f>
        <v/>
      </c>
      <c r="AQ1425" s="55">
        <f>IF(AP1425="X",100%,0%)</f>
        <v/>
      </c>
      <c r="AR1425" s="25">
        <f>IF(AND(T1425&gt;0,L1425=""),H1425,"")</f>
        <v/>
      </c>
      <c r="AS1425" s="25">
        <f>IF(AND(D1425&gt;0,H1425=0,G1425=""),1,"")</f>
        <v/>
      </c>
      <c r="AT1425" s="25">
        <f>IF(G1425="BLOQ",1,"")</f>
        <v/>
      </c>
      <c r="AU1425" s="25">
        <f>IF(L1425="BLOQ",1,"")</f>
        <v/>
      </c>
      <c r="AV1425" s="25">
        <f>MONTH(F1425)</f>
        <v/>
      </c>
      <c r="AW1425" s="65">
        <f>IF(AP1425="",100%,0%)</f>
        <v/>
      </c>
      <c r="AX1425" s="56" t="n"/>
      <c r="AY1425" s="24">
        <f>IF(M1425=0,"",M1425-$AX$2)</f>
        <v/>
      </c>
      <c r="AZ1425" s="66">
        <f>IF(AND(W1425="",AY1425&gt;0,AY1425&lt;15),1,0)</f>
        <v/>
      </c>
      <c r="BA1425" s="24">
        <f>IF(AND(W1425="",AY1425&gt;0,AY1425&lt;15),T1425,"")</f>
        <v/>
      </c>
      <c r="BB1425" s="87">
        <f>IF(R1425&lt;Q1425,"X","")</f>
        <v/>
      </c>
      <c r="BC1425" s="190" t="inlineStr">
        <is>
          <t>NO</t>
        </is>
      </c>
      <c r="BD1425" s="191" t="inlineStr">
        <is>
          <t>SI</t>
        </is>
      </c>
    </row>
    <row r="1426" ht="15" customHeight="1" s="162">
      <c r="A1426" s="7" t="n">
        <v>1425</v>
      </c>
      <c r="B1426" t="inlineStr">
        <is>
          <t>1002551003509</t>
        </is>
      </c>
      <c r="C1426" t="inlineStr">
        <is>
          <t>RST PELCAR AXI 10K0 5% 350PPM 1/4W ROHS</t>
        </is>
      </c>
      <c r="D1426" t="inlineStr">
        <is>
          <t>1800114173</t>
        </is>
      </c>
      <c r="E1426" t="inlineStr">
        <is>
          <t>20</t>
        </is>
      </c>
      <c r="F1426" s="163" t="n">
        <v>45581</v>
      </c>
      <c r="G1426" t="inlineStr"/>
      <c r="H1426" t="inlineStr">
        <is>
          <t>4200581752</t>
        </is>
      </c>
      <c r="I1426" t="inlineStr">
        <is>
          <t>320</t>
        </is>
      </c>
      <c r="J1426" s="163" t="n">
        <v>45582</v>
      </c>
      <c r="K1426" s="163" t="n">
        <v>45587</v>
      </c>
      <c r="L1426" t="inlineStr"/>
      <c r="M1426" s="163" t="n">
        <v>45607</v>
      </c>
      <c r="N1426" s="164" t="n">
        <v>30</v>
      </c>
      <c r="O1426" s="164" t="n">
        <v>8</v>
      </c>
      <c r="P1426" t="inlineStr">
        <is>
          <t>Liberado</t>
        </is>
      </c>
      <c r="Q1426" s="165" t="n">
        <v>8</v>
      </c>
      <c r="R1426" s="165" t="n">
        <v>8</v>
      </c>
      <c r="S1426" s="165" t="n">
        <v>8</v>
      </c>
      <c r="T1426" s="165" t="n">
        <v>0</v>
      </c>
      <c r="U1426" s="166" t="n">
        <v>8</v>
      </c>
      <c r="V1426" s="166" t="n">
        <v>0</v>
      </c>
      <c r="W1426" t="inlineStr">
        <is>
          <t>X</t>
        </is>
      </c>
      <c r="X1426" t="inlineStr">
        <is>
          <t>0.00</t>
        </is>
      </c>
      <c r="Y1426" t="inlineStr"/>
      <c r="Z1426" t="inlineStr">
        <is>
          <t>ICOMPPLUS ELECTRONICS S.L</t>
        </is>
      </c>
      <c r="AA1426" t="inlineStr">
        <is>
          <t>RS PRO</t>
        </is>
      </c>
      <c r="AB1426" t="inlineStr">
        <is>
          <t>707-7745</t>
        </is>
      </c>
      <c r="AC1426" t="inlineStr"/>
      <c r="AD1426" s="164" t="n">
        <v>1</v>
      </c>
      <c r="AE1426" s="185" t="n">
        <v>1</v>
      </c>
      <c r="AG1426" s="167" t="inlineStr">
        <is>
          <t>7218|JA2583_1001</t>
        </is>
      </c>
      <c r="AH1426" s="47">
        <f>IF(M1426=0,"-",M1426-J1426)</f>
        <v/>
      </c>
      <c r="AI1426" s="46">
        <f>IF(AND(S1426=0,M1426&gt;0,L1426=0),IF(AH1426&gt;=120,"VERY HIGH",IF(AH1426&gt;=90,"HIGH",IF(AH1426&gt;=60,"MEDIUM",IF(AH1426&lt;60,"LOW")))),"-")</f>
        <v/>
      </c>
      <c r="AJ1426" s="12" t="n"/>
      <c r="AK1426" s="53">
        <f>IF(AND(W1426="X",M1426&lt;=$AJ$2),"YES","")</f>
        <v/>
      </c>
      <c r="AL1426" s="54">
        <f>IF(AND(W1426="X",M1426&lt;=$AJ$2),S1426,"")</f>
        <v/>
      </c>
      <c r="AM1426" s="35" t="n"/>
      <c r="AN1426" s="35">
        <f>IF(AND(W1426="X",M1426&gt;$AJ$2),S1426,"")</f>
        <v/>
      </c>
      <c r="AO1426" s="35">
        <f>IF(AND(W1426="",M1426&gt;0,$AJ$2&gt;M1426,L1426=""),1,0)</f>
        <v/>
      </c>
      <c r="AP1426" s="35">
        <f>IF(AND(AK1426="YES",W1426="X"),"X","")</f>
        <v/>
      </c>
      <c r="AQ1426" s="55">
        <f>IF(AP1426="X",100%,0%)</f>
        <v/>
      </c>
      <c r="AR1426" s="25">
        <f>IF(AND(T1426&gt;0,L1426=""),H1426,"")</f>
        <v/>
      </c>
      <c r="AS1426" s="25">
        <f>IF(AND(D1426&gt;0,H1426=0,G1426=""),1,"")</f>
        <v/>
      </c>
      <c r="AT1426" s="25">
        <f>IF(G1426="BLOQ",1,"")</f>
        <v/>
      </c>
      <c r="AU1426" s="25">
        <f>IF(L1426="BLOQ",1,"")</f>
        <v/>
      </c>
      <c r="AV1426" s="25">
        <f>MONTH(F1426)</f>
        <v/>
      </c>
      <c r="AW1426" s="65">
        <f>IF(AP1426="",100%,0%)</f>
        <v/>
      </c>
      <c r="AX1426" s="56" t="n"/>
      <c r="AY1426" s="24">
        <f>IF(M1426=0,"",M1426-$AX$2)</f>
        <v/>
      </c>
      <c r="AZ1426" s="66">
        <f>IF(AND(W1426="",AY1426&gt;0,AY1426&lt;15),1,0)</f>
        <v/>
      </c>
      <c r="BA1426" s="24">
        <f>IF(AND(W1426="",AY1426&gt;0,AY1426&lt;15),T1426,"")</f>
        <v/>
      </c>
      <c r="BB1426" s="87">
        <f>IF(R1426&lt;Q1426,"X","")</f>
        <v/>
      </c>
      <c r="BC1426" s="190" t="inlineStr">
        <is>
          <t>NO</t>
        </is>
      </c>
      <c r="BD1426" s="191" t="inlineStr">
        <is>
          <t>SI</t>
        </is>
      </c>
    </row>
    <row r="1427" ht="15" customHeight="1" s="162">
      <c r="A1427" s="7" t="n">
        <v>1426</v>
      </c>
      <c r="B1427" t="inlineStr">
        <is>
          <t>1124510125000</t>
        </is>
      </c>
      <c r="C1427" t="inlineStr">
        <is>
          <t>SWITCH MAGNETICO SPDT 28VDC 200MA C/FUS</t>
        </is>
      </c>
      <c r="D1427" t="inlineStr">
        <is>
          <t>1800114173</t>
        </is>
      </c>
      <c r="E1427" t="inlineStr">
        <is>
          <t>30</t>
        </is>
      </c>
      <c r="F1427" s="163" t="n">
        <v>45581</v>
      </c>
      <c r="G1427" t="inlineStr"/>
      <c r="H1427" t="inlineStr">
        <is>
          <t>4200591389</t>
        </is>
      </c>
      <c r="I1427" t="inlineStr">
        <is>
          <t>20</t>
        </is>
      </c>
      <c r="J1427" s="163" t="n">
        <v>45646</v>
      </c>
      <c r="K1427" s="163" t="n">
        <v>45821</v>
      </c>
      <c r="L1427" t="inlineStr"/>
      <c r="M1427" s="163" t="n">
        <v>45702</v>
      </c>
      <c r="N1427" s="164" t="n">
        <v>55</v>
      </c>
      <c r="O1427" s="164" t="n">
        <v>8</v>
      </c>
      <c r="P1427" t="inlineStr">
        <is>
          <t>Liberado</t>
        </is>
      </c>
      <c r="Q1427" s="165" t="n">
        <v>30</v>
      </c>
      <c r="R1427" s="165" t="n">
        <v>30</v>
      </c>
      <c r="S1427" s="165" t="n">
        <v>30</v>
      </c>
      <c r="T1427" s="165" t="n">
        <v>0</v>
      </c>
      <c r="U1427" s="166" t="n">
        <v>30</v>
      </c>
      <c r="V1427" s="166" t="n">
        <v>0</v>
      </c>
      <c r="W1427" t="inlineStr">
        <is>
          <t>X</t>
        </is>
      </c>
      <c r="X1427" t="inlineStr">
        <is>
          <t>0.00</t>
        </is>
      </c>
      <c r="Y1427" t="inlineStr"/>
      <c r="Z1427" t="inlineStr">
        <is>
          <t>E-T-A APARELLAJE ELECTRICO S.L.U.</t>
        </is>
      </c>
      <c r="AA1427" t="inlineStr">
        <is>
          <t>E.T.A.</t>
        </is>
      </c>
      <c r="AB1427" t="inlineStr">
        <is>
          <t>9510-G111-P1F1-Z0R2B2</t>
        </is>
      </c>
      <c r="AC1427" t="inlineStr"/>
      <c r="AD1427" s="164" t="n">
        <v>0</v>
      </c>
      <c r="AE1427" s="185" t="n">
        <v>0</v>
      </c>
      <c r="AG1427" s="167" t="inlineStr">
        <is>
          <t>7218|JA2583_1001</t>
        </is>
      </c>
      <c r="AH1427" s="47">
        <f>IF(M1427=0,"-",M1427-J1427)</f>
        <v/>
      </c>
      <c r="AI1427" s="46">
        <f>IF(AND(S1427=0,M1427&gt;0,L1427=0),IF(AH1427&gt;=120,"VERY HIGH",IF(AH1427&gt;=90,"HIGH",IF(AH1427&gt;=60,"MEDIUM",IF(AH1427&lt;60,"LOW")))),"-")</f>
        <v/>
      </c>
      <c r="AJ1427" s="12" t="n"/>
      <c r="AK1427" s="53">
        <f>IF(AND(W1427="X",M1427&lt;=$AJ$2),"YES","")</f>
        <v/>
      </c>
      <c r="AL1427" s="54">
        <f>IF(AND(W1427="X",M1427&lt;=$AJ$2),S1427,"")</f>
        <v/>
      </c>
      <c r="AM1427" s="35" t="n"/>
      <c r="AN1427" s="35">
        <f>IF(AND(W1427="X",M1427&gt;$AJ$2),S1427,"")</f>
        <v/>
      </c>
      <c r="AO1427" s="35">
        <f>IF(AND(W1427="",M1427&gt;0,$AJ$2&gt;M1427,L1427=""),1,0)</f>
        <v/>
      </c>
      <c r="AP1427" s="35">
        <f>IF(AND(AK1427="YES",W1427="X"),"X","")</f>
        <v/>
      </c>
      <c r="AQ1427" s="55">
        <f>IF(AP1427="X",100%,0%)</f>
        <v/>
      </c>
      <c r="AR1427" s="25">
        <f>IF(AND(T1427&gt;0,L1427=""),H1427,"")</f>
        <v/>
      </c>
      <c r="AS1427" s="25">
        <f>IF(AND(D1427&gt;0,H1427=0,G1427=""),1,"")</f>
        <v/>
      </c>
      <c r="AT1427" s="25">
        <f>IF(G1427="BLOQ",1,"")</f>
        <v/>
      </c>
      <c r="AU1427" s="25">
        <f>IF(L1427="BLOQ",1,"")</f>
        <v/>
      </c>
      <c r="AV1427" s="25">
        <f>MONTH(F1427)</f>
        <v/>
      </c>
      <c r="AW1427" s="65">
        <f>IF(AP1427="",100%,0%)</f>
        <v/>
      </c>
      <c r="AX1427" s="56" t="n"/>
      <c r="AY1427" s="24">
        <f>IF(M1427=0,"",M1427-$AX$2)</f>
        <v/>
      </c>
      <c r="AZ1427" s="66">
        <f>IF(AND(W1427="",AY1427&gt;0,AY1427&lt;15),1,0)</f>
        <v/>
      </c>
      <c r="BA1427" s="24">
        <f>IF(AND(W1427="",AY1427&gt;0,AY1427&lt;15),T1427,"")</f>
        <v/>
      </c>
      <c r="BB1427" s="87">
        <f>IF(R1427&lt;Q1427,"X","")</f>
        <v/>
      </c>
      <c r="BC1427" s="190" t="inlineStr">
        <is>
          <t>NO</t>
        </is>
      </c>
      <c r="BD1427" s="191" t="inlineStr">
        <is>
          <t>SI</t>
        </is>
      </c>
    </row>
    <row r="1428" ht="15" customHeight="1" s="162">
      <c r="A1428" s="7" t="n">
        <v>1427</v>
      </c>
      <c r="B1428" t="inlineStr">
        <is>
          <t>1124510125400</t>
        </is>
      </c>
      <c r="C1428" t="inlineStr">
        <is>
          <t>SWITCH MAGNETICO SPDT 28VDC 7.5A 200MA C</t>
        </is>
      </c>
      <c r="D1428" t="inlineStr">
        <is>
          <t>1800114173</t>
        </is>
      </c>
      <c r="E1428" t="inlineStr">
        <is>
          <t>40</t>
        </is>
      </c>
      <c r="F1428" s="163" t="n">
        <v>45581</v>
      </c>
      <c r="G1428" t="inlineStr"/>
      <c r="H1428" t="inlineStr">
        <is>
          <t>4200591389</t>
        </is>
      </c>
      <c r="I1428" t="inlineStr">
        <is>
          <t>30</t>
        </is>
      </c>
      <c r="J1428" s="163" t="n">
        <v>45646</v>
      </c>
      <c r="K1428" s="163" t="n">
        <v>45821</v>
      </c>
      <c r="L1428" t="inlineStr"/>
      <c r="M1428" s="163" t="n">
        <v>45702</v>
      </c>
      <c r="N1428" s="164" t="n">
        <v>39</v>
      </c>
      <c r="O1428" s="164" t="n">
        <v>8</v>
      </c>
      <c r="P1428" t="inlineStr">
        <is>
          <t>Liberado</t>
        </is>
      </c>
      <c r="Q1428" s="166" t="n">
        <v>5</v>
      </c>
      <c r="R1428" s="166" t="n">
        <v>10</v>
      </c>
      <c r="S1428" s="166" t="n">
        <v>10</v>
      </c>
      <c r="T1428" s="166" t="n">
        <v>0</v>
      </c>
      <c r="U1428" s="166" t="n">
        <v>10</v>
      </c>
      <c r="V1428" s="166" t="n">
        <v>0</v>
      </c>
      <c r="W1428" t="inlineStr">
        <is>
          <t>X</t>
        </is>
      </c>
      <c r="X1428" t="inlineStr">
        <is>
          <t>0.00</t>
        </is>
      </c>
      <c r="Y1428" t="inlineStr"/>
      <c r="Z1428" t="inlineStr">
        <is>
          <t>E-T-A APARELLAJE ELECTRICO S.L.U.</t>
        </is>
      </c>
      <c r="AA1428" t="inlineStr">
        <is>
          <t>E.T.A.</t>
        </is>
      </c>
      <c r="AB1428" t="inlineStr">
        <is>
          <t>9510-G111-P1F1-Z0R2A2-7.5A</t>
        </is>
      </c>
      <c r="AC1428" t="inlineStr"/>
      <c r="AD1428" s="164" t="n">
        <v>0</v>
      </c>
      <c r="AE1428" s="185" t="n">
        <v>0</v>
      </c>
      <c r="AG1428" s="167" t="inlineStr">
        <is>
          <t>7218|JA2583_1001</t>
        </is>
      </c>
      <c r="AH1428" s="47">
        <f>IF(M1428=0,"-",M1428-J1428)</f>
        <v/>
      </c>
      <c r="AI1428" s="46">
        <f>IF(AND(S1428=0,M1428&gt;0,L1428=0),IF(AH1428&gt;=120,"VERY HIGH",IF(AH1428&gt;=90,"HIGH",IF(AH1428&gt;=60,"MEDIUM",IF(AH1428&lt;60,"LOW")))),"-")</f>
        <v/>
      </c>
      <c r="AJ1428" s="12" t="n"/>
      <c r="AK1428" s="53">
        <f>IF(AND(W1428="X",M1428&lt;=$AJ$2),"YES","")</f>
        <v/>
      </c>
      <c r="AL1428" s="54">
        <f>IF(AND(W1428="X",M1428&lt;=$AJ$2),S1428,"")</f>
        <v/>
      </c>
      <c r="AM1428" s="35" t="n"/>
      <c r="AN1428" s="35">
        <f>IF(AND(W1428="X",M1428&gt;$AJ$2),S1428,"")</f>
        <v/>
      </c>
      <c r="AO1428" s="35">
        <f>IF(AND(W1428="",M1428&gt;0,$AJ$2&gt;M1428,L1428=""),1,0)</f>
        <v/>
      </c>
      <c r="AP1428" s="35">
        <f>IF(AND(AK1428="YES",W1428="X"),"X","")</f>
        <v/>
      </c>
      <c r="AQ1428" s="55">
        <f>IF(AP1428="X",100%,0%)</f>
        <v/>
      </c>
      <c r="AR1428" s="25">
        <f>IF(AND(T1428&gt;0,L1428=""),H1428,"")</f>
        <v/>
      </c>
      <c r="AS1428" s="25">
        <f>IF(AND(D1428&gt;0,H1428=0,G1428=""),1,"")</f>
        <v/>
      </c>
      <c r="AT1428" s="25">
        <f>IF(G1428="BLOQ",1,"")</f>
        <v/>
      </c>
      <c r="AU1428" s="25">
        <f>IF(L1428="BLOQ",1,"")</f>
        <v/>
      </c>
      <c r="AV1428" s="25">
        <f>MONTH(F1428)</f>
        <v/>
      </c>
      <c r="AW1428" s="65">
        <f>IF(AP1428="",100%,0%)</f>
        <v/>
      </c>
      <c r="AX1428" s="56" t="n"/>
      <c r="AY1428" s="24">
        <f>IF(M1428=0,"",M1428-$AX$2)</f>
        <v/>
      </c>
      <c r="AZ1428" s="66">
        <f>IF(AND(W1428="",AY1428&gt;0,AY1428&lt;15),1,0)</f>
        <v/>
      </c>
      <c r="BA1428" s="24">
        <f>IF(AND(W1428="",AY1428&gt;0,AY1428&lt;15),T1428,"")</f>
        <v/>
      </c>
      <c r="BB1428" s="87">
        <f>IF(R1428&lt;Q1428,"X","")</f>
        <v/>
      </c>
      <c r="BC1428" s="190" t="inlineStr">
        <is>
          <t>NO</t>
        </is>
      </c>
      <c r="BD1428" s="191" t="inlineStr">
        <is>
          <t>SI</t>
        </is>
      </c>
    </row>
    <row r="1429" ht="15" customHeight="1" s="162">
      <c r="A1429" s="7" t="n">
        <v>1428</v>
      </c>
      <c r="B1429" t="inlineStr">
        <is>
          <t>1124510126100</t>
        </is>
      </c>
      <c r="C1429" t="inlineStr">
        <is>
          <t>SWITCH MAGNETICO SPDT 28VDC 3A 200MA C/D</t>
        </is>
      </c>
      <c r="D1429" t="inlineStr">
        <is>
          <t>1800114173</t>
        </is>
      </c>
      <c r="E1429" t="inlineStr">
        <is>
          <t>50</t>
        </is>
      </c>
      <c r="F1429" s="163" t="n">
        <v>45581</v>
      </c>
      <c r="G1429" t="inlineStr"/>
      <c r="H1429" t="inlineStr">
        <is>
          <t>4200591389</t>
        </is>
      </c>
      <c r="I1429" t="inlineStr">
        <is>
          <t>40</t>
        </is>
      </c>
      <c r="J1429" s="163" t="n">
        <v>45646</v>
      </c>
      <c r="K1429" s="163" t="n">
        <v>45821</v>
      </c>
      <c r="L1429" t="inlineStr"/>
      <c r="M1429" s="163" t="n">
        <v>45702</v>
      </c>
      <c r="N1429" s="164" t="n">
        <v>39</v>
      </c>
      <c r="O1429" s="164" t="n">
        <v>8</v>
      </c>
      <c r="P1429" t="inlineStr">
        <is>
          <t>Liberado</t>
        </is>
      </c>
      <c r="Q1429" s="165" t="n">
        <v>5</v>
      </c>
      <c r="R1429" s="165" t="n">
        <v>10</v>
      </c>
      <c r="S1429" s="165" t="n">
        <v>10</v>
      </c>
      <c r="T1429" s="165" t="n">
        <v>0</v>
      </c>
      <c r="U1429" s="166" t="n">
        <v>10</v>
      </c>
      <c r="V1429" s="166" t="n">
        <v>0</v>
      </c>
      <c r="W1429" t="inlineStr">
        <is>
          <t>X</t>
        </is>
      </c>
      <c r="X1429" t="inlineStr">
        <is>
          <t>0.00</t>
        </is>
      </c>
      <c r="Y1429" t="inlineStr"/>
      <c r="Z1429" t="inlineStr">
        <is>
          <t>E-T-A APARELLAJE ELECTRICO S.L.U.</t>
        </is>
      </c>
      <c r="AA1429" t="inlineStr">
        <is>
          <t>E.T.A.</t>
        </is>
      </c>
      <c r="AB1429" t="inlineStr">
        <is>
          <t>9510-G111-P1F1-Z0R2A2-3A</t>
        </is>
      </c>
      <c r="AC1429" t="inlineStr"/>
      <c r="AD1429" s="164" t="n">
        <v>0</v>
      </c>
      <c r="AE1429" s="185" t="n">
        <v>0</v>
      </c>
      <c r="AG1429" s="167" t="inlineStr">
        <is>
          <t>7218|JA2583_1001</t>
        </is>
      </c>
      <c r="AH1429" s="47">
        <f>IF(M1429=0,"-",M1429-J1429)</f>
        <v/>
      </c>
      <c r="AI1429" s="46">
        <f>IF(AND(S1429=0,M1429&gt;0,L1429=0),IF(AH1429&gt;=120,"VERY HIGH",IF(AH1429&gt;=90,"HIGH",IF(AH1429&gt;=60,"MEDIUM",IF(AH1429&lt;60,"LOW")))),"-")</f>
        <v/>
      </c>
      <c r="AJ1429" s="12" t="n"/>
      <c r="AK1429" s="53">
        <f>IF(AND(W1429="X",M1429&lt;=$AJ$2),"YES","")</f>
        <v/>
      </c>
      <c r="AL1429" s="54">
        <f>IF(AND(W1429="X",M1429&lt;=$AJ$2),S1429,"")</f>
        <v/>
      </c>
      <c r="AM1429" s="35" t="n"/>
      <c r="AN1429" s="35">
        <f>IF(AND(W1429="X",M1429&gt;$AJ$2),S1429,"")</f>
        <v/>
      </c>
      <c r="AO1429" s="35">
        <f>IF(AND(W1429="",M1429&gt;0,$AJ$2&gt;M1429,L1429=""),1,0)</f>
        <v/>
      </c>
      <c r="AP1429" s="35">
        <f>IF(AND(AK1429="YES",W1429="X"),"X","")</f>
        <v/>
      </c>
      <c r="AQ1429" s="55">
        <f>IF(AP1429="X",100%,0%)</f>
        <v/>
      </c>
      <c r="AR1429" s="25">
        <f>IF(AND(T1429&gt;0,L1429=""),H1429,"")</f>
        <v/>
      </c>
      <c r="AS1429" s="25">
        <f>IF(AND(D1429&gt;0,H1429=0,G1429=""),1,"")</f>
        <v/>
      </c>
      <c r="AT1429" s="25">
        <f>IF(G1429="BLOQ",1,"")</f>
        <v/>
      </c>
      <c r="AU1429" s="25">
        <f>IF(L1429="BLOQ",1,"")</f>
        <v/>
      </c>
      <c r="AV1429" s="25">
        <f>MONTH(F1429)</f>
        <v/>
      </c>
      <c r="AW1429" s="65">
        <f>IF(AP1429="",100%,0%)</f>
        <v/>
      </c>
      <c r="AX1429" s="56" t="n"/>
      <c r="AY1429" s="24">
        <f>IF(M1429=0,"",M1429-$AX$2)</f>
        <v/>
      </c>
      <c r="AZ1429" s="66">
        <f>IF(AND(W1429="",AY1429&gt;0,AY1429&lt;15),1,0)</f>
        <v/>
      </c>
      <c r="BA1429" s="24">
        <f>IF(AND(W1429="",AY1429&gt;0,AY1429&lt;15),T1429,"")</f>
        <v/>
      </c>
      <c r="BB1429" s="87">
        <f>IF(R1429&lt;Q1429,"X","")</f>
        <v/>
      </c>
      <c r="BC1429" s="190" t="inlineStr">
        <is>
          <t>NO</t>
        </is>
      </c>
      <c r="BD1429" s="191" t="inlineStr">
        <is>
          <t>SI</t>
        </is>
      </c>
    </row>
    <row r="1430" ht="15" customHeight="1" s="162">
      <c r="A1430" s="7" t="n">
        <v>1429</v>
      </c>
      <c r="B1430" t="inlineStr">
        <is>
          <t>1128990400300</t>
        </is>
      </c>
      <c r="C1430" t="inlineStr">
        <is>
          <t>INSERTO MARCAJE NEGRO 20A PULS CONFI A/B</t>
        </is>
      </c>
      <c r="D1430" t="inlineStr">
        <is>
          <t>1800114173</t>
        </is>
      </c>
      <c r="E1430" t="inlineStr">
        <is>
          <t>60</t>
        </is>
      </c>
      <c r="F1430" s="163" t="n">
        <v>45581</v>
      </c>
      <c r="G1430" t="inlineStr"/>
      <c r="H1430" t="inlineStr">
        <is>
          <t>4200591389</t>
        </is>
      </c>
      <c r="I1430" t="inlineStr">
        <is>
          <t>50</t>
        </is>
      </c>
      <c r="J1430" s="163" t="n">
        <v>45646</v>
      </c>
      <c r="K1430" s="163" t="n">
        <v>45821</v>
      </c>
      <c r="L1430" t="inlineStr"/>
      <c r="M1430" s="163" t="n">
        <v>45702</v>
      </c>
      <c r="N1430" s="164" t="n">
        <v>50</v>
      </c>
      <c r="O1430" s="164" t="n">
        <v>8</v>
      </c>
      <c r="P1430" t="inlineStr">
        <is>
          <t>Liberado</t>
        </is>
      </c>
      <c r="Q1430" s="165" t="n">
        <v>2</v>
      </c>
      <c r="R1430" s="165" t="n">
        <v>10</v>
      </c>
      <c r="S1430" s="165" t="n">
        <v>10</v>
      </c>
      <c r="T1430" s="165" t="n">
        <v>0</v>
      </c>
      <c r="U1430" s="166" t="n">
        <v>10</v>
      </c>
      <c r="V1430" s="166" t="n">
        <v>0</v>
      </c>
      <c r="W1430" t="inlineStr">
        <is>
          <t>X</t>
        </is>
      </c>
      <c r="X1430" t="inlineStr">
        <is>
          <t>0.00</t>
        </is>
      </c>
      <c r="Y1430" t="inlineStr"/>
      <c r="Z1430" t="inlineStr">
        <is>
          <t>E-T-A APARELLAJE ELECTRICO S.L.U.</t>
        </is>
      </c>
      <c r="AA1430" t="inlineStr">
        <is>
          <t>E.T.A.</t>
        </is>
      </c>
      <c r="AB1430" t="inlineStr">
        <is>
          <t>X 222 175 13</t>
        </is>
      </c>
      <c r="AC1430" t="inlineStr"/>
      <c r="AD1430" s="164" t="n">
        <v>0</v>
      </c>
      <c r="AE1430" s="185" t="n">
        <v>0</v>
      </c>
      <c r="AG1430" s="167" t="inlineStr">
        <is>
          <t>7218|JA2583_1001</t>
        </is>
      </c>
      <c r="AH1430" s="47">
        <f>IF(M1430=0,"-",M1430-J1430)</f>
        <v/>
      </c>
      <c r="AI1430" s="46">
        <f>IF(AND(S1430=0,M1430&gt;0,L1430=0),IF(AH1430&gt;=120,"VERY HIGH",IF(AH1430&gt;=90,"HIGH",IF(AH1430&gt;=60,"MEDIUM",IF(AH1430&lt;60,"LOW")))),"-")</f>
        <v/>
      </c>
      <c r="AJ1430" s="12" t="n"/>
      <c r="AK1430" s="53">
        <f>IF(AND(W1430="X",M1430&lt;=$AJ$2),"YES","")</f>
        <v/>
      </c>
      <c r="AL1430" s="54">
        <f>IF(AND(W1430="X",M1430&lt;=$AJ$2),S1430,"")</f>
        <v/>
      </c>
      <c r="AM1430" s="35" t="n"/>
      <c r="AN1430" s="35">
        <f>IF(AND(W1430="X",M1430&gt;$AJ$2),S1430,"")</f>
        <v/>
      </c>
      <c r="AO1430" s="35">
        <f>IF(AND(W1430="",M1430&gt;0,$AJ$2&gt;M1430,L1430=""),1,0)</f>
        <v/>
      </c>
      <c r="AP1430" s="35">
        <f>IF(AND(AK1430="YES",W1430="X"),"X","")</f>
        <v/>
      </c>
      <c r="AQ1430" s="55">
        <f>IF(AP1430="X",100%,0%)</f>
        <v/>
      </c>
      <c r="AR1430" s="25">
        <f>IF(AND(T1430&gt;0,L1430=""),H1430,"")</f>
        <v/>
      </c>
      <c r="AS1430" s="25">
        <f>IF(AND(D1430&gt;0,H1430=0,G1430=""),1,"")</f>
        <v/>
      </c>
      <c r="AT1430" s="25">
        <f>IF(G1430="BLOQ",1,"")</f>
        <v/>
      </c>
      <c r="AU1430" s="25">
        <f>IF(L1430="BLOQ",1,"")</f>
        <v/>
      </c>
      <c r="AV1430" s="25">
        <f>MONTH(F1430)</f>
        <v/>
      </c>
      <c r="AW1430" s="65">
        <f>IF(AP1430="",100%,0%)</f>
        <v/>
      </c>
      <c r="AX1430" s="56" t="n"/>
      <c r="AY1430" s="24">
        <f>IF(M1430=0,"",M1430-$AX$2)</f>
        <v/>
      </c>
      <c r="AZ1430" s="66">
        <f>IF(AND(W1430="",AY1430&gt;0,AY1430&lt;15),1,0)</f>
        <v/>
      </c>
      <c r="BA1430" s="24">
        <f>IF(AND(W1430="",AY1430&gt;0,AY1430&lt;15),T1430,"")</f>
        <v/>
      </c>
      <c r="BB1430" s="87">
        <f>IF(R1430&lt;Q1430,"X","")</f>
        <v/>
      </c>
      <c r="BC1430" s="190" t="inlineStr">
        <is>
          <t>NO</t>
        </is>
      </c>
      <c r="BD1430" s="191" t="inlineStr">
        <is>
          <t>SI</t>
        </is>
      </c>
    </row>
    <row r="1431" ht="15" customHeight="1" s="162">
      <c r="A1431" s="7" t="n">
        <v>1430</v>
      </c>
      <c r="B1431" t="inlineStr">
        <is>
          <t>1128990400800</t>
        </is>
      </c>
      <c r="C1431" t="inlineStr">
        <is>
          <t>INSERTO MARCAJE NEGRO 3A PULS CONFIG A/B</t>
        </is>
      </c>
      <c r="D1431" t="inlineStr">
        <is>
          <t>1800114173</t>
        </is>
      </c>
      <c r="E1431" t="inlineStr">
        <is>
          <t>70</t>
        </is>
      </c>
      <c r="F1431" s="163" t="n">
        <v>45581</v>
      </c>
      <c r="G1431" t="inlineStr"/>
      <c r="H1431" t="inlineStr">
        <is>
          <t>4200591389</t>
        </is>
      </c>
      <c r="I1431" t="inlineStr">
        <is>
          <t>60</t>
        </is>
      </c>
      <c r="J1431" s="163" t="n">
        <v>45646</v>
      </c>
      <c r="K1431" s="163" t="n">
        <v>45821</v>
      </c>
      <c r="L1431" t="inlineStr"/>
      <c r="M1431" s="163" t="n">
        <v>45702</v>
      </c>
      <c r="N1431" s="164" t="n">
        <v>60</v>
      </c>
      <c r="O1431" s="164" t="n">
        <v>8</v>
      </c>
      <c r="P1431" t="inlineStr">
        <is>
          <t>Liberado</t>
        </is>
      </c>
      <c r="Q1431" s="165" t="n">
        <v>8</v>
      </c>
      <c r="R1431" s="165" t="n">
        <v>10</v>
      </c>
      <c r="S1431" s="165" t="n">
        <v>10</v>
      </c>
      <c r="T1431" s="165" t="n">
        <v>0</v>
      </c>
      <c r="U1431" s="166" t="n">
        <v>10</v>
      </c>
      <c r="V1431" s="166" t="n">
        <v>0</v>
      </c>
      <c r="W1431" t="inlineStr">
        <is>
          <t>X</t>
        </is>
      </c>
      <c r="X1431" t="inlineStr">
        <is>
          <t>0.00</t>
        </is>
      </c>
      <c r="Y1431" t="inlineStr"/>
      <c r="Z1431" t="inlineStr">
        <is>
          <t>E-T-A APARELLAJE ELECTRICO S.L.U.</t>
        </is>
      </c>
      <c r="AA1431" t="inlineStr">
        <is>
          <t>E.T.A.</t>
        </is>
      </c>
      <c r="AB1431" t="inlineStr">
        <is>
          <t>X 222 175 07</t>
        </is>
      </c>
      <c r="AC1431" t="inlineStr"/>
      <c r="AD1431" s="164" t="n">
        <v>0</v>
      </c>
      <c r="AE1431" s="185" t="n">
        <v>0</v>
      </c>
      <c r="AG1431" s="167" t="inlineStr">
        <is>
          <t>7218|JA2583_1001</t>
        </is>
      </c>
      <c r="AH1431" s="47">
        <f>IF(M1431=0,"-",M1431-J1431)</f>
        <v/>
      </c>
      <c r="AI1431" s="46">
        <f>IF(AND(S1431=0,M1431&gt;0,L1431=0),IF(AH1431&gt;=120,"VERY HIGH",IF(AH1431&gt;=90,"HIGH",IF(AH1431&gt;=60,"MEDIUM",IF(AH1431&lt;60,"LOW")))),"-")</f>
        <v/>
      </c>
      <c r="AJ1431" s="12" t="n"/>
      <c r="AK1431" s="53">
        <f>IF(AND(W1431="X",M1431&lt;=$AJ$2),"YES","")</f>
        <v/>
      </c>
      <c r="AL1431" s="54">
        <f>IF(AND(W1431="X",M1431&lt;=$AJ$2),S1431,"")</f>
        <v/>
      </c>
      <c r="AM1431" s="35" t="n"/>
      <c r="AN1431" s="35">
        <f>IF(AND(W1431="X",M1431&gt;$AJ$2),S1431,"")</f>
        <v/>
      </c>
      <c r="AO1431" s="35">
        <f>IF(AND(W1431="",M1431&gt;0,$AJ$2&gt;M1431,L1431=""),1,0)</f>
        <v/>
      </c>
      <c r="AP1431" s="35">
        <f>IF(AND(AK1431="YES",W1431="X"),"X","")</f>
        <v/>
      </c>
      <c r="AQ1431" s="55">
        <f>IF(AP1431="X",100%,0%)</f>
        <v/>
      </c>
      <c r="AR1431" s="25">
        <f>IF(AND(T1431&gt;0,L1431=""),H1431,"")</f>
        <v/>
      </c>
      <c r="AS1431" s="25">
        <f>IF(AND(D1431&gt;0,H1431=0,G1431=""),1,"")</f>
        <v/>
      </c>
      <c r="AT1431" s="25">
        <f>IF(G1431="BLOQ",1,"")</f>
        <v/>
      </c>
      <c r="AU1431" s="25">
        <f>IF(L1431="BLOQ",1,"")</f>
        <v/>
      </c>
      <c r="AV1431" s="25">
        <f>MONTH(F1431)</f>
        <v/>
      </c>
      <c r="AW1431" s="65">
        <f>IF(AP1431="",100%,0%)</f>
        <v/>
      </c>
      <c r="AX1431" s="56" t="n"/>
      <c r="AY1431" s="24">
        <f>IF(M1431=0,"",M1431-$AX$2)</f>
        <v/>
      </c>
      <c r="AZ1431" s="66">
        <f>IF(AND(W1431="",AY1431&gt;0,AY1431&lt;15),1,0)</f>
        <v/>
      </c>
      <c r="BA1431" s="24">
        <f>IF(AND(W1431="",AY1431&gt;0,AY1431&lt;15),T1431,"")</f>
        <v/>
      </c>
      <c r="BB1431" s="87">
        <f>IF(R1431&lt;Q1431,"X","")</f>
        <v/>
      </c>
      <c r="BC1431" s="190" t="inlineStr">
        <is>
          <t>NO</t>
        </is>
      </c>
      <c r="BD1431" s="191" t="inlineStr">
        <is>
          <t>SI</t>
        </is>
      </c>
    </row>
    <row r="1432" ht="15" customHeight="1" s="162">
      <c r="A1432" s="7" t="n">
        <v>1431</v>
      </c>
      <c r="B1432" t="inlineStr">
        <is>
          <t>1128990400900</t>
        </is>
      </c>
      <c r="C1432" t="inlineStr">
        <is>
          <t>INSERTO MARCAJE NEGRO 5A PULS CONFIG A/B</t>
        </is>
      </c>
      <c r="D1432" t="inlineStr">
        <is>
          <t>1800114173</t>
        </is>
      </c>
      <c r="E1432" t="inlineStr">
        <is>
          <t>80</t>
        </is>
      </c>
      <c r="F1432" s="163" t="n">
        <v>45581</v>
      </c>
      <c r="G1432" t="inlineStr"/>
      <c r="H1432" t="inlineStr">
        <is>
          <t>4200591389</t>
        </is>
      </c>
      <c r="I1432" t="inlineStr">
        <is>
          <t>70</t>
        </is>
      </c>
      <c r="J1432" s="163" t="n">
        <v>45646</v>
      </c>
      <c r="K1432" s="163" t="n">
        <v>45821</v>
      </c>
      <c r="L1432" t="inlineStr"/>
      <c r="M1432" s="163" t="n">
        <v>45702</v>
      </c>
      <c r="N1432" s="164" t="n">
        <v>60</v>
      </c>
      <c r="O1432" s="164" t="n">
        <v>8</v>
      </c>
      <c r="P1432" t="inlineStr">
        <is>
          <t>Liberado</t>
        </is>
      </c>
      <c r="Q1432" s="165" t="n">
        <v>8</v>
      </c>
      <c r="R1432" s="165" t="n">
        <v>10</v>
      </c>
      <c r="S1432" s="165" t="n">
        <v>10</v>
      </c>
      <c r="T1432" s="165" t="n">
        <v>0</v>
      </c>
      <c r="U1432" s="166" t="n">
        <v>10</v>
      </c>
      <c r="V1432" s="166" t="n">
        <v>0</v>
      </c>
      <c r="W1432" t="inlineStr">
        <is>
          <t>X</t>
        </is>
      </c>
      <c r="X1432" t="inlineStr">
        <is>
          <t>0.00</t>
        </is>
      </c>
      <c r="Y1432" t="inlineStr"/>
      <c r="Z1432" t="inlineStr">
        <is>
          <t>E-T-A APARELLAJE ELECTRICO S.L.U.</t>
        </is>
      </c>
      <c r="AA1432" t="inlineStr">
        <is>
          <t>E.T.A.</t>
        </is>
      </c>
      <c r="AB1432" t="inlineStr">
        <is>
          <t>X 222 175 08</t>
        </is>
      </c>
      <c r="AC1432" t="inlineStr"/>
      <c r="AD1432" s="164" t="n">
        <v>0</v>
      </c>
      <c r="AE1432" s="185" t="n">
        <v>0</v>
      </c>
      <c r="AG1432" s="167" t="inlineStr">
        <is>
          <t>7218|JA2583_1001</t>
        </is>
      </c>
      <c r="AH1432" s="47">
        <f>IF(M1432=0,"-",M1432-J1432)</f>
        <v/>
      </c>
      <c r="AI1432" s="46">
        <f>IF(AND(S1432=0,M1432&gt;0,L1432=0),IF(AH1432&gt;=120,"VERY HIGH",IF(AH1432&gt;=90,"HIGH",IF(AH1432&gt;=60,"MEDIUM",IF(AH1432&lt;60,"LOW")))),"-")</f>
        <v/>
      </c>
      <c r="AJ1432" s="12" t="n"/>
      <c r="AK1432" s="53">
        <f>IF(AND(W1432="X",M1432&lt;=$AJ$2),"YES","")</f>
        <v/>
      </c>
      <c r="AL1432" s="54">
        <f>IF(AND(W1432="X",M1432&lt;=$AJ$2),S1432,"")</f>
        <v/>
      </c>
      <c r="AM1432" s="35" t="n"/>
      <c r="AN1432" s="35">
        <f>IF(AND(W1432="X",M1432&gt;$AJ$2),S1432,"")</f>
        <v/>
      </c>
      <c r="AO1432" s="35">
        <f>IF(AND(W1432="",M1432&gt;0,$AJ$2&gt;M1432,L1432=""),1,0)</f>
        <v/>
      </c>
      <c r="AP1432" s="35">
        <f>IF(AND(AK1432="YES",W1432="X"),"X","")</f>
        <v/>
      </c>
      <c r="AQ1432" s="55">
        <f>IF(AP1432="X",100%,0%)</f>
        <v/>
      </c>
      <c r="AR1432" s="25">
        <f>IF(AND(T1432&gt;0,L1432=""),H1432,"")</f>
        <v/>
      </c>
      <c r="AS1432" s="25">
        <f>IF(AND(D1432&gt;0,H1432=0,G1432=""),1,"")</f>
        <v/>
      </c>
      <c r="AT1432" s="25">
        <f>IF(G1432="BLOQ",1,"")</f>
        <v/>
      </c>
      <c r="AU1432" s="25">
        <f>IF(L1432="BLOQ",1,"")</f>
        <v/>
      </c>
      <c r="AV1432" s="25">
        <f>MONTH(F1432)</f>
        <v/>
      </c>
      <c r="AW1432" s="65">
        <f>IF(AP1432="",100%,0%)</f>
        <v/>
      </c>
      <c r="AX1432" s="56" t="n"/>
      <c r="AY1432" s="24">
        <f>IF(M1432=0,"",M1432-$AX$2)</f>
        <v/>
      </c>
      <c r="AZ1432" s="66">
        <f>IF(AND(W1432="",AY1432&gt;0,AY1432&lt;15),1,0)</f>
        <v/>
      </c>
      <c r="BA1432" s="24">
        <f>IF(AND(W1432="",AY1432&gt;0,AY1432&lt;15),T1432,"")</f>
        <v/>
      </c>
      <c r="BB1432" s="87">
        <f>IF(R1432&lt;Q1432,"X","")</f>
        <v/>
      </c>
      <c r="BC1432" s="190" t="inlineStr">
        <is>
          <t>NO</t>
        </is>
      </c>
      <c r="BD1432" s="191" t="inlineStr">
        <is>
          <t>SI</t>
        </is>
      </c>
    </row>
    <row r="1433" ht="15" customHeight="1" s="162">
      <c r="A1433" s="7" t="n">
        <v>1432</v>
      </c>
      <c r="B1433" t="inlineStr">
        <is>
          <t>1204206631120</t>
        </is>
      </c>
      <c r="C1433" t="inlineStr">
        <is>
          <t>CNC CIR 19-35 66M STRAIGHT PLUG D38999</t>
        </is>
      </c>
      <c r="D1433" t="inlineStr">
        <is>
          <t>1800114173</t>
        </is>
      </c>
      <c r="E1433" t="inlineStr">
        <is>
          <t>90</t>
        </is>
      </c>
      <c r="F1433" s="163" t="n">
        <v>45581</v>
      </c>
      <c r="G1433" t="inlineStr"/>
      <c r="H1433" t="inlineStr">
        <is>
          <t>4200582738</t>
        </is>
      </c>
      <c r="I1433" t="inlineStr">
        <is>
          <t>130</t>
        </is>
      </c>
      <c r="J1433" s="163" t="n">
        <v>45589</v>
      </c>
      <c r="K1433" s="163" t="n">
        <v>45615</v>
      </c>
      <c r="L1433" t="inlineStr"/>
      <c r="M1433" s="163" t="n">
        <v>45606</v>
      </c>
      <c r="N1433" s="164" t="n">
        <v>55</v>
      </c>
      <c r="O1433" s="164" t="n">
        <v>8</v>
      </c>
      <c r="P1433" t="inlineStr">
        <is>
          <t>Liberado</t>
        </is>
      </c>
      <c r="Q1433" s="165" t="n">
        <v>8</v>
      </c>
      <c r="R1433" s="165" t="n">
        <v>8</v>
      </c>
      <c r="S1433" s="165" t="n">
        <v>8</v>
      </c>
      <c r="T1433" s="165" t="n">
        <v>0</v>
      </c>
      <c r="U1433" s="166" t="n">
        <v>8</v>
      </c>
      <c r="V1433" s="166" t="n">
        <v>0</v>
      </c>
      <c r="W1433" t="inlineStr">
        <is>
          <t>X</t>
        </is>
      </c>
      <c r="X1433" t="inlineStr">
        <is>
          <t>0.00</t>
        </is>
      </c>
      <c r="Y1433" t="inlineStr"/>
      <c r="Z1433" t="inlineStr">
        <is>
          <t>Electro Enterprises New York</t>
        </is>
      </c>
      <c r="AA1433" t="inlineStr">
        <is>
          <t>MILITARY SPECS.</t>
        </is>
      </c>
      <c r="AB1433" t="inlineStr">
        <is>
          <t>D38999/26ZF35PN</t>
        </is>
      </c>
      <c r="AC1433" t="inlineStr"/>
      <c r="AD1433" s="164" t="n">
        <v>0</v>
      </c>
      <c r="AE1433" s="185" t="n">
        <v>0</v>
      </c>
      <c r="AG1433" s="167" t="inlineStr">
        <is>
          <t>7218|JA2583_1001</t>
        </is>
      </c>
      <c r="AH1433" s="47">
        <f>IF(M1433=0,"-",M1433-J1433)</f>
        <v/>
      </c>
      <c r="AI1433" s="46">
        <f>IF(AND(S1433=0,M1433&gt;0,L1433=0),IF(AH1433&gt;=120,"VERY HIGH",IF(AH1433&gt;=90,"HIGH",IF(AH1433&gt;=60,"MEDIUM",IF(AH1433&lt;60,"LOW")))),"-")</f>
        <v/>
      </c>
      <c r="AJ1433" s="12" t="n"/>
      <c r="AK1433" s="53">
        <f>IF(AND(W1433="X",M1433&lt;=$AJ$2),"YES","")</f>
        <v/>
      </c>
      <c r="AL1433" s="54">
        <f>IF(AND(W1433="X",M1433&lt;=$AJ$2),S1433,"")</f>
        <v/>
      </c>
      <c r="AM1433" s="35" t="n"/>
      <c r="AN1433" s="35">
        <f>IF(AND(W1433="X",M1433&gt;$AJ$2),S1433,"")</f>
        <v/>
      </c>
      <c r="AO1433" s="35">
        <f>IF(AND(W1433="",M1433&gt;0,$AJ$2&gt;M1433,L1433=""),1,0)</f>
        <v/>
      </c>
      <c r="AP1433" s="35">
        <f>IF(AND(AK1433="YES",W1433="X"),"X","")</f>
        <v/>
      </c>
      <c r="AQ1433" s="55">
        <f>IF(AP1433="X",100%,0%)</f>
        <v/>
      </c>
      <c r="AR1433" s="25">
        <f>IF(AND(T1433&gt;0,L1433=""),H1433,"")</f>
        <v/>
      </c>
      <c r="AS1433" s="25">
        <f>IF(AND(D1433&gt;0,H1433=0,G1433=""),1,"")</f>
        <v/>
      </c>
      <c r="AT1433" s="25">
        <f>IF(G1433="BLOQ",1,"")</f>
        <v/>
      </c>
      <c r="AU1433" s="25">
        <f>IF(L1433="BLOQ",1,"")</f>
        <v/>
      </c>
      <c r="AV1433" s="25">
        <f>MONTH(F1433)</f>
        <v/>
      </c>
      <c r="AW1433" s="65">
        <f>IF(AP1433="",100%,0%)</f>
        <v/>
      </c>
      <c r="AX1433" s="56" t="n"/>
      <c r="AY1433" s="24">
        <f>IF(M1433=0,"",M1433-$AX$2)</f>
        <v/>
      </c>
      <c r="AZ1433" s="66">
        <f>IF(AND(W1433="",AY1433&gt;0,AY1433&lt;15),1,0)</f>
        <v/>
      </c>
      <c r="BA1433" s="24">
        <f>IF(AND(W1433="",AY1433&gt;0,AY1433&lt;15),T1433,"")</f>
        <v/>
      </c>
      <c r="BB1433" s="87">
        <f>IF(R1433&lt;Q1433,"X","")</f>
        <v/>
      </c>
      <c r="BC1433" s="190" t="inlineStr">
        <is>
          <t>NO</t>
        </is>
      </c>
      <c r="BD1433" s="191" t="inlineStr">
        <is>
          <t>SI</t>
        </is>
      </c>
    </row>
    <row r="1434" ht="15" customHeight="1" s="162">
      <c r="A1434" s="7" t="n">
        <v>1433</v>
      </c>
      <c r="B1434" t="inlineStr">
        <is>
          <t>1209990020620</t>
        </is>
      </c>
      <c r="C1434" t="inlineStr">
        <is>
          <t>CONTACTO MACHO SIZE 20 M39029/58-363</t>
        </is>
      </c>
      <c r="D1434" t="inlineStr">
        <is>
          <t>1800114173</t>
        </is>
      </c>
      <c r="E1434" t="inlineStr">
        <is>
          <t>100</t>
        </is>
      </c>
      <c r="F1434" s="163" t="n">
        <v>45581</v>
      </c>
      <c r="G1434" t="inlineStr"/>
      <c r="H1434" t="inlineStr">
        <is>
          <t>4200582738</t>
        </is>
      </c>
      <c r="I1434" t="inlineStr">
        <is>
          <t>140</t>
        </is>
      </c>
      <c r="J1434" s="163" t="n">
        <v>45589</v>
      </c>
      <c r="K1434" s="163" t="n">
        <v>45615</v>
      </c>
      <c r="L1434" t="inlineStr"/>
      <c r="M1434" s="163" t="n">
        <v>45606</v>
      </c>
      <c r="N1434" s="164" t="n">
        <v>30</v>
      </c>
      <c r="O1434" s="164" t="n">
        <v>8</v>
      </c>
      <c r="P1434" t="inlineStr">
        <is>
          <t>Liberado</t>
        </is>
      </c>
      <c r="Q1434" s="165" t="n">
        <v>600</v>
      </c>
      <c r="R1434" s="165" t="n">
        <v>600</v>
      </c>
      <c r="S1434" s="165" t="n">
        <v>600</v>
      </c>
      <c r="T1434" s="165" t="n">
        <v>0</v>
      </c>
      <c r="U1434" s="166" t="n">
        <v>600</v>
      </c>
      <c r="V1434" s="166" t="n">
        <v>0</v>
      </c>
      <c r="W1434" t="inlineStr">
        <is>
          <t>X</t>
        </is>
      </c>
      <c r="X1434" t="inlineStr">
        <is>
          <t>0.00</t>
        </is>
      </c>
      <c r="Y1434" t="inlineStr"/>
      <c r="Z1434" t="inlineStr">
        <is>
          <t>Electro Enterprises New York</t>
        </is>
      </c>
      <c r="AA1434" t="inlineStr">
        <is>
          <t>MILITARY SPECS.</t>
        </is>
      </c>
      <c r="AB1434" t="inlineStr">
        <is>
          <t>M39029/58-363</t>
        </is>
      </c>
      <c r="AC1434" t="inlineStr"/>
      <c r="AD1434" s="164" t="n">
        <v>0</v>
      </c>
      <c r="AE1434" s="185" t="n">
        <v>0</v>
      </c>
      <c r="AG1434" s="167" t="inlineStr">
        <is>
          <t>7218|JA2583_1001</t>
        </is>
      </c>
      <c r="AH1434" s="47">
        <f>IF(M1434=0,"-",M1434-J1434)</f>
        <v/>
      </c>
      <c r="AI1434" s="46">
        <f>IF(AND(S1434=0,M1434&gt;0,L1434=0),IF(AH1434&gt;=120,"VERY HIGH",IF(AH1434&gt;=90,"HIGH",IF(AH1434&gt;=60,"MEDIUM",IF(AH1434&lt;60,"LOW")))),"-")</f>
        <v/>
      </c>
      <c r="AJ1434" s="12" t="n"/>
      <c r="AK1434" s="53">
        <f>IF(AND(W1434="X",M1434&lt;=$AJ$2),"YES","")</f>
        <v/>
      </c>
      <c r="AL1434" s="54">
        <f>IF(AND(W1434="X",M1434&lt;=$AJ$2),S1434,"")</f>
        <v/>
      </c>
      <c r="AM1434" s="35" t="n"/>
      <c r="AN1434" s="35">
        <f>IF(AND(W1434="X",M1434&gt;$AJ$2),S1434,"")</f>
        <v/>
      </c>
      <c r="AO1434" s="35">
        <f>IF(AND(W1434="",M1434&gt;0,$AJ$2&gt;M1434,L1434=""),1,0)</f>
        <v/>
      </c>
      <c r="AP1434" s="35">
        <f>IF(AND(AK1434="YES",W1434="X"),"X","")</f>
        <v/>
      </c>
      <c r="AQ1434" s="55">
        <f>IF(AP1434="X",100%,0%)</f>
        <v/>
      </c>
      <c r="AR1434" s="25">
        <f>IF(AND(T1434&gt;0,L1434=""),H1434,"")</f>
        <v/>
      </c>
      <c r="AS1434" s="25">
        <f>IF(AND(D1434&gt;0,H1434=0,G1434=""),1,"")</f>
        <v/>
      </c>
      <c r="AT1434" s="25">
        <f>IF(G1434="BLOQ",1,"")</f>
        <v/>
      </c>
      <c r="AU1434" s="25">
        <f>IF(L1434="BLOQ",1,"")</f>
        <v/>
      </c>
      <c r="AV1434" s="25">
        <f>MONTH(F1434)</f>
        <v/>
      </c>
      <c r="AW1434" s="65">
        <f>IF(AP1434="",100%,0%)</f>
        <v/>
      </c>
      <c r="AX1434" s="56" t="n"/>
      <c r="AY1434" s="24">
        <f>IF(M1434=0,"",M1434-$AX$2)</f>
        <v/>
      </c>
      <c r="AZ1434" s="66">
        <f>IF(AND(W1434="",AY1434&gt;0,AY1434&lt;15),1,0)</f>
        <v/>
      </c>
      <c r="BA1434" s="24">
        <f>IF(AND(W1434="",AY1434&gt;0,AY1434&lt;15),T1434,"")</f>
        <v/>
      </c>
      <c r="BB1434" s="87">
        <f>IF(R1434&lt;Q1434,"X","")</f>
        <v/>
      </c>
      <c r="BC1434" s="190" t="inlineStr">
        <is>
          <t>NO</t>
        </is>
      </c>
      <c r="BD1434" s="191" t="inlineStr">
        <is>
          <t>SI</t>
        </is>
      </c>
    </row>
    <row r="1435" ht="15" customHeight="1" s="162">
      <c r="A1435" s="7" t="n">
        <v>1434</v>
      </c>
      <c r="B1435" t="inlineStr">
        <is>
          <t>1212090200020</t>
        </is>
      </c>
      <c r="C1435" t="inlineStr">
        <is>
          <t>PIN H CRIMP CNC SUB-D #20 AWG20-24(0,2-0</t>
        </is>
      </c>
      <c r="D1435" t="inlineStr">
        <is>
          <t>1800114173</t>
        </is>
      </c>
      <c r="E1435" t="inlineStr">
        <is>
          <t>110</t>
        </is>
      </c>
      <c r="F1435" s="163" t="n">
        <v>45581</v>
      </c>
      <c r="G1435" t="inlineStr"/>
      <c r="H1435" t="inlineStr">
        <is>
          <t>4200582738</t>
        </is>
      </c>
      <c r="I1435" t="inlineStr">
        <is>
          <t>150</t>
        </is>
      </c>
      <c r="J1435" s="163" t="n">
        <v>45589</v>
      </c>
      <c r="K1435" s="163" t="n">
        <v>45615</v>
      </c>
      <c r="L1435" t="inlineStr"/>
      <c r="M1435" s="163" t="n">
        <v>45606</v>
      </c>
      <c r="N1435" s="164" t="n">
        <v>50</v>
      </c>
      <c r="O1435" s="164" t="n">
        <v>8</v>
      </c>
      <c r="P1435" t="inlineStr">
        <is>
          <t>Liberado</t>
        </is>
      </c>
      <c r="Q1435" s="165" t="n">
        <v>100</v>
      </c>
      <c r="R1435" s="165" t="n">
        <v>500</v>
      </c>
      <c r="S1435" s="165" t="n">
        <v>500</v>
      </c>
      <c r="T1435" s="165" t="n">
        <v>0</v>
      </c>
      <c r="U1435" s="166" t="n">
        <v>500</v>
      </c>
      <c r="V1435" s="166" t="n">
        <v>0</v>
      </c>
      <c r="W1435" t="inlineStr">
        <is>
          <t>X</t>
        </is>
      </c>
      <c r="X1435" t="inlineStr">
        <is>
          <t>0.00</t>
        </is>
      </c>
      <c r="Y1435" t="inlineStr"/>
      <c r="Z1435" t="inlineStr">
        <is>
          <t>Electro Enterprises New York</t>
        </is>
      </c>
      <c r="AA1435" t="inlineStr">
        <is>
          <t>MILITARY SPECS.</t>
        </is>
      </c>
      <c r="AB1435" t="inlineStr">
        <is>
          <t>M39029/63-368</t>
        </is>
      </c>
      <c r="AC1435" t="inlineStr"/>
      <c r="AD1435" s="164" t="n">
        <v>0</v>
      </c>
      <c r="AE1435" s="185" t="n">
        <v>0</v>
      </c>
      <c r="AG1435" s="167" t="inlineStr">
        <is>
          <t>7218|JA2583_1001</t>
        </is>
      </c>
      <c r="AH1435" s="47">
        <f>IF(M1435=0,"-",M1435-J1435)</f>
        <v/>
      </c>
      <c r="AI1435" s="46">
        <f>IF(AND(S1435=0,M1435&gt;0,L1435=0),IF(AH1435&gt;=120,"VERY HIGH",IF(AH1435&gt;=90,"HIGH",IF(AH1435&gt;=60,"MEDIUM",IF(AH1435&lt;60,"LOW")))),"-")</f>
        <v/>
      </c>
      <c r="AJ1435" s="12" t="n"/>
      <c r="AK1435" s="53">
        <f>IF(AND(W1435="X",M1435&lt;=$AJ$2),"YES","")</f>
        <v/>
      </c>
      <c r="AL1435" s="54">
        <f>IF(AND(W1435="X",M1435&lt;=$AJ$2),S1435,"")</f>
        <v/>
      </c>
      <c r="AM1435" s="35" t="n"/>
      <c r="AN1435" s="35">
        <f>IF(AND(W1435="X",M1435&gt;$AJ$2),S1435,"")</f>
        <v/>
      </c>
      <c r="AO1435" s="35">
        <f>IF(AND(W1435="",M1435&gt;0,$AJ$2&gt;M1435,L1435=""),1,0)</f>
        <v/>
      </c>
      <c r="AP1435" s="35">
        <f>IF(AND(AK1435="YES",W1435="X"),"X","")</f>
        <v/>
      </c>
      <c r="AQ1435" s="55">
        <f>IF(AP1435="X",100%,0%)</f>
        <v/>
      </c>
      <c r="AR1435" s="25">
        <f>IF(AND(T1435&gt;0,L1435=""),H1435,"")</f>
        <v/>
      </c>
      <c r="AS1435" s="25">
        <f>IF(AND(D1435&gt;0,H1435=0,G1435=""),1,"")</f>
        <v/>
      </c>
      <c r="AT1435" s="25">
        <f>IF(G1435="BLOQ",1,"")</f>
        <v/>
      </c>
      <c r="AU1435" s="25">
        <f>IF(L1435="BLOQ",1,"")</f>
        <v/>
      </c>
      <c r="AV1435" s="25">
        <f>MONTH(F1435)</f>
        <v/>
      </c>
      <c r="AW1435" s="65">
        <f>IF(AP1435="",100%,0%)</f>
        <v/>
      </c>
      <c r="AX1435" s="56" t="n"/>
      <c r="AY1435" s="24">
        <f>IF(M1435=0,"",M1435-$AX$2)</f>
        <v/>
      </c>
      <c r="AZ1435" s="66">
        <f>IF(AND(W1435="",AY1435&gt;0,AY1435&lt;15),1,0)</f>
        <v/>
      </c>
      <c r="BA1435" s="24">
        <f>IF(AND(W1435="",AY1435&gt;0,AY1435&lt;15),T1435,"")</f>
        <v/>
      </c>
      <c r="BB1435" s="87">
        <f>IF(R1435&lt;Q1435,"X","")</f>
        <v/>
      </c>
      <c r="BC1435" s="190" t="inlineStr">
        <is>
          <t>NO</t>
        </is>
      </c>
      <c r="BD1435" s="191" t="inlineStr">
        <is>
          <t>SI</t>
        </is>
      </c>
    </row>
    <row r="1436" ht="15" customHeight="1" s="162">
      <c r="A1436" s="7" t="n">
        <v>1435</v>
      </c>
      <c r="B1436" t="inlineStr">
        <is>
          <t>1214090010420</t>
        </is>
      </c>
      <c r="C1436" t="inlineStr">
        <is>
          <t>CONTACTO HEMBRA M39029/5-115</t>
        </is>
      </c>
      <c r="D1436" t="inlineStr">
        <is>
          <t>1800114173</t>
        </is>
      </c>
      <c r="E1436" t="inlineStr">
        <is>
          <t>120</t>
        </is>
      </c>
      <c r="F1436" s="163" t="n">
        <v>45581</v>
      </c>
      <c r="G1436" t="inlineStr"/>
      <c r="H1436" t="inlineStr">
        <is>
          <t>4200582738</t>
        </is>
      </c>
      <c r="I1436" t="inlineStr">
        <is>
          <t>160</t>
        </is>
      </c>
      <c r="J1436" s="163" t="n">
        <v>45589</v>
      </c>
      <c r="K1436" s="163" t="n">
        <v>45615</v>
      </c>
      <c r="L1436" t="inlineStr"/>
      <c r="M1436" s="163" t="n">
        <v>45606</v>
      </c>
      <c r="N1436" s="164" t="n">
        <v>85</v>
      </c>
      <c r="O1436" s="164" t="n">
        <v>8</v>
      </c>
      <c r="P1436" t="inlineStr">
        <is>
          <t>Liberado</t>
        </is>
      </c>
      <c r="Q1436" s="165" t="n">
        <v>500</v>
      </c>
      <c r="R1436" s="165" t="n">
        <v>500</v>
      </c>
      <c r="S1436" s="165" t="n">
        <v>500</v>
      </c>
      <c r="T1436" s="165" t="n">
        <v>0</v>
      </c>
      <c r="U1436" s="166" t="n">
        <v>500</v>
      </c>
      <c r="V1436" s="166" t="n">
        <v>0</v>
      </c>
      <c r="W1436" t="inlineStr">
        <is>
          <t>X</t>
        </is>
      </c>
      <c r="X1436" t="inlineStr">
        <is>
          <t>0.00</t>
        </is>
      </c>
      <c r="Y1436" t="inlineStr"/>
      <c r="Z1436" t="inlineStr">
        <is>
          <t>Electro Enterprises New York</t>
        </is>
      </c>
      <c r="AA1436" t="inlineStr">
        <is>
          <t>MILITARY SPECS.</t>
        </is>
      </c>
      <c r="AB1436" t="inlineStr">
        <is>
          <t>M39029/5-115</t>
        </is>
      </c>
      <c r="AC1436" t="inlineStr"/>
      <c r="AD1436" s="164" t="n">
        <v>0</v>
      </c>
      <c r="AE1436" s="185" t="n">
        <v>0</v>
      </c>
      <c r="AG1436" s="167" t="inlineStr">
        <is>
          <t>7218|JA2583_1001</t>
        </is>
      </c>
      <c r="AH1436" s="47">
        <f>IF(M1436=0,"-",M1436-J1436)</f>
        <v/>
      </c>
      <c r="AI1436" s="46">
        <f>IF(AND(S1436=0,M1436&gt;0,L1436=0),IF(AH1436&gt;=120,"VERY HIGH",IF(AH1436&gt;=90,"HIGH",IF(AH1436&gt;=60,"MEDIUM",IF(AH1436&lt;60,"LOW")))),"-")</f>
        <v/>
      </c>
      <c r="AJ1436" s="12" t="n"/>
      <c r="AK1436" s="53">
        <f>IF(AND(W1436="X",M1436&lt;=$AJ$2),"YES","")</f>
        <v/>
      </c>
      <c r="AL1436" s="54">
        <f>IF(AND(W1436="X",M1436&lt;=$AJ$2),S1436,"")</f>
        <v/>
      </c>
      <c r="AM1436" s="35" t="n"/>
      <c r="AN1436" s="35">
        <f>IF(AND(W1436="X",M1436&gt;$AJ$2),S1436,"")</f>
        <v/>
      </c>
      <c r="AO1436" s="35">
        <f>IF(AND(W1436="",M1436&gt;0,$AJ$2&gt;M1436,L1436=""),1,0)</f>
        <v/>
      </c>
      <c r="AP1436" s="35">
        <f>IF(AND(AK1436="YES",W1436="X"),"X","")</f>
        <v/>
      </c>
      <c r="AQ1436" s="55">
        <f>IF(AP1436="X",100%,0%)</f>
        <v/>
      </c>
      <c r="AR1436" s="25">
        <f>IF(AND(T1436&gt;0,L1436=""),H1436,"")</f>
        <v/>
      </c>
      <c r="AS1436" s="25">
        <f>IF(AND(D1436&gt;0,H1436=0,G1436=""),1,"")</f>
        <v/>
      </c>
      <c r="AT1436" s="25">
        <f>IF(G1436="BLOQ",1,"")</f>
        <v/>
      </c>
      <c r="AU1436" s="25">
        <f>IF(L1436="BLOQ",1,"")</f>
        <v/>
      </c>
      <c r="AV1436" s="25">
        <f>MONTH(F1436)</f>
        <v/>
      </c>
      <c r="AW1436" s="65">
        <f>IF(AP1436="",100%,0%)</f>
        <v/>
      </c>
      <c r="AX1436" s="56" t="n"/>
      <c r="AY1436" s="24">
        <f>IF(M1436=0,"",M1436-$AX$2)</f>
        <v/>
      </c>
      <c r="AZ1436" s="66">
        <f>IF(AND(W1436="",AY1436&gt;0,AY1436&lt;15),1,0)</f>
        <v/>
      </c>
      <c r="BA1436" s="24">
        <f>IF(AND(W1436="",AY1436&gt;0,AY1436&lt;15),T1436,"")</f>
        <v/>
      </c>
      <c r="BB1436" s="87">
        <f>IF(R1436&lt;Q1436,"X","")</f>
        <v/>
      </c>
      <c r="BC1436" s="190" t="inlineStr">
        <is>
          <t>NO</t>
        </is>
      </c>
      <c r="BD1436" s="191" t="inlineStr">
        <is>
          <t>SI</t>
        </is>
      </c>
    </row>
    <row r="1437" ht="15" customHeight="1" s="162">
      <c r="A1437" s="7" t="n">
        <v>1436</v>
      </c>
      <c r="B1437" t="inlineStr">
        <is>
          <t>1214101933621</t>
        </is>
      </c>
      <c r="C1437" t="inlineStr">
        <is>
          <t>CNC CIR  14-19 (19H) MS3470L14-19S</t>
        </is>
      </c>
      <c r="D1437" t="inlineStr">
        <is>
          <t>1800114173</t>
        </is>
      </c>
      <c r="E1437" t="inlineStr">
        <is>
          <t>130</t>
        </is>
      </c>
      <c r="F1437" s="163" t="n">
        <v>45581</v>
      </c>
      <c r="G1437" t="inlineStr"/>
      <c r="H1437" t="inlineStr">
        <is>
          <t>4200583866</t>
        </is>
      </c>
      <c r="I1437" t="inlineStr">
        <is>
          <t>40</t>
        </is>
      </c>
      <c r="J1437" s="163" t="n">
        <v>45596</v>
      </c>
      <c r="K1437" s="163" t="n">
        <v>45600</v>
      </c>
      <c r="L1437" t="inlineStr"/>
      <c r="M1437" s="163" t="n">
        <v>45606</v>
      </c>
      <c r="N1437" s="164" t="n">
        <v>35</v>
      </c>
      <c r="O1437" s="164" t="n">
        <v>8</v>
      </c>
      <c r="P1437" t="inlineStr">
        <is>
          <t>Liberado</t>
        </is>
      </c>
      <c r="Q1437" s="165" t="n">
        <v>1</v>
      </c>
      <c r="R1437" s="165" t="n">
        <v>1</v>
      </c>
      <c r="S1437" s="165" t="n">
        <v>1</v>
      </c>
      <c r="T1437" s="165" t="n">
        <v>0</v>
      </c>
      <c r="U1437" s="166" t="n">
        <v>1</v>
      </c>
      <c r="V1437" s="166" t="n">
        <v>0</v>
      </c>
      <c r="W1437" t="inlineStr">
        <is>
          <t>X</t>
        </is>
      </c>
      <c r="X1437" t="inlineStr">
        <is>
          <t>0.00</t>
        </is>
      </c>
      <c r="Y1437" t="inlineStr"/>
      <c r="Z1437" t="inlineStr">
        <is>
          <t>TTI, INC.</t>
        </is>
      </c>
      <c r="AA1437" t="inlineStr">
        <is>
          <t>MILITARY STANDARDS</t>
        </is>
      </c>
      <c r="AB1437" t="inlineStr">
        <is>
          <t>MS3470L14-19S</t>
        </is>
      </c>
      <c r="AC1437" t="inlineStr"/>
      <c r="AD1437" s="164" t="n">
        <v>0</v>
      </c>
      <c r="AE1437" s="185" t="n">
        <v>0</v>
      </c>
      <c r="AG1437" s="167" t="inlineStr">
        <is>
          <t>7218|JA2583_1001</t>
        </is>
      </c>
      <c r="AH1437" s="47">
        <f>IF(M1437=0,"-",M1437-J1437)</f>
        <v/>
      </c>
      <c r="AI1437" s="46">
        <f>IF(AND(S1437=0,M1437&gt;0,L1437=0),IF(AH1437&gt;=120,"VERY HIGH",IF(AH1437&gt;=90,"HIGH",IF(AH1437&gt;=60,"MEDIUM",IF(AH1437&lt;60,"LOW")))),"-")</f>
        <v/>
      </c>
      <c r="AJ1437" s="12" t="n"/>
      <c r="AK1437" s="53">
        <f>IF(AND(W1437="X",M1437&lt;=$AJ$2),"YES","")</f>
        <v/>
      </c>
      <c r="AL1437" s="54">
        <f>IF(AND(W1437="X",M1437&lt;=$AJ$2),S1437,"")</f>
        <v/>
      </c>
      <c r="AM1437" s="35" t="n"/>
      <c r="AN1437" s="35">
        <f>IF(AND(W1437="X",M1437&gt;$AJ$2),S1437,"")</f>
        <v/>
      </c>
      <c r="AO1437" s="35">
        <f>IF(AND(W1437="",M1437&gt;0,$AJ$2&gt;M1437,L1437=""),1,0)</f>
        <v/>
      </c>
      <c r="AP1437" s="35">
        <f>IF(AND(AK1437="YES",W1437="X"),"X","")</f>
        <v/>
      </c>
      <c r="AQ1437" s="55">
        <f>IF(AP1437="X",100%,0%)</f>
        <v/>
      </c>
      <c r="AR1437" s="25">
        <f>IF(AND(T1437&gt;0,L1437=""),H1437,"")</f>
        <v/>
      </c>
      <c r="AS1437" s="25">
        <f>IF(AND(D1437&gt;0,H1437=0,G1437=""),1,"")</f>
        <v/>
      </c>
      <c r="AT1437" s="25">
        <f>IF(G1437="BLOQ",1,"")</f>
        <v/>
      </c>
      <c r="AU1437" s="25">
        <f>IF(L1437="BLOQ",1,"")</f>
        <v/>
      </c>
      <c r="AV1437" s="25">
        <f>MONTH(F1437)</f>
        <v/>
      </c>
      <c r="AW1437" s="65">
        <f>IF(AP1437="",100%,0%)</f>
        <v/>
      </c>
      <c r="AX1437" s="56" t="n"/>
      <c r="AY1437" s="24">
        <f>IF(M1437=0,"",M1437-$AX$2)</f>
        <v/>
      </c>
      <c r="AZ1437" s="66">
        <f>IF(AND(W1437="",AY1437&gt;0,AY1437&lt;15),1,0)</f>
        <v/>
      </c>
      <c r="BA1437" s="24">
        <f>IF(AND(W1437="",AY1437&gt;0,AY1437&lt;15),T1437,"")</f>
        <v/>
      </c>
      <c r="BB1437" s="87">
        <f>IF(R1437&lt;Q1437,"X","")</f>
        <v/>
      </c>
      <c r="BC1437" s="190" t="inlineStr">
        <is>
          <t>NO</t>
        </is>
      </c>
      <c r="BD1437" s="191" t="inlineStr">
        <is>
          <t>SI</t>
        </is>
      </c>
    </row>
    <row r="1438" ht="15" customHeight="1" s="162">
      <c r="A1438" s="7" t="n">
        <v>1437</v>
      </c>
      <c r="B1438" t="inlineStr">
        <is>
          <t>1214306631920</t>
        </is>
      </c>
      <c r="C1438" t="inlineStr">
        <is>
          <t>CNC CIR 19-35 66H RECPT CRMP ZN/NI ROT-N</t>
        </is>
      </c>
      <c r="D1438" t="inlineStr">
        <is>
          <t>1800114173</t>
        </is>
      </c>
      <c r="E1438" t="inlineStr">
        <is>
          <t>140</t>
        </is>
      </c>
      <c r="F1438" s="163" t="n">
        <v>45581</v>
      </c>
      <c r="G1438" t="inlineStr"/>
      <c r="H1438" t="inlineStr">
        <is>
          <t>4200582738</t>
        </is>
      </c>
      <c r="I1438" t="inlineStr">
        <is>
          <t>170</t>
        </is>
      </c>
      <c r="J1438" s="163" t="n">
        <v>45589</v>
      </c>
      <c r="K1438" s="163" t="n">
        <v>45615</v>
      </c>
      <c r="L1438" t="inlineStr"/>
      <c r="M1438" s="163" t="n">
        <v>45606</v>
      </c>
      <c r="N1438" s="164" t="n">
        <v>40</v>
      </c>
      <c r="O1438" s="164" t="n">
        <v>8</v>
      </c>
      <c r="P1438" t="inlineStr">
        <is>
          <t>Liberado</t>
        </is>
      </c>
      <c r="Q1438" s="165" t="n">
        <v>4</v>
      </c>
      <c r="R1438" s="165" t="n">
        <v>4</v>
      </c>
      <c r="S1438" s="165" t="n">
        <v>4</v>
      </c>
      <c r="T1438" s="165" t="n">
        <v>0</v>
      </c>
      <c r="U1438" s="166" t="n">
        <v>4</v>
      </c>
      <c r="V1438" s="166" t="n">
        <v>0</v>
      </c>
      <c r="W1438" t="inlineStr">
        <is>
          <t>X</t>
        </is>
      </c>
      <c r="X1438" t="inlineStr">
        <is>
          <t>0.00</t>
        </is>
      </c>
      <c r="Y1438" t="inlineStr"/>
      <c r="Z1438" t="inlineStr">
        <is>
          <t>Electro Enterprises New York</t>
        </is>
      </c>
      <c r="AA1438" t="inlineStr">
        <is>
          <t>MILITARY SPECS.</t>
        </is>
      </c>
      <c r="AB1438" t="inlineStr">
        <is>
          <t>D38999/20ZF35SN</t>
        </is>
      </c>
      <c r="AC1438" t="inlineStr"/>
      <c r="AD1438" s="164" t="n">
        <v>0</v>
      </c>
      <c r="AE1438" s="185" t="n">
        <v>0</v>
      </c>
      <c r="AG1438" s="167" t="inlineStr">
        <is>
          <t>7218|JA2583_1001</t>
        </is>
      </c>
      <c r="AH1438" s="47">
        <f>IF(M1438=0,"-",M1438-J1438)</f>
        <v/>
      </c>
      <c r="AI1438" s="46">
        <f>IF(AND(S1438=0,M1438&gt;0,L1438=0),IF(AH1438&gt;=120,"VERY HIGH",IF(AH1438&gt;=90,"HIGH",IF(AH1438&gt;=60,"MEDIUM",IF(AH1438&lt;60,"LOW")))),"-")</f>
        <v/>
      </c>
      <c r="AJ1438" s="12" t="n"/>
      <c r="AK1438" s="53">
        <f>IF(AND(W1438="X",M1438&lt;=$AJ$2),"YES","")</f>
        <v/>
      </c>
      <c r="AL1438" s="54">
        <f>IF(AND(W1438="X",M1438&lt;=$AJ$2),S1438,"")</f>
        <v/>
      </c>
      <c r="AM1438" s="35" t="n"/>
      <c r="AN1438" s="35">
        <f>IF(AND(W1438="X",M1438&gt;$AJ$2),S1438,"")</f>
        <v/>
      </c>
      <c r="AO1438" s="35">
        <f>IF(AND(W1438="",M1438&gt;0,$AJ$2&gt;M1438,L1438=""),1,0)</f>
        <v/>
      </c>
      <c r="AP1438" s="35">
        <f>IF(AND(AK1438="YES",W1438="X"),"X","")</f>
        <v/>
      </c>
      <c r="AQ1438" s="55">
        <f>IF(AP1438="X",100%,0%)</f>
        <v/>
      </c>
      <c r="AR1438" s="25">
        <f>IF(AND(T1438&gt;0,L1438=""),H1438,"")</f>
        <v/>
      </c>
      <c r="AS1438" s="25">
        <f>IF(AND(D1438&gt;0,H1438=0,G1438=""),1,"")</f>
        <v/>
      </c>
      <c r="AT1438" s="25">
        <f>IF(G1438="BLOQ",1,"")</f>
        <v/>
      </c>
      <c r="AU1438" s="25">
        <f>IF(L1438="BLOQ",1,"")</f>
        <v/>
      </c>
      <c r="AV1438" s="25">
        <f>MONTH(F1438)</f>
        <v/>
      </c>
      <c r="AW1438" s="65">
        <f>IF(AP1438="",100%,0%)</f>
        <v/>
      </c>
      <c r="AX1438" s="56" t="n"/>
      <c r="AY1438" s="24">
        <f>IF(M1438=0,"",M1438-$AX$2)</f>
        <v/>
      </c>
      <c r="AZ1438" s="66">
        <f>IF(AND(W1438="",AY1438&gt;0,AY1438&lt;15),1,0)</f>
        <v/>
      </c>
      <c r="BA1438" s="24">
        <f>IF(AND(W1438="",AY1438&gt;0,AY1438&lt;15),T1438,"")</f>
        <v/>
      </c>
      <c r="BB1438" s="87">
        <f>IF(R1438&lt;Q1438,"X","")</f>
        <v/>
      </c>
      <c r="BC1438" s="190" t="inlineStr">
        <is>
          <t>NO</t>
        </is>
      </c>
      <c r="BD1438" s="191" t="inlineStr">
        <is>
          <t>SI</t>
        </is>
      </c>
    </row>
    <row r="1439" ht="15" customHeight="1" s="162">
      <c r="A1439" s="7" t="n">
        <v>1438</v>
      </c>
      <c r="B1439" t="inlineStr">
        <is>
          <t>1219000292300</t>
        </is>
      </c>
      <c r="C1439" t="inlineStr">
        <is>
          <t>CAJA PORTACONTACTOS 10P (H) PASO 3,96MM</t>
        </is>
      </c>
      <c r="D1439" t="inlineStr">
        <is>
          <t>1800114173</t>
        </is>
      </c>
      <c r="E1439" t="inlineStr">
        <is>
          <t>150</t>
        </is>
      </c>
      <c r="F1439" s="163" t="n">
        <v>45581</v>
      </c>
      <c r="G1439" t="inlineStr"/>
      <c r="H1439" t="inlineStr">
        <is>
          <t>4200582519</t>
        </is>
      </c>
      <c r="I1439" t="inlineStr">
        <is>
          <t>10</t>
        </is>
      </c>
      <c r="J1439" s="163" t="n">
        <v>45588</v>
      </c>
      <c r="K1439" s="163" t="n">
        <v>45589</v>
      </c>
      <c r="L1439" t="inlineStr"/>
      <c r="M1439" s="163" t="n">
        <v>45606</v>
      </c>
      <c r="N1439" s="164" t="n">
        <v>80</v>
      </c>
      <c r="O1439" s="164" t="n">
        <v>8</v>
      </c>
      <c r="P1439" t="inlineStr">
        <is>
          <t>Liberado</t>
        </is>
      </c>
      <c r="Q1439" s="165" t="n">
        <v>6</v>
      </c>
      <c r="R1439" s="165" t="n">
        <v>50</v>
      </c>
      <c r="S1439" s="165" t="n">
        <v>50</v>
      </c>
      <c r="T1439" s="165" t="n">
        <v>0</v>
      </c>
      <c r="U1439" s="166" t="n">
        <v>50</v>
      </c>
      <c r="V1439" s="166" t="n">
        <v>0</v>
      </c>
      <c r="W1439" t="inlineStr">
        <is>
          <t>X</t>
        </is>
      </c>
      <c r="X1439" t="inlineStr">
        <is>
          <t>0.00</t>
        </is>
      </c>
      <c r="Y1439" t="inlineStr"/>
      <c r="Z1439" t="inlineStr">
        <is>
          <t>CENVALSA, S.L.</t>
        </is>
      </c>
      <c r="AA1439" t="inlineStr">
        <is>
          <t>CONEXCON</t>
        </is>
      </c>
      <c r="AB1439" t="inlineStr">
        <is>
          <t>3940-2101</t>
        </is>
      </c>
      <c r="AC1439" t="inlineStr"/>
      <c r="AD1439" s="164" t="n">
        <v>0</v>
      </c>
      <c r="AE1439" s="185" t="n">
        <v>0</v>
      </c>
      <c r="AG1439" s="167" t="inlineStr">
        <is>
          <t>7218|JA2583_1001</t>
        </is>
      </c>
      <c r="AH1439" s="47">
        <f>IF(M1439=0,"-",M1439-J1439)</f>
        <v/>
      </c>
      <c r="AI1439" s="46">
        <f>IF(AND(S1439=0,M1439&gt;0,L1439=0),IF(AH1439&gt;=120,"VERY HIGH",IF(AH1439&gt;=90,"HIGH",IF(AH1439&gt;=60,"MEDIUM",IF(AH1439&lt;60,"LOW")))),"-")</f>
        <v/>
      </c>
      <c r="AJ1439" s="12" t="n"/>
      <c r="AK1439" s="53">
        <f>IF(AND(W1439="X",M1439&lt;=$AJ$2),"YES","")</f>
        <v/>
      </c>
      <c r="AL1439" s="54">
        <f>IF(AND(W1439="X",M1439&lt;=$AJ$2),S1439,"")</f>
        <v/>
      </c>
      <c r="AM1439" s="35" t="n"/>
      <c r="AN1439" s="35">
        <f>IF(AND(W1439="X",M1439&gt;$AJ$2),S1439,"")</f>
        <v/>
      </c>
      <c r="AO1439" s="35">
        <f>IF(AND(W1439="",M1439&gt;0,$AJ$2&gt;M1439,L1439=""),1,0)</f>
        <v/>
      </c>
      <c r="AP1439" s="35">
        <f>IF(AND(AK1439="YES",W1439="X"),"X","")</f>
        <v/>
      </c>
      <c r="AQ1439" s="55">
        <f>IF(AP1439="X",100%,0%)</f>
        <v/>
      </c>
      <c r="AR1439" s="25">
        <f>IF(AND(T1439&gt;0,L1439=""),H1439,"")</f>
        <v/>
      </c>
      <c r="AS1439" s="25">
        <f>IF(AND(D1439&gt;0,H1439=0,G1439=""),1,"")</f>
        <v/>
      </c>
      <c r="AT1439" s="25">
        <f>IF(G1439="BLOQ",1,"")</f>
        <v/>
      </c>
      <c r="AU1439" s="25">
        <f>IF(L1439="BLOQ",1,"")</f>
        <v/>
      </c>
      <c r="AV1439" s="25">
        <f>MONTH(F1439)</f>
        <v/>
      </c>
      <c r="AW1439" s="65">
        <f>IF(AP1439="",100%,0%)</f>
        <v/>
      </c>
      <c r="AX1439" s="56" t="n"/>
      <c r="AY1439" s="24">
        <f>IF(M1439=0,"",M1439-$AX$2)</f>
        <v/>
      </c>
      <c r="AZ1439" s="66">
        <f>IF(AND(W1439="",AY1439&gt;0,AY1439&lt;15),1,0)</f>
        <v/>
      </c>
      <c r="BA1439" s="24">
        <f>IF(AND(W1439="",AY1439&gt;0,AY1439&lt;15),T1439,"")</f>
        <v/>
      </c>
      <c r="BB1439" s="87">
        <f>IF(R1439&lt;Q1439,"X","")</f>
        <v/>
      </c>
      <c r="BC1439" s="190" t="inlineStr">
        <is>
          <t>NO</t>
        </is>
      </c>
      <c r="BD1439" s="191" t="inlineStr">
        <is>
          <t>SI</t>
        </is>
      </c>
    </row>
    <row r="1440" ht="15" customHeight="1" s="162">
      <c r="A1440" s="7" t="n">
        <v>1439</v>
      </c>
      <c r="B1440" t="inlineStr">
        <is>
          <t>1219001090100</t>
        </is>
      </c>
      <c r="C1440" t="inlineStr">
        <is>
          <t>CAJA PORTACONTACTOS 10/H CRIMP SERIE SL</t>
        </is>
      </c>
      <c r="D1440" t="inlineStr">
        <is>
          <t>1800114173</t>
        </is>
      </c>
      <c r="E1440" t="inlineStr">
        <is>
          <t>160</t>
        </is>
      </c>
      <c r="F1440" s="163" t="n">
        <v>45581</v>
      </c>
      <c r="G1440" t="inlineStr"/>
      <c r="H1440" t="inlineStr">
        <is>
          <t>4200583298</t>
        </is>
      </c>
      <c r="I1440" t="inlineStr">
        <is>
          <t>110</t>
        </is>
      </c>
      <c r="J1440" s="163" t="n">
        <v>45593</v>
      </c>
      <c r="K1440" s="163" t="n">
        <v>45660</v>
      </c>
      <c r="L1440" t="inlineStr"/>
      <c r="M1440" s="163" t="n">
        <v>45606</v>
      </c>
      <c r="N1440" s="164" t="n">
        <v>80</v>
      </c>
      <c r="O1440" s="164" t="n">
        <v>8</v>
      </c>
      <c r="P1440" t="inlineStr">
        <is>
          <t>Liberado</t>
        </is>
      </c>
      <c r="Q1440" s="165" t="n">
        <v>13</v>
      </c>
      <c r="R1440" s="165" t="n">
        <v>13</v>
      </c>
      <c r="S1440" s="165" t="n">
        <v>13</v>
      </c>
      <c r="T1440" s="165" t="n">
        <v>0</v>
      </c>
      <c r="U1440" s="166" t="n">
        <v>13</v>
      </c>
      <c r="V1440" s="166" t="n">
        <v>0</v>
      </c>
      <c r="W1440" t="inlineStr">
        <is>
          <t>X</t>
        </is>
      </c>
      <c r="X1440" t="inlineStr">
        <is>
          <t>0.00</t>
        </is>
      </c>
      <c r="Y1440" t="inlineStr"/>
      <c r="Z1440" t="inlineStr">
        <is>
          <t>MOUSER ELECTRONICS, INC.</t>
        </is>
      </c>
      <c r="AA1440" t="inlineStr">
        <is>
          <t>MOLEX</t>
        </is>
      </c>
      <c r="AB1440" t="inlineStr">
        <is>
          <t>50-57-9410</t>
        </is>
      </c>
      <c r="AC1440" t="inlineStr"/>
      <c r="AD1440" s="164" t="n">
        <v>0</v>
      </c>
      <c r="AE1440" s="185" t="n">
        <v>0</v>
      </c>
      <c r="AG1440" s="167" t="inlineStr">
        <is>
          <t>7218|JA2583_1001</t>
        </is>
      </c>
      <c r="AH1440" s="47">
        <f>IF(M1440=0,"-",M1440-J1440)</f>
        <v/>
      </c>
      <c r="AI1440" s="46">
        <f>IF(AND(S1440=0,M1440&gt;0,L1440=0),IF(AH1440&gt;=120,"VERY HIGH",IF(AH1440&gt;=90,"HIGH",IF(AH1440&gt;=60,"MEDIUM",IF(AH1440&lt;60,"LOW")))),"-")</f>
        <v/>
      </c>
      <c r="AJ1440" s="12" t="n"/>
      <c r="AK1440" s="53">
        <f>IF(AND(W1440="X",M1440&lt;=$AJ$2),"YES","")</f>
        <v/>
      </c>
      <c r="AL1440" s="54">
        <f>IF(AND(W1440="X",M1440&lt;=$AJ$2),S1440,"")</f>
        <v/>
      </c>
      <c r="AM1440" s="35" t="n"/>
      <c r="AN1440" s="35">
        <f>IF(AND(W1440="X",M1440&gt;$AJ$2),S1440,"")</f>
        <v/>
      </c>
      <c r="AO1440" s="35">
        <f>IF(AND(W1440="",M1440&gt;0,$AJ$2&gt;M1440,L1440=""),1,0)</f>
        <v/>
      </c>
      <c r="AP1440" s="35">
        <f>IF(AND(AK1440="YES",W1440="X"),"X","")</f>
        <v/>
      </c>
      <c r="AQ1440" s="55">
        <f>IF(AP1440="X",100%,0%)</f>
        <v/>
      </c>
      <c r="AR1440" s="25">
        <f>IF(AND(T1440&gt;0,L1440=""),H1440,"")</f>
        <v/>
      </c>
      <c r="AS1440" s="25">
        <f>IF(AND(D1440&gt;0,H1440=0,G1440=""),1,"")</f>
        <v/>
      </c>
      <c r="AT1440" s="25">
        <f>IF(G1440="BLOQ",1,"")</f>
        <v/>
      </c>
      <c r="AU1440" s="25">
        <f>IF(L1440="BLOQ",1,"")</f>
        <v/>
      </c>
      <c r="AV1440" s="25">
        <f>MONTH(F1440)</f>
        <v/>
      </c>
      <c r="AW1440" s="65">
        <f>IF(AP1440="",100%,0%)</f>
        <v/>
      </c>
      <c r="AX1440" s="56" t="n"/>
      <c r="AY1440" s="24">
        <f>IF(M1440=0,"",M1440-$AX$2)</f>
        <v/>
      </c>
      <c r="AZ1440" s="66">
        <f>IF(AND(W1440="",AY1440&gt;0,AY1440&lt;15),1,0)</f>
        <v/>
      </c>
      <c r="BA1440" s="24">
        <f>IF(AND(W1440="",AY1440&gt;0,AY1440&lt;15),T1440,"")</f>
        <v/>
      </c>
      <c r="BB1440" s="87">
        <f>IF(R1440&lt;Q1440,"X","")</f>
        <v/>
      </c>
      <c r="BC1440" s="190" t="inlineStr">
        <is>
          <t>NO</t>
        </is>
      </c>
      <c r="BD1440" s="191" t="inlineStr">
        <is>
          <t>SI</t>
        </is>
      </c>
    </row>
    <row r="1441" ht="15" customHeight="1" s="162">
      <c r="A1441" s="7" t="n">
        <v>1440</v>
      </c>
      <c r="B1441" t="inlineStr">
        <is>
          <t>1229590140400</t>
        </is>
      </c>
      <c r="C1441" t="inlineStr">
        <is>
          <t>CBL EQ CAT6A LSZH RJ45-M/RJ45-M L=0.5M</t>
        </is>
      </c>
      <c r="D1441" t="inlineStr">
        <is>
          <t>1800114173</t>
        </is>
      </c>
      <c r="E1441" t="inlineStr">
        <is>
          <t>170</t>
        </is>
      </c>
      <c r="F1441" s="163" t="n">
        <v>45581</v>
      </c>
      <c r="G1441" t="inlineStr"/>
      <c r="H1441" t="inlineStr">
        <is>
          <t>4200582629</t>
        </is>
      </c>
      <c r="I1441" t="inlineStr">
        <is>
          <t>30</t>
        </is>
      </c>
      <c r="J1441" s="163" t="n">
        <v>45589</v>
      </c>
      <c r="K1441" s="163" t="n">
        <v>45593</v>
      </c>
      <c r="L1441" t="inlineStr"/>
      <c r="M1441" s="163" t="n">
        <v>45606</v>
      </c>
      <c r="N1441" s="164" t="n">
        <v>105</v>
      </c>
      <c r="O1441" s="164" t="n">
        <v>8</v>
      </c>
      <c r="P1441" t="inlineStr">
        <is>
          <t>Liberado</t>
        </is>
      </c>
      <c r="Q1441" s="165" t="n">
        <v>4</v>
      </c>
      <c r="R1441" s="165" t="n">
        <v>4</v>
      </c>
      <c r="S1441" s="165" t="n">
        <v>4</v>
      </c>
      <c r="T1441" s="165" t="n">
        <v>0</v>
      </c>
      <c r="U1441" s="166" t="n">
        <v>4</v>
      </c>
      <c r="V1441" s="166" t="n">
        <v>0</v>
      </c>
      <c r="W1441" t="inlineStr">
        <is>
          <t>X</t>
        </is>
      </c>
      <c r="X1441" t="inlineStr">
        <is>
          <t>0.00</t>
        </is>
      </c>
      <c r="Y1441" t="inlineStr"/>
      <c r="Z1441" t="inlineStr">
        <is>
          <t>GITEC CONTROL, S.L.</t>
        </is>
      </c>
      <c r="AA1441" t="inlineStr">
        <is>
          <t>OMRON CORPORATION</t>
        </is>
      </c>
      <c r="AB1441" t="inlineStr">
        <is>
          <t>XS6W-6LSZH8SS50CM-Y</t>
        </is>
      </c>
      <c r="AC1441" t="inlineStr"/>
      <c r="AD1441" s="164" t="n">
        <v>0</v>
      </c>
      <c r="AE1441" s="185" t="n">
        <v>0</v>
      </c>
      <c r="AG1441" s="167" t="inlineStr">
        <is>
          <t>7218|JA2583_1001</t>
        </is>
      </c>
      <c r="AH1441" s="47">
        <f>IF(M1441=0,"-",M1441-J1441)</f>
        <v/>
      </c>
      <c r="AI1441" s="46">
        <f>IF(AND(S1441=0,M1441&gt;0,L1441=0),IF(AH1441&gt;=120,"VERY HIGH",IF(AH1441&gt;=90,"HIGH",IF(AH1441&gt;=60,"MEDIUM",IF(AH1441&lt;60,"LOW")))),"-")</f>
        <v/>
      </c>
      <c r="AJ1441" s="12" t="n"/>
      <c r="AK1441" s="53">
        <f>IF(AND(W1441="X",M1441&lt;=$AJ$2),"YES","")</f>
        <v/>
      </c>
      <c r="AL1441" s="54">
        <f>IF(AND(W1441="X",M1441&lt;=$AJ$2),S1441,"")</f>
        <v/>
      </c>
      <c r="AM1441" s="35" t="n"/>
      <c r="AN1441" s="35">
        <f>IF(AND(W1441="X",M1441&gt;$AJ$2),S1441,"")</f>
        <v/>
      </c>
      <c r="AO1441" s="35">
        <f>IF(AND(W1441="",M1441&gt;0,$AJ$2&gt;M1441,L1441=""),1,0)</f>
        <v/>
      </c>
      <c r="AP1441" s="35">
        <f>IF(AND(AK1441="YES",W1441="X"),"X","")</f>
        <v/>
      </c>
      <c r="AQ1441" s="55">
        <f>IF(AP1441="X",100%,0%)</f>
        <v/>
      </c>
      <c r="AR1441" s="25">
        <f>IF(AND(T1441&gt;0,L1441=""),H1441,"")</f>
        <v/>
      </c>
      <c r="AS1441" s="25">
        <f>IF(AND(D1441&gt;0,H1441=0,G1441=""),1,"")</f>
        <v/>
      </c>
      <c r="AT1441" s="25">
        <f>IF(G1441="BLOQ",1,"")</f>
        <v/>
      </c>
      <c r="AU1441" s="25">
        <f>IF(L1441="BLOQ",1,"")</f>
        <v/>
      </c>
      <c r="AV1441" s="25">
        <f>MONTH(F1441)</f>
        <v/>
      </c>
      <c r="AW1441" s="65">
        <f>IF(AP1441="",100%,0%)</f>
        <v/>
      </c>
      <c r="AX1441" s="56" t="n"/>
      <c r="AY1441" s="24">
        <f>IF(M1441=0,"",M1441-$AX$2)</f>
        <v/>
      </c>
      <c r="AZ1441" s="66">
        <f>IF(AND(W1441="",AY1441&gt;0,AY1441&lt;15),1,0)</f>
        <v/>
      </c>
      <c r="BA1441" s="24">
        <f>IF(AND(W1441="",AY1441&gt;0,AY1441&lt;15),T1441,"")</f>
        <v/>
      </c>
      <c r="BB1441" s="87">
        <f>IF(R1441&lt;Q1441,"X","")</f>
        <v/>
      </c>
      <c r="BC1441" s="190" t="inlineStr">
        <is>
          <t>NO</t>
        </is>
      </c>
      <c r="BD1441" s="191" t="inlineStr">
        <is>
          <t>SI</t>
        </is>
      </c>
    </row>
    <row r="1442" ht="15" customHeight="1" s="162">
      <c r="A1442" s="7" t="n">
        <v>1441</v>
      </c>
      <c r="B1442" t="inlineStr">
        <is>
          <t>1230524620000</t>
        </is>
      </c>
      <c r="C1442" t="inlineStr">
        <is>
          <t>FUND CBL 1/4" CBL 1/8-1/2" FR POLIES NEG</t>
        </is>
      </c>
      <c r="D1442" t="inlineStr">
        <is>
          <t>1800114173</t>
        </is>
      </c>
      <c r="E1442" t="inlineStr">
        <is>
          <t>180</t>
        </is>
      </c>
      <c r="F1442" s="163" t="n">
        <v>45581</v>
      </c>
      <c r="G1442" t="inlineStr"/>
      <c r="H1442" t="inlineStr">
        <is>
          <t>4200582420</t>
        </is>
      </c>
      <c r="I1442" t="inlineStr">
        <is>
          <t>40</t>
        </is>
      </c>
      <c r="J1442" s="163" t="n">
        <v>45587</v>
      </c>
      <c r="K1442" s="163" t="n">
        <v>45593</v>
      </c>
      <c r="L1442" t="inlineStr"/>
      <c r="M1442" s="163" t="n">
        <v>45656</v>
      </c>
      <c r="N1442" s="164" t="n">
        <v>50</v>
      </c>
      <c r="O1442" s="164" t="n">
        <v>8</v>
      </c>
      <c r="P1442" t="inlineStr">
        <is>
          <t>Liberado</t>
        </is>
      </c>
      <c r="Q1442" s="165" t="n">
        <v>700</v>
      </c>
      <c r="R1442" s="165" t="n">
        <v>700</v>
      </c>
      <c r="S1442" s="165" t="n">
        <v>700</v>
      </c>
      <c r="T1442" s="165" t="n">
        <v>0</v>
      </c>
      <c r="U1442" s="166" t="n">
        <v>0</v>
      </c>
      <c r="V1442" s="166" t="n">
        <v>0</v>
      </c>
      <c r="W1442" t="inlineStr">
        <is>
          <t>X</t>
        </is>
      </c>
      <c r="X1442" t="inlineStr">
        <is>
          <t>0.00</t>
        </is>
      </c>
      <c r="Y1442" t="inlineStr"/>
      <c r="Z1442" t="inlineStr">
        <is>
          <t>SUMINISTROS CONECTORES PROF.,SA.</t>
        </is>
      </c>
      <c r="AA1442" t="inlineStr">
        <is>
          <t>WESTERN FILAMENT, INC</t>
        </is>
      </c>
      <c r="AB1442" t="inlineStr">
        <is>
          <t>FR0250BK</t>
        </is>
      </c>
      <c r="AC1442" t="inlineStr"/>
      <c r="AD1442" s="164" t="n">
        <v>0</v>
      </c>
      <c r="AE1442" s="185" t="n">
        <v>0</v>
      </c>
      <c r="AG1442" s="167" t="inlineStr">
        <is>
          <t>7218|JA2583_1001</t>
        </is>
      </c>
      <c r="AH1442" s="47">
        <f>IF(M1442=0,"-",M1442-J1442)</f>
        <v/>
      </c>
      <c r="AI1442" s="46">
        <f>IF(AND(S1442=0,M1442&gt;0,L1442=0),IF(AH1442&gt;=120,"VERY HIGH",IF(AH1442&gt;=90,"HIGH",IF(AH1442&gt;=60,"MEDIUM",IF(AH1442&lt;60,"LOW")))),"-")</f>
        <v/>
      </c>
      <c r="AJ1442" s="12" t="n"/>
      <c r="AK1442" s="53">
        <f>IF(AND(W1442="X",M1442&lt;=$AJ$2),"YES","")</f>
        <v/>
      </c>
      <c r="AL1442" s="54">
        <f>IF(AND(W1442="X",M1442&lt;=$AJ$2),S1442,"")</f>
        <v/>
      </c>
      <c r="AM1442" s="35" t="n"/>
      <c r="AN1442" s="35">
        <f>IF(AND(W1442="X",M1442&gt;$AJ$2),S1442,"")</f>
        <v/>
      </c>
      <c r="AO1442" s="35">
        <f>IF(AND(W1442="",M1442&gt;0,$AJ$2&gt;M1442,L1442=""),1,0)</f>
        <v/>
      </c>
      <c r="AP1442" s="35">
        <f>IF(AND(AK1442="YES",W1442="X"),"X","")</f>
        <v/>
      </c>
      <c r="AQ1442" s="55">
        <f>IF(AP1442="X",100%,0%)</f>
        <v/>
      </c>
      <c r="AR1442" s="25">
        <f>IF(AND(T1442&gt;0,L1442=""),H1442,"")</f>
        <v/>
      </c>
      <c r="AS1442" s="25">
        <f>IF(AND(D1442&gt;0,H1442=0,G1442=""),1,"")</f>
        <v/>
      </c>
      <c r="AT1442" s="25">
        <f>IF(G1442="BLOQ",1,"")</f>
        <v/>
      </c>
      <c r="AU1442" s="25">
        <f>IF(L1442="BLOQ",1,"")</f>
        <v/>
      </c>
      <c r="AV1442" s="25">
        <f>MONTH(F1442)</f>
        <v/>
      </c>
      <c r="AW1442" s="65">
        <f>IF(AP1442="",100%,0%)</f>
        <v/>
      </c>
      <c r="AX1442" s="56" t="n"/>
      <c r="AY1442" s="24">
        <f>IF(M1442=0,"",M1442-$AX$2)</f>
        <v/>
      </c>
      <c r="AZ1442" s="66">
        <f>IF(AND(W1442="",AY1442&gt;0,AY1442&lt;15),1,0)</f>
        <v/>
      </c>
      <c r="BA1442" s="24">
        <f>IF(AND(W1442="",AY1442&gt;0,AY1442&lt;15),T1442,"")</f>
        <v/>
      </c>
      <c r="BB1442" s="87">
        <f>IF(R1442&lt;Q1442,"X","")</f>
        <v/>
      </c>
      <c r="BC1442" s="190" t="inlineStr">
        <is>
          <t>NO</t>
        </is>
      </c>
      <c r="BD1442" s="191" t="inlineStr">
        <is>
          <t>SI</t>
        </is>
      </c>
    </row>
    <row r="1443" ht="15" customHeight="1" s="162">
      <c r="A1443" s="7" t="n">
        <v>1442</v>
      </c>
      <c r="B1443" t="inlineStr">
        <is>
          <t>1239990800000</t>
        </is>
      </c>
      <c r="C1443" t="inlineStr">
        <is>
          <t>RAIL P/BORNEROS MODULARES 1M NSA937901</t>
        </is>
      </c>
      <c r="D1443" t="inlineStr">
        <is>
          <t>1800114173</t>
        </is>
      </c>
      <c r="E1443" t="inlineStr">
        <is>
          <t>190</t>
        </is>
      </c>
      <c r="F1443" s="163" t="n">
        <v>45581</v>
      </c>
      <c r="G1443" t="inlineStr"/>
      <c r="H1443" t="inlineStr">
        <is>
          <t>4200591058</t>
        </is>
      </c>
      <c r="I1443" t="inlineStr">
        <is>
          <t>10</t>
        </is>
      </c>
      <c r="J1443" s="163" t="n">
        <v>45645</v>
      </c>
      <c r="K1443" s="163" t="n">
        <v>45665</v>
      </c>
      <c r="L1443" t="inlineStr"/>
      <c r="M1443" s="163" t="n">
        <v>45673</v>
      </c>
      <c r="N1443" s="164" t="n">
        <v>40</v>
      </c>
      <c r="O1443" s="164" t="n">
        <v>8</v>
      </c>
      <c r="P1443" t="inlineStr">
        <is>
          <t>Liberado</t>
        </is>
      </c>
      <c r="Q1443" s="165" t="n">
        <v>5</v>
      </c>
      <c r="R1443" s="165" t="n">
        <v>5</v>
      </c>
      <c r="S1443" s="165" t="n">
        <v>5</v>
      </c>
      <c r="T1443" s="165" t="n">
        <v>0</v>
      </c>
      <c r="U1443" s="166" t="n">
        <v>5</v>
      </c>
      <c r="V1443" s="166" t="n">
        <v>0</v>
      </c>
      <c r="W1443" t="inlineStr">
        <is>
          <t>X</t>
        </is>
      </c>
      <c r="X1443" t="inlineStr">
        <is>
          <t>0.00</t>
        </is>
      </c>
      <c r="Y1443" t="inlineStr"/>
      <c r="Z1443" t="inlineStr">
        <is>
          <t>A2C AIR COST CONTROL</t>
        </is>
      </c>
      <c r="AA1443" t="inlineStr">
        <is>
          <t>EADS NORMALISATION S</t>
        </is>
      </c>
      <c r="AB1443" t="inlineStr">
        <is>
          <t>NSA937901RA1000</t>
        </is>
      </c>
      <c r="AC1443" t="inlineStr"/>
      <c r="AD1443" s="164" t="n">
        <v>0</v>
      </c>
      <c r="AE1443" s="185" t="n">
        <v>0</v>
      </c>
      <c r="AG1443" s="167" t="inlineStr">
        <is>
          <t>7218|JA2583_1001</t>
        </is>
      </c>
      <c r="AH1443" s="47">
        <f>IF(M1443=0,"-",M1443-J1443)</f>
        <v/>
      </c>
      <c r="AI1443" s="46">
        <f>IF(AND(S1443=0,M1443&gt;0,L1443=0),IF(AH1443&gt;=120,"VERY HIGH",IF(AH1443&gt;=90,"HIGH",IF(AH1443&gt;=60,"MEDIUM",IF(AH1443&lt;60,"LOW")))),"-")</f>
        <v/>
      </c>
      <c r="AJ1443" s="12" t="n"/>
      <c r="AK1443" s="53">
        <f>IF(AND(W1443="X",M1443&lt;=$AJ$2),"YES","")</f>
        <v/>
      </c>
      <c r="AL1443" s="54">
        <f>IF(AND(W1443="X",M1443&lt;=$AJ$2),S1443,"")</f>
        <v/>
      </c>
      <c r="AM1443" s="35" t="n"/>
      <c r="AN1443" s="35">
        <f>IF(AND(W1443="X",M1443&gt;$AJ$2),S1443,"")</f>
        <v/>
      </c>
      <c r="AO1443" s="35">
        <f>IF(AND(W1443="",M1443&gt;0,$AJ$2&gt;M1443,L1443=""),1,0)</f>
        <v/>
      </c>
      <c r="AP1443" s="35">
        <f>IF(AND(AK1443="YES",W1443="X"),"X","")</f>
        <v/>
      </c>
      <c r="AQ1443" s="55">
        <f>IF(AP1443="X",100%,0%)</f>
        <v/>
      </c>
      <c r="AR1443" s="25">
        <f>IF(AND(T1443&gt;0,L1443=""),H1443,"")</f>
        <v/>
      </c>
      <c r="AS1443" s="25">
        <f>IF(AND(D1443&gt;0,H1443=0,G1443=""),1,"")</f>
        <v/>
      </c>
      <c r="AT1443" s="25">
        <f>IF(G1443="BLOQ",1,"")</f>
        <v/>
      </c>
      <c r="AU1443" s="25">
        <f>IF(L1443="BLOQ",1,"")</f>
        <v/>
      </c>
      <c r="AV1443" s="25">
        <f>MONTH(F1443)</f>
        <v/>
      </c>
      <c r="AW1443" s="65">
        <f>IF(AP1443="",100%,0%)</f>
        <v/>
      </c>
      <c r="AX1443" s="56" t="n"/>
      <c r="AY1443" s="24">
        <f>IF(M1443=0,"",M1443-$AX$2)</f>
        <v/>
      </c>
      <c r="AZ1443" s="66">
        <f>IF(AND(W1443="",AY1443&gt;0,AY1443&lt;15),1,0)</f>
        <v/>
      </c>
      <c r="BA1443" s="24">
        <f>IF(AND(W1443="",AY1443&gt;0,AY1443&lt;15),T1443,"")</f>
        <v/>
      </c>
      <c r="BB1443" s="87">
        <f>IF(R1443&lt;Q1443,"X","")</f>
        <v/>
      </c>
      <c r="BC1443" s="190" t="inlineStr">
        <is>
          <t>NO</t>
        </is>
      </c>
      <c r="BD1443" s="191" t="inlineStr">
        <is>
          <t>SI</t>
        </is>
      </c>
    </row>
    <row r="1444" ht="15" customHeight="1" s="162">
      <c r="A1444" s="7" t="n">
        <v>1443</v>
      </c>
      <c r="B1444" t="inlineStr">
        <is>
          <t>0970785470800</t>
        </is>
      </c>
      <c r="C1444" t="inlineStr">
        <is>
          <t>CARD SUPPORT 130VU</t>
        </is>
      </c>
      <c r="D1444" t="inlineStr">
        <is>
          <t>1800114174</t>
        </is>
      </c>
      <c r="E1444" t="inlineStr">
        <is>
          <t>10</t>
        </is>
      </c>
      <c r="F1444" s="163" t="n">
        <v>45581</v>
      </c>
      <c r="G1444" t="inlineStr"/>
      <c r="H1444" t="inlineStr">
        <is>
          <t>4200582805</t>
        </is>
      </c>
      <c r="I1444" t="inlineStr">
        <is>
          <t>10</t>
        </is>
      </c>
      <c r="J1444" s="163" t="n">
        <v>45589</v>
      </c>
      <c r="K1444" s="163" t="n">
        <v>45593</v>
      </c>
      <c r="L1444" t="inlineStr"/>
      <c r="M1444" s="163" t="n">
        <v>45681</v>
      </c>
      <c r="N1444" s="164" t="n">
        <v>90</v>
      </c>
      <c r="O1444" s="164" t="n">
        <v>8</v>
      </c>
      <c r="P1444" t="inlineStr">
        <is>
          <t>Liberado</t>
        </is>
      </c>
      <c r="Q1444" s="165" t="n">
        <v>1</v>
      </c>
      <c r="R1444" s="165" t="n">
        <v>1</v>
      </c>
      <c r="S1444" s="165" t="n">
        <v>1</v>
      </c>
      <c r="T1444" s="165" t="n">
        <v>0</v>
      </c>
      <c r="U1444" s="166" t="n">
        <v>1</v>
      </c>
      <c r="V1444" s="166" t="n">
        <v>0</v>
      </c>
      <c r="W1444" t="inlineStr">
        <is>
          <t>X</t>
        </is>
      </c>
      <c r="X1444" t="inlineStr">
        <is>
          <t>0.00</t>
        </is>
      </c>
      <c r="Y1444" t="inlineStr"/>
      <c r="Z1444" t="inlineStr">
        <is>
          <t>INDUSTRIAS BALMES, S.A.</t>
        </is>
      </c>
      <c r="AA1444" t="inlineStr">
        <is>
          <t>INDRA SISTEMAS S.A.</t>
        </is>
      </c>
      <c r="AB1444" t="inlineStr">
        <is>
          <t>0970785470800</t>
        </is>
      </c>
      <c r="AC1444" t="inlineStr"/>
      <c r="AD1444" s="164" t="n">
        <v>0</v>
      </c>
      <c r="AE1444" s="185" t="n">
        <v>0</v>
      </c>
      <c r="AG1444" s="167" t="inlineStr">
        <is>
          <t>7218|JA2583_1001</t>
        </is>
      </c>
      <c r="AH1444" s="47">
        <f>IF(M1444=0,"-",M1444-J1444)</f>
        <v/>
      </c>
      <c r="AI1444" s="46">
        <f>IF(AND(S1444=0,M1444&gt;0,L1444=0),IF(AH1444&gt;=120,"VERY HIGH",IF(AH1444&gt;=90,"HIGH",IF(AH1444&gt;=60,"MEDIUM",IF(AH1444&lt;60,"LOW")))),"-")</f>
        <v/>
      </c>
      <c r="AJ1444" s="12" t="n"/>
      <c r="AK1444" s="53">
        <f>IF(AND(W1444="X",M1444&lt;=$AJ$2),"YES","")</f>
        <v/>
      </c>
      <c r="AL1444" s="54">
        <f>IF(AND(W1444="X",M1444&lt;=$AJ$2),S1444,"")</f>
        <v/>
      </c>
      <c r="AM1444" s="35" t="n"/>
      <c r="AN1444" s="35">
        <f>IF(AND(W1444="X",M1444&gt;$AJ$2),S1444,"")</f>
        <v/>
      </c>
      <c r="AO1444" s="35">
        <f>IF(AND(W1444="",M1444&gt;0,$AJ$2&gt;M1444,L1444=""),1,0)</f>
        <v/>
      </c>
      <c r="AP1444" s="35">
        <f>IF(AND(AK1444="YES",W1444="X"),"X","")</f>
        <v/>
      </c>
      <c r="AQ1444" s="55">
        <f>IF(AP1444="X",100%,0%)</f>
        <v/>
      </c>
      <c r="AR1444" s="25">
        <f>IF(AND(T1444&gt;0,L1444=""),H1444,"")</f>
        <v/>
      </c>
      <c r="AS1444" s="25">
        <f>IF(AND(D1444&gt;0,H1444=0,G1444=""),1,"")</f>
        <v/>
      </c>
      <c r="AT1444" s="25">
        <f>IF(G1444="BLOQ",1,"")</f>
        <v/>
      </c>
      <c r="AU1444" s="25">
        <f>IF(L1444="BLOQ",1,"")</f>
        <v/>
      </c>
      <c r="AV1444" s="25">
        <f>MONTH(F1444)</f>
        <v/>
      </c>
      <c r="AW1444" s="65">
        <f>IF(AP1444="",100%,0%)</f>
        <v/>
      </c>
      <c r="AX1444" s="56" t="n"/>
      <c r="AY1444" s="24">
        <f>IF(M1444=0,"",M1444-$AX$2)</f>
        <v/>
      </c>
      <c r="AZ1444" s="66">
        <f>IF(AND(W1444="",AY1444&gt;0,AY1444&lt;15),1,0)</f>
        <v/>
      </c>
      <c r="BA1444" s="24">
        <f>IF(AND(W1444="",AY1444&gt;0,AY1444&lt;15),T1444,"")</f>
        <v/>
      </c>
      <c r="BB1444" s="87">
        <f>IF(R1444&lt;Q1444,"X","")</f>
        <v/>
      </c>
      <c r="BC1444" s="191" t="inlineStr">
        <is>
          <t>SI</t>
        </is>
      </c>
      <c r="BD1444" s="191" t="inlineStr">
        <is>
          <t>SI</t>
        </is>
      </c>
    </row>
    <row r="1445" ht="15" customHeight="1" s="162">
      <c r="A1445" s="7" t="n">
        <v>1444</v>
      </c>
      <c r="B1445" t="inlineStr">
        <is>
          <t>1128912180000</t>
        </is>
      </c>
      <c r="C1445" t="inlineStr">
        <is>
          <t>CABEZA SELECTOR 2POS 90° D22MM NEGRA XB5</t>
        </is>
      </c>
      <c r="D1445" t="inlineStr">
        <is>
          <t>1800114174</t>
        </is>
      </c>
      <c r="E1445" t="inlineStr">
        <is>
          <t>20</t>
        </is>
      </c>
      <c r="F1445" s="163" t="n">
        <v>45581</v>
      </c>
      <c r="G1445" t="inlineStr"/>
      <c r="H1445" t="inlineStr">
        <is>
          <t>4200582531</t>
        </is>
      </c>
      <c r="I1445" t="inlineStr">
        <is>
          <t>90</t>
        </is>
      </c>
      <c r="J1445" s="163" t="n">
        <v>45588</v>
      </c>
      <c r="K1445" s="163" t="n">
        <v>45589</v>
      </c>
      <c r="L1445" t="inlineStr"/>
      <c r="M1445" s="163" t="n">
        <v>45606</v>
      </c>
      <c r="N1445" s="164" t="n">
        <v>30</v>
      </c>
      <c r="O1445" s="164" t="n">
        <v>8</v>
      </c>
      <c r="P1445" t="inlineStr">
        <is>
          <t>Liberado</t>
        </is>
      </c>
      <c r="Q1445" s="165" t="n">
        <v>1</v>
      </c>
      <c r="R1445" s="165" t="n">
        <v>1</v>
      </c>
      <c r="S1445" s="165" t="n">
        <v>1</v>
      </c>
      <c r="T1445" s="165" t="n">
        <v>0</v>
      </c>
      <c r="U1445" s="166" t="n">
        <v>1</v>
      </c>
      <c r="V1445" s="166" t="n">
        <v>0</v>
      </c>
      <c r="W1445" t="inlineStr">
        <is>
          <t>X</t>
        </is>
      </c>
      <c r="X1445" t="inlineStr">
        <is>
          <t>0.00</t>
        </is>
      </c>
      <c r="Y1445" t="inlineStr"/>
      <c r="Z1445" t="inlineStr">
        <is>
          <t>LUJISA, S.A.</t>
        </is>
      </c>
      <c r="AA1445" t="inlineStr">
        <is>
          <t>SCHNEIDER ELECTRIC</t>
        </is>
      </c>
      <c r="AB1445" t="inlineStr">
        <is>
          <t>ZB5AD2</t>
        </is>
      </c>
      <c r="AC1445" t="inlineStr"/>
      <c r="AD1445" s="164" t="n">
        <v>0</v>
      </c>
      <c r="AE1445" s="185" t="n">
        <v>0</v>
      </c>
      <c r="AG1445" s="167" t="inlineStr">
        <is>
          <t>7218|JA2583_1001</t>
        </is>
      </c>
      <c r="AH1445" s="47">
        <f>IF(M1445=0,"-",M1445-J1445)</f>
        <v/>
      </c>
      <c r="AI1445" s="46">
        <f>IF(AND(S1445=0,M1445&gt;0,L1445=0),IF(AH1445&gt;=120,"VERY HIGH",IF(AH1445&gt;=90,"HIGH",IF(AH1445&gt;=60,"MEDIUM",IF(AH1445&lt;60,"LOW")))),"-")</f>
        <v/>
      </c>
      <c r="AJ1445" s="12" t="n"/>
      <c r="AK1445" s="53">
        <f>IF(AND(W1445="X",M1445&lt;=$AJ$2),"YES","")</f>
        <v/>
      </c>
      <c r="AL1445" s="54">
        <f>IF(AND(W1445="X",M1445&lt;=$AJ$2),S1445,"")</f>
        <v/>
      </c>
      <c r="AM1445" s="35" t="n"/>
      <c r="AN1445" s="35">
        <f>IF(AND(W1445="X",M1445&gt;$AJ$2),S1445,"")</f>
        <v/>
      </c>
      <c r="AO1445" s="35">
        <f>IF(AND(W1445="",M1445&gt;0,$AJ$2&gt;M1445,L1445=""),1,0)</f>
        <v/>
      </c>
      <c r="AP1445" s="35">
        <f>IF(AND(AK1445="YES",W1445="X"),"X","")</f>
        <v/>
      </c>
      <c r="AQ1445" s="55">
        <f>IF(AP1445="X",100%,0%)</f>
        <v/>
      </c>
      <c r="AR1445" s="25">
        <f>IF(AND(T1445&gt;0,L1445=""),H1445,"")</f>
        <v/>
      </c>
      <c r="AS1445" s="25">
        <f>IF(AND(D1445&gt;0,H1445=0,G1445=""),1,"")</f>
        <v/>
      </c>
      <c r="AT1445" s="25">
        <f>IF(G1445="BLOQ",1,"")</f>
        <v/>
      </c>
      <c r="AU1445" s="25">
        <f>IF(L1445="BLOQ",1,"")</f>
        <v/>
      </c>
      <c r="AV1445" s="25">
        <f>MONTH(F1445)</f>
        <v/>
      </c>
      <c r="AW1445" s="65">
        <f>IF(AP1445="",100%,0%)</f>
        <v/>
      </c>
      <c r="AX1445" s="56" t="n"/>
      <c r="AY1445" s="24">
        <f>IF(M1445=0,"",M1445-$AX$2)</f>
        <v/>
      </c>
      <c r="AZ1445" s="66">
        <f>IF(AND(W1445="",AY1445&gt;0,AY1445&lt;15),1,0)</f>
        <v/>
      </c>
      <c r="BA1445" s="24">
        <f>IF(AND(W1445="",AY1445&gt;0,AY1445&lt;15),T1445,"")</f>
        <v/>
      </c>
      <c r="BB1445" s="87">
        <f>IF(R1445&lt;Q1445,"X","")</f>
        <v/>
      </c>
      <c r="BC1445" s="190" t="inlineStr">
        <is>
          <t>NO</t>
        </is>
      </c>
      <c r="BD1445" s="191" t="inlineStr">
        <is>
          <t>SI</t>
        </is>
      </c>
    </row>
    <row r="1446" ht="15" customHeight="1" s="162">
      <c r="A1446" s="7" t="n">
        <v>1445</v>
      </c>
      <c r="B1446" t="inlineStr">
        <is>
          <t>1212090240000</t>
        </is>
      </c>
      <c r="C1446" t="inlineStr">
        <is>
          <t>PIN CNC SUB-D H 20-24AWG (ROLLO 400UD</t>
        </is>
      </c>
      <c r="D1446" t="inlineStr">
        <is>
          <t>1800114174</t>
        </is>
      </c>
      <c r="E1446" t="inlineStr">
        <is>
          <t>30</t>
        </is>
      </c>
      <c r="F1446" s="163" t="n">
        <v>45581</v>
      </c>
      <c r="G1446" t="inlineStr"/>
      <c r="H1446" t="inlineStr">
        <is>
          <t>4200583117</t>
        </is>
      </c>
      <c r="I1446" t="inlineStr">
        <is>
          <t>130</t>
        </is>
      </c>
      <c r="J1446" s="163" t="n">
        <v>45593</v>
      </c>
      <c r="K1446" s="163" t="n">
        <v>45611</v>
      </c>
      <c r="L1446" t="inlineStr"/>
      <c r="M1446" s="163" t="n">
        <v>45606</v>
      </c>
      <c r="N1446" s="164" t="n">
        <v>30</v>
      </c>
      <c r="O1446" s="164" t="n">
        <v>8</v>
      </c>
      <c r="P1446" t="inlineStr">
        <is>
          <t>Liberado</t>
        </is>
      </c>
      <c r="Q1446" s="165" t="n">
        <v>26</v>
      </c>
      <c r="R1446" s="165" t="n">
        <v>26</v>
      </c>
      <c r="S1446" s="165" t="n">
        <v>26</v>
      </c>
      <c r="T1446" s="165" t="n">
        <v>0</v>
      </c>
      <c r="U1446" s="166" t="n">
        <v>26</v>
      </c>
      <c r="V1446" s="166" t="n">
        <v>0</v>
      </c>
      <c r="W1446" t="inlineStr">
        <is>
          <t>X</t>
        </is>
      </c>
      <c r="X1446" t="inlineStr">
        <is>
          <t>0.00</t>
        </is>
      </c>
      <c r="Y1446" t="inlineStr"/>
      <c r="Z1446" t="inlineStr">
        <is>
          <t>TTI INC.</t>
        </is>
      </c>
      <c r="AA1446" t="inlineStr">
        <is>
          <t>AMPHENOL CORP</t>
        </is>
      </c>
      <c r="AB1446" t="inlineStr">
        <is>
          <t>17RRD1F11400</t>
        </is>
      </c>
      <c r="AC1446" t="inlineStr"/>
      <c r="AD1446" s="164" t="n">
        <v>0</v>
      </c>
      <c r="AE1446" s="185" t="n">
        <v>0</v>
      </c>
      <c r="AG1446" s="167" t="inlineStr">
        <is>
          <t>7218|JA2583_1001</t>
        </is>
      </c>
      <c r="AH1446" s="47">
        <f>IF(M1446=0,"-",M1446-J1446)</f>
        <v/>
      </c>
      <c r="AI1446" s="46">
        <f>IF(AND(S1446=0,M1446&gt;0,L1446=0),IF(AH1446&gt;=120,"VERY HIGH",IF(AH1446&gt;=90,"HIGH",IF(AH1446&gt;=60,"MEDIUM",IF(AH1446&lt;60,"LOW")))),"-")</f>
        <v/>
      </c>
      <c r="AJ1446" s="12" t="n"/>
      <c r="AK1446" s="53">
        <f>IF(AND(W1446="X",M1446&lt;=$AJ$2),"YES","")</f>
        <v/>
      </c>
      <c r="AL1446" s="54">
        <f>IF(AND(W1446="X",M1446&lt;=$AJ$2),S1446,"")</f>
        <v/>
      </c>
      <c r="AM1446" s="35" t="n"/>
      <c r="AN1446" s="35">
        <f>IF(AND(W1446="X",M1446&gt;$AJ$2),S1446,"")</f>
        <v/>
      </c>
      <c r="AO1446" s="35">
        <f>IF(AND(W1446="",M1446&gt;0,$AJ$2&gt;M1446,L1446=""),1,0)</f>
        <v/>
      </c>
      <c r="AP1446" s="35">
        <f>IF(AND(AK1446="YES",W1446="X"),"X","")</f>
        <v/>
      </c>
      <c r="AQ1446" s="55">
        <f>IF(AP1446="X",100%,0%)</f>
        <v/>
      </c>
      <c r="AR1446" s="25">
        <f>IF(AND(T1446&gt;0,L1446=""),H1446,"")</f>
        <v/>
      </c>
      <c r="AS1446" s="25">
        <f>IF(AND(D1446&gt;0,H1446=0,G1446=""),1,"")</f>
        <v/>
      </c>
      <c r="AT1446" s="25">
        <f>IF(G1446="BLOQ",1,"")</f>
        <v/>
      </c>
      <c r="AU1446" s="25">
        <f>IF(L1446="BLOQ",1,"")</f>
        <v/>
      </c>
      <c r="AV1446" s="25">
        <f>MONTH(F1446)</f>
        <v/>
      </c>
      <c r="AW1446" s="65">
        <f>IF(AP1446="",100%,0%)</f>
        <v/>
      </c>
      <c r="AX1446" s="56" t="n"/>
      <c r="AY1446" s="24">
        <f>IF(M1446=0,"",M1446-$AX$2)</f>
        <v/>
      </c>
      <c r="AZ1446" s="66">
        <f>IF(AND(W1446="",AY1446&gt;0,AY1446&lt;15),1,0)</f>
        <v/>
      </c>
      <c r="BA1446" s="24">
        <f>IF(AND(W1446="",AY1446&gt;0,AY1446&lt;15),T1446,"")</f>
        <v/>
      </c>
      <c r="BB1446" s="87">
        <f>IF(R1446&lt;Q1446,"X","")</f>
        <v/>
      </c>
      <c r="BC1446" s="190" t="inlineStr">
        <is>
          <t>NO</t>
        </is>
      </c>
      <c r="BD1446" s="191" t="inlineStr">
        <is>
          <t>SI</t>
        </is>
      </c>
    </row>
    <row r="1447" ht="15" customHeight="1" s="162">
      <c r="A1447" s="7" t="n">
        <v>1446</v>
      </c>
      <c r="B1447" t="inlineStr">
        <is>
          <t>1214001933721</t>
        </is>
      </c>
      <c r="C1447" t="inlineStr">
        <is>
          <t>CNC CIR AER 14-19 (19H) MS3476L14-19S</t>
        </is>
      </c>
      <c r="D1447" t="inlineStr">
        <is>
          <t>1800114174</t>
        </is>
      </c>
      <c r="E1447" t="inlineStr">
        <is>
          <t>40</t>
        </is>
      </c>
      <c r="F1447" s="163" t="n">
        <v>45581</v>
      </c>
      <c r="G1447" t="inlineStr"/>
      <c r="H1447" t="inlineStr">
        <is>
          <t>4200583866</t>
        </is>
      </c>
      <c r="I1447" t="inlineStr">
        <is>
          <t>50</t>
        </is>
      </c>
      <c r="J1447" s="163" t="n">
        <v>45596</v>
      </c>
      <c r="K1447" s="163" t="n">
        <v>45600</v>
      </c>
      <c r="L1447" t="inlineStr"/>
      <c r="M1447" s="163" t="n">
        <v>45631</v>
      </c>
      <c r="N1447" s="164" t="n">
        <v>35</v>
      </c>
      <c r="O1447" s="164" t="n">
        <v>8</v>
      </c>
      <c r="P1447" t="inlineStr">
        <is>
          <t>Liberado</t>
        </is>
      </c>
      <c r="Q1447" s="165" t="n">
        <v>14</v>
      </c>
      <c r="R1447" s="165" t="n">
        <v>14</v>
      </c>
      <c r="S1447" s="165" t="n">
        <v>14</v>
      </c>
      <c r="T1447" s="165" t="n">
        <v>0</v>
      </c>
      <c r="U1447" s="166" t="n">
        <v>14</v>
      </c>
      <c r="V1447" s="166" t="n">
        <v>0</v>
      </c>
      <c r="W1447" t="inlineStr">
        <is>
          <t>X</t>
        </is>
      </c>
      <c r="X1447" t="inlineStr">
        <is>
          <t>0.00</t>
        </is>
      </c>
      <c r="Y1447" t="inlineStr"/>
      <c r="Z1447" t="inlineStr">
        <is>
          <t>TTI, INC.</t>
        </is>
      </c>
      <c r="AA1447" t="inlineStr">
        <is>
          <t>MILITARY STANDARDS</t>
        </is>
      </c>
      <c r="AB1447" t="inlineStr">
        <is>
          <t>MS3476L14-19S</t>
        </is>
      </c>
      <c r="AC1447" t="inlineStr"/>
      <c r="AD1447" s="164" t="n">
        <v>0</v>
      </c>
      <c r="AE1447" s="185" t="n">
        <v>0</v>
      </c>
      <c r="AG1447" s="167" t="inlineStr">
        <is>
          <t>7218|JA2583_1001</t>
        </is>
      </c>
      <c r="AH1447" s="47">
        <f>IF(M1447=0,"-",M1447-J1447)</f>
        <v/>
      </c>
      <c r="AI1447" s="46">
        <f>IF(AND(S1447=0,M1447&gt;0,L1447=0),IF(AH1447&gt;=120,"VERY HIGH",IF(AH1447&gt;=90,"HIGH",IF(AH1447&gt;=60,"MEDIUM",IF(AH1447&lt;60,"LOW")))),"-")</f>
        <v/>
      </c>
      <c r="AJ1447" s="12" t="n"/>
      <c r="AK1447" s="53">
        <f>IF(AND(W1447="X",M1447&lt;=$AJ$2),"YES","")</f>
        <v/>
      </c>
      <c r="AL1447" s="54">
        <f>IF(AND(W1447="X",M1447&lt;=$AJ$2),S1447,"")</f>
        <v/>
      </c>
      <c r="AM1447" s="35" t="n"/>
      <c r="AN1447" s="35">
        <f>IF(AND(W1447="X",M1447&gt;$AJ$2),S1447,"")</f>
        <v/>
      </c>
      <c r="AO1447" s="35">
        <f>IF(AND(W1447="",M1447&gt;0,$AJ$2&gt;M1447,L1447=""),1,0)</f>
        <v/>
      </c>
      <c r="AP1447" s="35">
        <f>IF(AND(AK1447="YES",W1447="X"),"X","")</f>
        <v/>
      </c>
      <c r="AQ1447" s="55">
        <f>IF(AP1447="X",100%,0%)</f>
        <v/>
      </c>
      <c r="AR1447" s="25">
        <f>IF(AND(T1447&gt;0,L1447=""),H1447,"")</f>
        <v/>
      </c>
      <c r="AS1447" s="25">
        <f>IF(AND(D1447&gt;0,H1447=0,G1447=""),1,"")</f>
        <v/>
      </c>
      <c r="AT1447" s="25">
        <f>IF(G1447="BLOQ",1,"")</f>
        <v/>
      </c>
      <c r="AU1447" s="25">
        <f>IF(L1447="BLOQ",1,"")</f>
        <v/>
      </c>
      <c r="AV1447" s="25">
        <f>MONTH(F1447)</f>
        <v/>
      </c>
      <c r="AW1447" s="65">
        <f>IF(AP1447="",100%,0%)</f>
        <v/>
      </c>
      <c r="AX1447" s="56" t="n"/>
      <c r="AY1447" s="24">
        <f>IF(M1447=0,"",M1447-$AX$2)</f>
        <v/>
      </c>
      <c r="AZ1447" s="66">
        <f>IF(AND(W1447="",AY1447&gt;0,AY1447&lt;15),1,0)</f>
        <v/>
      </c>
      <c r="BA1447" s="24">
        <f>IF(AND(W1447="",AY1447&gt;0,AY1447&lt;15),T1447,"")</f>
        <v/>
      </c>
      <c r="BB1447" s="87">
        <f>IF(R1447&lt;Q1447,"X","")</f>
        <v/>
      </c>
      <c r="BC1447" s="190" t="inlineStr">
        <is>
          <t>NO</t>
        </is>
      </c>
      <c r="BD1447" s="191" t="inlineStr">
        <is>
          <t>SI</t>
        </is>
      </c>
    </row>
    <row r="1448" ht="15" customHeight="1" s="162">
      <c r="A1448" s="7" t="n">
        <v>1447</v>
      </c>
      <c r="B1448" t="inlineStr">
        <is>
          <t>1214001933722</t>
        </is>
      </c>
      <c r="C1448" t="inlineStr">
        <is>
          <t>CNC CIR  14-19  (19H)  MS3476L14-19SW</t>
        </is>
      </c>
      <c r="D1448" t="inlineStr">
        <is>
          <t>1800114174</t>
        </is>
      </c>
      <c r="E1448" t="inlineStr">
        <is>
          <t>50</t>
        </is>
      </c>
      <c r="F1448" s="163" t="n">
        <v>45581</v>
      </c>
      <c r="G1448" t="inlineStr"/>
      <c r="H1448" t="inlineStr">
        <is>
          <t>4200583858</t>
        </is>
      </c>
      <c r="I1448" t="inlineStr">
        <is>
          <t>180</t>
        </is>
      </c>
      <c r="J1448" s="163" t="n">
        <v>45596</v>
      </c>
      <c r="K1448" s="163" t="n">
        <v>45600</v>
      </c>
      <c r="L1448" t="inlineStr"/>
      <c r="M1448" s="163" t="n">
        <v>45838</v>
      </c>
      <c r="N1448" s="164" t="n">
        <v>56</v>
      </c>
      <c r="O1448" s="164" t="n">
        <v>8</v>
      </c>
      <c r="P1448" t="inlineStr">
        <is>
          <t>Liberado</t>
        </is>
      </c>
      <c r="Q1448" s="165" t="n">
        <v>4</v>
      </c>
      <c r="R1448" s="165" t="n">
        <v>4</v>
      </c>
      <c r="S1448" s="165" t="n">
        <v>4</v>
      </c>
      <c r="T1448" s="165" t="n">
        <v>0</v>
      </c>
      <c r="U1448" s="166" t="n">
        <v>4</v>
      </c>
      <c r="V1448" s="166" t="n">
        <v>0</v>
      </c>
      <c r="W1448" t="inlineStr">
        <is>
          <t>X</t>
        </is>
      </c>
      <c r="X1448" t="inlineStr">
        <is>
          <t>0.00</t>
        </is>
      </c>
      <c r="Y1448" t="inlineStr"/>
      <c r="Z1448" t="inlineStr">
        <is>
          <t>SUMINISTROS CONECTORES PROF.,SA.</t>
        </is>
      </c>
      <c r="AA1448" t="inlineStr">
        <is>
          <t>MILITARY STANDARDS</t>
        </is>
      </c>
      <c r="AB1448" t="inlineStr">
        <is>
          <t>MS3476L14-19SW</t>
        </is>
      </c>
      <c r="AC1448" t="inlineStr"/>
      <c r="AD1448" s="164" t="n">
        <v>1</v>
      </c>
      <c r="AE1448" s="185" t="n">
        <v>0</v>
      </c>
      <c r="AG1448" s="167" t="inlineStr">
        <is>
          <t>7218|JA2583_1001</t>
        </is>
      </c>
      <c r="AH1448" s="47">
        <f>IF(M1448=0,"-",M1448-J1448)</f>
        <v/>
      </c>
      <c r="AI1448" s="46">
        <f>IF(AND(S1448=0,M1448&gt;0,L1448=0),IF(AH1448&gt;=120,"VERY HIGH",IF(AH1448&gt;=90,"HIGH",IF(AH1448&gt;=60,"MEDIUM",IF(AH1448&lt;60,"LOW")))),"-")</f>
        <v/>
      </c>
      <c r="AJ1448" s="12" t="n"/>
      <c r="AK1448" s="53">
        <f>IF(AND(W1448="X",M1448&lt;=$AJ$2),"YES","")</f>
        <v/>
      </c>
      <c r="AL1448" s="54">
        <f>IF(AND(W1448="X",M1448&lt;=$AJ$2),S1448,"")</f>
        <v/>
      </c>
      <c r="AM1448" s="35" t="n"/>
      <c r="AN1448" s="35">
        <f>IF(AND(W1448="X",M1448&gt;$AJ$2),S1448,"")</f>
        <v/>
      </c>
      <c r="AO1448" s="35">
        <f>IF(AND(W1448="",M1448&gt;0,$AJ$2&gt;M1448,L1448=""),1,0)</f>
        <v/>
      </c>
      <c r="AP1448" s="35">
        <f>IF(AND(AK1448="YES",W1448="X"),"X","")</f>
        <v/>
      </c>
      <c r="AQ1448" s="55">
        <f>IF(AP1448="X",100%,0%)</f>
        <v/>
      </c>
      <c r="AR1448" s="25">
        <f>IF(AND(T1448&gt;0,L1448=""),H1448,"")</f>
        <v/>
      </c>
      <c r="AS1448" s="25">
        <f>IF(AND(D1448&gt;0,H1448=0,G1448=""),1,"")</f>
        <v/>
      </c>
      <c r="AT1448" s="25">
        <f>IF(G1448="BLOQ",1,"")</f>
        <v/>
      </c>
      <c r="AU1448" s="25">
        <f>IF(L1448="BLOQ",1,"")</f>
        <v/>
      </c>
      <c r="AV1448" s="25">
        <f>MONTH(F1448)</f>
        <v/>
      </c>
      <c r="AW1448" s="65">
        <f>IF(AP1448="",100%,0%)</f>
        <v/>
      </c>
      <c r="AX1448" s="56" t="n"/>
      <c r="AY1448" s="24">
        <f>IF(M1448=0,"",M1448-$AX$2)</f>
        <v/>
      </c>
      <c r="AZ1448" s="66">
        <f>IF(AND(W1448="",AY1448&gt;0,AY1448&lt;15),1,0)</f>
        <v/>
      </c>
      <c r="BA1448" s="24">
        <f>IF(AND(W1448="",AY1448&gt;0,AY1448&lt;15),T1448,"")</f>
        <v/>
      </c>
      <c r="BB1448" s="87">
        <f>IF(R1448&lt;Q1448,"X","")</f>
        <v/>
      </c>
      <c r="BC1448" s="190" t="inlineStr">
        <is>
          <t>NO</t>
        </is>
      </c>
      <c r="BD1448" s="191" t="inlineStr">
        <is>
          <t>SI</t>
        </is>
      </c>
    </row>
    <row r="1449" ht="15" customHeight="1" s="162">
      <c r="A1449" s="7" t="n">
        <v>1448</v>
      </c>
      <c r="B1449" t="inlineStr">
        <is>
          <t>1214002633727</t>
        </is>
      </c>
      <c r="C1449" t="inlineStr">
        <is>
          <t>CNC CIR 16-26  26P/H PLUG MS3476L16-26S</t>
        </is>
      </c>
      <c r="D1449" t="inlineStr">
        <is>
          <t>1800114174</t>
        </is>
      </c>
      <c r="E1449" t="inlineStr">
        <is>
          <t>60</t>
        </is>
      </c>
      <c r="F1449" s="163" t="n">
        <v>45581</v>
      </c>
      <c r="G1449" t="inlineStr"/>
      <c r="H1449" t="inlineStr">
        <is>
          <t>4200583866</t>
        </is>
      </c>
      <c r="I1449" t="inlineStr">
        <is>
          <t>60</t>
        </is>
      </c>
      <c r="J1449" s="163" t="n">
        <v>45596</v>
      </c>
      <c r="K1449" s="163" t="n">
        <v>45600</v>
      </c>
      <c r="L1449" t="inlineStr"/>
      <c r="M1449" s="163" t="n">
        <v>45624</v>
      </c>
      <c r="N1449" s="164" t="n">
        <v>40</v>
      </c>
      <c r="O1449" s="164" t="n">
        <v>8</v>
      </c>
      <c r="P1449" t="inlineStr">
        <is>
          <t>Liberado</t>
        </is>
      </c>
      <c r="Q1449" s="165" t="n">
        <v>5</v>
      </c>
      <c r="R1449" s="165" t="n">
        <v>5</v>
      </c>
      <c r="S1449" s="165" t="n">
        <v>5</v>
      </c>
      <c r="T1449" s="165" t="n">
        <v>0</v>
      </c>
      <c r="U1449" s="166" t="n">
        <v>5</v>
      </c>
      <c r="V1449" s="166" t="n">
        <v>0</v>
      </c>
      <c r="W1449" t="inlineStr">
        <is>
          <t>X</t>
        </is>
      </c>
      <c r="X1449" t="inlineStr">
        <is>
          <t>0.00</t>
        </is>
      </c>
      <c r="Y1449" t="inlineStr"/>
      <c r="Z1449" t="inlineStr">
        <is>
          <t>TTI, INC.</t>
        </is>
      </c>
      <c r="AA1449" t="inlineStr">
        <is>
          <t>MILITARY STANDARDS</t>
        </is>
      </c>
      <c r="AB1449" t="inlineStr">
        <is>
          <t>MS3476L16-26S</t>
        </is>
      </c>
      <c r="AC1449" t="inlineStr"/>
      <c r="AD1449" s="164" t="n">
        <v>0</v>
      </c>
      <c r="AE1449" s="185" t="n">
        <v>0</v>
      </c>
      <c r="AG1449" s="167" t="inlineStr">
        <is>
          <t>7218|JA2583_1001</t>
        </is>
      </c>
      <c r="AH1449" s="47">
        <f>IF(M1449=0,"-",M1449-J1449)</f>
        <v/>
      </c>
      <c r="AI1449" s="46">
        <f>IF(AND(S1449=0,M1449&gt;0,L1449=0),IF(AH1449&gt;=120,"VERY HIGH",IF(AH1449&gt;=90,"HIGH",IF(AH1449&gt;=60,"MEDIUM",IF(AH1449&lt;60,"LOW")))),"-")</f>
        <v/>
      </c>
      <c r="AJ1449" s="12" t="n"/>
      <c r="AK1449" s="53">
        <f>IF(AND(W1449="X",M1449&lt;=$AJ$2),"YES","")</f>
        <v/>
      </c>
      <c r="AL1449" s="54">
        <f>IF(AND(W1449="X",M1449&lt;=$AJ$2),S1449,"")</f>
        <v/>
      </c>
      <c r="AM1449" s="35" t="n"/>
      <c r="AN1449" s="35">
        <f>IF(AND(W1449="X",M1449&gt;$AJ$2),S1449,"")</f>
        <v/>
      </c>
      <c r="AO1449" s="35">
        <f>IF(AND(W1449="",M1449&gt;0,$AJ$2&gt;M1449,L1449=""),1,0)</f>
        <v/>
      </c>
      <c r="AP1449" s="35">
        <f>IF(AND(AK1449="YES",W1449="X"),"X","")</f>
        <v/>
      </c>
      <c r="AQ1449" s="55">
        <f>IF(AP1449="X",100%,0%)</f>
        <v/>
      </c>
      <c r="AR1449" s="25">
        <f>IF(AND(T1449&gt;0,L1449=""),H1449,"")</f>
        <v/>
      </c>
      <c r="AS1449" s="25">
        <f>IF(AND(D1449&gt;0,H1449=0,G1449=""),1,"")</f>
        <v/>
      </c>
      <c r="AT1449" s="25">
        <f>IF(G1449="BLOQ",1,"")</f>
        <v/>
      </c>
      <c r="AU1449" s="25">
        <f>IF(L1449="BLOQ",1,"")</f>
        <v/>
      </c>
      <c r="AV1449" s="25">
        <f>MONTH(F1449)</f>
        <v/>
      </c>
      <c r="AW1449" s="65">
        <f>IF(AP1449="",100%,0%)</f>
        <v/>
      </c>
      <c r="AX1449" s="56" t="n"/>
      <c r="AY1449" s="24">
        <f>IF(M1449=0,"",M1449-$AX$2)</f>
        <v/>
      </c>
      <c r="AZ1449" s="66">
        <f>IF(AND(W1449="",AY1449&gt;0,AY1449&lt;15),1,0)</f>
        <v/>
      </c>
      <c r="BA1449" s="24">
        <f>IF(AND(W1449="",AY1449&gt;0,AY1449&lt;15),T1449,"")</f>
        <v/>
      </c>
      <c r="BB1449" s="87">
        <f>IF(R1449&lt;Q1449,"X","")</f>
        <v/>
      </c>
      <c r="BC1449" s="190" t="inlineStr">
        <is>
          <t>NO</t>
        </is>
      </c>
      <c r="BD1449" s="191" t="inlineStr">
        <is>
          <t>SI</t>
        </is>
      </c>
    </row>
    <row r="1450" ht="15" customHeight="1" s="162">
      <c r="A1450" s="7" t="n">
        <v>1449</v>
      </c>
      <c r="B1450" t="inlineStr">
        <is>
          <t>1214002633742</t>
        </is>
      </c>
      <c r="C1450" t="inlineStr">
        <is>
          <t>CNC CIR  16-26  (26H)  MS3476L16-26SY</t>
        </is>
      </c>
      <c r="D1450" t="inlineStr">
        <is>
          <t>1800114174</t>
        </is>
      </c>
      <c r="E1450" t="inlineStr">
        <is>
          <t>70</t>
        </is>
      </c>
      <c r="F1450" s="163" t="n">
        <v>45581</v>
      </c>
      <c r="G1450" t="inlineStr"/>
      <c r="H1450" t="inlineStr">
        <is>
          <t>4200583866</t>
        </is>
      </c>
      <c r="I1450" t="inlineStr">
        <is>
          <t>70</t>
        </is>
      </c>
      <c r="J1450" s="163" t="n">
        <v>45596</v>
      </c>
      <c r="K1450" s="163" t="n">
        <v>45600</v>
      </c>
      <c r="L1450" t="inlineStr"/>
      <c r="M1450" s="163" t="n">
        <v>45624</v>
      </c>
      <c r="N1450" s="164" t="n">
        <v>56</v>
      </c>
      <c r="O1450" s="164" t="n">
        <v>8</v>
      </c>
      <c r="P1450" t="inlineStr">
        <is>
          <t>Liberado</t>
        </is>
      </c>
      <c r="Q1450" s="165" t="n">
        <v>2</v>
      </c>
      <c r="R1450" s="165" t="n">
        <v>2</v>
      </c>
      <c r="S1450" s="165" t="n">
        <v>2</v>
      </c>
      <c r="T1450" s="165" t="n">
        <v>0</v>
      </c>
      <c r="U1450" s="166" t="n">
        <v>2</v>
      </c>
      <c r="V1450" s="166" t="n">
        <v>0</v>
      </c>
      <c r="W1450" t="inlineStr">
        <is>
          <t>X</t>
        </is>
      </c>
      <c r="X1450" t="inlineStr">
        <is>
          <t>0.00</t>
        </is>
      </c>
      <c r="Y1450" t="inlineStr"/>
      <c r="Z1450" t="inlineStr">
        <is>
          <t>TTI, INC.</t>
        </is>
      </c>
      <c r="AA1450" t="inlineStr">
        <is>
          <t>MILITARY STANDARDS</t>
        </is>
      </c>
      <c r="AB1450" t="inlineStr">
        <is>
          <t>MS3476L16-26SY</t>
        </is>
      </c>
      <c r="AC1450" t="inlineStr"/>
      <c r="AD1450" s="164" t="n">
        <v>0</v>
      </c>
      <c r="AE1450" s="185" t="n">
        <v>0</v>
      </c>
      <c r="AG1450" s="167" t="inlineStr">
        <is>
          <t>7218|JA2583_1001</t>
        </is>
      </c>
      <c r="AH1450" s="47">
        <f>IF(M1450=0,"-",M1450-J1450)</f>
        <v/>
      </c>
      <c r="AI1450" s="46">
        <f>IF(AND(S1450=0,M1450&gt;0,L1450=0),IF(AH1450&gt;=120,"VERY HIGH",IF(AH1450&gt;=90,"HIGH",IF(AH1450&gt;=60,"MEDIUM",IF(AH1450&lt;60,"LOW")))),"-")</f>
        <v/>
      </c>
      <c r="AJ1450" s="12" t="n"/>
      <c r="AK1450" s="53">
        <f>IF(AND(W1450="X",M1450&lt;=$AJ$2),"YES","")</f>
        <v/>
      </c>
      <c r="AL1450" s="54">
        <f>IF(AND(W1450="X",M1450&lt;=$AJ$2),S1450,"")</f>
        <v/>
      </c>
      <c r="AM1450" s="35" t="n"/>
      <c r="AN1450" s="35">
        <f>IF(AND(W1450="X",M1450&gt;$AJ$2),S1450,"")</f>
        <v/>
      </c>
      <c r="AO1450" s="35">
        <f>IF(AND(W1450="",M1450&gt;0,$AJ$2&gt;M1450,L1450=""),1,0)</f>
        <v/>
      </c>
      <c r="AP1450" s="35">
        <f>IF(AND(AK1450="YES",W1450="X"),"X","")</f>
        <v/>
      </c>
      <c r="AQ1450" s="55">
        <f>IF(AP1450="X",100%,0%)</f>
        <v/>
      </c>
      <c r="AR1450" s="25">
        <f>IF(AND(T1450&gt;0,L1450=""),H1450,"")</f>
        <v/>
      </c>
      <c r="AS1450" s="25">
        <f>IF(AND(D1450&gt;0,H1450=0,G1450=""),1,"")</f>
        <v/>
      </c>
      <c r="AT1450" s="25">
        <f>IF(G1450="BLOQ",1,"")</f>
        <v/>
      </c>
      <c r="AU1450" s="25">
        <f>IF(L1450="BLOQ",1,"")</f>
        <v/>
      </c>
      <c r="AV1450" s="25">
        <f>MONTH(F1450)</f>
        <v/>
      </c>
      <c r="AW1450" s="65">
        <f>IF(AP1450="",100%,0%)</f>
        <v/>
      </c>
      <c r="AX1450" s="56" t="n"/>
      <c r="AY1450" s="24">
        <f>IF(M1450=0,"",M1450-$AX$2)</f>
        <v/>
      </c>
      <c r="AZ1450" s="66">
        <f>IF(AND(W1450="",AY1450&gt;0,AY1450&lt;15),1,0)</f>
        <v/>
      </c>
      <c r="BA1450" s="24">
        <f>IF(AND(W1450="",AY1450&gt;0,AY1450&lt;15),T1450,"")</f>
        <v/>
      </c>
      <c r="BB1450" s="87">
        <f>IF(R1450&lt;Q1450,"X","")</f>
        <v/>
      </c>
      <c r="BC1450" s="190" t="inlineStr">
        <is>
          <t>NO</t>
        </is>
      </c>
      <c r="BD1450" s="191" t="inlineStr">
        <is>
          <t>SI</t>
        </is>
      </c>
    </row>
    <row r="1451" ht="15" customHeight="1" s="162">
      <c r="A1451" s="7" t="n">
        <v>1450</v>
      </c>
      <c r="B1451" t="inlineStr">
        <is>
          <t>1214003233721</t>
        </is>
      </c>
      <c r="C1451" t="inlineStr">
        <is>
          <t>CNC CIR 18-32 32S (H) MS3476L18-32SN</t>
        </is>
      </c>
      <c r="D1451" t="inlineStr">
        <is>
          <t>1800114174</t>
        </is>
      </c>
      <c r="E1451" t="inlineStr">
        <is>
          <t>80</t>
        </is>
      </c>
      <c r="F1451" s="163" t="n">
        <v>45581</v>
      </c>
      <c r="G1451" t="inlineStr"/>
      <c r="H1451" t="inlineStr">
        <is>
          <t>4200583858</t>
        </is>
      </c>
      <c r="I1451" t="inlineStr">
        <is>
          <t>190</t>
        </is>
      </c>
      <c r="J1451" s="163" t="n">
        <v>45596</v>
      </c>
      <c r="K1451" s="163" t="n">
        <v>45600</v>
      </c>
      <c r="L1451" t="inlineStr"/>
      <c r="M1451" s="163" t="n">
        <v>45620</v>
      </c>
      <c r="N1451" s="164" t="n">
        <v>125</v>
      </c>
      <c r="O1451" s="164" t="n">
        <v>8</v>
      </c>
      <c r="P1451" t="inlineStr">
        <is>
          <t>Liberado</t>
        </is>
      </c>
      <c r="Q1451" s="165" t="n">
        <v>2</v>
      </c>
      <c r="R1451" s="165" t="n">
        <v>2</v>
      </c>
      <c r="S1451" s="165" t="n">
        <v>2</v>
      </c>
      <c r="T1451" s="165" t="n">
        <v>0</v>
      </c>
      <c r="U1451" s="166" t="n">
        <v>2</v>
      </c>
      <c r="V1451" s="166" t="n">
        <v>0</v>
      </c>
      <c r="W1451" t="inlineStr">
        <is>
          <t>X</t>
        </is>
      </c>
      <c r="X1451" t="inlineStr">
        <is>
          <t>0.00</t>
        </is>
      </c>
      <c r="Y1451" t="inlineStr"/>
      <c r="Z1451" t="inlineStr">
        <is>
          <t>SUMINISTROS CONECTORES PROF.,SA.</t>
        </is>
      </c>
      <c r="AA1451" t="inlineStr">
        <is>
          <t>MILITARY STANDARDS</t>
        </is>
      </c>
      <c r="AB1451" t="inlineStr">
        <is>
          <t>MS3476L18-32SN</t>
        </is>
      </c>
      <c r="AC1451" t="inlineStr"/>
      <c r="AD1451" s="164" t="n">
        <v>0</v>
      </c>
      <c r="AE1451" s="185" t="n">
        <v>0</v>
      </c>
      <c r="AG1451" s="167" t="inlineStr">
        <is>
          <t>7218|JA2583_1001</t>
        </is>
      </c>
      <c r="AH1451" s="47">
        <f>IF(M1451=0,"-",M1451-J1451)</f>
        <v/>
      </c>
      <c r="AI1451" s="46">
        <f>IF(AND(S1451=0,M1451&gt;0,L1451=0),IF(AH1451&gt;=120,"VERY HIGH",IF(AH1451&gt;=90,"HIGH",IF(AH1451&gt;=60,"MEDIUM",IF(AH1451&lt;60,"LOW")))),"-")</f>
        <v/>
      </c>
      <c r="AJ1451" s="12" t="n"/>
      <c r="AK1451" s="53">
        <f>IF(AND(W1451="X",M1451&lt;=$AJ$2),"YES","")</f>
        <v/>
      </c>
      <c r="AL1451" s="54">
        <f>IF(AND(W1451="X",M1451&lt;=$AJ$2),S1451,"")</f>
        <v/>
      </c>
      <c r="AM1451" s="35" t="n"/>
      <c r="AN1451" s="35">
        <f>IF(AND(W1451="X",M1451&gt;$AJ$2),S1451,"")</f>
        <v/>
      </c>
      <c r="AO1451" s="35">
        <f>IF(AND(W1451="",M1451&gt;0,$AJ$2&gt;M1451,L1451=""),1,0)</f>
        <v/>
      </c>
      <c r="AP1451" s="35">
        <f>IF(AND(AK1451="YES",W1451="X"),"X","")</f>
        <v/>
      </c>
      <c r="AQ1451" s="55">
        <f>IF(AP1451="X",100%,0%)</f>
        <v/>
      </c>
      <c r="AR1451" s="25">
        <f>IF(AND(T1451&gt;0,L1451=""),H1451,"")</f>
        <v/>
      </c>
      <c r="AS1451" s="25">
        <f>IF(AND(D1451&gt;0,H1451=0,G1451=""),1,"")</f>
        <v/>
      </c>
      <c r="AT1451" s="25">
        <f>IF(G1451="BLOQ",1,"")</f>
        <v/>
      </c>
      <c r="AU1451" s="25">
        <f>IF(L1451="BLOQ",1,"")</f>
        <v/>
      </c>
      <c r="AV1451" s="25">
        <f>MONTH(F1451)</f>
        <v/>
      </c>
      <c r="AW1451" s="65">
        <f>IF(AP1451="",100%,0%)</f>
        <v/>
      </c>
      <c r="AX1451" s="56" t="n"/>
      <c r="AY1451" s="24">
        <f>IF(M1451=0,"",M1451-$AX$2)</f>
        <v/>
      </c>
      <c r="AZ1451" s="66">
        <f>IF(AND(W1451="",AY1451&gt;0,AY1451&lt;15),1,0)</f>
        <v/>
      </c>
      <c r="BA1451" s="24">
        <f>IF(AND(W1451="",AY1451&gt;0,AY1451&lt;15),T1451,"")</f>
        <v/>
      </c>
      <c r="BB1451" s="87">
        <f>IF(R1451&lt;Q1451,"X","")</f>
        <v/>
      </c>
      <c r="BC1451" s="190" t="inlineStr">
        <is>
          <t>NO</t>
        </is>
      </c>
      <c r="BD1451" s="191" t="inlineStr">
        <is>
          <t>SI</t>
        </is>
      </c>
    </row>
    <row r="1452" ht="15" customHeight="1" s="162">
      <c r="A1452" s="7" t="n">
        <v>1451</v>
      </c>
      <c r="B1452" t="inlineStr">
        <is>
          <t>1214003233761</t>
        </is>
      </c>
      <c r="C1452" t="inlineStr">
        <is>
          <t>CNC CIR  18-32  (32H)  MS3476L18-32SW</t>
        </is>
      </c>
      <c r="D1452" t="inlineStr">
        <is>
          <t>1800114174</t>
        </is>
      </c>
      <c r="E1452" t="inlineStr">
        <is>
          <t>90</t>
        </is>
      </c>
      <c r="F1452" s="163" t="n">
        <v>45581</v>
      </c>
      <c r="G1452" t="inlineStr"/>
      <c r="H1452" t="inlineStr">
        <is>
          <t>4200583866</t>
        </is>
      </c>
      <c r="I1452" t="inlineStr">
        <is>
          <t>80</t>
        </is>
      </c>
      <c r="J1452" s="163" t="n">
        <v>45596</v>
      </c>
      <c r="K1452" s="163" t="n">
        <v>45600</v>
      </c>
      <c r="L1452" t="inlineStr"/>
      <c r="M1452" s="163" t="n">
        <v>45624</v>
      </c>
      <c r="N1452" s="164" t="n">
        <v>40</v>
      </c>
      <c r="O1452" s="164" t="n">
        <v>8</v>
      </c>
      <c r="P1452" t="inlineStr">
        <is>
          <t>Liberado</t>
        </is>
      </c>
      <c r="Q1452" s="165" t="n">
        <v>2</v>
      </c>
      <c r="R1452" s="165" t="n">
        <v>2</v>
      </c>
      <c r="S1452" s="165" t="n">
        <v>2</v>
      </c>
      <c r="T1452" s="165" t="n">
        <v>0</v>
      </c>
      <c r="U1452" s="166" t="n">
        <v>2</v>
      </c>
      <c r="V1452" s="166" t="n">
        <v>0</v>
      </c>
      <c r="W1452" t="inlineStr">
        <is>
          <t>X</t>
        </is>
      </c>
      <c r="X1452" t="inlineStr">
        <is>
          <t>0.00</t>
        </is>
      </c>
      <c r="Y1452" t="inlineStr"/>
      <c r="Z1452" t="inlineStr">
        <is>
          <t>TTI, INC.</t>
        </is>
      </c>
      <c r="AA1452" t="inlineStr">
        <is>
          <t>MILITARY STANDARDS</t>
        </is>
      </c>
      <c r="AB1452" t="inlineStr">
        <is>
          <t>MS3476L18-32SW</t>
        </is>
      </c>
      <c r="AC1452" t="inlineStr"/>
      <c r="AD1452" s="164" t="n">
        <v>0</v>
      </c>
      <c r="AE1452" s="185" t="n">
        <v>0</v>
      </c>
      <c r="AG1452" s="167" t="inlineStr">
        <is>
          <t>7218|JA2583_1001</t>
        </is>
      </c>
      <c r="AH1452" s="47">
        <f>IF(M1452=0,"-",M1452-J1452)</f>
        <v/>
      </c>
      <c r="AI1452" s="46">
        <f>IF(AND(S1452=0,M1452&gt;0,L1452=0),IF(AH1452&gt;=120,"VERY HIGH",IF(AH1452&gt;=90,"HIGH",IF(AH1452&gt;=60,"MEDIUM",IF(AH1452&lt;60,"LOW")))),"-")</f>
        <v/>
      </c>
      <c r="AJ1452" s="12" t="n"/>
      <c r="AK1452" s="53">
        <f>IF(AND(W1452="X",M1452&lt;=$AJ$2),"YES","")</f>
        <v/>
      </c>
      <c r="AL1452" s="54">
        <f>IF(AND(W1452="X",M1452&lt;=$AJ$2),S1452,"")</f>
        <v/>
      </c>
      <c r="AM1452" s="35" t="n"/>
      <c r="AN1452" s="35">
        <f>IF(AND(W1452="X",M1452&gt;$AJ$2),S1452,"")</f>
        <v/>
      </c>
      <c r="AO1452" s="35">
        <f>IF(AND(W1452="",M1452&gt;0,$AJ$2&gt;M1452,L1452=""),1,0)</f>
        <v/>
      </c>
      <c r="AP1452" s="35">
        <f>IF(AND(AK1452="YES",W1452="X"),"X","")</f>
        <v/>
      </c>
      <c r="AQ1452" s="55">
        <f>IF(AP1452="X",100%,0%)</f>
        <v/>
      </c>
      <c r="AR1452" s="25">
        <f>IF(AND(T1452&gt;0,L1452=""),H1452,"")</f>
        <v/>
      </c>
      <c r="AS1452" s="25">
        <f>IF(AND(D1452&gt;0,H1452=0,G1452=""),1,"")</f>
        <v/>
      </c>
      <c r="AT1452" s="25">
        <f>IF(G1452="BLOQ",1,"")</f>
        <v/>
      </c>
      <c r="AU1452" s="25">
        <f>IF(L1452="BLOQ",1,"")</f>
        <v/>
      </c>
      <c r="AV1452" s="25">
        <f>MONTH(F1452)</f>
        <v/>
      </c>
      <c r="AW1452" s="65">
        <f>IF(AP1452="",100%,0%)</f>
        <v/>
      </c>
      <c r="AX1452" s="56" t="n"/>
      <c r="AY1452" s="24">
        <f>IF(M1452=0,"",M1452-$AX$2)</f>
        <v/>
      </c>
      <c r="AZ1452" s="66">
        <f>IF(AND(W1452="",AY1452&gt;0,AY1452&lt;15),1,0)</f>
        <v/>
      </c>
      <c r="BA1452" s="24">
        <f>IF(AND(W1452="",AY1452&gt;0,AY1452&lt;15),T1452,"")</f>
        <v/>
      </c>
      <c r="BB1452" s="87">
        <f>IF(R1452&lt;Q1452,"X","")</f>
        <v/>
      </c>
      <c r="BC1452" s="190" t="inlineStr">
        <is>
          <t>NO</t>
        </is>
      </c>
      <c r="BD1452" s="191" t="inlineStr">
        <is>
          <t>SI</t>
        </is>
      </c>
    </row>
    <row r="1453" ht="15" customHeight="1" s="162">
      <c r="A1453" s="7" t="n">
        <v>1452</v>
      </c>
      <c r="B1453" t="inlineStr">
        <is>
          <t>1214004133721</t>
        </is>
      </c>
      <c r="C1453" t="inlineStr">
        <is>
          <t>CNC CIR  20-41  (41H)  MS3476L20-41S</t>
        </is>
      </c>
      <c r="D1453" t="inlineStr">
        <is>
          <t>1800114174</t>
        </is>
      </c>
      <c r="E1453" t="inlineStr">
        <is>
          <t>100</t>
        </is>
      </c>
      <c r="F1453" s="163" t="n">
        <v>45581</v>
      </c>
      <c r="G1453" t="inlineStr"/>
      <c r="H1453" t="inlineStr">
        <is>
          <t>4200583858</t>
        </is>
      </c>
      <c r="I1453" t="inlineStr">
        <is>
          <t>200</t>
        </is>
      </c>
      <c r="J1453" s="163" t="n">
        <v>45596</v>
      </c>
      <c r="K1453" s="163" t="n">
        <v>45600</v>
      </c>
      <c r="L1453" t="inlineStr"/>
      <c r="M1453" s="163" t="n">
        <v>45620</v>
      </c>
      <c r="N1453" s="164" t="n">
        <v>40</v>
      </c>
      <c r="O1453" s="164" t="n">
        <v>8</v>
      </c>
      <c r="P1453" t="inlineStr">
        <is>
          <t>Liberado</t>
        </is>
      </c>
      <c r="Q1453" s="165" t="n">
        <v>3</v>
      </c>
      <c r="R1453" s="165" t="n">
        <v>3</v>
      </c>
      <c r="S1453" s="165" t="n">
        <v>3</v>
      </c>
      <c r="T1453" s="165" t="n">
        <v>0</v>
      </c>
      <c r="U1453" s="166" t="n">
        <v>3</v>
      </c>
      <c r="V1453" s="166" t="n">
        <v>0</v>
      </c>
      <c r="W1453" t="inlineStr">
        <is>
          <t>X</t>
        </is>
      </c>
      <c r="X1453" t="inlineStr">
        <is>
          <t>0.00</t>
        </is>
      </c>
      <c r="Y1453" t="inlineStr"/>
      <c r="Z1453" t="inlineStr">
        <is>
          <t>SUMINISTROS CONECTORES PROF.,SA.</t>
        </is>
      </c>
      <c r="AA1453" t="inlineStr">
        <is>
          <t>MILITARY STANDARDS</t>
        </is>
      </c>
      <c r="AB1453" t="inlineStr">
        <is>
          <t>MS3476L20-41S</t>
        </is>
      </c>
      <c r="AC1453" t="inlineStr"/>
      <c r="AD1453" s="164" t="n">
        <v>0</v>
      </c>
      <c r="AE1453" s="185" t="n">
        <v>0</v>
      </c>
      <c r="AG1453" s="167" t="inlineStr">
        <is>
          <t>7218|JA2583_1001</t>
        </is>
      </c>
      <c r="AH1453" s="47">
        <f>IF(M1453=0,"-",M1453-J1453)</f>
        <v/>
      </c>
      <c r="AI1453" s="46">
        <f>IF(AND(S1453=0,M1453&gt;0,L1453=0),IF(AH1453&gt;=120,"VERY HIGH",IF(AH1453&gt;=90,"HIGH",IF(AH1453&gt;=60,"MEDIUM",IF(AH1453&lt;60,"LOW")))),"-")</f>
        <v/>
      </c>
      <c r="AJ1453" s="12" t="n"/>
      <c r="AK1453" s="53">
        <f>IF(AND(W1453="X",M1453&lt;=$AJ$2),"YES","")</f>
        <v/>
      </c>
      <c r="AL1453" s="54">
        <f>IF(AND(W1453="X",M1453&lt;=$AJ$2),S1453,"")</f>
        <v/>
      </c>
      <c r="AM1453" s="35" t="n"/>
      <c r="AN1453" s="35">
        <f>IF(AND(W1453="X",M1453&gt;$AJ$2),S1453,"")</f>
        <v/>
      </c>
      <c r="AO1453" s="35">
        <f>IF(AND(W1453="",M1453&gt;0,$AJ$2&gt;M1453,L1453=""),1,0)</f>
        <v/>
      </c>
      <c r="AP1453" s="35">
        <f>IF(AND(AK1453="YES",W1453="X"),"X","")</f>
        <v/>
      </c>
      <c r="AQ1453" s="55">
        <f>IF(AP1453="X",100%,0%)</f>
        <v/>
      </c>
      <c r="AR1453" s="25">
        <f>IF(AND(T1453&gt;0,L1453=""),H1453,"")</f>
        <v/>
      </c>
      <c r="AS1453" s="25">
        <f>IF(AND(D1453&gt;0,H1453=0,G1453=""),1,"")</f>
        <v/>
      </c>
      <c r="AT1453" s="25">
        <f>IF(G1453="BLOQ",1,"")</f>
        <v/>
      </c>
      <c r="AU1453" s="25">
        <f>IF(L1453="BLOQ",1,"")</f>
        <v/>
      </c>
      <c r="AV1453" s="25">
        <f>MONTH(F1453)</f>
        <v/>
      </c>
      <c r="AW1453" s="65">
        <f>IF(AP1453="",100%,0%)</f>
        <v/>
      </c>
      <c r="AX1453" s="56" t="n"/>
      <c r="AY1453" s="24">
        <f>IF(M1453=0,"",M1453-$AX$2)</f>
        <v/>
      </c>
      <c r="AZ1453" s="66">
        <f>IF(AND(W1453="",AY1453&gt;0,AY1453&lt;15),1,0)</f>
        <v/>
      </c>
      <c r="BA1453" s="24">
        <f>IF(AND(W1453="",AY1453&gt;0,AY1453&lt;15),T1453,"")</f>
        <v/>
      </c>
      <c r="BB1453" s="87">
        <f>IF(R1453&lt;Q1453,"X","")</f>
        <v/>
      </c>
      <c r="BC1453" s="190" t="inlineStr">
        <is>
          <t>NO</t>
        </is>
      </c>
      <c r="BD1453" s="191" t="inlineStr">
        <is>
          <t>SI</t>
        </is>
      </c>
    </row>
    <row r="1454" ht="15" customHeight="1" s="162">
      <c r="A1454" s="7" t="n">
        <v>1453</v>
      </c>
      <c r="B1454" t="inlineStr">
        <is>
          <t>1214005533721</t>
        </is>
      </c>
      <c r="C1454" t="inlineStr">
        <is>
          <t>CNC CIR  22-55  (55H)  MS3476L22-55S</t>
        </is>
      </c>
      <c r="D1454" t="inlineStr">
        <is>
          <t>1800114174</t>
        </is>
      </c>
      <c r="E1454" t="inlineStr">
        <is>
          <t>110</t>
        </is>
      </c>
      <c r="F1454" s="163" t="n">
        <v>45581</v>
      </c>
      <c r="G1454" t="inlineStr"/>
      <c r="H1454" t="inlineStr">
        <is>
          <t>4200583866</t>
        </is>
      </c>
      <c r="I1454" t="inlineStr">
        <is>
          <t>90</t>
        </is>
      </c>
      <c r="J1454" s="163" t="n">
        <v>45596</v>
      </c>
      <c r="K1454" s="163" t="n">
        <v>45600</v>
      </c>
      <c r="L1454" t="inlineStr"/>
      <c r="M1454" s="163" t="n">
        <v>45606</v>
      </c>
      <c r="N1454" s="164" t="n">
        <v>56</v>
      </c>
      <c r="O1454" s="164" t="n">
        <v>8</v>
      </c>
      <c r="P1454" t="inlineStr">
        <is>
          <t>Liberado</t>
        </is>
      </c>
      <c r="Q1454" s="165" t="n">
        <v>3</v>
      </c>
      <c r="R1454" s="165" t="n">
        <v>3</v>
      </c>
      <c r="S1454" s="165" t="n">
        <v>3</v>
      </c>
      <c r="T1454" s="165" t="n">
        <v>0</v>
      </c>
      <c r="U1454" s="166" t="n">
        <v>3</v>
      </c>
      <c r="V1454" s="166" t="n">
        <v>0</v>
      </c>
      <c r="W1454" t="inlineStr">
        <is>
          <t>X</t>
        </is>
      </c>
      <c r="X1454" t="inlineStr">
        <is>
          <t>0.00</t>
        </is>
      </c>
      <c r="Y1454" t="inlineStr"/>
      <c r="Z1454" t="inlineStr">
        <is>
          <t>TTI, INC.</t>
        </is>
      </c>
      <c r="AA1454" t="inlineStr">
        <is>
          <t>MILITARY STANDARDS</t>
        </is>
      </c>
      <c r="AB1454" t="inlineStr">
        <is>
          <t>MS3476L22-55S</t>
        </is>
      </c>
      <c r="AC1454" t="inlineStr"/>
      <c r="AD1454" s="164" t="n">
        <v>0</v>
      </c>
      <c r="AE1454" s="185" t="n">
        <v>0</v>
      </c>
      <c r="AG1454" s="167" t="inlineStr">
        <is>
          <t>7218|JA2583_1001</t>
        </is>
      </c>
      <c r="AH1454" s="47">
        <f>IF(M1454=0,"-",M1454-J1454)</f>
        <v/>
      </c>
      <c r="AI1454" s="46">
        <f>IF(AND(S1454=0,M1454&gt;0,L1454=0),IF(AH1454&gt;=120,"VERY HIGH",IF(AH1454&gt;=90,"HIGH",IF(AH1454&gt;=60,"MEDIUM",IF(AH1454&lt;60,"LOW")))),"-")</f>
        <v/>
      </c>
      <c r="AJ1454" s="12" t="n"/>
      <c r="AK1454" s="53">
        <f>IF(AND(W1454="X",M1454&lt;=$AJ$2),"YES","")</f>
        <v/>
      </c>
      <c r="AL1454" s="54">
        <f>IF(AND(W1454="X",M1454&lt;=$AJ$2),S1454,"")</f>
        <v/>
      </c>
      <c r="AM1454" s="35" t="n"/>
      <c r="AN1454" s="35">
        <f>IF(AND(W1454="X",M1454&gt;$AJ$2),S1454,"")</f>
        <v/>
      </c>
      <c r="AO1454" s="35">
        <f>IF(AND(W1454="",M1454&gt;0,$AJ$2&gt;M1454,L1454=""),1,0)</f>
        <v/>
      </c>
      <c r="AP1454" s="35">
        <f>IF(AND(AK1454="YES",W1454="X"),"X","")</f>
        <v/>
      </c>
      <c r="AQ1454" s="55">
        <f>IF(AP1454="X",100%,0%)</f>
        <v/>
      </c>
      <c r="AR1454" s="25">
        <f>IF(AND(T1454&gt;0,L1454=""),H1454,"")</f>
        <v/>
      </c>
      <c r="AS1454" s="25">
        <f>IF(AND(D1454&gt;0,H1454=0,G1454=""),1,"")</f>
        <v/>
      </c>
      <c r="AT1454" s="25">
        <f>IF(G1454="BLOQ",1,"")</f>
        <v/>
      </c>
      <c r="AU1454" s="25">
        <f>IF(L1454="BLOQ",1,"")</f>
        <v/>
      </c>
      <c r="AV1454" s="25">
        <f>MONTH(F1454)</f>
        <v/>
      </c>
      <c r="AW1454" s="65">
        <f>IF(AP1454="",100%,0%)</f>
        <v/>
      </c>
      <c r="AX1454" s="56" t="n"/>
      <c r="AY1454" s="24">
        <f>IF(M1454=0,"",M1454-$AX$2)</f>
        <v/>
      </c>
      <c r="AZ1454" s="66">
        <f>IF(AND(W1454="",AY1454&gt;0,AY1454&lt;15),1,0)</f>
        <v/>
      </c>
      <c r="BA1454" s="24">
        <f>IF(AND(W1454="",AY1454&gt;0,AY1454&lt;15),T1454,"")</f>
        <v/>
      </c>
      <c r="BB1454" s="87">
        <f>IF(R1454&lt;Q1454,"X","")</f>
        <v/>
      </c>
      <c r="BC1454" s="190" t="inlineStr">
        <is>
          <t>NO</t>
        </is>
      </c>
      <c r="BD1454" s="191" t="inlineStr">
        <is>
          <t>SI</t>
        </is>
      </c>
    </row>
    <row r="1455" ht="15" customHeight="1" s="162">
      <c r="A1455" s="7" t="n">
        <v>1454</v>
      </c>
      <c r="B1455" t="inlineStr">
        <is>
          <t>1219990340200</t>
        </is>
      </c>
      <c r="C1455" t="inlineStr">
        <is>
          <t>ACC PIN H AWG22-24 CRIMP ORO/NIQU</t>
        </is>
      </c>
      <c r="D1455" t="inlineStr">
        <is>
          <t>1800114174</t>
        </is>
      </c>
      <c r="E1455" t="inlineStr">
        <is>
          <t>120</t>
        </is>
      </c>
      <c r="F1455" s="163" t="n">
        <v>45581</v>
      </c>
      <c r="G1455" t="inlineStr"/>
      <c r="H1455" t="inlineStr">
        <is>
          <t>4200583292</t>
        </is>
      </c>
      <c r="I1455" t="inlineStr">
        <is>
          <t>90</t>
        </is>
      </c>
      <c r="J1455" s="163" t="n">
        <v>45593</v>
      </c>
      <c r="K1455" s="163" t="n">
        <v>45594</v>
      </c>
      <c r="L1455" t="inlineStr"/>
      <c r="M1455" s="163" t="n">
        <v>45606</v>
      </c>
      <c r="N1455" s="164" t="n">
        <v>60</v>
      </c>
      <c r="O1455" s="164" t="n">
        <v>8</v>
      </c>
      <c r="P1455" t="inlineStr">
        <is>
          <t>Liberado</t>
        </is>
      </c>
      <c r="Q1455" s="165" t="n">
        <v>100</v>
      </c>
      <c r="R1455" s="165" t="n">
        <v>100</v>
      </c>
      <c r="S1455" s="165" t="n">
        <v>100</v>
      </c>
      <c r="T1455" s="165" t="n">
        <v>0</v>
      </c>
      <c r="U1455" s="166" t="n">
        <v>100</v>
      </c>
      <c r="V1455" s="166" t="n">
        <v>0</v>
      </c>
      <c r="W1455" t="inlineStr">
        <is>
          <t>X</t>
        </is>
      </c>
      <c r="X1455" t="inlineStr">
        <is>
          <t>0.00</t>
        </is>
      </c>
      <c r="Y1455" t="inlineStr"/>
      <c r="Z1455" t="inlineStr">
        <is>
          <t>FARNELL COMPONENTS, S.L.</t>
        </is>
      </c>
      <c r="AA1455" t="inlineStr">
        <is>
          <t>MOLEX</t>
        </is>
      </c>
      <c r="AB1455" t="inlineStr">
        <is>
          <t>16-02-0088</t>
        </is>
      </c>
      <c r="AC1455" t="inlineStr"/>
      <c r="AD1455" s="164" t="n">
        <v>0</v>
      </c>
      <c r="AE1455" s="185" t="n">
        <v>0</v>
      </c>
      <c r="AG1455" s="167" t="inlineStr">
        <is>
          <t>7218|JA2583_1001</t>
        </is>
      </c>
      <c r="AH1455" s="47">
        <f>IF(M1455=0,"-",M1455-J1455)</f>
        <v/>
      </c>
      <c r="AI1455" s="46">
        <f>IF(AND(S1455=0,M1455&gt;0,L1455=0),IF(AH1455&gt;=120,"VERY HIGH",IF(AH1455&gt;=90,"HIGH",IF(AH1455&gt;=60,"MEDIUM",IF(AH1455&lt;60,"LOW")))),"-")</f>
        <v/>
      </c>
      <c r="AJ1455" s="12" t="n"/>
      <c r="AK1455" s="53">
        <f>IF(AND(W1455="X",M1455&lt;=$AJ$2),"YES","")</f>
        <v/>
      </c>
      <c r="AL1455" s="54">
        <f>IF(AND(W1455="X",M1455&lt;=$AJ$2),S1455,"")</f>
        <v/>
      </c>
      <c r="AM1455" s="35" t="n"/>
      <c r="AN1455" s="35">
        <f>IF(AND(W1455="X",M1455&gt;$AJ$2),S1455,"")</f>
        <v/>
      </c>
      <c r="AO1455" s="35">
        <f>IF(AND(W1455="",M1455&gt;0,$AJ$2&gt;M1455,L1455=""),1,0)</f>
        <v/>
      </c>
      <c r="AP1455" s="35">
        <f>IF(AND(AK1455="YES",W1455="X"),"X","")</f>
        <v/>
      </c>
      <c r="AQ1455" s="55">
        <f>IF(AP1455="X",100%,0%)</f>
        <v/>
      </c>
      <c r="AR1455" s="25">
        <f>IF(AND(T1455&gt;0,L1455=""),H1455,"")</f>
        <v/>
      </c>
      <c r="AS1455" s="25">
        <f>IF(AND(D1455&gt;0,H1455=0,G1455=""),1,"")</f>
        <v/>
      </c>
      <c r="AT1455" s="25">
        <f>IF(G1455="BLOQ",1,"")</f>
        <v/>
      </c>
      <c r="AU1455" s="25">
        <f>IF(L1455="BLOQ",1,"")</f>
        <v/>
      </c>
      <c r="AV1455" s="25">
        <f>MONTH(F1455)</f>
        <v/>
      </c>
      <c r="AW1455" s="65">
        <f>IF(AP1455="",100%,0%)</f>
        <v/>
      </c>
      <c r="AX1455" s="56" t="n"/>
      <c r="AY1455" s="24">
        <f>IF(M1455=0,"",M1455-$AX$2)</f>
        <v/>
      </c>
      <c r="AZ1455" s="66">
        <f>IF(AND(W1455="",AY1455&gt;0,AY1455&lt;15),1,0)</f>
        <v/>
      </c>
      <c r="BA1455" s="24">
        <f>IF(AND(W1455="",AY1455&gt;0,AY1455&lt;15),T1455,"")</f>
        <v/>
      </c>
      <c r="BB1455" s="87">
        <f>IF(R1455&lt;Q1455,"X","")</f>
        <v/>
      </c>
      <c r="BC1455" s="190" t="inlineStr">
        <is>
          <t>NO</t>
        </is>
      </c>
      <c r="BD1455" s="191" t="inlineStr">
        <is>
          <t>SI</t>
        </is>
      </c>
    </row>
    <row r="1456" ht="15" customHeight="1" s="162">
      <c r="A1456" s="7" t="n">
        <v>1455</v>
      </c>
      <c r="B1456" t="inlineStr">
        <is>
          <t>1232024245400</t>
        </is>
      </c>
      <c r="C1456" t="inlineStr">
        <is>
          <t>MANG IDENTIF TERMO 3/32" 3:1 POLIOLE AMA</t>
        </is>
      </c>
      <c r="D1456" t="inlineStr">
        <is>
          <t>1800114174</t>
        </is>
      </c>
      <c r="E1456" t="inlineStr">
        <is>
          <t>130</t>
        </is>
      </c>
      <c r="F1456" s="163" t="n">
        <v>45581</v>
      </c>
      <c r="G1456" t="inlineStr"/>
      <c r="H1456" t="inlineStr">
        <is>
          <t>4200583052</t>
        </is>
      </c>
      <c r="I1456" t="inlineStr">
        <is>
          <t>10</t>
        </is>
      </c>
      <c r="J1456" s="163" t="n">
        <v>45590</v>
      </c>
      <c r="K1456" s="163" t="n">
        <v>45696</v>
      </c>
      <c r="L1456" t="inlineStr"/>
      <c r="M1456" s="163" t="n">
        <v>45602</v>
      </c>
      <c r="N1456" s="164" t="n">
        <v>45</v>
      </c>
      <c r="O1456" s="164" t="n">
        <v>8</v>
      </c>
      <c r="P1456" t="inlineStr">
        <is>
          <t>Liberado</t>
        </is>
      </c>
      <c r="Q1456" s="165" t="n">
        <v>300</v>
      </c>
      <c r="R1456" s="165" t="n">
        <v>300</v>
      </c>
      <c r="S1456" s="165" t="n">
        <v>300</v>
      </c>
      <c r="T1456" s="165" t="n">
        <v>0</v>
      </c>
      <c r="U1456" s="166" t="n">
        <v>300</v>
      </c>
      <c r="V1456" s="166" t="n">
        <v>0</v>
      </c>
      <c r="W1456" t="inlineStr">
        <is>
          <t>X</t>
        </is>
      </c>
      <c r="X1456" t="inlineStr">
        <is>
          <t>0.00</t>
        </is>
      </c>
      <c r="Y1456" t="inlineStr"/>
      <c r="Z1456" t="inlineStr">
        <is>
          <t>TTI INC.</t>
        </is>
      </c>
      <c r="AA1456" t="inlineStr">
        <is>
          <t>TE CONNECTIVITY</t>
        </is>
      </c>
      <c r="AB1456" t="inlineStr">
        <is>
          <t>TMS-SCE-3/32-2.0-4</t>
        </is>
      </c>
      <c r="AC1456" t="inlineStr"/>
      <c r="AD1456" s="164" t="n">
        <v>0</v>
      </c>
      <c r="AE1456" s="185" t="n">
        <v>0</v>
      </c>
      <c r="AG1456" s="167" t="inlineStr">
        <is>
          <t>7218|JA2583_1001</t>
        </is>
      </c>
      <c r="AH1456" s="47">
        <f>IF(M1456=0,"-",M1456-J1456)</f>
        <v/>
      </c>
      <c r="AI1456" s="46">
        <f>IF(AND(S1456=0,M1456&gt;0,L1456=0),IF(AH1456&gt;=120,"VERY HIGH",IF(AH1456&gt;=90,"HIGH",IF(AH1456&gt;=60,"MEDIUM",IF(AH1456&lt;60,"LOW")))),"-")</f>
        <v/>
      </c>
      <c r="AJ1456" s="12" t="n"/>
      <c r="AK1456" s="53">
        <f>IF(AND(W1456="X",M1456&lt;=$AJ$2),"YES","")</f>
        <v/>
      </c>
      <c r="AL1456" s="54">
        <f>IF(AND(W1456="X",M1456&lt;=$AJ$2),S1456,"")</f>
        <v/>
      </c>
      <c r="AM1456" s="35" t="n"/>
      <c r="AN1456" s="35">
        <f>IF(AND(W1456="X",M1456&gt;$AJ$2),S1456,"")</f>
        <v/>
      </c>
      <c r="AO1456" s="35">
        <f>IF(AND(W1456="",M1456&gt;0,$AJ$2&gt;M1456,L1456=""),1,0)</f>
        <v/>
      </c>
      <c r="AP1456" s="35">
        <f>IF(AND(AK1456="YES",W1456="X"),"X","")</f>
        <v/>
      </c>
      <c r="AQ1456" s="55">
        <f>IF(AP1456="X",100%,0%)</f>
        <v/>
      </c>
      <c r="AR1456" s="25">
        <f>IF(AND(T1456&gt;0,L1456=""),H1456,"")</f>
        <v/>
      </c>
      <c r="AS1456" s="25">
        <f>IF(AND(D1456&gt;0,H1456=0,G1456=""),1,"")</f>
        <v/>
      </c>
      <c r="AT1456" s="25">
        <f>IF(G1456="BLOQ",1,"")</f>
        <v/>
      </c>
      <c r="AU1456" s="25">
        <f>IF(L1456="BLOQ",1,"")</f>
        <v/>
      </c>
      <c r="AV1456" s="25">
        <f>MONTH(F1456)</f>
        <v/>
      </c>
      <c r="AW1456" s="65">
        <f>IF(AP1456="",100%,0%)</f>
        <v/>
      </c>
      <c r="AX1456" s="56" t="n"/>
      <c r="AY1456" s="24">
        <f>IF(M1456=0,"",M1456-$AX$2)</f>
        <v/>
      </c>
      <c r="AZ1456" s="66">
        <f>IF(AND(W1456="",AY1456&gt;0,AY1456&lt;15),1,0)</f>
        <v/>
      </c>
      <c r="BA1456" s="24">
        <f>IF(AND(W1456="",AY1456&gt;0,AY1456&lt;15),T1456,"")</f>
        <v/>
      </c>
      <c r="BB1456" s="87">
        <f>IF(R1456&lt;Q1456,"X","")</f>
        <v/>
      </c>
      <c r="BC1456" s="190" t="inlineStr">
        <is>
          <t>NO</t>
        </is>
      </c>
      <c r="BD1456" s="191" t="inlineStr">
        <is>
          <t>SI</t>
        </is>
      </c>
    </row>
    <row r="1457" ht="15" customHeight="1" s="162">
      <c r="A1457" s="7" t="n">
        <v>1456</v>
      </c>
      <c r="B1457" t="inlineStr">
        <is>
          <t>1263516109001</t>
        </is>
      </c>
      <c r="C1457" t="inlineStr">
        <is>
          <t>MOD SALIDA F.A. 6-15VDC 20A 240W XGEN</t>
        </is>
      </c>
      <c r="D1457" t="inlineStr">
        <is>
          <t>1800114174</t>
        </is>
      </c>
      <c r="E1457" t="inlineStr">
        <is>
          <t>140</t>
        </is>
      </c>
      <c r="F1457" s="163" t="n">
        <v>45581</v>
      </c>
      <c r="G1457" t="inlineStr"/>
      <c r="H1457" t="inlineStr">
        <is>
          <t>4200582279</t>
        </is>
      </c>
      <c r="I1457" t="inlineStr">
        <is>
          <t>10</t>
        </is>
      </c>
      <c r="J1457" s="163" t="n">
        <v>45587</v>
      </c>
      <c r="K1457" s="163" t="n">
        <v>45587</v>
      </c>
      <c r="L1457" t="inlineStr"/>
      <c r="M1457" s="163" t="n">
        <v>45606</v>
      </c>
      <c r="N1457" s="164" t="n">
        <v>30</v>
      </c>
      <c r="O1457" s="164" t="n">
        <v>8</v>
      </c>
      <c r="P1457" t="inlineStr">
        <is>
          <t>Liberado</t>
        </is>
      </c>
      <c r="Q1457" s="165" t="n">
        <v>2</v>
      </c>
      <c r="R1457" s="165" t="n">
        <v>2</v>
      </c>
      <c r="S1457" s="165" t="n">
        <v>2</v>
      </c>
      <c r="T1457" s="165" t="n">
        <v>0</v>
      </c>
      <c r="U1457" s="166" t="n">
        <v>2</v>
      </c>
      <c r="V1457" s="166" t="n">
        <v>0</v>
      </c>
      <c r="W1457" t="inlineStr">
        <is>
          <t>X</t>
        </is>
      </c>
      <c r="X1457" t="inlineStr">
        <is>
          <t>0.00</t>
        </is>
      </c>
      <c r="Y1457" t="inlineStr"/>
      <c r="Z1457" t="inlineStr">
        <is>
          <t>MILEXIA IBÉRICA, S.A.U.</t>
        </is>
      </c>
      <c r="AA1457" t="inlineStr">
        <is>
          <t>EXCELSYS TECHNOLOGIES</t>
        </is>
      </c>
      <c r="AB1457" t="inlineStr">
        <is>
          <t>XG3</t>
        </is>
      </c>
      <c r="AC1457" t="inlineStr"/>
      <c r="AD1457" s="164" t="n">
        <v>0</v>
      </c>
      <c r="AE1457" s="185" t="n">
        <v>0</v>
      </c>
      <c r="AG1457" s="167" t="inlineStr">
        <is>
          <t>7218|JA2583_1001</t>
        </is>
      </c>
      <c r="AH1457" s="47">
        <f>IF(M1457=0,"-",M1457-J1457)</f>
        <v/>
      </c>
      <c r="AI1457" s="46">
        <f>IF(AND(S1457=0,M1457&gt;0,L1457=0),IF(AH1457&gt;=120,"VERY HIGH",IF(AH1457&gt;=90,"HIGH",IF(AH1457&gt;=60,"MEDIUM",IF(AH1457&lt;60,"LOW")))),"-")</f>
        <v/>
      </c>
      <c r="AJ1457" s="12" t="n"/>
      <c r="AK1457" s="53">
        <f>IF(AND(W1457="X",M1457&lt;=$AJ$2),"YES","")</f>
        <v/>
      </c>
      <c r="AL1457" s="54">
        <f>IF(AND(W1457="X",M1457&lt;=$AJ$2),S1457,"")</f>
        <v/>
      </c>
      <c r="AM1457" s="35" t="n"/>
      <c r="AN1457" s="35">
        <f>IF(AND(W1457="X",M1457&gt;$AJ$2),S1457,"")</f>
        <v/>
      </c>
      <c r="AO1457" s="35">
        <f>IF(AND(W1457="",M1457&gt;0,$AJ$2&gt;M1457,L1457=""),1,0)</f>
        <v/>
      </c>
      <c r="AP1457" s="35">
        <f>IF(AND(AK1457="YES",W1457="X"),"X","")</f>
        <v/>
      </c>
      <c r="AQ1457" s="55">
        <f>IF(AP1457="X",100%,0%)</f>
        <v/>
      </c>
      <c r="AR1457" s="25">
        <f>IF(AND(T1457&gt;0,L1457=""),H1457,"")</f>
        <v/>
      </c>
      <c r="AS1457" s="25">
        <f>IF(AND(D1457&gt;0,H1457=0,G1457=""),1,"")</f>
        <v/>
      </c>
      <c r="AT1457" s="25">
        <f>IF(G1457="BLOQ",1,"")</f>
        <v/>
      </c>
      <c r="AU1457" s="25">
        <f>IF(L1457="BLOQ",1,"")</f>
        <v/>
      </c>
      <c r="AV1457" s="25">
        <f>MONTH(F1457)</f>
        <v/>
      </c>
      <c r="AW1457" s="65">
        <f>IF(AP1457="",100%,0%)</f>
        <v/>
      </c>
      <c r="AX1457" s="56" t="n"/>
      <c r="AY1457" s="24">
        <f>IF(M1457=0,"",M1457-$AX$2)</f>
        <v/>
      </c>
      <c r="AZ1457" s="66">
        <f>IF(AND(W1457="",AY1457&gt;0,AY1457&lt;15),1,0)</f>
        <v/>
      </c>
      <c r="BA1457" s="24">
        <f>IF(AND(W1457="",AY1457&gt;0,AY1457&lt;15),T1457,"")</f>
        <v/>
      </c>
      <c r="BB1457" s="87">
        <f>IF(R1457&lt;Q1457,"X","")</f>
        <v/>
      </c>
      <c r="BC1457" s="191" t="inlineStr">
        <is>
          <t>SI</t>
        </is>
      </c>
      <c r="BD1457" s="191" t="inlineStr">
        <is>
          <t>SI</t>
        </is>
      </c>
    </row>
    <row r="1458" ht="15" customHeight="1" s="162">
      <c r="A1458" s="7" t="n">
        <v>1457</v>
      </c>
      <c r="B1458" t="inlineStr">
        <is>
          <t>1530116000003</t>
        </is>
      </c>
      <c r="C1458" t="inlineStr">
        <is>
          <t>TUERCA EX. M6 DIN-934 A4-80</t>
        </is>
      </c>
      <c r="D1458" t="inlineStr">
        <is>
          <t>1800114174</t>
        </is>
      </c>
      <c r="E1458" t="inlineStr">
        <is>
          <t>150</t>
        </is>
      </c>
      <c r="F1458" s="163" t="n">
        <v>45581</v>
      </c>
      <c r="G1458" t="inlineStr"/>
      <c r="H1458" t="inlineStr">
        <is>
          <t>4200584526</t>
        </is>
      </c>
      <c r="I1458" t="inlineStr">
        <is>
          <t>10</t>
        </is>
      </c>
      <c r="J1458" s="163" t="n">
        <v>45602</v>
      </c>
      <c r="K1458" s="163" t="n">
        <v>45603</v>
      </c>
      <c r="L1458" t="inlineStr"/>
      <c r="M1458" s="163" t="n">
        <v>45609</v>
      </c>
      <c r="N1458" s="164" t="n">
        <v>90</v>
      </c>
      <c r="O1458" s="164" t="n">
        <v>8</v>
      </c>
      <c r="P1458" t="inlineStr">
        <is>
          <t>Liberado</t>
        </is>
      </c>
      <c r="Q1458" s="165" t="n">
        <v>5</v>
      </c>
      <c r="R1458" s="165" t="n">
        <v>5</v>
      </c>
      <c r="S1458" s="165" t="n">
        <v>5</v>
      </c>
      <c r="T1458" s="165" t="n">
        <v>0</v>
      </c>
      <c r="U1458" s="166" t="n">
        <v>5</v>
      </c>
      <c r="V1458" s="166" t="n">
        <v>0</v>
      </c>
      <c r="W1458" t="inlineStr">
        <is>
          <t>X</t>
        </is>
      </c>
      <c r="X1458" t="inlineStr">
        <is>
          <t>0.00</t>
        </is>
      </c>
      <c r="Y1458" t="inlineStr"/>
      <c r="Z1458" t="inlineStr">
        <is>
          <t>EUROPEAN AGENCY MENK</t>
        </is>
      </c>
      <c r="AA1458" t="inlineStr">
        <is>
          <t>DIN</t>
        </is>
      </c>
      <c r="AB1458" t="inlineStr">
        <is>
          <t>DIN934-M6-A4-80</t>
        </is>
      </c>
      <c r="AC1458" t="inlineStr"/>
      <c r="AD1458" s="164" t="n">
        <v>0</v>
      </c>
      <c r="AE1458" s="185" t="n">
        <v>0</v>
      </c>
      <c r="AG1458" s="167" t="inlineStr">
        <is>
          <t>7218|JA2583_1001</t>
        </is>
      </c>
      <c r="AH1458" s="47">
        <f>IF(M1458=0,"-",M1458-J1458)</f>
        <v/>
      </c>
      <c r="AI1458" s="46">
        <f>IF(AND(S1458=0,M1458&gt;0,L1458=0),IF(AH1458&gt;=120,"VERY HIGH",IF(AH1458&gt;=90,"HIGH",IF(AH1458&gt;=60,"MEDIUM",IF(AH1458&lt;60,"LOW")))),"-")</f>
        <v/>
      </c>
      <c r="AJ1458" s="12" t="n"/>
      <c r="AK1458" s="53">
        <f>IF(AND(W1458="X",M1458&lt;=$AJ$2),"YES","")</f>
        <v/>
      </c>
      <c r="AL1458" s="54">
        <f>IF(AND(W1458="X",M1458&lt;=$AJ$2),S1458,"")</f>
        <v/>
      </c>
      <c r="AM1458" s="35" t="n"/>
      <c r="AN1458" s="35">
        <f>IF(AND(W1458="X",M1458&gt;$AJ$2),S1458,"")</f>
        <v/>
      </c>
      <c r="AO1458" s="35">
        <f>IF(AND(W1458="",M1458&gt;0,$AJ$2&gt;M1458,L1458=""),1,0)</f>
        <v/>
      </c>
      <c r="AP1458" s="35">
        <f>IF(AND(AK1458="YES",W1458="X"),"X","")</f>
        <v/>
      </c>
      <c r="AQ1458" s="55">
        <f>IF(AP1458="X",100%,0%)</f>
        <v/>
      </c>
      <c r="AR1458" s="25">
        <f>IF(AND(T1458&gt;0,L1458=""),H1458,"")</f>
        <v/>
      </c>
      <c r="AS1458" s="25">
        <f>IF(AND(D1458&gt;0,H1458=0,G1458=""),1,"")</f>
        <v/>
      </c>
      <c r="AT1458" s="25">
        <f>IF(G1458="BLOQ",1,"")</f>
        <v/>
      </c>
      <c r="AU1458" s="25">
        <f>IF(L1458="BLOQ",1,"")</f>
        <v/>
      </c>
      <c r="AV1458" s="25">
        <f>MONTH(F1458)</f>
        <v/>
      </c>
      <c r="AW1458" s="65">
        <f>IF(AP1458="",100%,0%)</f>
        <v/>
      </c>
      <c r="AX1458" s="56" t="n"/>
      <c r="AY1458" s="24">
        <f>IF(M1458=0,"",M1458-$AX$2)</f>
        <v/>
      </c>
      <c r="AZ1458" s="66">
        <f>IF(AND(W1458="",AY1458&gt;0,AY1458&lt;15),1,0)</f>
        <v/>
      </c>
      <c r="BA1458" s="24">
        <f>IF(AND(W1458="",AY1458&gt;0,AY1458&lt;15),T1458,"")</f>
        <v/>
      </c>
      <c r="BB1458" s="87">
        <f>IF(R1458&lt;Q1458,"X","")</f>
        <v/>
      </c>
      <c r="BC1458" s="190" t="inlineStr">
        <is>
          <t>NO</t>
        </is>
      </c>
      <c r="BD1458" s="191" t="inlineStr">
        <is>
          <t>SI</t>
        </is>
      </c>
    </row>
    <row r="1459" ht="15" customHeight="1" s="162">
      <c r="A1459" s="7" t="n">
        <v>1458</v>
      </c>
      <c r="B1459" t="inlineStr">
        <is>
          <t>1530120000001</t>
        </is>
      </c>
      <c r="C1459" t="inlineStr">
        <is>
          <t>TUERCA EX M12 INOX A2 DIN934</t>
        </is>
      </c>
      <c r="D1459" t="inlineStr">
        <is>
          <t>1800114174</t>
        </is>
      </c>
      <c r="E1459" t="inlineStr">
        <is>
          <t>160</t>
        </is>
      </c>
      <c r="F1459" s="163" t="n">
        <v>45581</v>
      </c>
      <c r="G1459" t="inlineStr"/>
      <c r="H1459" t="inlineStr">
        <is>
          <t>4200584596</t>
        </is>
      </c>
      <c r="I1459" t="inlineStr">
        <is>
          <t>10</t>
        </is>
      </c>
      <c r="J1459" s="163" t="n">
        <v>45602</v>
      </c>
      <c r="K1459" s="163" t="n">
        <v>45603</v>
      </c>
      <c r="L1459" t="inlineStr"/>
      <c r="M1459" s="163" t="n">
        <v>45609</v>
      </c>
      <c r="N1459" s="164" t="n">
        <v>60</v>
      </c>
      <c r="O1459" s="164" t="n">
        <v>8</v>
      </c>
      <c r="P1459" t="inlineStr">
        <is>
          <t>Liberado</t>
        </is>
      </c>
      <c r="Q1459" s="165" t="n">
        <v>4</v>
      </c>
      <c r="R1459" s="165" t="n">
        <v>5</v>
      </c>
      <c r="S1459" s="165" t="n">
        <v>5</v>
      </c>
      <c r="T1459" s="165" t="n">
        <v>0</v>
      </c>
      <c r="U1459" s="166" t="n">
        <v>5</v>
      </c>
      <c r="V1459" s="166" t="n">
        <v>0</v>
      </c>
      <c r="W1459" t="inlineStr">
        <is>
          <t>X</t>
        </is>
      </c>
      <c r="X1459" t="inlineStr">
        <is>
          <t>0.00</t>
        </is>
      </c>
      <c r="Y1459" t="inlineStr"/>
      <c r="Z1459" t="inlineStr">
        <is>
          <t>ABACO SUYTEC, S.A.U.</t>
        </is>
      </c>
      <c r="AA1459" t="inlineStr">
        <is>
          <t>DIN</t>
        </is>
      </c>
      <c r="AB1459" t="inlineStr">
        <is>
          <t>DIN934-M12-A2-70</t>
        </is>
      </c>
      <c r="AC1459" t="inlineStr"/>
      <c r="AD1459" s="164" t="n">
        <v>0</v>
      </c>
      <c r="AE1459" s="185" t="n">
        <v>0</v>
      </c>
      <c r="AG1459" s="167" t="inlineStr">
        <is>
          <t>7218|JA2583_1001</t>
        </is>
      </c>
      <c r="AH1459" s="47">
        <f>IF(M1459=0,"-",M1459-J1459)</f>
        <v/>
      </c>
      <c r="AI1459" s="46">
        <f>IF(AND(S1459=0,M1459&gt;0,L1459=0),IF(AH1459&gt;=120,"VERY HIGH",IF(AH1459&gt;=90,"HIGH",IF(AH1459&gt;=60,"MEDIUM",IF(AH1459&lt;60,"LOW")))),"-")</f>
        <v/>
      </c>
      <c r="AJ1459" s="12" t="n"/>
      <c r="AK1459" s="53">
        <f>IF(AND(W1459="X",M1459&lt;=$AJ$2),"YES","")</f>
        <v/>
      </c>
      <c r="AL1459" s="54">
        <f>IF(AND(W1459="X",M1459&lt;=$AJ$2),S1459,"")</f>
        <v/>
      </c>
      <c r="AM1459" s="35" t="n"/>
      <c r="AN1459" s="35">
        <f>IF(AND(W1459="X",M1459&gt;$AJ$2),S1459,"")</f>
        <v/>
      </c>
      <c r="AO1459" s="35">
        <f>IF(AND(W1459="",M1459&gt;0,$AJ$2&gt;M1459,L1459=""),1,0)</f>
        <v/>
      </c>
      <c r="AP1459" s="35">
        <f>IF(AND(AK1459="YES",W1459="X"),"X","")</f>
        <v/>
      </c>
      <c r="AQ1459" s="55">
        <f>IF(AP1459="X",100%,0%)</f>
        <v/>
      </c>
      <c r="AR1459" s="25">
        <f>IF(AND(T1459&gt;0,L1459=""),H1459,"")</f>
        <v/>
      </c>
      <c r="AS1459" s="25">
        <f>IF(AND(D1459&gt;0,H1459=0,G1459=""),1,"")</f>
        <v/>
      </c>
      <c r="AT1459" s="25">
        <f>IF(G1459="BLOQ",1,"")</f>
        <v/>
      </c>
      <c r="AU1459" s="25">
        <f>IF(L1459="BLOQ",1,"")</f>
        <v/>
      </c>
      <c r="AV1459" s="25">
        <f>MONTH(F1459)</f>
        <v/>
      </c>
      <c r="AW1459" s="65">
        <f>IF(AP1459="",100%,0%)</f>
        <v/>
      </c>
      <c r="AX1459" s="56" t="n"/>
      <c r="AY1459" s="24">
        <f>IF(M1459=0,"",M1459-$AX$2)</f>
        <v/>
      </c>
      <c r="AZ1459" s="66">
        <f>IF(AND(W1459="",AY1459&gt;0,AY1459&lt;15),1,0)</f>
        <v/>
      </c>
      <c r="BA1459" s="24">
        <f>IF(AND(W1459="",AY1459&gt;0,AY1459&lt;15),T1459,"")</f>
        <v/>
      </c>
      <c r="BB1459" s="87">
        <f>IF(R1459&lt;Q1459,"X","")</f>
        <v/>
      </c>
      <c r="BC1459" s="190" t="inlineStr">
        <is>
          <t>NO</t>
        </is>
      </c>
      <c r="BD1459" s="191" t="inlineStr">
        <is>
          <t>SI</t>
        </is>
      </c>
    </row>
    <row r="1460" ht="15" customHeight="1" s="162">
      <c r="A1460" s="7" t="n">
        <v>1459</v>
      </c>
      <c r="B1460" t="inlineStr">
        <is>
          <t>1586690870000</t>
        </is>
      </c>
      <c r="C1460" t="inlineStr">
        <is>
          <t>ABRAZADERA TUBO 50MM HEX-RANURADO INOX</t>
        </is>
      </c>
      <c r="D1460" t="inlineStr">
        <is>
          <t>1800114174</t>
        </is>
      </c>
      <c r="E1460" t="inlineStr">
        <is>
          <t>170</t>
        </is>
      </c>
      <c r="F1460" s="163" t="n">
        <v>45581</v>
      </c>
      <c r="G1460" t="inlineStr"/>
      <c r="H1460" t="inlineStr">
        <is>
          <t>4200584535</t>
        </is>
      </c>
      <c r="I1460" t="inlineStr">
        <is>
          <t>10</t>
        </is>
      </c>
      <c r="J1460" s="163" t="n">
        <v>45602</v>
      </c>
      <c r="K1460" s="163" t="n">
        <v>45603</v>
      </c>
      <c r="L1460" t="inlineStr"/>
      <c r="M1460" s="163" t="n">
        <v>45614</v>
      </c>
      <c r="N1460" s="164" t="n">
        <v>40</v>
      </c>
      <c r="O1460" s="164" t="n">
        <v>8</v>
      </c>
      <c r="P1460" t="inlineStr">
        <is>
          <t>Liberado</t>
        </is>
      </c>
      <c r="Q1460" s="165" t="n">
        <v>4</v>
      </c>
      <c r="R1460" s="165" t="n">
        <v>5</v>
      </c>
      <c r="S1460" s="165" t="n">
        <v>5</v>
      </c>
      <c r="T1460" s="165" t="n">
        <v>0</v>
      </c>
      <c r="U1460" s="166" t="n">
        <v>5</v>
      </c>
      <c r="V1460" s="166" t="n">
        <v>0</v>
      </c>
      <c r="W1460" t="inlineStr">
        <is>
          <t>X</t>
        </is>
      </c>
      <c r="X1460" t="inlineStr">
        <is>
          <t>0.00</t>
        </is>
      </c>
      <c r="Y1460" t="inlineStr"/>
      <c r="Z1460" t="inlineStr">
        <is>
          <t>Technipol Suministros, S.L.</t>
        </is>
      </c>
      <c r="AA1460" t="inlineStr">
        <is>
          <t>JCS HI-TORQUE</t>
        </is>
      </c>
      <c r="AB1460" t="inlineStr">
        <is>
          <t>HTJ50P</t>
        </is>
      </c>
      <c r="AC1460" t="inlineStr"/>
      <c r="AD1460" s="164" t="n">
        <v>0</v>
      </c>
      <c r="AE1460" s="185" t="n">
        <v>0</v>
      </c>
      <c r="AG1460" s="167" t="inlineStr">
        <is>
          <t>7218|JA2583_1001</t>
        </is>
      </c>
      <c r="AH1460" s="47">
        <f>IF(M1460=0,"-",M1460-J1460)</f>
        <v/>
      </c>
      <c r="AI1460" s="46">
        <f>IF(AND(S1460=0,M1460&gt;0,L1460=0),IF(AH1460&gt;=120,"VERY HIGH",IF(AH1460&gt;=90,"HIGH",IF(AH1460&gt;=60,"MEDIUM",IF(AH1460&lt;60,"LOW")))),"-")</f>
        <v/>
      </c>
      <c r="AJ1460" s="12" t="n"/>
      <c r="AK1460" s="53">
        <f>IF(AND(W1460="X",M1460&lt;=$AJ$2),"YES","")</f>
        <v/>
      </c>
      <c r="AL1460" s="54">
        <f>IF(AND(W1460="X",M1460&lt;=$AJ$2),S1460,"")</f>
        <v/>
      </c>
      <c r="AM1460" s="35" t="n"/>
      <c r="AN1460" s="35">
        <f>IF(AND(W1460="X",M1460&gt;$AJ$2),S1460,"")</f>
        <v/>
      </c>
      <c r="AO1460" s="35">
        <f>IF(AND(W1460="",M1460&gt;0,$AJ$2&gt;M1460,L1460=""),1,0)</f>
        <v/>
      </c>
      <c r="AP1460" s="35">
        <f>IF(AND(AK1460="YES",W1460="X"),"X","")</f>
        <v/>
      </c>
      <c r="AQ1460" s="55">
        <f>IF(AP1460="X",100%,0%)</f>
        <v/>
      </c>
      <c r="AR1460" s="25">
        <f>IF(AND(T1460&gt;0,L1460=""),H1460,"")</f>
        <v/>
      </c>
      <c r="AS1460" s="25">
        <f>IF(AND(D1460&gt;0,H1460=0,G1460=""),1,"")</f>
        <v/>
      </c>
      <c r="AT1460" s="25">
        <f>IF(G1460="BLOQ",1,"")</f>
        <v/>
      </c>
      <c r="AU1460" s="25">
        <f>IF(L1460="BLOQ",1,"")</f>
        <v/>
      </c>
      <c r="AV1460" s="25">
        <f>MONTH(F1460)</f>
        <v/>
      </c>
      <c r="AW1460" s="65">
        <f>IF(AP1460="",100%,0%)</f>
        <v/>
      </c>
      <c r="AX1460" s="56" t="n"/>
      <c r="AY1460" s="24">
        <f>IF(M1460=0,"",M1460-$AX$2)</f>
        <v/>
      </c>
      <c r="AZ1460" s="66">
        <f>IF(AND(W1460="",AY1460&gt;0,AY1460&lt;15),1,0)</f>
        <v/>
      </c>
      <c r="BA1460" s="24">
        <f>IF(AND(W1460="",AY1460&gt;0,AY1460&lt;15),T1460,"")</f>
        <v/>
      </c>
      <c r="BB1460" s="87">
        <f>IF(R1460&lt;Q1460,"X","")</f>
        <v/>
      </c>
      <c r="BC1460" s="190" t="inlineStr">
        <is>
          <t>NO</t>
        </is>
      </c>
      <c r="BD1460" s="191" t="inlineStr">
        <is>
          <t>SI</t>
        </is>
      </c>
    </row>
    <row r="1461" ht="15" customHeight="1" s="162">
      <c r="A1461" s="7" t="n">
        <v>1460</v>
      </c>
      <c r="B1461" t="inlineStr">
        <is>
          <t>1706500052500</t>
        </is>
      </c>
      <c r="C1461" t="inlineStr">
        <is>
          <t>BANDEJA EST VENT 1U 7" AC NEG P/RACK 19"</t>
        </is>
      </c>
      <c r="D1461" t="inlineStr">
        <is>
          <t>1800114174</t>
        </is>
      </c>
      <c r="E1461" t="inlineStr">
        <is>
          <t>180</t>
        </is>
      </c>
      <c r="F1461" s="163" t="n">
        <v>45581</v>
      </c>
      <c r="G1461" t="inlineStr"/>
      <c r="H1461" t="inlineStr">
        <is>
          <t>4200584810</t>
        </is>
      </c>
      <c r="I1461" t="inlineStr">
        <is>
          <t>10</t>
        </is>
      </c>
      <c r="J1461" s="163" t="n">
        <v>45604</v>
      </c>
      <c r="K1461" s="163" t="n">
        <v>45607</v>
      </c>
      <c r="L1461" t="inlineStr"/>
      <c r="M1461" s="163" t="n">
        <v>45609</v>
      </c>
      <c r="N1461" s="164" t="n">
        <v>40</v>
      </c>
      <c r="O1461" s="164" t="n">
        <v>8</v>
      </c>
      <c r="P1461" t="inlineStr">
        <is>
          <t>Liberado</t>
        </is>
      </c>
      <c r="Q1461" s="165" t="n">
        <v>8</v>
      </c>
      <c r="R1461" s="165" t="n">
        <v>8</v>
      </c>
      <c r="S1461" s="165" t="n">
        <v>8</v>
      </c>
      <c r="T1461" s="165" t="n">
        <v>0</v>
      </c>
      <c r="U1461" s="166" t="n">
        <v>8</v>
      </c>
      <c r="V1461" s="166" t="n">
        <v>0</v>
      </c>
      <c r="W1461" t="inlineStr">
        <is>
          <t>X</t>
        </is>
      </c>
      <c r="X1461" t="inlineStr">
        <is>
          <t>0.00</t>
        </is>
      </c>
      <c r="Y1461" t="inlineStr"/>
      <c r="Z1461" t="inlineStr">
        <is>
          <t>INFORMATICA CALCULO Y TECNICA, S.A.</t>
        </is>
      </c>
      <c r="AA1461" t="inlineStr">
        <is>
          <t>STARTECH.COM LTD</t>
        </is>
      </c>
      <c r="AB1461" t="inlineStr">
        <is>
          <t>CABSHELF1U7V</t>
        </is>
      </c>
      <c r="AC1461" t="inlineStr"/>
      <c r="AD1461" s="164" t="n">
        <v>0</v>
      </c>
      <c r="AE1461" s="185" t="n">
        <v>0</v>
      </c>
      <c r="AG1461" s="167" t="inlineStr">
        <is>
          <t>7218|JA2583_1001</t>
        </is>
      </c>
      <c r="AH1461" s="47">
        <f>IF(M1461=0,"-",M1461-J1461)</f>
        <v/>
      </c>
      <c r="AI1461" s="46">
        <f>IF(AND(S1461=0,M1461&gt;0,L1461=0),IF(AH1461&gt;=120,"VERY HIGH",IF(AH1461&gt;=90,"HIGH",IF(AH1461&gt;=60,"MEDIUM",IF(AH1461&lt;60,"LOW")))),"-")</f>
        <v/>
      </c>
      <c r="AJ1461" s="12" t="n"/>
      <c r="AK1461" s="53">
        <f>IF(AND(W1461="X",M1461&lt;=$AJ$2),"YES","")</f>
        <v/>
      </c>
      <c r="AL1461" s="54">
        <f>IF(AND(W1461="X",M1461&lt;=$AJ$2),S1461,"")</f>
        <v/>
      </c>
      <c r="AM1461" s="35" t="n"/>
      <c r="AN1461" s="35">
        <f>IF(AND(W1461="X",M1461&gt;$AJ$2),S1461,"")</f>
        <v/>
      </c>
      <c r="AO1461" s="35">
        <f>IF(AND(W1461="",M1461&gt;0,$AJ$2&gt;M1461,L1461=""),1,0)</f>
        <v/>
      </c>
      <c r="AP1461" s="35">
        <f>IF(AND(AK1461="YES",W1461="X"),"X","")</f>
        <v/>
      </c>
      <c r="AQ1461" s="55">
        <f>IF(AP1461="X",100%,0%)</f>
        <v/>
      </c>
      <c r="AR1461" s="25">
        <f>IF(AND(T1461&gt;0,L1461=""),H1461,"")</f>
        <v/>
      </c>
      <c r="AS1461" s="25">
        <f>IF(AND(D1461&gt;0,H1461=0,G1461=""),1,"")</f>
        <v/>
      </c>
      <c r="AT1461" s="25">
        <f>IF(G1461="BLOQ",1,"")</f>
        <v/>
      </c>
      <c r="AU1461" s="25">
        <f>IF(L1461="BLOQ",1,"")</f>
        <v/>
      </c>
      <c r="AV1461" s="25">
        <f>MONTH(F1461)</f>
        <v/>
      </c>
      <c r="AW1461" s="65">
        <f>IF(AP1461="",100%,0%)</f>
        <v/>
      </c>
      <c r="AX1461" s="56" t="n"/>
      <c r="AY1461" s="24">
        <f>IF(M1461=0,"",M1461-$AX$2)</f>
        <v/>
      </c>
      <c r="AZ1461" s="66">
        <f>IF(AND(W1461="",AY1461&gt;0,AY1461&lt;15),1,0)</f>
        <v/>
      </c>
      <c r="BA1461" s="24">
        <f>IF(AND(W1461="",AY1461&gt;0,AY1461&lt;15),T1461,"")</f>
        <v/>
      </c>
      <c r="BB1461" s="87">
        <f>IF(R1461&lt;Q1461,"X","")</f>
        <v/>
      </c>
      <c r="BC1461" s="191" t="inlineStr">
        <is>
          <t>SI</t>
        </is>
      </c>
      <c r="BD1461" s="191" t="inlineStr">
        <is>
          <t>SI</t>
        </is>
      </c>
    </row>
    <row r="1462" ht="15" customHeight="1" s="162">
      <c r="A1462" s="7" t="n">
        <v>1461</v>
      </c>
      <c r="B1462" t="inlineStr">
        <is>
          <t>1706500052600</t>
        </is>
      </c>
      <c r="C1462" t="inlineStr">
        <is>
          <t>BANDEJA AJUST 1U 16-24" AC NEG P/RACK19"</t>
        </is>
      </c>
      <c r="D1462" t="inlineStr">
        <is>
          <t>1800114174</t>
        </is>
      </c>
      <c r="E1462" t="inlineStr">
        <is>
          <t>190</t>
        </is>
      </c>
      <c r="F1462" s="163" t="n">
        <v>45581</v>
      </c>
      <c r="G1462" t="inlineStr"/>
      <c r="H1462" t="inlineStr">
        <is>
          <t>4200584810</t>
        </is>
      </c>
      <c r="I1462" t="inlineStr">
        <is>
          <t>20</t>
        </is>
      </c>
      <c r="J1462" s="163" t="n">
        <v>45604</v>
      </c>
      <c r="K1462" s="163" t="n">
        <v>45607</v>
      </c>
      <c r="L1462" t="inlineStr"/>
      <c r="M1462" s="163" t="n">
        <v>45630</v>
      </c>
      <c r="N1462" s="164" t="n">
        <v>40</v>
      </c>
      <c r="O1462" s="164" t="n">
        <v>8</v>
      </c>
      <c r="P1462" t="inlineStr">
        <is>
          <t>Liberado</t>
        </is>
      </c>
      <c r="Q1462" s="165" t="n">
        <v>8</v>
      </c>
      <c r="R1462" s="165" t="n">
        <v>8</v>
      </c>
      <c r="S1462" s="165" t="n">
        <v>8</v>
      </c>
      <c r="T1462" s="165" t="n">
        <v>0</v>
      </c>
      <c r="U1462" s="166" t="n">
        <v>8</v>
      </c>
      <c r="V1462" s="166" t="n">
        <v>0</v>
      </c>
      <c r="W1462" t="inlineStr">
        <is>
          <t>X</t>
        </is>
      </c>
      <c r="X1462" t="inlineStr">
        <is>
          <t>0.00</t>
        </is>
      </c>
      <c r="Y1462" t="inlineStr"/>
      <c r="Z1462" t="inlineStr">
        <is>
          <t>INFORMATICA CALCULO Y TECNICA, S.A.</t>
        </is>
      </c>
      <c r="AA1462" t="inlineStr">
        <is>
          <t>APC</t>
        </is>
      </c>
      <c r="AB1462" t="inlineStr">
        <is>
          <t>AR8125</t>
        </is>
      </c>
      <c r="AC1462" t="inlineStr"/>
      <c r="AD1462" s="164" t="n">
        <v>0</v>
      </c>
      <c r="AE1462" s="185" t="n">
        <v>0</v>
      </c>
      <c r="AG1462" s="167" t="inlineStr">
        <is>
          <t>7218|JA2583_1001</t>
        </is>
      </c>
      <c r="AH1462" s="47">
        <f>IF(M1462=0,"-",M1462-J1462)</f>
        <v/>
      </c>
      <c r="AI1462" s="46">
        <f>IF(AND(S1462=0,M1462&gt;0,L1462=0),IF(AH1462&gt;=120,"VERY HIGH",IF(AH1462&gt;=90,"HIGH",IF(AH1462&gt;=60,"MEDIUM",IF(AH1462&lt;60,"LOW")))),"-")</f>
        <v/>
      </c>
      <c r="AJ1462" s="12" t="n"/>
      <c r="AK1462" s="53">
        <f>IF(AND(W1462="X",M1462&lt;=$AJ$2),"YES","")</f>
        <v/>
      </c>
      <c r="AL1462" s="54">
        <f>IF(AND(W1462="X",M1462&lt;=$AJ$2),S1462,"")</f>
        <v/>
      </c>
      <c r="AM1462" s="35" t="n"/>
      <c r="AN1462" s="35">
        <f>IF(AND(W1462="X",M1462&gt;$AJ$2),S1462,"")</f>
        <v/>
      </c>
      <c r="AO1462" s="35">
        <f>IF(AND(W1462="",M1462&gt;0,$AJ$2&gt;M1462,L1462=""),1,0)</f>
        <v/>
      </c>
      <c r="AP1462" s="35">
        <f>IF(AND(AK1462="YES",W1462="X"),"X","")</f>
        <v/>
      </c>
      <c r="AQ1462" s="55">
        <f>IF(AP1462="X",100%,0%)</f>
        <v/>
      </c>
      <c r="AR1462" s="25">
        <f>IF(AND(T1462&gt;0,L1462=""),H1462,"")</f>
        <v/>
      </c>
      <c r="AS1462" s="25">
        <f>IF(AND(D1462&gt;0,H1462=0,G1462=""),1,"")</f>
        <v/>
      </c>
      <c r="AT1462" s="25">
        <f>IF(G1462="BLOQ",1,"")</f>
        <v/>
      </c>
      <c r="AU1462" s="25">
        <f>IF(L1462="BLOQ",1,"")</f>
        <v/>
      </c>
      <c r="AV1462" s="25">
        <f>MONTH(F1462)</f>
        <v/>
      </c>
      <c r="AW1462" s="65">
        <f>IF(AP1462="",100%,0%)</f>
        <v/>
      </c>
      <c r="AX1462" s="56" t="n"/>
      <c r="AY1462" s="24">
        <f>IF(M1462=0,"",M1462-$AX$2)</f>
        <v/>
      </c>
      <c r="AZ1462" s="66">
        <f>IF(AND(W1462="",AY1462&gt;0,AY1462&lt;15),1,0)</f>
        <v/>
      </c>
      <c r="BA1462" s="24">
        <f>IF(AND(W1462="",AY1462&gt;0,AY1462&lt;15),T1462,"")</f>
        <v/>
      </c>
      <c r="BB1462" s="87">
        <f>IF(R1462&lt;Q1462,"X","")</f>
        <v/>
      </c>
      <c r="BC1462" s="191" t="inlineStr">
        <is>
          <t>SI</t>
        </is>
      </c>
      <c r="BD1462" s="191" t="inlineStr">
        <is>
          <t>SI</t>
        </is>
      </c>
    </row>
    <row r="1463" ht="15" customHeight="1" s="162">
      <c r="A1463" s="7" t="n">
        <v>1462</v>
      </c>
      <c r="B1463" t="inlineStr">
        <is>
          <t>1229590800100</t>
        </is>
      </c>
      <c r="C1463" t="inlineStr">
        <is>
          <t>CB EQUIPADO ALIMENT M/H L=2MTRS /CNC IEC</t>
        </is>
      </c>
      <c r="D1463" t="inlineStr">
        <is>
          <t>1800114176</t>
        </is>
      </c>
      <c r="E1463" t="inlineStr">
        <is>
          <t>10</t>
        </is>
      </c>
      <c r="F1463" s="163" t="n">
        <v>45581</v>
      </c>
      <c r="G1463" t="inlineStr"/>
      <c r="H1463" t="inlineStr">
        <is>
          <t>4200582317</t>
        </is>
      </c>
      <c r="I1463" t="inlineStr">
        <is>
          <t>60</t>
        </is>
      </c>
      <c r="J1463" s="163" t="n">
        <v>45587</v>
      </c>
      <c r="K1463" s="163" t="n">
        <v>45588</v>
      </c>
      <c r="L1463" t="inlineStr"/>
      <c r="M1463" s="163" t="n">
        <v>45606</v>
      </c>
      <c r="N1463" s="164" t="n">
        <v>45</v>
      </c>
      <c r="O1463" s="164" t="n">
        <v>8</v>
      </c>
      <c r="P1463" t="inlineStr">
        <is>
          <t>Liberado</t>
        </is>
      </c>
      <c r="Q1463" s="165" t="n">
        <v>5</v>
      </c>
      <c r="R1463" s="165" t="n">
        <v>5</v>
      </c>
      <c r="S1463" s="165" t="n">
        <v>5</v>
      </c>
      <c r="T1463" s="165" t="n">
        <v>0</v>
      </c>
      <c r="U1463" s="166" t="n">
        <v>5</v>
      </c>
      <c r="V1463" s="166" t="n">
        <v>0</v>
      </c>
      <c r="W1463" t="inlineStr">
        <is>
          <t>X</t>
        </is>
      </c>
      <c r="X1463" t="inlineStr">
        <is>
          <t>0.00</t>
        </is>
      </c>
      <c r="Y1463" t="inlineStr"/>
      <c r="Z1463" t="inlineStr">
        <is>
          <t>TELKRON, S.A.</t>
        </is>
      </c>
      <c r="AA1463" t="inlineStr">
        <is>
          <t>RS</t>
        </is>
      </c>
      <c r="AB1463" t="inlineStr">
        <is>
          <t>487-277</t>
        </is>
      </c>
      <c r="AC1463" t="inlineStr"/>
      <c r="AD1463" s="164" t="n">
        <v>0</v>
      </c>
      <c r="AE1463" s="185" t="n">
        <v>0</v>
      </c>
      <c r="AG1463" s="167" t="inlineStr">
        <is>
          <t>7218|JA2585_1001</t>
        </is>
      </c>
      <c r="AH1463" s="47">
        <f>IF(M1463=0,"-",M1463-J1463)</f>
        <v/>
      </c>
      <c r="AI1463" s="46">
        <f>IF(AND(S1463=0,M1463&gt;0,L1463=0),IF(AH1463&gt;=120,"VERY HIGH",IF(AH1463&gt;=90,"HIGH",IF(AH1463&gt;=60,"MEDIUM",IF(AH1463&lt;60,"LOW")))),"-")</f>
        <v/>
      </c>
      <c r="AJ1463" s="12" t="n"/>
      <c r="AK1463" s="53">
        <f>IF(AND(W1463="X",M1463&lt;=$AJ$2),"YES","")</f>
        <v/>
      </c>
      <c r="AL1463" s="54">
        <f>IF(AND(W1463="X",M1463&lt;=$AJ$2),S1463,"")</f>
        <v/>
      </c>
      <c r="AM1463" s="35" t="n"/>
      <c r="AN1463" s="35">
        <f>IF(AND(W1463="X",M1463&gt;$AJ$2),S1463,"")</f>
        <v/>
      </c>
      <c r="AO1463" s="35">
        <f>IF(AND(W1463="",M1463&gt;0,$AJ$2&gt;M1463,L1463=""),1,0)</f>
        <v/>
      </c>
      <c r="AP1463" s="35">
        <f>IF(AND(AK1463="YES",W1463="X"),"X","")</f>
        <v/>
      </c>
      <c r="AQ1463" s="55">
        <f>IF(AP1463="X",100%,0%)</f>
        <v/>
      </c>
      <c r="AR1463" s="25">
        <f>IF(AND(T1463&gt;0,L1463=""),H1463,"")</f>
        <v/>
      </c>
      <c r="AS1463" s="25">
        <f>IF(AND(D1463&gt;0,H1463=0,G1463=""),1,"")</f>
        <v/>
      </c>
      <c r="AT1463" s="25">
        <f>IF(G1463="BLOQ",1,"")</f>
        <v/>
      </c>
      <c r="AU1463" s="25">
        <f>IF(L1463="BLOQ",1,"")</f>
        <v/>
      </c>
      <c r="AV1463" s="25">
        <f>MONTH(F1463)</f>
        <v/>
      </c>
      <c r="AW1463" s="65">
        <f>IF(AP1463="",100%,0%)</f>
        <v/>
      </c>
      <c r="AX1463" s="56" t="n"/>
      <c r="AY1463" s="24">
        <f>IF(M1463=0,"",M1463-$AX$2)</f>
        <v/>
      </c>
      <c r="AZ1463" s="66">
        <f>IF(AND(W1463="",AY1463&gt;0,AY1463&lt;15),1,0)</f>
        <v/>
      </c>
      <c r="BA1463" s="24">
        <f>IF(AND(W1463="",AY1463&gt;0,AY1463&lt;15),T1463,"")</f>
        <v/>
      </c>
      <c r="BB1463" s="87">
        <f>IF(R1463&lt;Q1463,"X","")</f>
        <v/>
      </c>
      <c r="BC1463" s="190" t="inlineStr">
        <is>
          <t>NO</t>
        </is>
      </c>
      <c r="BD1463" s="191" t="inlineStr">
        <is>
          <t>SI</t>
        </is>
      </c>
    </row>
    <row r="1464" ht="15" customHeight="1" s="162">
      <c r="A1464" s="7" t="n">
        <v>1463</v>
      </c>
      <c r="B1464" t="inlineStr">
        <is>
          <t>1231025193820</t>
        </is>
      </c>
      <c r="C1464" t="inlineStr">
        <is>
          <t>TUBO TERMO 3/4" 2:1 FLUOPOLYMR CLEAR RHS</t>
        </is>
      </c>
      <c r="D1464" t="inlineStr">
        <is>
          <t>1800114176</t>
        </is>
      </c>
      <c r="E1464" t="inlineStr">
        <is>
          <t>20</t>
        </is>
      </c>
      <c r="F1464" s="163" t="n">
        <v>45581</v>
      </c>
      <c r="G1464" t="inlineStr"/>
      <c r="H1464" t="inlineStr">
        <is>
          <t>4200583884</t>
        </is>
      </c>
      <c r="I1464" t="inlineStr">
        <is>
          <t>20</t>
        </is>
      </c>
      <c r="J1464" s="163" t="n">
        <v>45596</v>
      </c>
      <c r="K1464" s="163" t="n">
        <v>45600</v>
      </c>
      <c r="L1464" t="inlineStr"/>
      <c r="M1464" s="163" t="n">
        <v>45740</v>
      </c>
      <c r="N1464" s="164" t="n">
        <v>30</v>
      </c>
      <c r="O1464" s="164" t="n">
        <v>8</v>
      </c>
      <c r="P1464" t="inlineStr">
        <is>
          <t>Liberado</t>
        </is>
      </c>
      <c r="Q1464" s="165" t="n">
        <v>1</v>
      </c>
      <c r="R1464" s="165" t="n">
        <v>12.5</v>
      </c>
      <c r="S1464" s="165" t="n">
        <v>12.5</v>
      </c>
      <c r="T1464" s="165" t="n">
        <v>0</v>
      </c>
      <c r="U1464" s="166" t="n">
        <v>12.5</v>
      </c>
      <c r="V1464" s="166" t="n">
        <v>0</v>
      </c>
      <c r="W1464" t="inlineStr">
        <is>
          <t>X</t>
        </is>
      </c>
      <c r="X1464" t="inlineStr">
        <is>
          <t>0.00</t>
        </is>
      </c>
      <c r="Y1464" t="inlineStr"/>
      <c r="Z1464" t="inlineStr">
        <is>
          <t>TTI INC.</t>
        </is>
      </c>
      <c r="AA1464" t="inlineStr">
        <is>
          <t>RAYCHEM LTD</t>
        </is>
      </c>
      <c r="AB1464" t="inlineStr">
        <is>
          <t>RW-175-3/4-X</t>
        </is>
      </c>
      <c r="AC1464" t="inlineStr"/>
      <c r="AD1464" s="164" t="n">
        <v>1</v>
      </c>
      <c r="AE1464" s="185" t="n">
        <v>0</v>
      </c>
      <c r="AG1464" s="167" t="inlineStr">
        <is>
          <t>7218|JA2585_1001</t>
        </is>
      </c>
      <c r="AH1464" s="47">
        <f>IF(M1464=0,"-",M1464-J1464)</f>
        <v/>
      </c>
      <c r="AI1464" s="46">
        <f>IF(AND(S1464=0,M1464&gt;0,L1464=0),IF(AH1464&gt;=120,"VERY HIGH",IF(AH1464&gt;=90,"HIGH",IF(AH1464&gt;=60,"MEDIUM",IF(AH1464&lt;60,"LOW")))),"-")</f>
        <v/>
      </c>
      <c r="AJ1464" s="12" t="n"/>
      <c r="AK1464" s="53">
        <f>IF(AND(W1464="X",M1464&lt;=$AJ$2),"YES","")</f>
        <v/>
      </c>
      <c r="AL1464" s="54">
        <f>IF(AND(W1464="X",M1464&lt;=$AJ$2),S1464,"")</f>
        <v/>
      </c>
      <c r="AM1464" s="35" t="n"/>
      <c r="AN1464" s="35">
        <f>IF(AND(W1464="X",M1464&gt;$AJ$2),S1464,"")</f>
        <v/>
      </c>
      <c r="AO1464" s="35">
        <f>IF(AND(W1464="",M1464&gt;0,$AJ$2&gt;M1464,L1464=""),1,0)</f>
        <v/>
      </c>
      <c r="AP1464" s="35">
        <f>IF(AND(AK1464="YES",W1464="X"),"X","")</f>
        <v/>
      </c>
      <c r="AQ1464" s="55">
        <f>IF(AP1464="X",100%,0%)</f>
        <v/>
      </c>
      <c r="AR1464" s="25">
        <f>IF(AND(T1464&gt;0,L1464=""),H1464,"")</f>
        <v/>
      </c>
      <c r="AS1464" s="25">
        <f>IF(AND(D1464&gt;0,H1464=0,G1464=""),1,"")</f>
        <v/>
      </c>
      <c r="AT1464" s="25">
        <f>IF(G1464="BLOQ",1,"")</f>
        <v/>
      </c>
      <c r="AU1464" s="25">
        <f>IF(L1464="BLOQ",1,"")</f>
        <v/>
      </c>
      <c r="AV1464" s="25">
        <f>MONTH(F1464)</f>
        <v/>
      </c>
      <c r="AW1464" s="65">
        <f>IF(AP1464="",100%,0%)</f>
        <v/>
      </c>
      <c r="AX1464" s="56" t="n"/>
      <c r="AY1464" s="24">
        <f>IF(M1464=0,"",M1464-$AX$2)</f>
        <v/>
      </c>
      <c r="AZ1464" s="66">
        <f>IF(AND(W1464="",AY1464&gt;0,AY1464&lt;15),1,0)</f>
        <v/>
      </c>
      <c r="BA1464" s="24">
        <f>IF(AND(W1464="",AY1464&gt;0,AY1464&lt;15),T1464,"")</f>
        <v/>
      </c>
      <c r="BB1464" s="87">
        <f>IF(R1464&lt;Q1464,"X","")</f>
        <v/>
      </c>
      <c r="BC1464" s="190" t="inlineStr">
        <is>
          <t>NO</t>
        </is>
      </c>
      <c r="BD1464" s="191" t="inlineStr">
        <is>
          <t>SI</t>
        </is>
      </c>
    </row>
    <row r="1465" ht="15" customHeight="1" s="162">
      <c r="A1465" s="7" t="n">
        <v>1464</v>
      </c>
      <c r="B1465" t="inlineStr">
        <is>
          <t>1587080790400</t>
        </is>
      </c>
      <c r="C1465" t="inlineStr">
        <is>
          <t>ETIQUETA ADH 35X18MM PE BL BMP71</t>
        </is>
      </c>
      <c r="D1465" t="inlineStr">
        <is>
          <t>1800114176</t>
        </is>
      </c>
      <c r="E1465" t="inlineStr">
        <is>
          <t>30</t>
        </is>
      </c>
      <c r="F1465" s="163" t="n">
        <v>45581</v>
      </c>
      <c r="G1465" t="inlineStr"/>
      <c r="H1465" t="inlineStr">
        <is>
          <t>4200582294</t>
        </is>
      </c>
      <c r="I1465" t="inlineStr">
        <is>
          <t>80</t>
        </is>
      </c>
      <c r="J1465" s="163" t="n">
        <v>45587</v>
      </c>
      <c r="K1465" s="163" t="n">
        <v>45614</v>
      </c>
      <c r="L1465" t="inlineStr"/>
      <c r="M1465" s="163" t="n">
        <v>45606</v>
      </c>
      <c r="N1465" s="164" t="n">
        <v>40</v>
      </c>
      <c r="O1465" s="164" t="n">
        <v>8</v>
      </c>
      <c r="P1465" t="inlineStr">
        <is>
          <t>Liberado</t>
        </is>
      </c>
      <c r="Q1465" s="165" t="n">
        <v>2</v>
      </c>
      <c r="R1465" s="165" t="n">
        <v>2</v>
      </c>
      <c r="S1465" s="165" t="n">
        <v>2</v>
      </c>
      <c r="T1465" s="165" t="n">
        <v>0</v>
      </c>
      <c r="U1465" s="166" t="n">
        <v>2</v>
      </c>
      <c r="V1465" s="166" t="n">
        <v>0</v>
      </c>
      <c r="W1465" t="inlineStr">
        <is>
          <t>X</t>
        </is>
      </c>
      <c r="X1465" t="inlineStr">
        <is>
          <t>0.00</t>
        </is>
      </c>
      <c r="Y1465" t="inlineStr"/>
      <c r="Z1465" t="inlineStr">
        <is>
          <t>MARKABLE SOLUTIONS, S.L.</t>
        </is>
      </c>
      <c r="AA1465" t="inlineStr">
        <is>
          <t>BRADY</t>
        </is>
      </c>
      <c r="AB1465" t="inlineStr">
        <is>
          <t>M71EP-7-7593-SL</t>
        </is>
      </c>
      <c r="AC1465" t="inlineStr"/>
      <c r="AD1465" s="164" t="n">
        <v>0</v>
      </c>
      <c r="AE1465" s="185" t="n">
        <v>0</v>
      </c>
      <c r="AG1465" s="167" t="inlineStr">
        <is>
          <t>7218|JA2585_1001</t>
        </is>
      </c>
      <c r="AH1465" s="47">
        <f>IF(M1465=0,"-",M1465-J1465)</f>
        <v/>
      </c>
      <c r="AI1465" s="46">
        <f>IF(AND(S1465=0,M1465&gt;0,L1465=0),IF(AH1465&gt;=120,"VERY HIGH",IF(AH1465&gt;=90,"HIGH",IF(AH1465&gt;=60,"MEDIUM",IF(AH1465&lt;60,"LOW")))),"-")</f>
        <v/>
      </c>
      <c r="AJ1465" s="12" t="n"/>
      <c r="AK1465" s="53">
        <f>IF(AND(W1465="X",M1465&lt;=$AJ$2),"YES","")</f>
        <v/>
      </c>
      <c r="AL1465" s="54">
        <f>IF(AND(W1465="X",M1465&lt;=$AJ$2),S1465,"")</f>
        <v/>
      </c>
      <c r="AM1465" s="35" t="n"/>
      <c r="AN1465" s="35">
        <f>IF(AND(W1465="X",M1465&gt;$AJ$2),S1465,"")</f>
        <v/>
      </c>
      <c r="AO1465" s="35">
        <f>IF(AND(W1465="",M1465&gt;0,$AJ$2&gt;M1465,L1465=""),1,0)</f>
        <v/>
      </c>
      <c r="AP1465" s="35">
        <f>IF(AND(AK1465="YES",W1465="X"),"X","")</f>
        <v/>
      </c>
      <c r="AQ1465" s="55">
        <f>IF(AP1465="X",100%,0%)</f>
        <v/>
      </c>
      <c r="AR1465" s="25">
        <f>IF(AND(T1465&gt;0,L1465=""),H1465,"")</f>
        <v/>
      </c>
      <c r="AS1465" s="25">
        <f>IF(AND(D1465&gt;0,H1465=0,G1465=""),1,"")</f>
        <v/>
      </c>
      <c r="AT1465" s="25">
        <f>IF(G1465="BLOQ",1,"")</f>
        <v/>
      </c>
      <c r="AU1465" s="25">
        <f>IF(L1465="BLOQ",1,"")</f>
        <v/>
      </c>
      <c r="AV1465" s="25">
        <f>MONTH(F1465)</f>
        <v/>
      </c>
      <c r="AW1465" s="65">
        <f>IF(AP1465="",100%,0%)</f>
        <v/>
      </c>
      <c r="AX1465" s="56" t="n"/>
      <c r="AY1465" s="24">
        <f>IF(M1465=0,"",M1465-$AX$2)</f>
        <v/>
      </c>
      <c r="AZ1465" s="66">
        <f>IF(AND(W1465="",AY1465&gt;0,AY1465&lt;15),1,0)</f>
        <v/>
      </c>
      <c r="BA1465" s="24">
        <f>IF(AND(W1465="",AY1465&gt;0,AY1465&lt;15),T1465,"")</f>
        <v/>
      </c>
      <c r="BB1465" s="87">
        <f>IF(R1465&lt;Q1465,"X","")</f>
        <v/>
      </c>
      <c r="BC1465" s="190" t="inlineStr">
        <is>
          <t>NO</t>
        </is>
      </c>
      <c r="BD1465" s="191" t="inlineStr">
        <is>
          <t>SI</t>
        </is>
      </c>
    </row>
    <row r="1466" ht="15" customHeight="1" s="162">
      <c r="A1466" s="7" t="n">
        <v>1465</v>
      </c>
      <c r="B1466" t="inlineStr">
        <is>
          <t>1589906820000</t>
        </is>
      </c>
      <c r="C1466" t="inlineStr">
        <is>
          <t>CHA IOT CARRIL DIN PERFORAD 955X35X7.5MM</t>
        </is>
      </c>
      <c r="D1466" t="inlineStr">
        <is>
          <t>1800114176</t>
        </is>
      </c>
      <c r="E1466" t="inlineStr">
        <is>
          <t>40</t>
        </is>
      </c>
      <c r="F1466" s="163" t="n">
        <v>45581</v>
      </c>
      <c r="G1466" t="inlineStr"/>
      <c r="H1466" t="inlineStr">
        <is>
          <t>4200584536</t>
        </is>
      </c>
      <c r="I1466" t="inlineStr">
        <is>
          <t>10</t>
        </is>
      </c>
      <c r="J1466" s="163" t="n">
        <v>45602</v>
      </c>
      <c r="K1466" s="163" t="n">
        <v>45603</v>
      </c>
      <c r="L1466" t="inlineStr"/>
      <c r="M1466" s="163" t="n">
        <v>45606</v>
      </c>
      <c r="N1466" s="164" t="n">
        <v>60</v>
      </c>
      <c r="O1466" s="164" t="n">
        <v>8</v>
      </c>
      <c r="P1466" t="inlineStr">
        <is>
          <t>Liberado</t>
        </is>
      </c>
      <c r="Q1466" s="165" t="n">
        <v>1</v>
      </c>
      <c r="R1466" s="165" t="n">
        <v>10</v>
      </c>
      <c r="S1466" s="165" t="n">
        <v>10</v>
      </c>
      <c r="T1466" s="165" t="n">
        <v>0</v>
      </c>
      <c r="U1466" s="166" t="n">
        <v>10</v>
      </c>
      <c r="V1466" s="166" t="n">
        <v>0</v>
      </c>
      <c r="W1466" t="inlineStr">
        <is>
          <t>X</t>
        </is>
      </c>
      <c r="X1466" t="inlineStr">
        <is>
          <t>0.00</t>
        </is>
      </c>
      <c r="Y1466" t="inlineStr"/>
      <c r="Z1466" t="inlineStr">
        <is>
          <t>PHOENIX CONTACT S.A.</t>
        </is>
      </c>
      <c r="AA1466" t="inlineStr">
        <is>
          <t>PHOENIX CONTACT</t>
        </is>
      </c>
      <c r="AB1466" t="inlineStr">
        <is>
          <t>1207653</t>
        </is>
      </c>
      <c r="AC1466" t="inlineStr"/>
      <c r="AD1466" s="164" t="n">
        <v>0</v>
      </c>
      <c r="AE1466" s="185" t="n">
        <v>0</v>
      </c>
      <c r="AG1466" s="167" t="inlineStr">
        <is>
          <t>7218|JA2585_1001</t>
        </is>
      </c>
      <c r="AH1466" s="47">
        <f>IF(M1466=0,"-",M1466-J1466)</f>
        <v/>
      </c>
      <c r="AI1466" s="46">
        <f>IF(AND(S1466=0,M1466&gt;0,L1466=0),IF(AH1466&gt;=120,"VERY HIGH",IF(AH1466&gt;=90,"HIGH",IF(AH1466&gt;=60,"MEDIUM",IF(AH1466&lt;60,"LOW")))),"-")</f>
        <v/>
      </c>
      <c r="AJ1466" s="12" t="n"/>
      <c r="AK1466" s="53">
        <f>IF(AND(W1466="X",M1466&lt;=$AJ$2),"YES","")</f>
        <v/>
      </c>
      <c r="AL1466" s="54">
        <f>IF(AND(W1466="X",M1466&lt;=$AJ$2),S1466,"")</f>
        <v/>
      </c>
      <c r="AM1466" s="35" t="n"/>
      <c r="AN1466" s="35">
        <f>IF(AND(W1466="X",M1466&gt;$AJ$2),S1466,"")</f>
        <v/>
      </c>
      <c r="AO1466" s="35">
        <f>IF(AND(W1466="",M1466&gt;0,$AJ$2&gt;M1466,L1466=""),1,0)</f>
        <v/>
      </c>
      <c r="AP1466" s="35">
        <f>IF(AND(AK1466="YES",W1466="X"),"X","")</f>
        <v/>
      </c>
      <c r="AQ1466" s="55">
        <f>IF(AP1466="X",100%,0%)</f>
        <v/>
      </c>
      <c r="AR1466" s="25">
        <f>IF(AND(T1466&gt;0,L1466=""),H1466,"")</f>
        <v/>
      </c>
      <c r="AS1466" s="25">
        <f>IF(AND(D1466&gt;0,H1466=0,G1466=""),1,"")</f>
        <v/>
      </c>
      <c r="AT1466" s="25">
        <f>IF(G1466="BLOQ",1,"")</f>
        <v/>
      </c>
      <c r="AU1466" s="25">
        <f>IF(L1466="BLOQ",1,"")</f>
        <v/>
      </c>
      <c r="AV1466" s="25">
        <f>MONTH(F1466)</f>
        <v/>
      </c>
      <c r="AW1466" s="65">
        <f>IF(AP1466="",100%,0%)</f>
        <v/>
      </c>
      <c r="AX1466" s="56" t="n"/>
      <c r="AY1466" s="24">
        <f>IF(M1466=0,"",M1466-$AX$2)</f>
        <v/>
      </c>
      <c r="AZ1466" s="66">
        <f>IF(AND(W1466="",AY1466&gt;0,AY1466&lt;15),1,0)</f>
        <v/>
      </c>
      <c r="BA1466" s="24">
        <f>IF(AND(W1466="",AY1466&gt;0,AY1466&lt;15),T1466,"")</f>
        <v/>
      </c>
      <c r="BB1466" s="87">
        <f>IF(R1466&lt;Q1466,"X","")</f>
        <v/>
      </c>
      <c r="BC1466" s="191" t="inlineStr">
        <is>
          <t>SI</t>
        </is>
      </c>
      <c r="BD1466" s="191" t="inlineStr">
        <is>
          <t>SI</t>
        </is>
      </c>
    </row>
    <row r="1467" ht="15" customHeight="1" s="162">
      <c r="A1467" s="7" t="n">
        <v>1466</v>
      </c>
      <c r="B1467" t="inlineStr">
        <is>
          <t>1589990519000</t>
        </is>
      </c>
      <c r="C1467" t="inlineStr">
        <is>
          <t>TOPE FINAL BAM4 CARR DIN POLIAM GRIS OSC</t>
        </is>
      </c>
      <c r="D1467" t="inlineStr">
        <is>
          <t>1800114176</t>
        </is>
      </c>
      <c r="E1467" t="inlineStr">
        <is>
          <t>50</t>
        </is>
      </c>
      <c r="F1467" s="163" t="n">
        <v>45581</v>
      </c>
      <c r="G1467" t="inlineStr"/>
      <c r="H1467" t="inlineStr">
        <is>
          <t>4200584553</t>
        </is>
      </c>
      <c r="I1467" t="inlineStr">
        <is>
          <t>10</t>
        </is>
      </c>
      <c r="J1467" s="163" t="n">
        <v>45602</v>
      </c>
      <c r="K1467" s="163" t="n">
        <v>45603</v>
      </c>
      <c r="L1467" t="inlineStr"/>
      <c r="M1467" s="163" t="n">
        <v>45607</v>
      </c>
      <c r="N1467" s="164" t="n">
        <v>40</v>
      </c>
      <c r="O1467" s="164" t="n">
        <v>8</v>
      </c>
      <c r="P1467" t="inlineStr">
        <is>
          <t>Liberado</t>
        </is>
      </c>
      <c r="Q1467" s="165" t="n">
        <v>2</v>
      </c>
      <c r="R1467" s="165" t="n">
        <v>2</v>
      </c>
      <c r="S1467" s="165" t="n">
        <v>2</v>
      </c>
      <c r="T1467" s="165" t="n">
        <v>0</v>
      </c>
      <c r="U1467" s="166" t="n">
        <v>0</v>
      </c>
      <c r="V1467" s="166" t="n">
        <v>0</v>
      </c>
      <c r="W1467" t="inlineStr">
        <is>
          <t>X</t>
        </is>
      </c>
      <c r="X1467" t="inlineStr">
        <is>
          <t>0.00</t>
        </is>
      </c>
      <c r="Y1467" t="inlineStr"/>
      <c r="Z1467" t="inlineStr">
        <is>
          <t>LUJISA, S.A.</t>
        </is>
      </c>
      <c r="AA1467" t="inlineStr">
        <is>
          <t>TE CONNECTIVITY</t>
        </is>
      </c>
      <c r="AB1467" t="inlineStr">
        <is>
          <t>1SNK900001R0000</t>
        </is>
      </c>
      <c r="AC1467" t="inlineStr"/>
      <c r="AD1467" s="164" t="n">
        <v>0</v>
      </c>
      <c r="AE1467" s="185" t="n">
        <v>0</v>
      </c>
      <c r="AG1467" s="167" t="inlineStr">
        <is>
          <t>7218|JA2585_1001</t>
        </is>
      </c>
      <c r="AH1467" s="47">
        <f>IF(M1467=0,"-",M1467-J1467)</f>
        <v/>
      </c>
      <c r="AI1467" s="46">
        <f>IF(AND(S1467=0,M1467&gt;0,L1467=0),IF(AH1467&gt;=120,"VERY HIGH",IF(AH1467&gt;=90,"HIGH",IF(AH1467&gt;=60,"MEDIUM",IF(AH1467&lt;60,"LOW")))),"-")</f>
        <v/>
      </c>
      <c r="AJ1467" s="12" t="n"/>
      <c r="AK1467" s="53">
        <f>IF(AND(W1467="X",M1467&lt;=$AJ$2),"YES","")</f>
        <v/>
      </c>
      <c r="AL1467" s="54">
        <f>IF(AND(W1467="X",M1467&lt;=$AJ$2),S1467,"")</f>
        <v/>
      </c>
      <c r="AM1467" s="35" t="n"/>
      <c r="AN1467" s="35">
        <f>IF(AND(W1467="X",M1467&gt;$AJ$2),S1467,"")</f>
        <v/>
      </c>
      <c r="AO1467" s="35">
        <f>IF(AND(W1467="",M1467&gt;0,$AJ$2&gt;M1467,L1467=""),1,0)</f>
        <v/>
      </c>
      <c r="AP1467" s="35">
        <f>IF(AND(AK1467="YES",W1467="X"),"X","")</f>
        <v/>
      </c>
      <c r="AQ1467" s="55">
        <f>IF(AP1467="X",100%,0%)</f>
        <v/>
      </c>
      <c r="AR1467" s="25">
        <f>IF(AND(T1467&gt;0,L1467=""),H1467,"")</f>
        <v/>
      </c>
      <c r="AS1467" s="25">
        <f>IF(AND(D1467&gt;0,H1467=0,G1467=""),1,"")</f>
        <v/>
      </c>
      <c r="AT1467" s="25">
        <f>IF(G1467="BLOQ",1,"")</f>
        <v/>
      </c>
      <c r="AU1467" s="25">
        <f>IF(L1467="BLOQ",1,"")</f>
        <v/>
      </c>
      <c r="AV1467" s="25">
        <f>MONTH(F1467)</f>
        <v/>
      </c>
      <c r="AW1467" s="65">
        <f>IF(AP1467="",100%,0%)</f>
        <v/>
      </c>
      <c r="AX1467" s="56" t="n"/>
      <c r="AY1467" s="24">
        <f>IF(M1467=0,"",M1467-$AX$2)</f>
        <v/>
      </c>
      <c r="AZ1467" s="66">
        <f>IF(AND(W1467="",AY1467&gt;0,AY1467&lt;15),1,0)</f>
        <v/>
      </c>
      <c r="BA1467" s="24">
        <f>IF(AND(W1467="",AY1467&gt;0,AY1467&lt;15),T1467,"")</f>
        <v/>
      </c>
      <c r="BB1467" s="87">
        <f>IF(R1467&lt;Q1467,"X","")</f>
        <v/>
      </c>
      <c r="BC1467" s="190" t="inlineStr">
        <is>
          <t>NO</t>
        </is>
      </c>
      <c r="BD1467" s="191" t="inlineStr">
        <is>
          <t>SI</t>
        </is>
      </c>
    </row>
    <row r="1468" ht="15" customHeight="1" s="162">
      <c r="A1468" s="7" t="n">
        <v>1467</v>
      </c>
      <c r="B1468" t="inlineStr">
        <is>
          <t>1709904470000</t>
        </is>
      </c>
      <c r="C1468" t="inlineStr">
        <is>
          <t>ACCESORIO MONTAJE NETSHELTER SX</t>
        </is>
      </c>
      <c r="D1468" t="inlineStr">
        <is>
          <t>1800114176</t>
        </is>
      </c>
      <c r="E1468" t="inlineStr">
        <is>
          <t>60</t>
        </is>
      </c>
      <c r="F1468" s="163" t="n">
        <v>45581</v>
      </c>
      <c r="G1468" t="inlineStr"/>
      <c r="H1468" t="inlineStr">
        <is>
          <t>4200582687</t>
        </is>
      </c>
      <c r="I1468" t="inlineStr">
        <is>
          <t>10</t>
        </is>
      </c>
      <c r="J1468" s="163" t="n">
        <v>45589</v>
      </c>
      <c r="K1468" s="163" t="n">
        <v>45589</v>
      </c>
      <c r="L1468" t="inlineStr"/>
      <c r="M1468" s="163" t="n">
        <v>45617</v>
      </c>
      <c r="N1468" s="164" t="n">
        <v>50</v>
      </c>
      <c r="O1468" s="164" t="n">
        <v>8</v>
      </c>
      <c r="P1468" t="inlineStr">
        <is>
          <t>Liberado</t>
        </is>
      </c>
      <c r="Q1468" s="165" t="n">
        <v>4</v>
      </c>
      <c r="R1468" s="165" t="n">
        <v>4</v>
      </c>
      <c r="S1468" s="165" t="n">
        <v>4</v>
      </c>
      <c r="T1468" s="165" t="n">
        <v>0</v>
      </c>
      <c r="U1468" s="166" t="n">
        <v>4</v>
      </c>
      <c r="V1468" s="166" t="n">
        <v>0</v>
      </c>
      <c r="W1468" t="inlineStr">
        <is>
          <t>X</t>
        </is>
      </c>
      <c r="X1468" t="inlineStr">
        <is>
          <t>0.00</t>
        </is>
      </c>
      <c r="Y1468" t="inlineStr"/>
      <c r="Z1468" t="inlineStr">
        <is>
          <t>TD SYNNEX SPAIN, S.L.U.</t>
        </is>
      </c>
      <c r="AA1468" t="inlineStr">
        <is>
          <t>APC</t>
        </is>
      </c>
      <c r="AB1468" t="inlineStr">
        <is>
          <t>AR7711</t>
        </is>
      </c>
      <c r="AC1468" t="inlineStr"/>
      <c r="AD1468" s="164" t="n">
        <v>0</v>
      </c>
      <c r="AE1468" s="185" t="n">
        <v>0</v>
      </c>
      <c r="AG1468" s="167" t="inlineStr">
        <is>
          <t>7218|JA2585_1001</t>
        </is>
      </c>
      <c r="AH1468" s="47">
        <f>IF(M1468=0,"-",M1468-J1468)</f>
        <v/>
      </c>
      <c r="AI1468" s="46">
        <f>IF(AND(S1468=0,M1468&gt;0,L1468=0),IF(AH1468&gt;=120,"VERY HIGH",IF(AH1468&gt;=90,"HIGH",IF(AH1468&gt;=60,"MEDIUM",IF(AH1468&lt;60,"LOW")))),"-")</f>
        <v/>
      </c>
      <c r="AJ1468" s="12" t="n"/>
      <c r="AK1468" s="53">
        <f>IF(AND(W1468="X",M1468&lt;=$AJ$2),"YES","")</f>
        <v/>
      </c>
      <c r="AL1468" s="54">
        <f>IF(AND(W1468="X",M1468&lt;=$AJ$2),S1468,"")</f>
        <v/>
      </c>
      <c r="AM1468" s="35" t="n"/>
      <c r="AN1468" s="35">
        <f>IF(AND(W1468="X",M1468&gt;$AJ$2),S1468,"")</f>
        <v/>
      </c>
      <c r="AO1468" s="35">
        <f>IF(AND(W1468="",M1468&gt;0,$AJ$2&gt;M1468,L1468=""),1,0)</f>
        <v/>
      </c>
      <c r="AP1468" s="35">
        <f>IF(AND(AK1468="YES",W1468="X"),"X","")</f>
        <v/>
      </c>
      <c r="AQ1468" s="55">
        <f>IF(AP1468="X",100%,0%)</f>
        <v/>
      </c>
      <c r="AR1468" s="25">
        <f>IF(AND(T1468&gt;0,L1468=""),H1468,"")</f>
        <v/>
      </c>
      <c r="AS1468" s="25">
        <f>IF(AND(D1468&gt;0,H1468=0,G1468=""),1,"")</f>
        <v/>
      </c>
      <c r="AT1468" s="25">
        <f>IF(G1468="BLOQ",1,"")</f>
        <v/>
      </c>
      <c r="AU1468" s="25">
        <f>IF(L1468="BLOQ",1,"")</f>
        <v/>
      </c>
      <c r="AV1468" s="25">
        <f>MONTH(F1468)</f>
        <v/>
      </c>
      <c r="AW1468" s="65">
        <f>IF(AP1468="",100%,0%)</f>
        <v/>
      </c>
      <c r="AX1468" s="56" t="n"/>
      <c r="AY1468" s="24">
        <f>IF(M1468=0,"",M1468-$AX$2)</f>
        <v/>
      </c>
      <c r="AZ1468" s="66">
        <f>IF(AND(W1468="",AY1468&gt;0,AY1468&lt;15),1,0)</f>
        <v/>
      </c>
      <c r="BA1468" s="24">
        <f>IF(AND(W1468="",AY1468&gt;0,AY1468&lt;15),T1468,"")</f>
        <v/>
      </c>
      <c r="BB1468" s="87">
        <f>IF(R1468&lt;Q1468,"X","")</f>
        <v/>
      </c>
      <c r="BC1468" s="190" t="inlineStr">
        <is>
          <t>NO</t>
        </is>
      </c>
      <c r="BD1468" s="191" t="inlineStr">
        <is>
          <t>SI</t>
        </is>
      </c>
    </row>
    <row r="1469" ht="15" customHeight="1" s="162">
      <c r="A1469" s="7" t="n">
        <v>1468</v>
      </c>
      <c r="B1469" t="inlineStr">
        <is>
          <t>3120100170400</t>
        </is>
      </c>
      <c r="C1469" t="inlineStr">
        <is>
          <t>KITT ACC MECANICA TUERCA/ARANDELA/TORNIL</t>
        </is>
      </c>
      <c r="D1469" t="inlineStr">
        <is>
          <t>1800114176</t>
        </is>
      </c>
      <c r="E1469" t="inlineStr">
        <is>
          <t>70</t>
        </is>
      </c>
      <c r="F1469" s="163" t="n">
        <v>45581</v>
      </c>
      <c r="G1469" t="inlineStr"/>
      <c r="H1469" t="inlineStr">
        <is>
          <t>4200584581</t>
        </is>
      </c>
      <c r="I1469" t="inlineStr">
        <is>
          <t>10</t>
        </is>
      </c>
      <c r="J1469" s="163" t="n">
        <v>45602</v>
      </c>
      <c r="K1469" s="163" t="n">
        <v>45617</v>
      </c>
      <c r="L1469" t="inlineStr"/>
      <c r="M1469" s="163" t="n">
        <v>45616</v>
      </c>
      <c r="N1469" s="164" t="n">
        <v>40</v>
      </c>
      <c r="O1469" s="164" t="n">
        <v>8</v>
      </c>
      <c r="P1469" t="inlineStr">
        <is>
          <t>Liberado</t>
        </is>
      </c>
      <c r="Q1469" s="165" t="n">
        <v>6</v>
      </c>
      <c r="R1469" s="165" t="n">
        <v>6</v>
      </c>
      <c r="S1469" s="165" t="n">
        <v>6</v>
      </c>
      <c r="T1469" s="165" t="n">
        <v>0</v>
      </c>
      <c r="U1469" s="166" t="n">
        <v>6</v>
      </c>
      <c r="V1469" s="166" t="n">
        <v>0</v>
      </c>
      <c r="W1469" t="inlineStr">
        <is>
          <t>X</t>
        </is>
      </c>
      <c r="X1469" t="inlineStr">
        <is>
          <t>0.00</t>
        </is>
      </c>
      <c r="Y1469" t="inlineStr"/>
      <c r="Z1469" t="inlineStr">
        <is>
          <t>(AEMSA)ALMACENES ELECTRICOS MADRILE</t>
        </is>
      </c>
      <c r="AA1469" t="inlineStr">
        <is>
          <t>APC</t>
        </is>
      </c>
      <c r="AB1469" t="inlineStr">
        <is>
          <t>AR8100</t>
        </is>
      </c>
      <c r="AC1469" t="inlineStr"/>
      <c r="AD1469" s="164" t="n">
        <v>0</v>
      </c>
      <c r="AE1469" s="185" t="n">
        <v>0</v>
      </c>
      <c r="AG1469" s="167" t="inlineStr">
        <is>
          <t>7218|JA2585_1001</t>
        </is>
      </c>
      <c r="AH1469" s="47">
        <f>IF(M1469=0,"-",M1469-J1469)</f>
        <v/>
      </c>
      <c r="AI1469" s="46">
        <f>IF(AND(S1469=0,M1469&gt;0,L1469=0),IF(AH1469&gt;=120,"VERY HIGH",IF(AH1469&gt;=90,"HIGH",IF(AH1469&gt;=60,"MEDIUM",IF(AH1469&lt;60,"LOW")))),"-")</f>
        <v/>
      </c>
      <c r="AJ1469" s="12" t="n"/>
      <c r="AK1469" s="53">
        <f>IF(AND(W1469="X",M1469&lt;=$AJ$2),"YES","")</f>
        <v/>
      </c>
      <c r="AL1469" s="54">
        <f>IF(AND(W1469="X",M1469&lt;=$AJ$2),S1469,"")</f>
        <v/>
      </c>
      <c r="AM1469" s="35" t="n"/>
      <c r="AN1469" s="35">
        <f>IF(AND(W1469="X",M1469&gt;$AJ$2),S1469,"")</f>
        <v/>
      </c>
      <c r="AO1469" s="35">
        <f>IF(AND(W1469="",M1469&gt;0,$AJ$2&gt;M1469,L1469=""),1,0)</f>
        <v/>
      </c>
      <c r="AP1469" s="35">
        <f>IF(AND(AK1469="YES",W1469="X"),"X","")</f>
        <v/>
      </c>
      <c r="AQ1469" s="55">
        <f>IF(AP1469="X",100%,0%)</f>
        <v/>
      </c>
      <c r="AR1469" s="25">
        <f>IF(AND(T1469&gt;0,L1469=""),H1469,"")</f>
        <v/>
      </c>
      <c r="AS1469" s="25">
        <f>IF(AND(D1469&gt;0,H1469=0,G1469=""),1,"")</f>
        <v/>
      </c>
      <c r="AT1469" s="25">
        <f>IF(G1469="BLOQ",1,"")</f>
        <v/>
      </c>
      <c r="AU1469" s="25">
        <f>IF(L1469="BLOQ",1,"")</f>
        <v/>
      </c>
      <c r="AV1469" s="25">
        <f>MONTH(F1469)</f>
        <v/>
      </c>
      <c r="AW1469" s="65">
        <f>IF(AP1469="",100%,0%)</f>
        <v/>
      </c>
      <c r="AX1469" s="56" t="n"/>
      <c r="AY1469" s="24">
        <f>IF(M1469=0,"",M1469-$AX$2)</f>
        <v/>
      </c>
      <c r="AZ1469" s="66">
        <f>IF(AND(W1469="",AY1469&gt;0,AY1469&lt;15),1,0)</f>
        <v/>
      </c>
      <c r="BA1469" s="24">
        <f>IF(AND(W1469="",AY1469&gt;0,AY1469&lt;15),T1469,"")</f>
        <v/>
      </c>
      <c r="BB1469" s="87">
        <f>IF(R1469&lt;Q1469,"X","")</f>
        <v/>
      </c>
      <c r="BC1469" s="190" t="inlineStr">
        <is>
          <t>NO</t>
        </is>
      </c>
      <c r="BD1469" s="191" t="inlineStr">
        <is>
          <t>SI</t>
        </is>
      </c>
    </row>
    <row r="1470" ht="15" customHeight="1" s="162">
      <c r="A1470" s="7" t="n">
        <v>1469</v>
      </c>
      <c r="B1470" t="inlineStr">
        <is>
          <t>3170110330500</t>
        </is>
      </c>
      <c r="C1470" t="inlineStr">
        <is>
          <t>HUB 4P USB3.0 3XUSB-A 1XUSB-C 5GBPS NEGR</t>
        </is>
      </c>
      <c r="D1470" t="inlineStr">
        <is>
          <t>1800114176</t>
        </is>
      </c>
      <c r="E1470" t="inlineStr">
        <is>
          <t>80</t>
        </is>
      </c>
      <c r="F1470" s="163" t="n">
        <v>45581</v>
      </c>
      <c r="G1470" t="inlineStr"/>
      <c r="H1470" t="inlineStr">
        <is>
          <t>4200582088</t>
        </is>
      </c>
      <c r="I1470" t="inlineStr">
        <is>
          <t>10</t>
        </is>
      </c>
      <c r="J1470" s="163" t="n">
        <v>45586</v>
      </c>
      <c r="K1470" s="163" t="n">
        <v>45586</v>
      </c>
      <c r="L1470" t="inlineStr"/>
      <c r="M1470" s="163" t="n">
        <v>45608</v>
      </c>
      <c r="N1470" s="164" t="n">
        <v>40</v>
      </c>
      <c r="O1470" s="164" t="n">
        <v>8</v>
      </c>
      <c r="P1470" t="inlineStr">
        <is>
          <t>Liberado</t>
        </is>
      </c>
      <c r="Q1470" s="165" t="n">
        <v>2</v>
      </c>
      <c r="R1470" s="165" t="n">
        <v>2</v>
      </c>
      <c r="S1470" s="165" t="n">
        <v>2</v>
      </c>
      <c r="T1470" s="165" t="n">
        <v>0</v>
      </c>
      <c r="U1470" s="166" t="n">
        <v>2</v>
      </c>
      <c r="V1470" s="166" t="n">
        <v>0</v>
      </c>
      <c r="W1470" t="inlineStr">
        <is>
          <t>X</t>
        </is>
      </c>
      <c r="X1470" t="inlineStr">
        <is>
          <t>0.00</t>
        </is>
      </c>
      <c r="Y1470" t="inlineStr"/>
      <c r="Z1470" t="inlineStr">
        <is>
          <t>ESPRINET IBERICA, S.L.U.</t>
        </is>
      </c>
      <c r="AA1470" t="inlineStr">
        <is>
          <t>STARTECH.COM LTD</t>
        </is>
      </c>
      <c r="AB1470" t="inlineStr">
        <is>
          <t>HB30A3A1CFB</t>
        </is>
      </c>
      <c r="AC1470" t="inlineStr"/>
      <c r="AD1470" s="164" t="n">
        <v>0</v>
      </c>
      <c r="AE1470" s="185" t="n">
        <v>0</v>
      </c>
      <c r="AG1470" s="167" t="inlineStr">
        <is>
          <t>7218|JA2585_1001</t>
        </is>
      </c>
      <c r="AH1470" s="47">
        <f>IF(M1470=0,"-",M1470-J1470)</f>
        <v/>
      </c>
      <c r="AI1470" s="46">
        <f>IF(AND(S1470=0,M1470&gt;0,L1470=0),IF(AH1470&gt;=120,"VERY HIGH",IF(AH1470&gt;=90,"HIGH",IF(AH1470&gt;=60,"MEDIUM",IF(AH1470&lt;60,"LOW")))),"-")</f>
        <v/>
      </c>
      <c r="AJ1470" s="12" t="n"/>
      <c r="AK1470" s="53">
        <f>IF(AND(W1470="X",M1470&lt;=$AJ$2),"YES","")</f>
        <v/>
      </c>
      <c r="AL1470" s="54">
        <f>IF(AND(W1470="X",M1470&lt;=$AJ$2),S1470,"")</f>
        <v/>
      </c>
      <c r="AM1470" s="35" t="n"/>
      <c r="AN1470" s="35">
        <f>IF(AND(W1470="X",M1470&gt;$AJ$2),S1470,"")</f>
        <v/>
      </c>
      <c r="AO1470" s="35">
        <f>IF(AND(W1470="",M1470&gt;0,$AJ$2&gt;M1470,L1470=""),1,0)</f>
        <v/>
      </c>
      <c r="AP1470" s="35">
        <f>IF(AND(AK1470="YES",W1470="X"),"X","")</f>
        <v/>
      </c>
      <c r="AQ1470" s="55">
        <f>IF(AP1470="X",100%,0%)</f>
        <v/>
      </c>
      <c r="AR1470" s="25">
        <f>IF(AND(T1470&gt;0,L1470=""),H1470,"")</f>
        <v/>
      </c>
      <c r="AS1470" s="25">
        <f>IF(AND(D1470&gt;0,H1470=0,G1470=""),1,"")</f>
        <v/>
      </c>
      <c r="AT1470" s="25">
        <f>IF(G1470="BLOQ",1,"")</f>
        <v/>
      </c>
      <c r="AU1470" s="25">
        <f>IF(L1470="BLOQ",1,"")</f>
        <v/>
      </c>
      <c r="AV1470" s="25">
        <f>MONTH(F1470)</f>
        <v/>
      </c>
      <c r="AW1470" s="65">
        <f>IF(AP1470="",100%,0%)</f>
        <v/>
      </c>
      <c r="AX1470" s="56" t="n"/>
      <c r="AY1470" s="24">
        <f>IF(M1470=0,"",M1470-$AX$2)</f>
        <v/>
      </c>
      <c r="AZ1470" s="66">
        <f>IF(AND(W1470="",AY1470&gt;0,AY1470&lt;15),1,0)</f>
        <v/>
      </c>
      <c r="BA1470" s="24">
        <f>IF(AND(W1470="",AY1470&gt;0,AY1470&lt;15),T1470,"")</f>
        <v/>
      </c>
      <c r="BB1470" s="87">
        <f>IF(R1470&lt;Q1470,"X","")</f>
        <v/>
      </c>
      <c r="BC1470" s="191" t="inlineStr">
        <is>
          <t>SI</t>
        </is>
      </c>
      <c r="BD1470" s="191" t="inlineStr">
        <is>
          <t>SI</t>
        </is>
      </c>
    </row>
    <row r="1471" ht="15" customHeight="1" s="162">
      <c r="A1471" s="7" t="n">
        <v>1470</v>
      </c>
      <c r="B1471" t="inlineStr">
        <is>
          <t>1065001380100</t>
        </is>
      </c>
      <c r="C1471" t="inlineStr">
        <is>
          <t>FOTOTRANSISTOR NPN 70V 100MA T-1/D3MM R</t>
        </is>
      </c>
      <c r="D1471" t="inlineStr">
        <is>
          <t>1800114177</t>
        </is>
      </c>
      <c r="E1471" t="inlineStr">
        <is>
          <t>10</t>
        </is>
      </c>
      <c r="F1471" s="163" t="n">
        <v>45581</v>
      </c>
      <c r="G1471" t="inlineStr"/>
      <c r="H1471" t="inlineStr">
        <is>
          <t>4200582718</t>
        </is>
      </c>
      <c r="I1471" t="inlineStr">
        <is>
          <t>290</t>
        </is>
      </c>
      <c r="J1471" s="163" t="n">
        <v>45589</v>
      </c>
      <c r="K1471" s="163" t="n">
        <v>45589</v>
      </c>
      <c r="L1471" t="inlineStr"/>
      <c r="M1471" s="163" t="n">
        <v>45606</v>
      </c>
      <c r="N1471" s="164" t="n">
        <v>40</v>
      </c>
      <c r="O1471" s="164" t="n">
        <v>8</v>
      </c>
      <c r="P1471" t="inlineStr">
        <is>
          <t>Liberado</t>
        </is>
      </c>
      <c r="Q1471" s="165" t="n">
        <v>5</v>
      </c>
      <c r="R1471" s="165" t="n">
        <v>5</v>
      </c>
      <c r="S1471" s="165" t="n">
        <v>5</v>
      </c>
      <c r="T1471" s="165" t="n">
        <v>0</v>
      </c>
      <c r="U1471" s="166" t="n">
        <v>5</v>
      </c>
      <c r="V1471" s="166" t="n">
        <v>0</v>
      </c>
      <c r="W1471" t="inlineStr">
        <is>
          <t>X</t>
        </is>
      </c>
      <c r="X1471" t="inlineStr">
        <is>
          <t>0.00</t>
        </is>
      </c>
      <c r="Y1471" t="inlineStr"/>
      <c r="Z1471" t="inlineStr">
        <is>
          <t>TCX MICRO, S.L.U</t>
        </is>
      </c>
      <c r="AA1471" t="inlineStr">
        <is>
          <t>VISHAY</t>
        </is>
      </c>
      <c r="AB1471" t="inlineStr">
        <is>
          <t>BPW85A</t>
        </is>
      </c>
      <c r="AC1471" t="inlineStr"/>
      <c r="AD1471" s="164" t="n">
        <v>0</v>
      </c>
      <c r="AE1471" s="185" t="n">
        <v>0</v>
      </c>
      <c r="AG1471" s="167" t="inlineStr">
        <is>
          <t>7218|JA2586_1001</t>
        </is>
      </c>
      <c r="AH1471" s="47">
        <f>IF(M1471=0,"-",M1471-J1471)</f>
        <v/>
      </c>
      <c r="AI1471" s="46">
        <f>IF(AND(S1471=0,M1471&gt;0,L1471=0),IF(AH1471&gt;=120,"VERY HIGH",IF(AH1471&gt;=90,"HIGH",IF(AH1471&gt;=60,"MEDIUM",IF(AH1471&lt;60,"LOW")))),"-")</f>
        <v/>
      </c>
      <c r="AJ1471" s="12" t="n"/>
      <c r="AK1471" s="53">
        <f>IF(AND(W1471="X",M1471&lt;=$AJ$2),"YES","")</f>
        <v/>
      </c>
      <c r="AL1471" s="54">
        <f>IF(AND(W1471="X",M1471&lt;=$AJ$2),S1471,"")</f>
        <v/>
      </c>
      <c r="AM1471" s="35" t="n"/>
      <c r="AN1471" s="35">
        <f>IF(AND(W1471="X",M1471&gt;$AJ$2),S1471,"")</f>
        <v/>
      </c>
      <c r="AO1471" s="35">
        <f>IF(AND(W1471="",M1471&gt;0,$AJ$2&gt;M1471,L1471=""),1,0)</f>
        <v/>
      </c>
      <c r="AP1471" s="35">
        <f>IF(AND(AK1471="YES",W1471="X"),"X","")</f>
        <v/>
      </c>
      <c r="AQ1471" s="55">
        <f>IF(AP1471="X",100%,0%)</f>
        <v/>
      </c>
      <c r="AR1471" s="25">
        <f>IF(AND(T1471&gt;0,L1471=""),H1471,"")</f>
        <v/>
      </c>
      <c r="AS1471" s="25">
        <f>IF(AND(D1471&gt;0,H1471=0,G1471=""),1,"")</f>
        <v/>
      </c>
      <c r="AT1471" s="25">
        <f>IF(G1471="BLOQ",1,"")</f>
        <v/>
      </c>
      <c r="AU1471" s="25">
        <f>IF(L1471="BLOQ",1,"")</f>
        <v/>
      </c>
      <c r="AV1471" s="25">
        <f>MONTH(F1471)</f>
        <v/>
      </c>
      <c r="AW1471" s="65">
        <f>IF(AP1471="",100%,0%)</f>
        <v/>
      </c>
      <c r="AX1471" s="56" t="n"/>
      <c r="AY1471" s="24">
        <f>IF(M1471=0,"",M1471-$AX$2)</f>
        <v/>
      </c>
      <c r="AZ1471" s="66">
        <f>IF(AND(W1471="",AY1471&gt;0,AY1471&lt;15),1,0)</f>
        <v/>
      </c>
      <c r="BA1471" s="24">
        <f>IF(AND(W1471="",AY1471&gt;0,AY1471&lt;15),T1471,"")</f>
        <v/>
      </c>
      <c r="BB1471" s="87">
        <f>IF(R1471&lt;Q1471,"X","")</f>
        <v/>
      </c>
      <c r="BC1471" s="190" t="inlineStr">
        <is>
          <t>NO</t>
        </is>
      </c>
      <c r="BD1471" s="191" t="inlineStr">
        <is>
          <t>SI</t>
        </is>
      </c>
    </row>
    <row r="1472" ht="15" customHeight="1" s="162">
      <c r="A1472" s="7" t="n">
        <v>1471</v>
      </c>
      <c r="B1472" t="inlineStr">
        <is>
          <t>1229500300006</t>
        </is>
      </c>
      <c r="C1472" t="inlineStr">
        <is>
          <t>CBL EQ SFP+10GBE AWG30 3M</t>
        </is>
      </c>
      <c r="D1472" t="inlineStr">
        <is>
          <t>1800114199</t>
        </is>
      </c>
      <c r="E1472" t="inlineStr">
        <is>
          <t>10</t>
        </is>
      </c>
      <c r="F1472" s="163" t="n">
        <v>45581</v>
      </c>
      <c r="G1472" t="inlineStr"/>
      <c r="H1472" t="inlineStr">
        <is>
          <t>4200582287</t>
        </is>
      </c>
      <c r="I1472" t="inlineStr">
        <is>
          <t>10</t>
        </is>
      </c>
      <c r="J1472" s="163" t="n">
        <v>45587</v>
      </c>
      <c r="K1472" s="163" t="n">
        <v>45594</v>
      </c>
      <c r="L1472" t="inlineStr"/>
      <c r="M1472" s="163" t="n">
        <v>45606</v>
      </c>
      <c r="N1472" s="164" t="n">
        <v>30</v>
      </c>
      <c r="O1472" s="164" t="n">
        <v>8</v>
      </c>
      <c r="P1472" t="inlineStr">
        <is>
          <t>Liberado</t>
        </is>
      </c>
      <c r="Q1472" s="165" t="n">
        <v>4</v>
      </c>
      <c r="R1472" s="165" t="n">
        <v>4</v>
      </c>
      <c r="S1472" s="165" t="n">
        <v>4</v>
      </c>
      <c r="T1472" s="165" t="n">
        <v>0</v>
      </c>
      <c r="U1472" s="166" t="n">
        <v>4</v>
      </c>
      <c r="V1472" s="166" t="n">
        <v>0</v>
      </c>
      <c r="W1472" t="inlineStr">
        <is>
          <t>X</t>
        </is>
      </c>
      <c r="X1472" t="inlineStr">
        <is>
          <t>0.00</t>
        </is>
      </c>
      <c r="Y1472" t="inlineStr"/>
      <c r="Z1472" t="inlineStr">
        <is>
          <t>ENCORE REAL TIME ESPAÑA,S.A</t>
        </is>
      </c>
      <c r="AA1472" t="inlineStr">
        <is>
          <t>OPTCORE</t>
        </is>
      </c>
      <c r="AB1472" t="inlineStr">
        <is>
          <t>CAB-DAC30M-SFPP</t>
        </is>
      </c>
      <c r="AC1472" t="inlineStr"/>
      <c r="AD1472" s="164" t="n">
        <v>0</v>
      </c>
      <c r="AE1472" s="185" t="n">
        <v>0</v>
      </c>
      <c r="AG1472" s="167" t="inlineStr">
        <is>
          <t>7218|JA2585_1001</t>
        </is>
      </c>
      <c r="AH1472" s="47">
        <f>IF(M1472=0,"-",M1472-J1472)</f>
        <v/>
      </c>
      <c r="AI1472" s="46">
        <f>IF(AND(S1472=0,M1472&gt;0,L1472=0),IF(AH1472&gt;=120,"VERY HIGH",IF(AH1472&gt;=90,"HIGH",IF(AH1472&gt;=60,"MEDIUM",IF(AH1472&lt;60,"LOW")))),"-")</f>
        <v/>
      </c>
      <c r="AJ1472" s="12" t="n"/>
      <c r="AK1472" s="53">
        <f>IF(AND(W1472="X",M1472&lt;=$AJ$2),"YES","")</f>
        <v/>
      </c>
      <c r="AL1472" s="54">
        <f>IF(AND(W1472="X",M1472&lt;=$AJ$2),S1472,"")</f>
        <v/>
      </c>
      <c r="AM1472" s="35" t="n"/>
      <c r="AN1472" s="35">
        <f>IF(AND(W1472="X",M1472&gt;$AJ$2),S1472,"")</f>
        <v/>
      </c>
      <c r="AO1472" s="35">
        <f>IF(AND(W1472="",M1472&gt;0,$AJ$2&gt;M1472,L1472=""),1,0)</f>
        <v/>
      </c>
      <c r="AP1472" s="35">
        <f>IF(AND(AK1472="YES",W1472="X"),"X","")</f>
        <v/>
      </c>
      <c r="AQ1472" s="55">
        <f>IF(AP1472="X",100%,0%)</f>
        <v/>
      </c>
      <c r="AR1472" s="25">
        <f>IF(AND(T1472&gt;0,L1472=""),H1472,"")</f>
        <v/>
      </c>
      <c r="AS1472" s="25">
        <f>IF(AND(D1472&gt;0,H1472=0,G1472=""),1,"")</f>
        <v/>
      </c>
      <c r="AT1472" s="25">
        <f>IF(G1472="BLOQ",1,"")</f>
        <v/>
      </c>
      <c r="AU1472" s="25">
        <f>IF(L1472="BLOQ",1,"")</f>
        <v/>
      </c>
      <c r="AV1472" s="25">
        <f>MONTH(F1472)</f>
        <v/>
      </c>
      <c r="AW1472" s="65">
        <f>IF(AP1472="",100%,0%)</f>
        <v/>
      </c>
      <c r="AX1472" s="56" t="n"/>
      <c r="AY1472" s="24">
        <f>IF(M1472=0,"",M1472-$AX$2)</f>
        <v/>
      </c>
      <c r="AZ1472" s="66">
        <f>IF(AND(W1472="",AY1472&gt;0,AY1472&lt;15),1,0)</f>
        <v/>
      </c>
      <c r="BA1472" s="24">
        <f>IF(AND(W1472="",AY1472&gt;0,AY1472&lt;15),T1472,"")</f>
        <v/>
      </c>
      <c r="BB1472" s="87">
        <f>IF(R1472&lt;Q1472,"X","")</f>
        <v/>
      </c>
      <c r="BC1472" s="190" t="inlineStr">
        <is>
          <t>NO</t>
        </is>
      </c>
      <c r="BD1472" s="191" t="inlineStr">
        <is>
          <t>SI</t>
        </is>
      </c>
    </row>
    <row r="1473" ht="15" customHeight="1" s="162">
      <c r="A1473" s="7" t="n">
        <v>1472</v>
      </c>
      <c r="B1473" t="inlineStr">
        <is>
          <t>3210103550300</t>
        </is>
      </c>
      <c r="C1473" t="inlineStr">
        <is>
          <t>CBL EQUI USB 2.0(M/M) 480MBPS TIP A L=3M</t>
        </is>
      </c>
      <c r="D1473" t="inlineStr">
        <is>
          <t>1800114199</t>
        </is>
      </c>
      <c r="E1473" t="inlineStr">
        <is>
          <t>20</t>
        </is>
      </c>
      <c r="F1473" s="163" t="n">
        <v>45581</v>
      </c>
      <c r="G1473" t="inlineStr"/>
      <c r="H1473" t="inlineStr">
        <is>
          <t>4200586593</t>
        </is>
      </c>
      <c r="I1473" t="inlineStr">
        <is>
          <t>10</t>
        </is>
      </c>
      <c r="J1473" s="163" t="n">
        <v>45616</v>
      </c>
      <c r="K1473" s="163" t="n">
        <v>45617</v>
      </c>
      <c r="L1473" t="inlineStr"/>
      <c r="M1473" s="163" t="n">
        <v>45630</v>
      </c>
      <c r="N1473" s="164" t="n">
        <v>40</v>
      </c>
      <c r="O1473" s="164" t="n">
        <v>8</v>
      </c>
      <c r="P1473" t="inlineStr">
        <is>
          <t>Liberado</t>
        </is>
      </c>
      <c r="Q1473" s="166" t="n">
        <v>4</v>
      </c>
      <c r="R1473" s="166" t="n">
        <v>4</v>
      </c>
      <c r="S1473" s="166" t="n">
        <v>4</v>
      </c>
      <c r="T1473" s="166" t="n">
        <v>0</v>
      </c>
      <c r="U1473" s="166" t="n">
        <v>4</v>
      </c>
      <c r="V1473" s="166" t="n">
        <v>0</v>
      </c>
      <c r="W1473" t="inlineStr">
        <is>
          <t>X</t>
        </is>
      </c>
      <c r="X1473" t="inlineStr">
        <is>
          <t>0.00</t>
        </is>
      </c>
      <c r="Y1473" t="inlineStr"/>
      <c r="Z1473" t="inlineStr">
        <is>
          <t>MILEXIA IBÉRICA, S.A.U.</t>
        </is>
      </c>
      <c r="AA1473" t="inlineStr">
        <is>
          <t>L-COM</t>
        </is>
      </c>
      <c r="AB1473" t="inlineStr">
        <is>
          <t>CSMUAA-3M</t>
        </is>
      </c>
      <c r="AC1473" t="inlineStr"/>
      <c r="AD1473" s="164" t="n">
        <v>0</v>
      </c>
      <c r="AE1473" s="185" t="n">
        <v>0</v>
      </c>
      <c r="AG1473" s="167" t="inlineStr">
        <is>
          <t>7218|JA2585_1001</t>
        </is>
      </c>
      <c r="AH1473" s="47">
        <f>IF(M1473=0,"-",M1473-J1473)</f>
        <v/>
      </c>
      <c r="AI1473" s="46">
        <f>IF(AND(S1473=0,M1473&gt;0,L1473=0),IF(AH1473&gt;=120,"VERY HIGH",IF(AH1473&gt;=90,"HIGH",IF(AH1473&gt;=60,"MEDIUM",IF(AH1473&lt;60,"LOW")))),"-")</f>
        <v/>
      </c>
      <c r="AJ1473" s="12" t="n"/>
      <c r="AK1473" s="53">
        <f>IF(AND(W1473="X",M1473&lt;=$AJ$2),"YES","")</f>
        <v/>
      </c>
      <c r="AL1473" s="54">
        <f>IF(AND(W1473="X",M1473&lt;=$AJ$2),S1473,"")</f>
        <v/>
      </c>
      <c r="AM1473" s="35" t="n"/>
      <c r="AN1473" s="35">
        <f>IF(AND(W1473="X",M1473&gt;$AJ$2),S1473,"")</f>
        <v/>
      </c>
      <c r="AO1473" s="35">
        <f>IF(AND(W1473="",M1473&gt;0,$AJ$2&gt;M1473,L1473=""),1,0)</f>
        <v/>
      </c>
      <c r="AP1473" s="35">
        <f>IF(AND(AK1473="YES",W1473="X"),"X","")</f>
        <v/>
      </c>
      <c r="AQ1473" s="55">
        <f>IF(AP1473="X",100%,0%)</f>
        <v/>
      </c>
      <c r="AR1473" s="25">
        <f>IF(AND(T1473&gt;0,L1473=""),H1473,"")</f>
        <v/>
      </c>
      <c r="AS1473" s="25">
        <f>IF(AND(D1473&gt;0,H1473=0,G1473=""),1,"")</f>
        <v/>
      </c>
      <c r="AT1473" s="25">
        <f>IF(G1473="BLOQ",1,"")</f>
        <v/>
      </c>
      <c r="AU1473" s="25">
        <f>IF(L1473="BLOQ",1,"")</f>
        <v/>
      </c>
      <c r="AV1473" s="25">
        <f>MONTH(F1473)</f>
        <v/>
      </c>
      <c r="AW1473" s="65">
        <f>IF(AP1473="",100%,0%)</f>
        <v/>
      </c>
      <c r="AX1473" s="56" t="n"/>
      <c r="AY1473" s="24">
        <f>IF(M1473=0,"",M1473-$AX$2)</f>
        <v/>
      </c>
      <c r="AZ1473" s="66">
        <f>IF(AND(W1473="",AY1473&gt;0,AY1473&lt;15),1,0)</f>
        <v/>
      </c>
      <c r="BA1473" s="24">
        <f>IF(AND(W1473="",AY1473&gt;0,AY1473&lt;15),T1473,"")</f>
        <v/>
      </c>
      <c r="BB1473" s="87">
        <f>IF(R1473&lt;Q1473,"X","")</f>
        <v/>
      </c>
      <c r="BC1473" s="190" t="inlineStr">
        <is>
          <t>NO</t>
        </is>
      </c>
      <c r="BD1473" s="191" t="inlineStr">
        <is>
          <t>SI</t>
        </is>
      </c>
    </row>
    <row r="1474" ht="15" customHeight="1" s="162">
      <c r="A1474" s="7" t="n">
        <v>1473</v>
      </c>
      <c r="B1474" t="inlineStr">
        <is>
          <t>1390704693802</t>
        </is>
      </c>
      <c r="C1474" t="inlineStr">
        <is>
          <t>DISPLAY UNITS AIRBUS DU S/OF</t>
        </is>
      </c>
      <c r="D1474" t="inlineStr">
        <is>
          <t>1800114244</t>
        </is>
      </c>
      <c r="E1474" t="inlineStr">
        <is>
          <t>10</t>
        </is>
      </c>
      <c r="F1474" s="163" t="n">
        <v>45582</v>
      </c>
      <c r="G1474" t="inlineStr"/>
      <c r="H1474" t="inlineStr">
        <is>
          <t>4200582413</t>
        </is>
      </c>
      <c r="I1474" t="inlineStr">
        <is>
          <t>10</t>
        </is>
      </c>
      <c r="J1474" s="163" t="n">
        <v>45587</v>
      </c>
      <c r="K1474" s="163" t="n">
        <v>45589</v>
      </c>
      <c r="L1474" t="inlineStr"/>
      <c r="M1474" s="163" t="n">
        <v>45746</v>
      </c>
      <c r="N1474" s="164" t="n">
        <v>40</v>
      </c>
      <c r="O1474" s="164" t="n">
        <v>8</v>
      </c>
      <c r="P1474" t="inlineStr">
        <is>
          <t>Liberado</t>
        </is>
      </c>
      <c r="Q1474" s="165" t="n">
        <v>5</v>
      </c>
      <c r="R1474" s="165" t="n">
        <v>5</v>
      </c>
      <c r="S1474" s="165" t="n">
        <v>5</v>
      </c>
      <c r="T1474" s="165" t="n">
        <v>0</v>
      </c>
      <c r="U1474" s="166" t="n">
        <v>5</v>
      </c>
      <c r="V1474" s="166" t="n">
        <v>0</v>
      </c>
      <c r="W1474" t="inlineStr">
        <is>
          <t>X</t>
        </is>
      </c>
      <c r="X1474" t="inlineStr">
        <is>
          <t>0.00</t>
        </is>
      </c>
      <c r="Y1474" t="inlineStr"/>
      <c r="Z1474" t="inlineStr">
        <is>
          <t>SUMINISTROS, FRESADOS Y GRABADOS</t>
        </is>
      </c>
      <c r="AA1474" t="inlineStr">
        <is>
          <t>GRABYSUR</t>
        </is>
      </c>
      <c r="AB1474" t="inlineStr">
        <is>
          <t>GR-SEQ47701</t>
        </is>
      </c>
      <c r="AC1474" t="inlineStr"/>
      <c r="AD1474" s="164" t="n">
        <v>1</v>
      </c>
      <c r="AE1474" s="185" t="n">
        <v>1</v>
      </c>
      <c r="AG1474" s="167" t="inlineStr">
        <is>
          <t>7218|JA2583_1001</t>
        </is>
      </c>
      <c r="AH1474" s="47">
        <f>IF(M1474=0,"-",M1474-J1474)</f>
        <v/>
      </c>
      <c r="AI1474" s="46">
        <f>IF(AND(S1474=0,M1474&gt;0,L1474=0),IF(AH1474&gt;=120,"VERY HIGH",IF(AH1474&gt;=90,"HIGH",IF(AH1474&gt;=60,"MEDIUM",IF(AH1474&lt;60,"LOW")))),"-")</f>
        <v/>
      </c>
      <c r="AJ1474" s="12" t="n"/>
      <c r="AK1474" s="53">
        <f>IF(AND(W1474="X",M1474&lt;=$AJ$2),"YES","")</f>
        <v/>
      </c>
      <c r="AL1474" s="54">
        <f>IF(AND(W1474="X",M1474&lt;=$AJ$2),S1474,"")</f>
        <v/>
      </c>
      <c r="AM1474" s="35" t="n"/>
      <c r="AN1474" s="35">
        <f>IF(AND(W1474="X",M1474&gt;$AJ$2),S1474,"")</f>
        <v/>
      </c>
      <c r="AO1474" s="35">
        <f>IF(AND(W1474="",M1474&gt;0,$AJ$2&gt;M1474,L1474=""),1,0)</f>
        <v/>
      </c>
      <c r="AP1474" s="35">
        <f>IF(AND(AK1474="YES",W1474="X"),"X","")</f>
        <v/>
      </c>
      <c r="AQ1474" s="55">
        <f>IF(AP1474="X",100%,0%)</f>
        <v/>
      </c>
      <c r="AR1474" s="25">
        <f>IF(AND(T1474&gt;0,L1474=""),H1474,"")</f>
        <v/>
      </c>
      <c r="AS1474" s="25">
        <f>IF(AND(D1474&gt;0,H1474=0,G1474=""),1,"")</f>
        <v/>
      </c>
      <c r="AT1474" s="25">
        <f>IF(G1474="BLOQ",1,"")</f>
        <v/>
      </c>
      <c r="AU1474" s="25">
        <f>IF(L1474="BLOQ",1,"")</f>
        <v/>
      </c>
      <c r="AV1474" s="25">
        <f>MONTH(F1474)</f>
        <v/>
      </c>
      <c r="AW1474" s="65">
        <f>IF(AP1474="",100%,0%)</f>
        <v/>
      </c>
      <c r="AX1474" s="56" t="n"/>
      <c r="AY1474" s="24">
        <f>IF(M1474=0,"",M1474-$AX$2)</f>
        <v/>
      </c>
      <c r="AZ1474" s="66">
        <f>IF(AND(W1474="",AY1474&gt;0,AY1474&lt;15),1,0)</f>
        <v/>
      </c>
      <c r="BA1474" s="24">
        <f>IF(AND(W1474="",AY1474&gt;0,AY1474&lt;15),T1474,"")</f>
        <v/>
      </c>
      <c r="BB1474" s="87">
        <f>IF(R1474&lt;Q1474,"X","")</f>
        <v/>
      </c>
      <c r="BC1474" s="191" t="inlineStr">
        <is>
          <t>SI</t>
        </is>
      </c>
      <c r="BD1474" s="191" t="inlineStr">
        <is>
          <t>SI</t>
        </is>
      </c>
    </row>
    <row r="1475" ht="15" customHeight="1" s="162">
      <c r="A1475" s="7" t="n">
        <v>1474</v>
      </c>
      <c r="B1475" t="inlineStr">
        <is>
          <t>1209994210022</t>
        </is>
      </c>
      <c r="C1475" t="inlineStr">
        <is>
          <t>ACC BACKSHELL #21 RECTO AL ZN/CO NEGRO</t>
        </is>
      </c>
      <c r="D1475" t="inlineStr">
        <is>
          <t>1800114432</t>
        </is>
      </c>
      <c r="E1475" t="inlineStr">
        <is>
          <t>10</t>
        </is>
      </c>
      <c r="F1475" s="163" t="n">
        <v>45586</v>
      </c>
      <c r="G1475" t="inlineStr"/>
      <c r="H1475" t="inlineStr">
        <is>
          <t>4200585421</t>
        </is>
      </c>
      <c r="I1475" t="inlineStr">
        <is>
          <t>10</t>
        </is>
      </c>
      <c r="J1475" s="163" t="n">
        <v>45609</v>
      </c>
      <c r="K1475" s="163" t="n">
        <v>45609</v>
      </c>
      <c r="L1475" t="inlineStr"/>
      <c r="M1475" s="163" t="n">
        <v>45614</v>
      </c>
      <c r="N1475" s="164" t="n">
        <v>40</v>
      </c>
      <c r="O1475" s="164" t="n">
        <v>8</v>
      </c>
      <c r="P1475" t="inlineStr">
        <is>
          <t>Liberado</t>
        </is>
      </c>
      <c r="Q1475" s="165" t="n">
        <v>1</v>
      </c>
      <c r="R1475" s="165" t="n">
        <v>1</v>
      </c>
      <c r="S1475" s="165" t="n">
        <v>1</v>
      </c>
      <c r="T1475" s="165" t="n">
        <v>0</v>
      </c>
      <c r="U1475" s="166" t="n">
        <v>1</v>
      </c>
      <c r="V1475" s="166" t="n">
        <v>0</v>
      </c>
      <c r="W1475" t="inlineStr">
        <is>
          <t>X</t>
        </is>
      </c>
      <c r="X1475" t="inlineStr">
        <is>
          <t>0.00</t>
        </is>
      </c>
      <c r="Y1475" t="inlineStr"/>
      <c r="Z1475" t="inlineStr">
        <is>
          <t>GLENAIR, INC</t>
        </is>
      </c>
      <c r="AA1475" t="inlineStr">
        <is>
          <t>MILITARY SPECS.</t>
        </is>
      </c>
      <c r="AB1475" t="inlineStr">
        <is>
          <t>M85049/38-21Z</t>
        </is>
      </c>
      <c r="AC1475" t="inlineStr"/>
      <c r="AD1475" s="164" t="n">
        <v>0</v>
      </c>
      <c r="AE1475" s="185" t="n">
        <v>0</v>
      </c>
      <c r="AG1475" s="167" t="inlineStr">
        <is>
          <t>7218|JA2582_1001</t>
        </is>
      </c>
      <c r="AH1475" s="47">
        <f>IF(M1475=0,"-",M1475-J1475)</f>
        <v/>
      </c>
      <c r="AI1475" s="46">
        <f>IF(AND(S1475=0,M1475&gt;0,L1475=0),IF(AH1475&gt;=120,"VERY HIGH",IF(AH1475&gt;=90,"HIGH",IF(AH1475&gt;=60,"MEDIUM",IF(AH1475&lt;60,"LOW")))),"-")</f>
        <v/>
      </c>
      <c r="AJ1475" s="12" t="n"/>
      <c r="AK1475" s="53">
        <f>IF(AND(W1475="X",M1475&lt;=$AJ$2),"YES","")</f>
        <v/>
      </c>
      <c r="AL1475" s="54">
        <f>IF(AND(W1475="X",M1475&lt;=$AJ$2),S1475,"")</f>
        <v/>
      </c>
      <c r="AM1475" s="35" t="n"/>
      <c r="AN1475" s="35">
        <f>IF(AND(W1475="X",M1475&gt;$AJ$2),S1475,"")</f>
        <v/>
      </c>
      <c r="AO1475" s="35">
        <f>IF(AND(W1475="",M1475&gt;0,$AJ$2&gt;M1475,L1475=""),1,0)</f>
        <v/>
      </c>
      <c r="AP1475" s="35">
        <f>IF(AND(AK1475="YES",W1475="X"),"X","")</f>
        <v/>
      </c>
      <c r="AQ1475" s="55">
        <f>IF(AP1475="X",100%,0%)</f>
        <v/>
      </c>
      <c r="AR1475" s="25">
        <f>IF(AND(T1475&gt;0,L1475=""),H1475,"")</f>
        <v/>
      </c>
      <c r="AS1475" s="25">
        <f>IF(AND(D1475&gt;0,H1475=0,G1475=""),1,"")</f>
        <v/>
      </c>
      <c r="AT1475" s="25">
        <f>IF(G1475="BLOQ",1,"")</f>
        <v/>
      </c>
      <c r="AU1475" s="25">
        <f>IF(L1475="BLOQ",1,"")</f>
        <v/>
      </c>
      <c r="AV1475" s="25">
        <f>MONTH(F1475)</f>
        <v/>
      </c>
      <c r="AW1475" s="65">
        <f>IF(AP1475="",100%,0%)</f>
        <v/>
      </c>
      <c r="AX1475" s="56" t="n"/>
      <c r="AY1475" s="24">
        <f>IF(M1475=0,"",M1475-$AX$2)</f>
        <v/>
      </c>
      <c r="AZ1475" s="66">
        <f>IF(AND(W1475="",AY1475&gt;0,AY1475&lt;15),1,0)</f>
        <v/>
      </c>
      <c r="BA1475" s="24">
        <f>IF(AND(W1475="",AY1475&gt;0,AY1475&lt;15),T1475,"")</f>
        <v/>
      </c>
      <c r="BB1475" s="87">
        <f>IF(R1475&lt;Q1475,"X","")</f>
        <v/>
      </c>
      <c r="BC1475" s="190" t="inlineStr">
        <is>
          <t>NO</t>
        </is>
      </c>
      <c r="BD1475" s="191" t="inlineStr">
        <is>
          <t>SI</t>
        </is>
      </c>
    </row>
    <row r="1476" ht="15" customHeight="1" s="162">
      <c r="A1476" s="7" t="n">
        <v>1475</v>
      </c>
      <c r="B1476" t="inlineStr">
        <is>
          <t>1218000320303</t>
        </is>
      </c>
      <c r="C1476" t="inlineStr">
        <is>
          <t>CNC ALIMENT P+N+T 6H 230V 16A IP44 AZ</t>
        </is>
      </c>
      <c r="D1476" t="inlineStr">
        <is>
          <t>1800114432</t>
        </is>
      </c>
      <c r="E1476" t="inlineStr">
        <is>
          <t>20</t>
        </is>
      </c>
      <c r="F1476" s="163" t="n">
        <v>45586</v>
      </c>
      <c r="G1476" t="inlineStr"/>
      <c r="H1476" t="inlineStr">
        <is>
          <t>4200586251</t>
        </is>
      </c>
      <c r="I1476" t="inlineStr">
        <is>
          <t>20</t>
        </is>
      </c>
      <c r="J1476" s="163" t="n">
        <v>45615</v>
      </c>
      <c r="K1476" s="163" t="n">
        <v>45616</v>
      </c>
      <c r="L1476" t="inlineStr"/>
      <c r="M1476" s="163" t="n">
        <v>45624</v>
      </c>
      <c r="N1476" s="164" t="n">
        <v>30</v>
      </c>
      <c r="O1476" s="164" t="n">
        <v>8</v>
      </c>
      <c r="P1476" t="inlineStr">
        <is>
          <t>Liberado</t>
        </is>
      </c>
      <c r="Q1476" s="165" t="n">
        <v>1</v>
      </c>
      <c r="R1476" s="165" t="n">
        <v>1</v>
      </c>
      <c r="S1476" s="165" t="n">
        <v>1</v>
      </c>
      <c r="T1476" s="165" t="n">
        <v>0</v>
      </c>
      <c r="U1476" s="166" t="n">
        <v>1</v>
      </c>
      <c r="V1476" s="166" t="n">
        <v>0</v>
      </c>
      <c r="W1476" t="inlineStr">
        <is>
          <t>X</t>
        </is>
      </c>
      <c r="X1476" t="inlineStr">
        <is>
          <t>0.00</t>
        </is>
      </c>
      <c r="Y1476" t="inlineStr"/>
      <c r="Z1476" t="inlineStr">
        <is>
          <t>(AEMSA)ALMACENES ELECTRICOS MADRILE</t>
        </is>
      </c>
      <c r="AA1476" t="inlineStr">
        <is>
          <t>MENNEKES ELECT.</t>
        </is>
      </c>
      <c r="AB1476" t="inlineStr">
        <is>
          <t>148A</t>
        </is>
      </c>
      <c r="AC1476" t="inlineStr"/>
      <c r="AD1476" s="164" t="n">
        <v>0</v>
      </c>
      <c r="AE1476" s="185" t="n">
        <v>0</v>
      </c>
      <c r="AG1476" s="167" t="inlineStr">
        <is>
          <t>7218|JA2582_1001</t>
        </is>
      </c>
      <c r="AH1476" s="47">
        <f>IF(M1476=0,"-",M1476-J1476)</f>
        <v/>
      </c>
      <c r="AI1476" s="46">
        <f>IF(AND(S1476=0,M1476&gt;0,L1476=0),IF(AH1476&gt;=120,"VERY HIGH",IF(AH1476&gt;=90,"HIGH",IF(AH1476&gt;=60,"MEDIUM",IF(AH1476&lt;60,"LOW")))),"-")</f>
        <v/>
      </c>
      <c r="AJ1476" s="12" t="n"/>
      <c r="AK1476" s="53">
        <f>IF(AND(W1476="X",M1476&lt;=$AJ$2),"YES","")</f>
        <v/>
      </c>
      <c r="AL1476" s="54">
        <f>IF(AND(W1476="X",M1476&lt;=$AJ$2),S1476,"")</f>
        <v/>
      </c>
      <c r="AM1476" s="35" t="n"/>
      <c r="AN1476" s="35">
        <f>IF(AND(W1476="X",M1476&gt;$AJ$2),S1476,"")</f>
        <v/>
      </c>
      <c r="AO1476" s="35">
        <f>IF(AND(W1476="",M1476&gt;0,$AJ$2&gt;M1476,L1476=""),1,0)</f>
        <v/>
      </c>
      <c r="AP1476" s="35">
        <f>IF(AND(AK1476="YES",W1476="X"),"X","")</f>
        <v/>
      </c>
      <c r="AQ1476" s="55">
        <f>IF(AP1476="X",100%,0%)</f>
        <v/>
      </c>
      <c r="AR1476" s="25">
        <f>IF(AND(T1476&gt;0,L1476=""),H1476,"")</f>
        <v/>
      </c>
      <c r="AS1476" s="25">
        <f>IF(AND(D1476&gt;0,H1476=0,G1476=""),1,"")</f>
        <v/>
      </c>
      <c r="AT1476" s="25">
        <f>IF(G1476="BLOQ",1,"")</f>
        <v/>
      </c>
      <c r="AU1476" s="25">
        <f>IF(L1476="BLOQ",1,"")</f>
        <v/>
      </c>
      <c r="AV1476" s="25">
        <f>MONTH(F1476)</f>
        <v/>
      </c>
      <c r="AW1476" s="65">
        <f>IF(AP1476="",100%,0%)</f>
        <v/>
      </c>
      <c r="AX1476" s="56" t="n"/>
      <c r="AY1476" s="24">
        <f>IF(M1476=0,"",M1476-$AX$2)</f>
        <v/>
      </c>
      <c r="AZ1476" s="66">
        <f>IF(AND(W1476="",AY1476&gt;0,AY1476&lt;15),1,0)</f>
        <v/>
      </c>
      <c r="BA1476" s="24">
        <f>IF(AND(W1476="",AY1476&gt;0,AY1476&lt;15),T1476,"")</f>
        <v/>
      </c>
      <c r="BB1476" s="87">
        <f>IF(R1476&lt;Q1476,"X","")</f>
        <v/>
      </c>
      <c r="BC1476" s="190" t="inlineStr">
        <is>
          <t>NO</t>
        </is>
      </c>
      <c r="BD1476" s="191" t="inlineStr">
        <is>
          <t>SI</t>
        </is>
      </c>
    </row>
    <row r="1477" ht="15" customHeight="1" s="162">
      <c r="A1477" s="7" t="n">
        <v>1476</v>
      </c>
      <c r="B1477" t="inlineStr">
        <is>
          <t>1237000122005</t>
        </is>
      </c>
      <c r="C1477" t="inlineStr">
        <is>
          <t>BLOQ TERM 2P 26-12AWG AMR/VER ZPEA 2.5-2</t>
        </is>
      </c>
      <c r="D1477" t="inlineStr">
        <is>
          <t>1800114432</t>
        </is>
      </c>
      <c r="E1477" t="inlineStr">
        <is>
          <t>40</t>
        </is>
      </c>
      <c r="F1477" s="163" t="n">
        <v>45586</v>
      </c>
      <c r="G1477" t="inlineStr"/>
      <c r="H1477" t="inlineStr">
        <is>
          <t>4200584477</t>
        </is>
      </c>
      <c r="I1477" t="inlineStr">
        <is>
          <t>10</t>
        </is>
      </c>
      <c r="J1477" s="163" t="n">
        <v>45602</v>
      </c>
      <c r="K1477" s="163" t="n">
        <v>45603</v>
      </c>
      <c r="L1477" t="inlineStr"/>
      <c r="M1477" s="163" t="n">
        <v>45606</v>
      </c>
      <c r="N1477" s="164" t="n">
        <v>110</v>
      </c>
      <c r="O1477" s="164" t="n">
        <v>8</v>
      </c>
      <c r="P1477" t="inlineStr">
        <is>
          <t>Liberado</t>
        </is>
      </c>
      <c r="Q1477" s="165" t="n">
        <v>15</v>
      </c>
      <c r="R1477" s="165" t="n">
        <v>15</v>
      </c>
      <c r="S1477" s="165" t="n">
        <v>15</v>
      </c>
      <c r="T1477" s="165" t="n">
        <v>0</v>
      </c>
      <c r="U1477" s="166" t="n">
        <v>15</v>
      </c>
      <c r="V1477" s="166" t="n">
        <v>0</v>
      </c>
      <c r="W1477" t="inlineStr">
        <is>
          <t>X</t>
        </is>
      </c>
      <c r="X1477" t="inlineStr">
        <is>
          <t>0.00</t>
        </is>
      </c>
      <c r="Y1477" t="inlineStr"/>
      <c r="Z1477" t="inlineStr">
        <is>
          <t>WEIDMULLER, S.A.</t>
        </is>
      </c>
      <c r="AA1477" t="inlineStr">
        <is>
          <t>WEIDMULLER</t>
        </is>
      </c>
      <c r="AB1477" t="inlineStr">
        <is>
          <t>1720950000</t>
        </is>
      </c>
      <c r="AC1477" t="inlineStr"/>
      <c r="AD1477" s="164" t="n">
        <v>0</v>
      </c>
      <c r="AE1477" s="185" t="n">
        <v>0</v>
      </c>
      <c r="AG1477" s="167" t="inlineStr">
        <is>
          <t>7218|JA2582_1001</t>
        </is>
      </c>
      <c r="AH1477" s="47">
        <f>IF(M1477=0,"-",M1477-J1477)</f>
        <v/>
      </c>
      <c r="AI1477" s="46">
        <f>IF(AND(S1477=0,M1477&gt;0,L1477=0),IF(AH1477&gt;=120,"VERY HIGH",IF(AH1477&gt;=90,"HIGH",IF(AH1477&gt;=60,"MEDIUM",IF(AH1477&lt;60,"LOW")))),"-")</f>
        <v/>
      </c>
      <c r="AJ1477" s="12" t="n"/>
      <c r="AK1477" s="53">
        <f>IF(AND(W1477="X",M1477&lt;=$AJ$2),"YES","")</f>
        <v/>
      </c>
      <c r="AL1477" s="54">
        <f>IF(AND(W1477="X",M1477&lt;=$AJ$2),S1477,"")</f>
        <v/>
      </c>
      <c r="AM1477" s="35" t="n"/>
      <c r="AN1477" s="35">
        <f>IF(AND(W1477="X",M1477&gt;$AJ$2),S1477,"")</f>
        <v/>
      </c>
      <c r="AO1477" s="35">
        <f>IF(AND(W1477="",M1477&gt;0,$AJ$2&gt;M1477,L1477=""),1,0)</f>
        <v/>
      </c>
      <c r="AP1477" s="35">
        <f>IF(AND(AK1477="YES",W1477="X"),"X","")</f>
        <v/>
      </c>
      <c r="AQ1477" s="55">
        <f>IF(AP1477="X",100%,0%)</f>
        <v/>
      </c>
      <c r="AR1477" s="25">
        <f>IF(AND(T1477&gt;0,L1477=""),H1477,"")</f>
        <v/>
      </c>
      <c r="AS1477" s="25">
        <f>IF(AND(D1477&gt;0,H1477=0,G1477=""),1,"")</f>
        <v/>
      </c>
      <c r="AT1477" s="25">
        <f>IF(G1477="BLOQ",1,"")</f>
        <v/>
      </c>
      <c r="AU1477" s="25">
        <f>IF(L1477="BLOQ",1,"")</f>
        <v/>
      </c>
      <c r="AV1477" s="25">
        <f>MONTH(F1477)</f>
        <v/>
      </c>
      <c r="AW1477" s="65">
        <f>IF(AP1477="",100%,0%)</f>
        <v/>
      </c>
      <c r="AX1477" s="56" t="n"/>
      <c r="AY1477" s="24">
        <f>IF(M1477=0,"",M1477-$AX$2)</f>
        <v/>
      </c>
      <c r="AZ1477" s="66">
        <f>IF(AND(W1477="",AY1477&gt;0,AY1477&lt;15),1,0)</f>
        <v/>
      </c>
      <c r="BA1477" s="24">
        <f>IF(AND(W1477="",AY1477&gt;0,AY1477&lt;15),T1477,"")</f>
        <v/>
      </c>
      <c r="BB1477" s="87">
        <f>IF(R1477&lt;Q1477,"X","")</f>
        <v/>
      </c>
      <c r="BC1477" s="190" t="inlineStr">
        <is>
          <t>NO</t>
        </is>
      </c>
      <c r="BD1477" s="191" t="inlineStr">
        <is>
          <t>SI</t>
        </is>
      </c>
    </row>
    <row r="1478" ht="15" customHeight="1" s="162">
      <c r="A1478" s="7" t="n">
        <v>1477</v>
      </c>
      <c r="B1478" t="inlineStr">
        <is>
          <t>1237000122101</t>
        </is>
      </c>
      <c r="C1478" t="inlineStr">
        <is>
          <t>BLOQ TERM 3P 26-12AWG ZDU 2.5-2/3AN ROHS</t>
        </is>
      </c>
      <c r="D1478" t="inlineStr">
        <is>
          <t>1800114432</t>
        </is>
      </c>
      <c r="E1478" t="inlineStr">
        <is>
          <t>50</t>
        </is>
      </c>
      <c r="F1478" s="163" t="n">
        <v>45586</v>
      </c>
      <c r="G1478" t="inlineStr"/>
      <c r="H1478" t="inlineStr">
        <is>
          <t>4200584477</t>
        </is>
      </c>
      <c r="I1478" t="inlineStr">
        <is>
          <t>20</t>
        </is>
      </c>
      <c r="J1478" s="163" t="n">
        <v>45602</v>
      </c>
      <c r="K1478" s="163" t="n">
        <v>45603</v>
      </c>
      <c r="L1478" t="inlineStr"/>
      <c r="M1478" s="163" t="n">
        <v>45606</v>
      </c>
      <c r="N1478" s="164" t="n">
        <v>40</v>
      </c>
      <c r="O1478" s="164" t="n">
        <v>8</v>
      </c>
      <c r="P1478" t="inlineStr">
        <is>
          <t>Liberado</t>
        </is>
      </c>
      <c r="Q1478" s="165" t="n">
        <v>20</v>
      </c>
      <c r="R1478" s="165" t="n">
        <v>20</v>
      </c>
      <c r="S1478" s="165" t="n">
        <v>20</v>
      </c>
      <c r="T1478" s="165" t="n">
        <v>0</v>
      </c>
      <c r="U1478" s="166" t="n">
        <v>0</v>
      </c>
      <c r="V1478" s="166" t="n">
        <v>0</v>
      </c>
      <c r="W1478" t="inlineStr">
        <is>
          <t>X</t>
        </is>
      </c>
      <c r="X1478" t="inlineStr">
        <is>
          <t>0.00</t>
        </is>
      </c>
      <c r="Y1478" t="inlineStr"/>
      <c r="Z1478" t="inlineStr">
        <is>
          <t>WEIDMULLER, S.A.</t>
        </is>
      </c>
      <c r="AA1478" t="inlineStr">
        <is>
          <t>WEIDMULLER</t>
        </is>
      </c>
      <c r="AB1478" t="inlineStr">
        <is>
          <t>1706010000</t>
        </is>
      </c>
      <c r="AC1478" t="inlineStr"/>
      <c r="AD1478" s="164" t="n">
        <v>0</v>
      </c>
      <c r="AE1478" s="185" t="n">
        <v>0</v>
      </c>
      <c r="AG1478" s="167" t="inlineStr">
        <is>
          <t>7218|JA2582_1001</t>
        </is>
      </c>
      <c r="AH1478" s="47">
        <f>IF(M1478=0,"-",M1478-J1478)</f>
        <v/>
      </c>
      <c r="AI1478" s="46">
        <f>IF(AND(S1478=0,M1478&gt;0,L1478=0),IF(AH1478&gt;=120,"VERY HIGH",IF(AH1478&gt;=90,"HIGH",IF(AH1478&gt;=60,"MEDIUM",IF(AH1478&lt;60,"LOW")))),"-")</f>
        <v/>
      </c>
      <c r="AJ1478" s="12" t="n"/>
      <c r="AK1478" s="53">
        <f>IF(AND(W1478="X",M1478&lt;=$AJ$2),"YES","")</f>
        <v/>
      </c>
      <c r="AL1478" s="54">
        <f>IF(AND(W1478="X",M1478&lt;=$AJ$2),S1478,"")</f>
        <v/>
      </c>
      <c r="AM1478" s="35" t="n"/>
      <c r="AN1478" s="35">
        <f>IF(AND(W1478="X",M1478&gt;$AJ$2),S1478,"")</f>
        <v/>
      </c>
      <c r="AO1478" s="35">
        <f>IF(AND(W1478="",M1478&gt;0,$AJ$2&gt;M1478,L1478=""),1,0)</f>
        <v/>
      </c>
      <c r="AP1478" s="35">
        <f>IF(AND(AK1478="YES",W1478="X"),"X","")</f>
        <v/>
      </c>
      <c r="AQ1478" s="55">
        <f>IF(AP1478="X",100%,0%)</f>
        <v/>
      </c>
      <c r="AR1478" s="25">
        <f>IF(AND(T1478&gt;0,L1478=""),H1478,"")</f>
        <v/>
      </c>
      <c r="AS1478" s="25">
        <f>IF(AND(D1478&gt;0,H1478=0,G1478=""),1,"")</f>
        <v/>
      </c>
      <c r="AT1478" s="25">
        <f>IF(G1478="BLOQ",1,"")</f>
        <v/>
      </c>
      <c r="AU1478" s="25">
        <f>IF(L1478="BLOQ",1,"")</f>
        <v/>
      </c>
      <c r="AV1478" s="25">
        <f>MONTH(F1478)</f>
        <v/>
      </c>
      <c r="AW1478" s="65">
        <f>IF(AP1478="",100%,0%)</f>
        <v/>
      </c>
      <c r="AX1478" s="56" t="n"/>
      <c r="AY1478" s="24">
        <f>IF(M1478=0,"",M1478-$AX$2)</f>
        <v/>
      </c>
      <c r="AZ1478" s="66">
        <f>IF(AND(W1478="",AY1478&gt;0,AY1478&lt;15),1,0)</f>
        <v/>
      </c>
      <c r="BA1478" s="24">
        <f>IF(AND(W1478="",AY1478&gt;0,AY1478&lt;15),T1478,"")</f>
        <v/>
      </c>
      <c r="BB1478" s="87">
        <f>IF(R1478&lt;Q1478,"X","")</f>
        <v/>
      </c>
      <c r="BC1478" s="190" t="inlineStr">
        <is>
          <t>NO</t>
        </is>
      </c>
      <c r="BD1478" s="191" t="inlineStr">
        <is>
          <t>SI</t>
        </is>
      </c>
    </row>
    <row r="1479" ht="15" customHeight="1" s="162">
      <c r="A1479" s="7" t="n">
        <v>1478</v>
      </c>
      <c r="B1479" t="inlineStr">
        <is>
          <t>1237000262001</t>
        </is>
      </c>
      <c r="C1479" t="inlineStr">
        <is>
          <t>BORNE D/POTENCIA 26AWG 500V GRIS ROHS</t>
        </is>
      </c>
      <c r="D1479" t="inlineStr">
        <is>
          <t>1800114432</t>
        </is>
      </c>
      <c r="E1479" t="inlineStr">
        <is>
          <t>60</t>
        </is>
      </c>
      <c r="F1479" s="163" t="n">
        <v>45586</v>
      </c>
      <c r="G1479" t="inlineStr"/>
      <c r="H1479" t="inlineStr">
        <is>
          <t>4200591800</t>
        </is>
      </c>
      <c r="I1479" t="inlineStr">
        <is>
          <t>90</t>
        </is>
      </c>
      <c r="J1479" s="163" t="n">
        <v>45656</v>
      </c>
      <c r="K1479" s="163" t="n">
        <v>45660</v>
      </c>
      <c r="L1479" t="inlineStr"/>
      <c r="M1479" s="163" t="n">
        <v>45681</v>
      </c>
      <c r="N1479" s="164" t="n">
        <v>110</v>
      </c>
      <c r="O1479" s="164" t="n">
        <v>8</v>
      </c>
      <c r="P1479" t="inlineStr">
        <is>
          <t>Liberado</t>
        </is>
      </c>
      <c r="Q1479" s="165" t="n">
        <v>20</v>
      </c>
      <c r="R1479" s="165" t="n">
        <v>50</v>
      </c>
      <c r="S1479" s="165" t="n">
        <v>50</v>
      </c>
      <c r="T1479" s="165" t="n">
        <v>0</v>
      </c>
      <c r="U1479" s="166" t="n">
        <v>50</v>
      </c>
      <c r="V1479" s="166" t="n">
        <v>0</v>
      </c>
      <c r="W1479" t="inlineStr">
        <is>
          <t>X</t>
        </is>
      </c>
      <c r="X1479" t="inlineStr">
        <is>
          <t>0.00</t>
        </is>
      </c>
      <c r="Y1479" t="inlineStr"/>
      <c r="Z1479" t="inlineStr">
        <is>
          <t>(AEMSA)ALMACENES ELECTRICOS MADRILE</t>
        </is>
      </c>
      <c r="AA1479" t="inlineStr">
        <is>
          <t>PHOENIX CONTACT</t>
        </is>
      </c>
      <c r="AB1479" t="inlineStr">
        <is>
          <t>3211480</t>
        </is>
      </c>
      <c r="AC1479" t="inlineStr"/>
      <c r="AD1479" s="164" t="n">
        <v>0</v>
      </c>
      <c r="AE1479" s="185" t="n">
        <v>0</v>
      </c>
      <c r="AG1479" s="167" t="inlineStr">
        <is>
          <t>7218|JA2582_1001</t>
        </is>
      </c>
      <c r="AH1479" s="47">
        <f>IF(M1479=0,"-",M1479-J1479)</f>
        <v/>
      </c>
      <c r="AI1479" s="46">
        <f>IF(AND(S1479=0,M1479&gt;0,L1479=0),IF(AH1479&gt;=120,"VERY HIGH",IF(AH1479&gt;=90,"HIGH",IF(AH1479&gt;=60,"MEDIUM",IF(AH1479&lt;60,"LOW")))),"-")</f>
        <v/>
      </c>
      <c r="AJ1479" s="12" t="n"/>
      <c r="AK1479" s="53">
        <f>IF(AND(W1479="X",M1479&lt;=$AJ$2),"YES","")</f>
        <v/>
      </c>
      <c r="AL1479" s="54">
        <f>IF(AND(W1479="X",M1479&lt;=$AJ$2),S1479,"")</f>
        <v/>
      </c>
      <c r="AM1479" s="35" t="n"/>
      <c r="AN1479" s="35">
        <f>IF(AND(W1479="X",M1479&gt;$AJ$2),S1479,"")</f>
        <v/>
      </c>
      <c r="AO1479" s="35">
        <f>IF(AND(W1479="",M1479&gt;0,$AJ$2&gt;M1479,L1479=""),1,0)</f>
        <v/>
      </c>
      <c r="AP1479" s="35">
        <f>IF(AND(AK1479="YES",W1479="X"),"X","")</f>
        <v/>
      </c>
      <c r="AQ1479" s="55">
        <f>IF(AP1479="X",100%,0%)</f>
        <v/>
      </c>
      <c r="AR1479" s="25">
        <f>IF(AND(T1479&gt;0,L1479=""),H1479,"")</f>
        <v/>
      </c>
      <c r="AS1479" s="25">
        <f>IF(AND(D1479&gt;0,H1479=0,G1479=""),1,"")</f>
        <v/>
      </c>
      <c r="AT1479" s="25">
        <f>IF(G1479="BLOQ",1,"")</f>
        <v/>
      </c>
      <c r="AU1479" s="25">
        <f>IF(L1479="BLOQ",1,"")</f>
        <v/>
      </c>
      <c r="AV1479" s="25">
        <f>MONTH(F1479)</f>
        <v/>
      </c>
      <c r="AW1479" s="65">
        <f>IF(AP1479="",100%,0%)</f>
        <v/>
      </c>
      <c r="AX1479" s="56" t="n"/>
      <c r="AY1479" s="24">
        <f>IF(M1479=0,"",M1479-$AX$2)</f>
        <v/>
      </c>
      <c r="AZ1479" s="66">
        <f>IF(AND(W1479="",AY1479&gt;0,AY1479&lt;15),1,0)</f>
        <v/>
      </c>
      <c r="BA1479" s="24">
        <f>IF(AND(W1479="",AY1479&gt;0,AY1479&lt;15),T1479,"")</f>
        <v/>
      </c>
      <c r="BB1479" s="87">
        <f>IF(R1479&lt;Q1479,"X","")</f>
        <v/>
      </c>
      <c r="BC1479" s="190" t="inlineStr">
        <is>
          <t>NO</t>
        </is>
      </c>
      <c r="BD1479" s="191" t="inlineStr">
        <is>
          <t>SI</t>
        </is>
      </c>
    </row>
    <row r="1480" ht="15" customHeight="1" s="162">
      <c r="A1480" s="7" t="n">
        <v>1479</v>
      </c>
      <c r="B1480" t="inlineStr">
        <is>
          <t>1237091470401</t>
        </is>
      </c>
      <c r="C1480" t="inlineStr">
        <is>
          <t>PEINE CONEXION TRANSV 24A AMAR ZQV 2.5/2</t>
        </is>
      </c>
      <c r="D1480" t="inlineStr">
        <is>
          <t>1800114432</t>
        </is>
      </c>
      <c r="E1480" t="inlineStr">
        <is>
          <t>70</t>
        </is>
      </c>
      <c r="F1480" s="163" t="n">
        <v>45586</v>
      </c>
      <c r="G1480" t="inlineStr"/>
      <c r="H1480" t="inlineStr">
        <is>
          <t>4200584477</t>
        </is>
      </c>
      <c r="I1480" t="inlineStr">
        <is>
          <t>30</t>
        </is>
      </c>
      <c r="J1480" s="163" t="n">
        <v>45602</v>
      </c>
      <c r="K1480" s="163" t="n">
        <v>45603</v>
      </c>
      <c r="L1480" t="inlineStr"/>
      <c r="M1480" s="163" t="n">
        <v>45606</v>
      </c>
      <c r="N1480" s="164" t="n">
        <v>110</v>
      </c>
      <c r="O1480" s="164" t="n">
        <v>8</v>
      </c>
      <c r="P1480" t="inlineStr">
        <is>
          <t>Liberado</t>
        </is>
      </c>
      <c r="Q1480" s="165" t="n">
        <v>20</v>
      </c>
      <c r="R1480" s="165" t="n">
        <v>20</v>
      </c>
      <c r="S1480" s="165" t="n">
        <v>20</v>
      </c>
      <c r="T1480" s="165" t="n">
        <v>0</v>
      </c>
      <c r="U1480" s="166" t="n">
        <v>0</v>
      </c>
      <c r="V1480" s="166" t="n">
        <v>0</v>
      </c>
      <c r="W1480" t="inlineStr">
        <is>
          <t>X</t>
        </is>
      </c>
      <c r="X1480" t="inlineStr">
        <is>
          <t>0.00</t>
        </is>
      </c>
      <c r="Y1480" t="inlineStr"/>
      <c r="Z1480" t="inlineStr">
        <is>
          <t>WEIDMULLER, S.A.</t>
        </is>
      </c>
      <c r="AA1480" t="inlineStr">
        <is>
          <t>WEIDMULLER</t>
        </is>
      </c>
      <c r="AB1480" t="inlineStr">
        <is>
          <t>1608860000</t>
        </is>
      </c>
      <c r="AC1480" t="inlineStr"/>
      <c r="AD1480" s="164" t="n">
        <v>0</v>
      </c>
      <c r="AE1480" s="185" t="n">
        <v>0</v>
      </c>
      <c r="AG1480" s="167" t="inlineStr">
        <is>
          <t>7218|JA2582_1001</t>
        </is>
      </c>
      <c r="AH1480" s="47">
        <f>IF(M1480=0,"-",M1480-J1480)</f>
        <v/>
      </c>
      <c r="AI1480" s="46">
        <f>IF(AND(S1480=0,M1480&gt;0,L1480=0),IF(AH1480&gt;=120,"VERY HIGH",IF(AH1480&gt;=90,"HIGH",IF(AH1480&gt;=60,"MEDIUM",IF(AH1480&lt;60,"LOW")))),"-")</f>
        <v/>
      </c>
      <c r="AJ1480" s="12" t="n"/>
      <c r="AK1480" s="53">
        <f>IF(AND(W1480="X",M1480&lt;=$AJ$2),"YES","")</f>
        <v/>
      </c>
      <c r="AL1480" s="54">
        <f>IF(AND(W1480="X",M1480&lt;=$AJ$2),S1480,"")</f>
        <v/>
      </c>
      <c r="AM1480" s="35" t="n"/>
      <c r="AN1480" s="35">
        <f>IF(AND(W1480="X",M1480&gt;$AJ$2),S1480,"")</f>
        <v/>
      </c>
      <c r="AO1480" s="35">
        <f>IF(AND(W1480="",M1480&gt;0,$AJ$2&gt;M1480,L1480=""),1,0)</f>
        <v/>
      </c>
      <c r="AP1480" s="35">
        <f>IF(AND(AK1480="YES",W1480="X"),"X","")</f>
        <v/>
      </c>
      <c r="AQ1480" s="55">
        <f>IF(AP1480="X",100%,0%)</f>
        <v/>
      </c>
      <c r="AR1480" s="25">
        <f>IF(AND(T1480&gt;0,L1480=""),H1480,"")</f>
        <v/>
      </c>
      <c r="AS1480" s="25">
        <f>IF(AND(D1480&gt;0,H1480=0,G1480=""),1,"")</f>
        <v/>
      </c>
      <c r="AT1480" s="25">
        <f>IF(G1480="BLOQ",1,"")</f>
        <v/>
      </c>
      <c r="AU1480" s="25">
        <f>IF(L1480="BLOQ",1,"")</f>
        <v/>
      </c>
      <c r="AV1480" s="25">
        <f>MONTH(F1480)</f>
        <v/>
      </c>
      <c r="AW1480" s="65">
        <f>IF(AP1480="",100%,0%)</f>
        <v/>
      </c>
      <c r="AX1480" s="56" t="n"/>
      <c r="AY1480" s="24">
        <f>IF(M1480=0,"",M1480-$AX$2)</f>
        <v/>
      </c>
      <c r="AZ1480" s="66">
        <f>IF(AND(W1480="",AY1480&gt;0,AY1480&lt;15),1,0)</f>
        <v/>
      </c>
      <c r="BA1480" s="24">
        <f>IF(AND(W1480="",AY1480&gt;0,AY1480&lt;15),T1480,"")</f>
        <v/>
      </c>
      <c r="BB1480" s="87">
        <f>IF(R1480&lt;Q1480,"X","")</f>
        <v/>
      </c>
      <c r="BC1480" s="190" t="inlineStr">
        <is>
          <t>NO</t>
        </is>
      </c>
      <c r="BD1480" s="191" t="inlineStr">
        <is>
          <t>SI</t>
        </is>
      </c>
    </row>
    <row r="1481" ht="15" customHeight="1" s="162">
      <c r="A1481" s="7" t="n">
        <v>1480</v>
      </c>
      <c r="B1481" t="inlineStr">
        <is>
          <t>1237092052100</t>
        </is>
      </c>
      <c r="C1481" t="inlineStr">
        <is>
          <t>TAPA FINAL 36.2X50.5X2.5MM BEIGE ZAP/TW7</t>
        </is>
      </c>
      <c r="D1481" t="inlineStr">
        <is>
          <t>1800114432</t>
        </is>
      </c>
      <c r="E1481" t="inlineStr">
        <is>
          <t>80</t>
        </is>
      </c>
      <c r="F1481" s="163" t="n">
        <v>45586</v>
      </c>
      <c r="G1481" t="inlineStr"/>
      <c r="H1481" t="inlineStr">
        <is>
          <t>4200584477</t>
        </is>
      </c>
      <c r="I1481" t="inlineStr">
        <is>
          <t>40</t>
        </is>
      </c>
      <c r="J1481" s="163" t="n">
        <v>45602</v>
      </c>
      <c r="K1481" s="163" t="n">
        <v>45603</v>
      </c>
      <c r="L1481" t="inlineStr"/>
      <c r="M1481" s="163" t="n">
        <v>45606</v>
      </c>
      <c r="N1481" s="164" t="n">
        <v>40</v>
      </c>
      <c r="O1481" s="164" t="n">
        <v>8</v>
      </c>
      <c r="P1481" t="inlineStr">
        <is>
          <t>Liberado</t>
        </is>
      </c>
      <c r="Q1481" s="165" t="n">
        <v>6</v>
      </c>
      <c r="R1481" s="165" t="n">
        <v>6</v>
      </c>
      <c r="S1481" s="165" t="n">
        <v>6</v>
      </c>
      <c r="T1481" s="165" t="n">
        <v>0</v>
      </c>
      <c r="U1481" s="166" t="n">
        <v>6</v>
      </c>
      <c r="V1481" s="166" t="n">
        <v>0</v>
      </c>
      <c r="W1481" t="inlineStr">
        <is>
          <t>X</t>
        </is>
      </c>
      <c r="X1481" t="inlineStr">
        <is>
          <t>0.00</t>
        </is>
      </c>
      <c r="Y1481" t="inlineStr"/>
      <c r="Z1481" t="inlineStr">
        <is>
          <t>WEIDMULLER, S.A.</t>
        </is>
      </c>
      <c r="AA1481" t="inlineStr">
        <is>
          <t>WEIDMULLER</t>
        </is>
      </c>
      <c r="AB1481" t="inlineStr">
        <is>
          <t>1706110000</t>
        </is>
      </c>
      <c r="AC1481" t="inlineStr"/>
      <c r="AD1481" s="164" t="n">
        <v>0</v>
      </c>
      <c r="AE1481" s="185" t="n">
        <v>0</v>
      </c>
      <c r="AG1481" s="167" t="inlineStr">
        <is>
          <t>7218|JA2582_1001</t>
        </is>
      </c>
      <c r="AH1481" s="47">
        <f>IF(M1481=0,"-",M1481-J1481)</f>
        <v/>
      </c>
      <c r="AI1481" s="46">
        <f>IF(AND(S1481=0,M1481&gt;0,L1481=0),IF(AH1481&gt;=120,"VERY HIGH",IF(AH1481&gt;=90,"HIGH",IF(AH1481&gt;=60,"MEDIUM",IF(AH1481&lt;60,"LOW")))),"-")</f>
        <v/>
      </c>
      <c r="AJ1481" s="12" t="n"/>
      <c r="AK1481" s="53">
        <f>IF(AND(W1481="X",M1481&lt;=$AJ$2),"YES","")</f>
        <v/>
      </c>
      <c r="AL1481" s="54">
        <f>IF(AND(W1481="X",M1481&lt;=$AJ$2),S1481,"")</f>
        <v/>
      </c>
      <c r="AM1481" s="35" t="n"/>
      <c r="AN1481" s="35">
        <f>IF(AND(W1481="X",M1481&gt;$AJ$2),S1481,"")</f>
        <v/>
      </c>
      <c r="AO1481" s="35">
        <f>IF(AND(W1481="",M1481&gt;0,$AJ$2&gt;M1481,L1481=""),1,0)</f>
        <v/>
      </c>
      <c r="AP1481" s="35">
        <f>IF(AND(AK1481="YES",W1481="X"),"X","")</f>
        <v/>
      </c>
      <c r="AQ1481" s="55">
        <f>IF(AP1481="X",100%,0%)</f>
        <v/>
      </c>
      <c r="AR1481" s="25">
        <f>IF(AND(T1481&gt;0,L1481=""),H1481,"")</f>
        <v/>
      </c>
      <c r="AS1481" s="25">
        <f>IF(AND(D1481&gt;0,H1481=0,G1481=""),1,"")</f>
        <v/>
      </c>
      <c r="AT1481" s="25">
        <f>IF(G1481="BLOQ",1,"")</f>
        <v/>
      </c>
      <c r="AU1481" s="25">
        <f>IF(L1481="BLOQ",1,"")</f>
        <v/>
      </c>
      <c r="AV1481" s="25">
        <f>MONTH(F1481)</f>
        <v/>
      </c>
      <c r="AW1481" s="65">
        <f>IF(AP1481="",100%,0%)</f>
        <v/>
      </c>
      <c r="AX1481" s="56" t="n"/>
      <c r="AY1481" s="24">
        <f>IF(M1481=0,"",M1481-$AX$2)</f>
        <v/>
      </c>
      <c r="AZ1481" s="66">
        <f>IF(AND(W1481="",AY1481&gt;0,AY1481&lt;15),1,0)</f>
        <v/>
      </c>
      <c r="BA1481" s="24">
        <f>IF(AND(W1481="",AY1481&gt;0,AY1481&lt;15),T1481,"")</f>
        <v/>
      </c>
      <c r="BB1481" s="87">
        <f>IF(R1481&lt;Q1481,"X","")</f>
        <v/>
      </c>
      <c r="BC1481" s="190" t="inlineStr">
        <is>
          <t>NO</t>
        </is>
      </c>
      <c r="BD1481" s="191" t="inlineStr">
        <is>
          <t>SI</t>
        </is>
      </c>
    </row>
    <row r="1482" ht="15" customHeight="1" s="162">
      <c r="A1482" s="7" t="n">
        <v>1481</v>
      </c>
      <c r="B1482" t="inlineStr">
        <is>
          <t>1237711415200</t>
        </is>
      </c>
      <c r="C1482" t="inlineStr">
        <is>
          <t>TERM PUNTERA S=1,5MM2 L=14MM E-CU-PP NEG</t>
        </is>
      </c>
      <c r="D1482" t="inlineStr">
        <is>
          <t>1800114432</t>
        </is>
      </c>
      <c r="E1482" t="inlineStr">
        <is>
          <t>90</t>
        </is>
      </c>
      <c r="F1482" s="163" t="n">
        <v>45586</v>
      </c>
      <c r="G1482" t="inlineStr"/>
      <c r="H1482" t="inlineStr">
        <is>
          <t>4200589329</t>
        </is>
      </c>
      <c r="I1482" t="inlineStr">
        <is>
          <t>20</t>
        </is>
      </c>
      <c r="J1482" s="163" t="n">
        <v>45636</v>
      </c>
      <c r="K1482" s="163" t="n">
        <v>45639</v>
      </c>
      <c r="L1482" t="inlineStr"/>
      <c r="M1482" s="163" t="n">
        <v>45646</v>
      </c>
      <c r="N1482" s="164" t="n">
        <v>30</v>
      </c>
      <c r="O1482" s="164" t="n">
        <v>8</v>
      </c>
      <c r="P1482" t="inlineStr">
        <is>
          <t>Liberado</t>
        </is>
      </c>
      <c r="Q1482" s="165" t="n">
        <v>50</v>
      </c>
      <c r="R1482" s="165" t="n">
        <v>50</v>
      </c>
      <c r="S1482" s="165" t="n">
        <v>50</v>
      </c>
      <c r="T1482" s="165" t="n">
        <v>0</v>
      </c>
      <c r="U1482" s="166" t="n">
        <v>50</v>
      </c>
      <c r="V1482" s="166" t="n">
        <v>0</v>
      </c>
      <c r="W1482" t="inlineStr">
        <is>
          <t>X</t>
        </is>
      </c>
      <c r="X1482" t="inlineStr">
        <is>
          <t>0.00</t>
        </is>
      </c>
      <c r="Y1482" t="inlineStr"/>
      <c r="Z1482" t="inlineStr">
        <is>
          <t>ICOMPPLUS ELECTRONICS S.L</t>
        </is>
      </c>
      <c r="AA1482" t="inlineStr">
        <is>
          <t>XB</t>
        </is>
      </c>
      <c r="AB1482" t="inlineStr">
        <is>
          <t>TE-1.50</t>
        </is>
      </c>
      <c r="AC1482" t="inlineStr"/>
      <c r="AD1482" s="164" t="n">
        <v>0</v>
      </c>
      <c r="AE1482" s="185" t="n">
        <v>0</v>
      </c>
      <c r="AG1482" s="167" t="inlineStr">
        <is>
          <t>7218|JA2582_1001</t>
        </is>
      </c>
      <c r="AH1482" s="47">
        <f>IF(M1482=0,"-",M1482-J1482)</f>
        <v/>
      </c>
      <c r="AI1482" s="46">
        <f>IF(AND(S1482=0,M1482&gt;0,L1482=0),IF(AH1482&gt;=120,"VERY HIGH",IF(AH1482&gt;=90,"HIGH",IF(AH1482&gt;=60,"MEDIUM",IF(AH1482&lt;60,"LOW")))),"-")</f>
        <v/>
      </c>
      <c r="AJ1482" s="12" t="n"/>
      <c r="AK1482" s="53">
        <f>IF(AND(W1482="X",M1482&lt;=$AJ$2),"YES","")</f>
        <v/>
      </c>
      <c r="AL1482" s="54">
        <f>IF(AND(W1482="X",M1482&lt;=$AJ$2),S1482,"")</f>
        <v/>
      </c>
      <c r="AM1482" s="35" t="n"/>
      <c r="AN1482" s="35">
        <f>IF(AND(W1482="X",M1482&gt;$AJ$2),S1482,"")</f>
        <v/>
      </c>
      <c r="AO1482" s="35">
        <f>IF(AND(W1482="",M1482&gt;0,$AJ$2&gt;M1482,L1482=""),1,0)</f>
        <v/>
      </c>
      <c r="AP1482" s="35">
        <f>IF(AND(AK1482="YES",W1482="X"),"X","")</f>
        <v/>
      </c>
      <c r="AQ1482" s="55">
        <f>IF(AP1482="X",100%,0%)</f>
        <v/>
      </c>
      <c r="AR1482" s="25">
        <f>IF(AND(T1482&gt;0,L1482=""),H1482,"")</f>
        <v/>
      </c>
      <c r="AS1482" s="25">
        <f>IF(AND(D1482&gt;0,H1482=0,G1482=""),1,"")</f>
        <v/>
      </c>
      <c r="AT1482" s="25">
        <f>IF(G1482="BLOQ",1,"")</f>
        <v/>
      </c>
      <c r="AU1482" s="25">
        <f>IF(L1482="BLOQ",1,"")</f>
        <v/>
      </c>
      <c r="AV1482" s="25">
        <f>MONTH(F1482)</f>
        <v/>
      </c>
      <c r="AW1482" s="65">
        <f>IF(AP1482="",100%,0%)</f>
        <v/>
      </c>
      <c r="AX1482" s="56" t="n"/>
      <c r="AY1482" s="24">
        <f>IF(M1482=0,"",M1482-$AX$2)</f>
        <v/>
      </c>
      <c r="AZ1482" s="66">
        <f>IF(AND(W1482="",AY1482&gt;0,AY1482&lt;15),1,0)</f>
        <v/>
      </c>
      <c r="BA1482" s="24">
        <f>IF(AND(W1482="",AY1482&gt;0,AY1482&lt;15),T1482,"")</f>
        <v/>
      </c>
      <c r="BB1482" s="87">
        <f>IF(R1482&lt;Q1482,"X","")</f>
        <v/>
      </c>
      <c r="BC1482" s="190" t="inlineStr">
        <is>
          <t>NO</t>
        </is>
      </c>
      <c r="BD1482" s="191" t="inlineStr">
        <is>
          <t>SI</t>
        </is>
      </c>
    </row>
    <row r="1483" ht="15" customHeight="1" s="162">
      <c r="A1483" s="7" t="n">
        <v>1482</v>
      </c>
      <c r="B1483" t="inlineStr">
        <is>
          <t>1237714100000</t>
        </is>
      </c>
      <c r="C1483" t="inlineStr">
        <is>
          <t>TERM AISL PUNTERA P/CBL 1MM2 ROJO</t>
        </is>
      </c>
      <c r="D1483" t="inlineStr">
        <is>
          <t>1800114432</t>
        </is>
      </c>
      <c r="E1483" t="inlineStr">
        <is>
          <t>100</t>
        </is>
      </c>
      <c r="F1483" s="163" t="n">
        <v>45586</v>
      </c>
      <c r="G1483" t="inlineStr"/>
      <c r="H1483" t="inlineStr">
        <is>
          <t>4200584911</t>
        </is>
      </c>
      <c r="I1483" t="inlineStr">
        <is>
          <t>130</t>
        </is>
      </c>
      <c r="J1483" s="163" t="n">
        <v>45604</v>
      </c>
      <c r="K1483" s="163" t="n">
        <v>45608</v>
      </c>
      <c r="L1483" t="inlineStr"/>
      <c r="M1483" s="163" t="n">
        <v>45625</v>
      </c>
      <c r="N1483" s="164" t="n">
        <v>40</v>
      </c>
      <c r="O1483" s="164" t="n">
        <v>8</v>
      </c>
      <c r="P1483" t="inlineStr">
        <is>
          <t>Liberado</t>
        </is>
      </c>
      <c r="Q1483" s="165" t="n">
        <v>10</v>
      </c>
      <c r="R1483" s="165" t="n">
        <v>10</v>
      </c>
      <c r="S1483" s="165" t="n">
        <v>10</v>
      </c>
      <c r="T1483" s="165" t="n">
        <v>0</v>
      </c>
      <c r="U1483" s="166" t="n">
        <v>10</v>
      </c>
      <c r="V1483" s="166" t="n">
        <v>0</v>
      </c>
      <c r="W1483" t="inlineStr">
        <is>
          <t>X</t>
        </is>
      </c>
      <c r="X1483" t="inlineStr">
        <is>
          <t>0.00</t>
        </is>
      </c>
      <c r="Y1483" t="inlineStr"/>
      <c r="Z1483" t="inlineStr">
        <is>
          <t>TELKRON, S.A.</t>
        </is>
      </c>
      <c r="AA1483" t="inlineStr">
        <is>
          <t>RS</t>
        </is>
      </c>
      <c r="AB1483" t="inlineStr">
        <is>
          <t>458-702</t>
        </is>
      </c>
      <c r="AC1483" t="inlineStr"/>
      <c r="AD1483" s="164" t="n">
        <v>1</v>
      </c>
      <c r="AE1483" s="185" t="n">
        <v>1</v>
      </c>
      <c r="AG1483" s="167" t="inlineStr">
        <is>
          <t>7218|JA2582_1001</t>
        </is>
      </c>
      <c r="AH1483" s="47">
        <f>IF(M1483=0,"-",M1483-J1483)</f>
        <v/>
      </c>
      <c r="AI1483" s="46">
        <f>IF(AND(S1483=0,M1483&gt;0,L1483=0),IF(AH1483&gt;=120,"VERY HIGH",IF(AH1483&gt;=90,"HIGH",IF(AH1483&gt;=60,"MEDIUM",IF(AH1483&lt;60,"LOW")))),"-")</f>
        <v/>
      </c>
      <c r="AJ1483" s="12" t="n"/>
      <c r="AK1483" s="53">
        <f>IF(AND(W1483="X",M1483&lt;=$AJ$2),"YES","")</f>
        <v/>
      </c>
      <c r="AL1483" s="54">
        <f>IF(AND(W1483="X",M1483&lt;=$AJ$2),S1483,"")</f>
        <v/>
      </c>
      <c r="AM1483" s="35" t="n"/>
      <c r="AN1483" s="35">
        <f>IF(AND(W1483="X",M1483&gt;$AJ$2),S1483,"")</f>
        <v/>
      </c>
      <c r="AO1483" s="35">
        <f>IF(AND(W1483="",M1483&gt;0,$AJ$2&gt;M1483,L1483=""),1,0)</f>
        <v/>
      </c>
      <c r="AP1483" s="35">
        <f>IF(AND(AK1483="YES",W1483="X"),"X","")</f>
        <v/>
      </c>
      <c r="AQ1483" s="55">
        <f>IF(AP1483="X",100%,0%)</f>
        <v/>
      </c>
      <c r="AR1483" s="25">
        <f>IF(AND(T1483&gt;0,L1483=""),H1483,"")</f>
        <v/>
      </c>
      <c r="AS1483" s="25">
        <f>IF(AND(D1483&gt;0,H1483=0,G1483=""),1,"")</f>
        <v/>
      </c>
      <c r="AT1483" s="25">
        <f>IF(G1483="BLOQ",1,"")</f>
        <v/>
      </c>
      <c r="AU1483" s="25">
        <f>IF(L1483="BLOQ",1,"")</f>
        <v/>
      </c>
      <c r="AV1483" s="25">
        <f>MONTH(F1483)</f>
        <v/>
      </c>
      <c r="AW1483" s="65">
        <f>IF(AP1483="",100%,0%)</f>
        <v/>
      </c>
      <c r="AX1483" s="56" t="n"/>
      <c r="AY1483" s="24">
        <f>IF(M1483=0,"",M1483-$AX$2)</f>
        <v/>
      </c>
      <c r="AZ1483" s="66">
        <f>IF(AND(W1483="",AY1483&gt;0,AY1483&lt;15),1,0)</f>
        <v/>
      </c>
      <c r="BA1483" s="24">
        <f>IF(AND(W1483="",AY1483&gt;0,AY1483&lt;15),T1483,"")</f>
        <v/>
      </c>
      <c r="BB1483" s="87">
        <f>IF(R1483&lt;Q1483,"X","")</f>
        <v/>
      </c>
      <c r="BC1483" s="190" t="inlineStr">
        <is>
          <t>NO</t>
        </is>
      </c>
      <c r="BD1483" s="191" t="inlineStr">
        <is>
          <t>SI</t>
        </is>
      </c>
    </row>
    <row r="1484" ht="15" customHeight="1" s="162">
      <c r="A1484" s="7" t="n">
        <v>1483</v>
      </c>
      <c r="B1484" t="inlineStr">
        <is>
          <t>1705505480000</t>
        </is>
      </c>
      <c r="C1484" t="inlineStr">
        <is>
          <t>PANEL FRONTAL 3U 84HP 426.4X128.4X2.5MM</t>
        </is>
      </c>
      <c r="D1484" t="inlineStr">
        <is>
          <t>1800114432</t>
        </is>
      </c>
      <c r="E1484" t="inlineStr">
        <is>
          <t>110</t>
        </is>
      </c>
      <c r="F1484" s="163" t="n">
        <v>45586</v>
      </c>
      <c r="G1484" t="inlineStr"/>
      <c r="H1484" t="inlineStr">
        <is>
          <t>4200586187</t>
        </is>
      </c>
      <c r="I1484" t="inlineStr">
        <is>
          <t>200</t>
        </is>
      </c>
      <c r="J1484" s="163" t="n">
        <v>45614</v>
      </c>
      <c r="K1484" s="163" t="n">
        <v>45617</v>
      </c>
      <c r="L1484" t="inlineStr"/>
      <c r="M1484" s="163" t="n">
        <v>45635</v>
      </c>
      <c r="N1484" s="164" t="n">
        <v>40</v>
      </c>
      <c r="O1484" s="164" t="n">
        <v>8</v>
      </c>
      <c r="P1484" t="inlineStr">
        <is>
          <t>Liberado</t>
        </is>
      </c>
      <c r="Q1484" s="165" t="n">
        <v>2</v>
      </c>
      <c r="R1484" s="165" t="n">
        <v>2</v>
      </c>
      <c r="S1484" s="165" t="n">
        <v>2</v>
      </c>
      <c r="T1484" s="165" t="n">
        <v>0</v>
      </c>
      <c r="U1484" s="166" t="n">
        <v>2</v>
      </c>
      <c r="V1484" s="166" t="n">
        <v>0</v>
      </c>
      <c r="W1484" t="inlineStr">
        <is>
          <t>X</t>
        </is>
      </c>
      <c r="X1484" t="inlineStr">
        <is>
          <t>0.00</t>
        </is>
      </c>
      <c r="Y1484" t="inlineStr"/>
      <c r="Z1484" t="inlineStr">
        <is>
          <t>CENVALSA, S.L.</t>
        </is>
      </c>
      <c r="AA1484" t="inlineStr">
        <is>
          <t>SCHROFF</t>
        </is>
      </c>
      <c r="AB1484" t="inlineStr">
        <is>
          <t>24563-096</t>
        </is>
      </c>
      <c r="AC1484" t="inlineStr"/>
      <c r="AD1484" s="164" t="n">
        <v>0</v>
      </c>
      <c r="AE1484" s="185" t="n">
        <v>0</v>
      </c>
      <c r="AG1484" s="167" t="inlineStr">
        <is>
          <t>7218|JA2582_1001</t>
        </is>
      </c>
      <c r="AH1484" s="47">
        <f>IF(M1484=0,"-",M1484-J1484)</f>
        <v/>
      </c>
      <c r="AI1484" s="46">
        <f>IF(AND(S1484=0,M1484&gt;0,L1484=0),IF(AH1484&gt;=120,"VERY HIGH",IF(AH1484&gt;=90,"HIGH",IF(AH1484&gt;=60,"MEDIUM",IF(AH1484&lt;60,"LOW")))),"-")</f>
        <v/>
      </c>
      <c r="AJ1484" s="12" t="n"/>
      <c r="AK1484" s="53">
        <f>IF(AND(W1484="X",M1484&lt;=$AJ$2),"YES","")</f>
        <v/>
      </c>
      <c r="AL1484" s="54">
        <f>IF(AND(W1484="X",M1484&lt;=$AJ$2),S1484,"")</f>
        <v/>
      </c>
      <c r="AM1484" s="35" t="n"/>
      <c r="AN1484" s="35">
        <f>IF(AND(W1484="X",M1484&gt;$AJ$2),S1484,"")</f>
        <v/>
      </c>
      <c r="AO1484" s="35">
        <f>IF(AND(W1484="",M1484&gt;0,$AJ$2&gt;M1484,L1484=""),1,0)</f>
        <v/>
      </c>
      <c r="AP1484" s="35">
        <f>IF(AND(AK1484="YES",W1484="X"),"X","")</f>
        <v/>
      </c>
      <c r="AQ1484" s="55">
        <f>IF(AP1484="X",100%,0%)</f>
        <v/>
      </c>
      <c r="AR1484" s="25">
        <f>IF(AND(T1484&gt;0,L1484=""),H1484,"")</f>
        <v/>
      </c>
      <c r="AS1484" s="25">
        <f>IF(AND(D1484&gt;0,H1484=0,G1484=""),1,"")</f>
        <v/>
      </c>
      <c r="AT1484" s="25">
        <f>IF(G1484="BLOQ",1,"")</f>
        <v/>
      </c>
      <c r="AU1484" s="25">
        <f>IF(L1484="BLOQ",1,"")</f>
        <v/>
      </c>
      <c r="AV1484" s="25">
        <f>MONTH(F1484)</f>
        <v/>
      </c>
      <c r="AW1484" s="65">
        <f>IF(AP1484="",100%,0%)</f>
        <v/>
      </c>
      <c r="AX1484" s="56" t="n"/>
      <c r="AY1484" s="24">
        <f>IF(M1484=0,"",M1484-$AX$2)</f>
        <v/>
      </c>
      <c r="AZ1484" s="66">
        <f>IF(AND(W1484="",AY1484&gt;0,AY1484&lt;15),1,0)</f>
        <v/>
      </c>
      <c r="BA1484" s="24">
        <f>IF(AND(W1484="",AY1484&gt;0,AY1484&lt;15),T1484,"")</f>
        <v/>
      </c>
      <c r="BB1484" s="87">
        <f>IF(R1484&lt;Q1484,"X","")</f>
        <v/>
      </c>
      <c r="BC1484" s="190" t="inlineStr">
        <is>
          <t>NO</t>
        </is>
      </c>
      <c r="BD1484" s="191" t="inlineStr">
        <is>
          <t>SI</t>
        </is>
      </c>
    </row>
    <row r="1485" ht="15" customHeight="1" s="162">
      <c r="A1485" s="7" t="n">
        <v>1484</v>
      </c>
      <c r="B1485" t="inlineStr">
        <is>
          <t>1706201190100</t>
        </is>
      </c>
      <c r="C1485" t="inlineStr">
        <is>
          <t>MOD SOPORTE PU 19" 3U EQUIP P/SUBRACK</t>
        </is>
      </c>
      <c r="D1485" t="inlineStr">
        <is>
          <t>1800114432</t>
        </is>
      </c>
      <c r="E1485" t="inlineStr">
        <is>
          <t>120</t>
        </is>
      </c>
      <c r="F1485" s="163" t="n">
        <v>45586</v>
      </c>
      <c r="G1485" t="inlineStr"/>
      <c r="H1485" t="inlineStr">
        <is>
          <t>4200586187</t>
        </is>
      </c>
      <c r="I1485" t="inlineStr">
        <is>
          <t>210</t>
        </is>
      </c>
      <c r="J1485" s="163" t="n">
        <v>45614</v>
      </c>
      <c r="K1485" s="163" t="n">
        <v>45617</v>
      </c>
      <c r="L1485" t="inlineStr"/>
      <c r="M1485" s="163" t="n">
        <v>45635</v>
      </c>
      <c r="N1485" s="164" t="n">
        <v>45</v>
      </c>
      <c r="O1485" s="164" t="n">
        <v>8</v>
      </c>
      <c r="P1485" t="inlineStr">
        <is>
          <t>Liberado</t>
        </is>
      </c>
      <c r="Q1485" s="165" t="n">
        <v>2</v>
      </c>
      <c r="R1485" s="165" t="n">
        <v>2</v>
      </c>
      <c r="S1485" s="165" t="n">
        <v>2</v>
      </c>
      <c r="T1485" s="165" t="n">
        <v>0</v>
      </c>
      <c r="U1485" s="166" t="n">
        <v>0</v>
      </c>
      <c r="V1485" s="166" t="n">
        <v>0</v>
      </c>
      <c r="W1485" t="inlineStr">
        <is>
          <t>X</t>
        </is>
      </c>
      <c r="X1485" t="inlineStr">
        <is>
          <t>0.00</t>
        </is>
      </c>
      <c r="Y1485" t="inlineStr"/>
      <c r="Z1485" t="inlineStr">
        <is>
          <t>CENVALSA, S.L.</t>
        </is>
      </c>
      <c r="AA1485" t="inlineStr">
        <is>
          <t>CENVALSA</t>
        </is>
      </c>
      <c r="AB1485" t="inlineStr">
        <is>
          <t>991201500-24564100</t>
        </is>
      </c>
      <c r="AC1485" t="inlineStr"/>
      <c r="AD1485" s="164" t="n">
        <v>0</v>
      </c>
      <c r="AE1485" s="185" t="n">
        <v>0</v>
      </c>
      <c r="AG1485" s="167" t="inlineStr">
        <is>
          <t>7218|JA2582_1001</t>
        </is>
      </c>
      <c r="AH1485" s="47">
        <f>IF(M1485=0,"-",M1485-J1485)</f>
        <v/>
      </c>
      <c r="AI1485" s="46">
        <f>IF(AND(S1485=0,M1485&gt;0,L1485=0),IF(AH1485&gt;=120,"VERY HIGH",IF(AH1485&gt;=90,"HIGH",IF(AH1485&gt;=60,"MEDIUM",IF(AH1485&lt;60,"LOW")))),"-")</f>
        <v/>
      </c>
      <c r="AJ1485" s="12" t="n"/>
      <c r="AK1485" s="53">
        <f>IF(AND(W1485="X",M1485&lt;=$AJ$2),"YES","")</f>
        <v/>
      </c>
      <c r="AL1485" s="54">
        <f>IF(AND(W1485="X",M1485&lt;=$AJ$2),S1485,"")</f>
        <v/>
      </c>
      <c r="AM1485" s="35" t="n"/>
      <c r="AN1485" s="35">
        <f>IF(AND(W1485="X",M1485&gt;$AJ$2),S1485,"")</f>
        <v/>
      </c>
      <c r="AO1485" s="35">
        <f>IF(AND(W1485="",M1485&gt;0,$AJ$2&gt;M1485,L1485=""),1,0)</f>
        <v/>
      </c>
      <c r="AP1485" s="35">
        <f>IF(AND(AK1485="YES",W1485="X"),"X","")</f>
        <v/>
      </c>
      <c r="AQ1485" s="55">
        <f>IF(AP1485="X",100%,0%)</f>
        <v/>
      </c>
      <c r="AR1485" s="25">
        <f>IF(AND(T1485&gt;0,L1485=""),H1485,"")</f>
        <v/>
      </c>
      <c r="AS1485" s="25">
        <f>IF(AND(D1485&gt;0,H1485=0,G1485=""),1,"")</f>
        <v/>
      </c>
      <c r="AT1485" s="25">
        <f>IF(G1485="BLOQ",1,"")</f>
        <v/>
      </c>
      <c r="AU1485" s="25">
        <f>IF(L1485="BLOQ",1,"")</f>
        <v/>
      </c>
      <c r="AV1485" s="25">
        <f>MONTH(F1485)</f>
        <v/>
      </c>
      <c r="AW1485" s="65">
        <f>IF(AP1485="",100%,0%)</f>
        <v/>
      </c>
      <c r="AX1485" s="56" t="n"/>
      <c r="AY1485" s="24">
        <f>IF(M1485=0,"",M1485-$AX$2)</f>
        <v/>
      </c>
      <c r="AZ1485" s="66">
        <f>IF(AND(W1485="",AY1485&gt;0,AY1485&lt;15),1,0)</f>
        <v/>
      </c>
      <c r="BA1485" s="24">
        <f>IF(AND(W1485="",AY1485&gt;0,AY1485&lt;15),T1485,"")</f>
        <v/>
      </c>
      <c r="BB1485" s="87">
        <f>IF(R1485&lt;Q1485,"X","")</f>
        <v/>
      </c>
      <c r="BC1485" s="190" t="inlineStr">
        <is>
          <t>NO</t>
        </is>
      </c>
      <c r="BD1485" s="191" t="inlineStr">
        <is>
          <t>SI</t>
        </is>
      </c>
    </row>
    <row r="1486" ht="15" customHeight="1" s="162">
      <c r="A1486" s="7" t="n">
        <v>1485</v>
      </c>
      <c r="B1486" t="inlineStr">
        <is>
          <t>1706701900200</t>
        </is>
      </c>
      <c r="C1486" t="inlineStr">
        <is>
          <t>RAIL GUIA DIN 43880 SOP SUJECCION P/19"</t>
        </is>
      </c>
      <c r="D1486" t="inlineStr">
        <is>
          <t>1800114432</t>
        </is>
      </c>
      <c r="E1486" t="inlineStr">
        <is>
          <t>130</t>
        </is>
      </c>
      <c r="F1486" s="163" t="n">
        <v>45586</v>
      </c>
      <c r="G1486" t="inlineStr"/>
      <c r="H1486" t="inlineStr">
        <is>
          <t>4200586187</t>
        </is>
      </c>
      <c r="I1486" t="inlineStr">
        <is>
          <t>220</t>
        </is>
      </c>
      <c r="J1486" s="163" t="n">
        <v>45614</v>
      </c>
      <c r="K1486" s="163" t="n">
        <v>45617</v>
      </c>
      <c r="L1486" t="inlineStr"/>
      <c r="M1486" s="163" t="n">
        <v>45635</v>
      </c>
      <c r="N1486" s="164" t="n">
        <v>60</v>
      </c>
      <c r="O1486" s="164" t="n">
        <v>8</v>
      </c>
      <c r="P1486" t="inlineStr">
        <is>
          <t>Liberado</t>
        </is>
      </c>
      <c r="Q1486" s="165" t="n">
        <v>2</v>
      </c>
      <c r="R1486" s="165" t="n">
        <v>2</v>
      </c>
      <c r="S1486" s="165" t="n">
        <v>2</v>
      </c>
      <c r="T1486" s="165" t="n">
        <v>0</v>
      </c>
      <c r="U1486" s="166" t="n">
        <v>2</v>
      </c>
      <c r="V1486" s="166" t="n">
        <v>0</v>
      </c>
      <c r="W1486" t="inlineStr">
        <is>
          <t>X</t>
        </is>
      </c>
      <c r="X1486" t="inlineStr">
        <is>
          <t>0.00</t>
        </is>
      </c>
      <c r="Y1486" t="inlineStr"/>
      <c r="Z1486" t="inlineStr">
        <is>
          <t>CENVALSA, S.L.</t>
        </is>
      </c>
      <c r="AA1486" t="inlineStr">
        <is>
          <t>SCHROFF</t>
        </is>
      </c>
      <c r="AB1486" t="inlineStr">
        <is>
          <t>24560-171</t>
        </is>
      </c>
      <c r="AC1486" t="inlineStr"/>
      <c r="AD1486" s="164" t="n">
        <v>0</v>
      </c>
      <c r="AE1486" s="185" t="n">
        <v>0</v>
      </c>
      <c r="AG1486" s="167" t="inlineStr">
        <is>
          <t>7218|JA2582_1001</t>
        </is>
      </c>
      <c r="AH1486" s="47">
        <f>IF(M1486=0,"-",M1486-J1486)</f>
        <v/>
      </c>
      <c r="AI1486" s="46">
        <f>IF(AND(S1486=0,M1486&gt;0,L1486=0),IF(AH1486&gt;=120,"VERY HIGH",IF(AH1486&gt;=90,"HIGH",IF(AH1486&gt;=60,"MEDIUM",IF(AH1486&lt;60,"LOW")))),"-")</f>
        <v/>
      </c>
      <c r="AJ1486" s="12" t="n"/>
      <c r="AK1486" s="53">
        <f>IF(AND(W1486="X",M1486&lt;=$AJ$2),"YES","")</f>
        <v/>
      </c>
      <c r="AL1486" s="54">
        <f>IF(AND(W1486="X",M1486&lt;=$AJ$2),S1486,"")</f>
        <v/>
      </c>
      <c r="AM1486" s="35" t="n"/>
      <c r="AN1486" s="35">
        <f>IF(AND(W1486="X",M1486&gt;$AJ$2),S1486,"")</f>
        <v/>
      </c>
      <c r="AO1486" s="35">
        <f>IF(AND(W1486="",M1486&gt;0,$AJ$2&gt;M1486,L1486=""),1,0)</f>
        <v/>
      </c>
      <c r="AP1486" s="35">
        <f>IF(AND(AK1486="YES",W1486="X"),"X","")</f>
        <v/>
      </c>
      <c r="AQ1486" s="55">
        <f>IF(AP1486="X",100%,0%)</f>
        <v/>
      </c>
      <c r="AR1486" s="25">
        <f>IF(AND(T1486&gt;0,L1486=""),H1486,"")</f>
        <v/>
      </c>
      <c r="AS1486" s="25">
        <f>IF(AND(D1486&gt;0,H1486=0,G1486=""),1,"")</f>
        <v/>
      </c>
      <c r="AT1486" s="25">
        <f>IF(G1486="BLOQ",1,"")</f>
        <v/>
      </c>
      <c r="AU1486" s="25">
        <f>IF(L1486="BLOQ",1,"")</f>
        <v/>
      </c>
      <c r="AV1486" s="25">
        <f>MONTH(F1486)</f>
        <v/>
      </c>
      <c r="AW1486" s="65">
        <f>IF(AP1486="",100%,0%)</f>
        <v/>
      </c>
      <c r="AX1486" s="56" t="n"/>
      <c r="AY1486" s="24">
        <f>IF(M1486=0,"",M1486-$AX$2)</f>
        <v/>
      </c>
      <c r="AZ1486" s="66">
        <f>IF(AND(W1486="",AY1486&gt;0,AY1486&lt;15),1,0)</f>
        <v/>
      </c>
      <c r="BA1486" s="24">
        <f>IF(AND(W1486="",AY1486&gt;0,AY1486&lt;15),T1486,"")</f>
        <v/>
      </c>
      <c r="BB1486" s="87">
        <f>IF(R1486&lt;Q1486,"X","")</f>
        <v/>
      </c>
      <c r="BC1486" s="190" t="inlineStr">
        <is>
          <t>NO</t>
        </is>
      </c>
      <c r="BD1486" s="191" t="inlineStr">
        <is>
          <t>SI</t>
        </is>
      </c>
    </row>
    <row r="1487" ht="15" customHeight="1" s="162">
      <c r="A1487" s="7" t="n">
        <v>1486</v>
      </c>
      <c r="B1487" t="inlineStr">
        <is>
          <t>1000142801001</t>
        </is>
      </c>
      <c r="C1487" t="inlineStr">
        <is>
          <t>RST PELMET AXI 2K80 1% 50PPM 2/5W 0204 R</t>
        </is>
      </c>
      <c r="D1487" t="inlineStr">
        <is>
          <t>1800114433</t>
        </is>
      </c>
      <c r="E1487" t="inlineStr">
        <is>
          <t>10</t>
        </is>
      </c>
      <c r="F1487" s="163" t="n">
        <v>45586</v>
      </c>
      <c r="G1487" t="inlineStr"/>
      <c r="H1487" t="inlineStr">
        <is>
          <t>4200582734</t>
        </is>
      </c>
      <c r="I1487" t="inlineStr">
        <is>
          <t>250</t>
        </is>
      </c>
      <c r="J1487" s="163" t="n">
        <v>45589</v>
      </c>
      <c r="K1487" s="163" t="n">
        <v>45600</v>
      </c>
      <c r="L1487" t="inlineStr">
        <is>
          <t>BORR</t>
        </is>
      </c>
      <c r="M1487" s="163" t="n">
        <v>45606</v>
      </c>
      <c r="N1487" s="164" t="n">
        <v>40</v>
      </c>
      <c r="O1487" s="164" t="n">
        <v>8</v>
      </c>
      <c r="P1487" t="inlineStr">
        <is>
          <t>Liberado</t>
        </is>
      </c>
      <c r="Q1487" s="165" t="n">
        <v>20</v>
      </c>
      <c r="R1487" s="165" t="n">
        <v>20</v>
      </c>
      <c r="S1487" s="165" t="n">
        <v>0</v>
      </c>
      <c r="T1487" s="165" t="n">
        <v>20</v>
      </c>
      <c r="U1487" s="166" t="n">
        <v>0</v>
      </c>
      <c r="V1487" s="166" t="n">
        <v>0</v>
      </c>
      <c r="W1487" t="inlineStr"/>
      <c r="X1487" t="inlineStr">
        <is>
          <t>2.80</t>
        </is>
      </c>
      <c r="Y1487" t="inlineStr"/>
      <c r="Z1487" t="inlineStr">
        <is>
          <t>TCX MICRO, S.L.U</t>
        </is>
      </c>
      <c r="AA1487" t="inlineStr">
        <is>
          <t>VISHAY</t>
        </is>
      </c>
      <c r="AB1487" t="inlineStr">
        <is>
          <t>MRS16000C2801FCT00</t>
        </is>
      </c>
      <c r="AC1487" t="inlineStr"/>
      <c r="AD1487" s="164" t="n">
        <v>0</v>
      </c>
      <c r="AE1487" s="185" t="n">
        <v>0</v>
      </c>
      <c r="AG1487" s="167" t="inlineStr">
        <is>
          <t>7218|JA2583_1001</t>
        </is>
      </c>
      <c r="AH1487" s="47">
        <f>IF(M1487=0,"-",M1487-J1487)</f>
        <v/>
      </c>
      <c r="AI1487" s="46">
        <f>IF(AND(S1487=0,M1487&gt;0,L1487=0),IF(AH1487&gt;=120,"VERY HIGH",IF(AH1487&gt;=90,"HIGH",IF(AH1487&gt;=60,"MEDIUM",IF(AH1487&lt;60,"LOW")))),"-")</f>
        <v/>
      </c>
      <c r="AJ1487" s="12" t="n"/>
      <c r="AK1487" s="53">
        <f>IF(AND(W1487="X",M1487&lt;=$AJ$2),"YES","")</f>
        <v/>
      </c>
      <c r="AL1487" s="54">
        <f>IF(AND(W1487="X",M1487&lt;=$AJ$2),S1487,"")</f>
        <v/>
      </c>
      <c r="AM1487" s="35" t="n"/>
      <c r="AN1487" s="35">
        <f>IF(AND(W1487="X",M1487&gt;$AJ$2),S1487,"")</f>
        <v/>
      </c>
      <c r="AO1487" s="35">
        <f>IF(AND(W1487="",M1487&gt;0,$AJ$2&gt;M1487,L1487=""),1,0)</f>
        <v/>
      </c>
      <c r="AP1487" s="35">
        <f>IF(AND(AK1487="YES",W1487="X"),"X","")</f>
        <v/>
      </c>
      <c r="AQ1487" s="55">
        <f>IF(AP1487="X",100%,0%)</f>
        <v/>
      </c>
      <c r="AR1487" s="25">
        <f>IF(AND(T1487&gt;0,L1487=""),H1487,"")</f>
        <v/>
      </c>
      <c r="AS1487" s="25">
        <f>IF(AND(D1487&gt;0,H1487=0,G1487=""),1,"")</f>
        <v/>
      </c>
      <c r="AT1487" s="25">
        <f>IF(G1487="BLOQ",1,"")</f>
        <v/>
      </c>
      <c r="AU1487" s="25">
        <f>IF(L1487="BLOQ",1,"")</f>
        <v/>
      </c>
      <c r="AV1487" s="25">
        <f>MONTH(F1487)</f>
        <v/>
      </c>
      <c r="AW1487" s="65">
        <f>IF(AP1487="",100%,0%)</f>
        <v/>
      </c>
      <c r="AX1487" s="56" t="n"/>
      <c r="AY1487" s="24">
        <f>IF(M1487=0,"",M1487-$AX$2)</f>
        <v/>
      </c>
      <c r="AZ1487" s="66">
        <f>IF(AND(W1487="",AY1487&gt;0,AY1487&lt;15),1,0)</f>
        <v/>
      </c>
      <c r="BA1487" s="24">
        <f>IF(AND(W1487="",AY1487&gt;0,AY1487&lt;15),T1487,"")</f>
        <v/>
      </c>
      <c r="BB1487" s="87">
        <f>IF(R1487&lt;Q1487,"X","")</f>
        <v/>
      </c>
      <c r="BC1487" s="190" t="inlineStr">
        <is>
          <t>NO</t>
        </is>
      </c>
      <c r="BD1487" s="191" t="inlineStr">
        <is>
          <t>SI</t>
        </is>
      </c>
    </row>
    <row r="1488" ht="15" customHeight="1" s="162">
      <c r="A1488" s="7" t="n">
        <v>1487</v>
      </c>
      <c r="B1488" t="inlineStr">
        <is>
          <t>1000142801001</t>
        </is>
      </c>
      <c r="C1488" t="inlineStr">
        <is>
          <t>RST PELMET AXI 2K80 1% 50PPM 2/5W 0204 R</t>
        </is>
      </c>
      <c r="D1488" t="inlineStr">
        <is>
          <t>1800114433</t>
        </is>
      </c>
      <c r="E1488" t="inlineStr">
        <is>
          <t>10</t>
        </is>
      </c>
      <c r="F1488" s="163" t="n">
        <v>45586</v>
      </c>
      <c r="G1488" t="inlineStr"/>
      <c r="H1488" t="inlineStr">
        <is>
          <t>4200589895</t>
        </is>
      </c>
      <c r="I1488" t="inlineStr">
        <is>
          <t>10</t>
        </is>
      </c>
      <c r="J1488" s="163" t="n">
        <v>45638</v>
      </c>
      <c r="K1488" s="163" t="n">
        <v>45638</v>
      </c>
      <c r="L1488" t="inlineStr"/>
      <c r="M1488" s="163" t="n">
        <v>45701</v>
      </c>
      <c r="N1488" s="164" t="n">
        <v>40</v>
      </c>
      <c r="O1488" s="164" t="n">
        <v>8</v>
      </c>
      <c r="P1488" t="inlineStr">
        <is>
          <t>Liberado</t>
        </is>
      </c>
      <c r="Q1488" s="165" t="n">
        <v>20</v>
      </c>
      <c r="R1488" s="165" t="n">
        <v>20</v>
      </c>
      <c r="S1488" s="165" t="n">
        <v>20</v>
      </c>
      <c r="T1488" s="165" t="n">
        <v>0</v>
      </c>
      <c r="U1488" s="166" t="n">
        <v>20</v>
      </c>
      <c r="V1488" s="166" t="n">
        <v>0</v>
      </c>
      <c r="W1488" t="inlineStr">
        <is>
          <t>X</t>
        </is>
      </c>
      <c r="X1488" t="inlineStr">
        <is>
          <t>0.00</t>
        </is>
      </c>
      <c r="Y1488" t="inlineStr"/>
      <c r="Z1488" t="inlineStr">
        <is>
          <t>MOUSER ELECTRONICS, INC.</t>
        </is>
      </c>
      <c r="AA1488" t="inlineStr">
        <is>
          <t>VISHAY</t>
        </is>
      </c>
      <c r="AB1488" t="inlineStr">
        <is>
          <t>MRS16000C2801FCT00</t>
        </is>
      </c>
      <c r="AC1488" t="inlineStr"/>
      <c r="AD1488" s="164" t="n">
        <v>2</v>
      </c>
      <c r="AE1488" s="185" t="n">
        <v>0</v>
      </c>
      <c r="AG1488" s="167" t="inlineStr">
        <is>
          <t>7218|JA2583_1001</t>
        </is>
      </c>
      <c r="AH1488" s="47">
        <f>IF(M1488=0,"-",M1488-J1488)</f>
        <v/>
      </c>
      <c r="AI1488" s="46">
        <f>IF(AND(S1488=0,M1488&gt;0,L1488=0),IF(AH1488&gt;=120,"VERY HIGH",IF(AH1488&gt;=90,"HIGH",IF(AH1488&gt;=60,"MEDIUM",IF(AH1488&lt;60,"LOW")))),"-")</f>
        <v/>
      </c>
      <c r="AJ1488" s="12" t="n"/>
      <c r="AK1488" s="53">
        <f>IF(AND(W1488="X",M1488&lt;=$AJ$2),"YES","")</f>
        <v/>
      </c>
      <c r="AL1488" s="54">
        <f>IF(AND(W1488="X",M1488&lt;=$AJ$2),S1488,"")</f>
        <v/>
      </c>
      <c r="AM1488" s="35" t="n"/>
      <c r="AN1488" s="35">
        <f>IF(AND(W1488="X",M1488&gt;$AJ$2),S1488,"")</f>
        <v/>
      </c>
      <c r="AO1488" s="35">
        <f>IF(AND(W1488="",M1488&gt;0,$AJ$2&gt;M1488,L1488=""),1,0)</f>
        <v/>
      </c>
      <c r="AP1488" s="35">
        <f>IF(AND(AK1488="YES",W1488="X"),"X","")</f>
        <v/>
      </c>
      <c r="AQ1488" s="55">
        <f>IF(AP1488="X",100%,0%)</f>
        <v/>
      </c>
      <c r="AR1488" s="25">
        <f>IF(AND(T1488&gt;0,L1488=""),H1488,"")</f>
        <v/>
      </c>
      <c r="AS1488" s="25">
        <f>IF(AND(D1488&gt;0,H1488=0,G1488=""),1,"")</f>
        <v/>
      </c>
      <c r="AT1488" s="25">
        <f>IF(G1488="BLOQ",1,"")</f>
        <v/>
      </c>
      <c r="AU1488" s="25">
        <f>IF(L1488="BLOQ",1,"")</f>
        <v/>
      </c>
      <c r="AV1488" s="25">
        <f>MONTH(F1488)</f>
        <v/>
      </c>
      <c r="AW1488" s="65">
        <f>IF(AP1488="",100%,0%)</f>
        <v/>
      </c>
      <c r="AX1488" s="56" t="n"/>
      <c r="AY1488" s="24">
        <f>IF(M1488=0,"",M1488-$AX$2)</f>
        <v/>
      </c>
      <c r="AZ1488" s="66">
        <f>IF(AND(W1488="",AY1488&gt;0,AY1488&lt;15),1,0)</f>
        <v/>
      </c>
      <c r="BA1488" s="24">
        <f>IF(AND(W1488="",AY1488&gt;0,AY1488&lt;15),T1488,"")</f>
        <v/>
      </c>
      <c r="BB1488" s="87">
        <f>IF(R1488&lt;Q1488,"X","")</f>
        <v/>
      </c>
      <c r="BC1488" s="190" t="inlineStr">
        <is>
          <t>NO</t>
        </is>
      </c>
      <c r="BD1488" s="191" t="inlineStr">
        <is>
          <t>SI</t>
        </is>
      </c>
    </row>
    <row r="1489" ht="15" customHeight="1" s="162">
      <c r="A1489" s="7" t="n">
        <v>1488</v>
      </c>
      <c r="B1489" t="inlineStr">
        <is>
          <t>1000242801001</t>
        </is>
      </c>
      <c r="C1489" t="inlineStr">
        <is>
          <t>RST PELMET 2K80 1% 50PPM 3/5W 0207 ROHS</t>
        </is>
      </c>
      <c r="D1489" t="inlineStr">
        <is>
          <t>1800114433</t>
        </is>
      </c>
      <c r="E1489" t="inlineStr">
        <is>
          <t>20</t>
        </is>
      </c>
      <c r="F1489" s="163" t="n">
        <v>45586</v>
      </c>
      <c r="G1489" t="inlineStr"/>
      <c r="H1489" t="inlineStr">
        <is>
          <t>4200582308</t>
        </is>
      </c>
      <c r="I1489" t="inlineStr">
        <is>
          <t>10</t>
        </is>
      </c>
      <c r="J1489" s="163" t="n">
        <v>45587</v>
      </c>
      <c r="K1489" s="163" t="n">
        <v>45589</v>
      </c>
      <c r="L1489" t="inlineStr"/>
      <c r="M1489" s="163" t="n">
        <v>45600</v>
      </c>
      <c r="N1489" s="164" t="n">
        <v>40</v>
      </c>
      <c r="O1489" s="164" t="n">
        <v>8</v>
      </c>
      <c r="P1489" t="inlineStr">
        <is>
          <t>Liberado</t>
        </is>
      </c>
      <c r="Q1489" s="165" t="n">
        <v>20</v>
      </c>
      <c r="R1489" s="165" t="n">
        <v>35</v>
      </c>
      <c r="S1489" s="165" t="n">
        <v>35</v>
      </c>
      <c r="T1489" s="165" t="n">
        <v>0</v>
      </c>
      <c r="U1489" s="166" t="n">
        <v>35</v>
      </c>
      <c r="V1489" s="166" t="n">
        <v>0</v>
      </c>
      <c r="W1489" t="inlineStr">
        <is>
          <t>X</t>
        </is>
      </c>
      <c r="X1489" t="inlineStr">
        <is>
          <t>0.00</t>
        </is>
      </c>
      <c r="Y1489" t="inlineStr"/>
      <c r="Z1489" t="inlineStr">
        <is>
          <t>TCX MICRO, S.L.U</t>
        </is>
      </c>
      <c r="AA1489" t="inlineStr">
        <is>
          <t>YAGEO</t>
        </is>
      </c>
      <c r="AB1489" t="inlineStr">
        <is>
          <t>MF0207FTE52-2K8</t>
        </is>
      </c>
      <c r="AC1489" t="inlineStr"/>
      <c r="AD1489" s="164" t="n">
        <v>0</v>
      </c>
      <c r="AE1489" s="185" t="n">
        <v>0</v>
      </c>
      <c r="AG1489" s="167" t="inlineStr">
        <is>
          <t>7218|JA2583_1001</t>
        </is>
      </c>
      <c r="AH1489" s="47">
        <f>IF(M1489=0,"-",M1489-J1489)</f>
        <v/>
      </c>
      <c r="AI1489" s="46">
        <f>IF(AND(S1489=0,M1489&gt;0,L1489=0),IF(AH1489&gt;=120,"VERY HIGH",IF(AH1489&gt;=90,"HIGH",IF(AH1489&gt;=60,"MEDIUM",IF(AH1489&lt;60,"LOW")))),"-")</f>
        <v/>
      </c>
      <c r="AJ1489" s="12" t="n"/>
      <c r="AK1489" s="53">
        <f>IF(AND(W1489="X",M1489&lt;=$AJ$2),"YES","")</f>
        <v/>
      </c>
      <c r="AL1489" s="54">
        <f>IF(AND(W1489="X",M1489&lt;=$AJ$2),S1489,"")</f>
        <v/>
      </c>
      <c r="AM1489" s="35" t="n"/>
      <c r="AN1489" s="35">
        <f>IF(AND(W1489="X",M1489&gt;$AJ$2),S1489,"")</f>
        <v/>
      </c>
      <c r="AO1489" s="35">
        <f>IF(AND(W1489="",M1489&gt;0,$AJ$2&gt;M1489,L1489=""),1,0)</f>
        <v/>
      </c>
      <c r="AP1489" s="35">
        <f>IF(AND(AK1489="YES",W1489="X"),"X","")</f>
        <v/>
      </c>
      <c r="AQ1489" s="55">
        <f>IF(AP1489="X",100%,0%)</f>
        <v/>
      </c>
      <c r="AR1489" s="25">
        <f>IF(AND(T1489&gt;0,L1489=""),H1489,"")</f>
        <v/>
      </c>
      <c r="AS1489" s="25">
        <f>IF(AND(D1489&gt;0,H1489=0,G1489=""),1,"")</f>
        <v/>
      </c>
      <c r="AT1489" s="25">
        <f>IF(G1489="BLOQ",1,"")</f>
        <v/>
      </c>
      <c r="AU1489" s="25">
        <f>IF(L1489="BLOQ",1,"")</f>
        <v/>
      </c>
      <c r="AV1489" s="25">
        <f>MONTH(F1489)</f>
        <v/>
      </c>
      <c r="AW1489" s="65">
        <f>IF(AP1489="",100%,0%)</f>
        <v/>
      </c>
      <c r="AX1489" s="56" t="n"/>
      <c r="AY1489" s="24">
        <f>IF(M1489=0,"",M1489-$AX$2)</f>
        <v/>
      </c>
      <c r="AZ1489" s="66">
        <f>IF(AND(W1489="",AY1489&gt;0,AY1489&lt;15),1,0)</f>
        <v/>
      </c>
      <c r="BA1489" s="24">
        <f>IF(AND(W1489="",AY1489&gt;0,AY1489&lt;15),T1489,"")</f>
        <v/>
      </c>
      <c r="BB1489" s="87">
        <f>IF(R1489&lt;Q1489,"X","")</f>
        <v/>
      </c>
      <c r="BC1489" s="190" t="inlineStr">
        <is>
          <t>NO</t>
        </is>
      </c>
      <c r="BD1489" s="191" t="inlineStr">
        <is>
          <t>SI</t>
        </is>
      </c>
    </row>
    <row r="1490" ht="15" customHeight="1" s="162">
      <c r="A1490" s="7" t="n">
        <v>1489</v>
      </c>
      <c r="B1490" t="inlineStr">
        <is>
          <t>1540913000001</t>
        </is>
      </c>
      <c r="C1490" t="inlineStr">
        <is>
          <t>ARA ABA EXT P/M4 INOX DIN 6798A</t>
        </is>
      </c>
      <c r="D1490" t="inlineStr">
        <is>
          <t>1800114433</t>
        </is>
      </c>
      <c r="E1490" t="inlineStr">
        <is>
          <t>30</t>
        </is>
      </c>
      <c r="F1490" s="163" t="n">
        <v>45586</v>
      </c>
      <c r="G1490" t="inlineStr"/>
      <c r="H1490" t="inlineStr">
        <is>
          <t>4200593022</t>
        </is>
      </c>
      <c r="I1490" t="inlineStr">
        <is>
          <t>10</t>
        </is>
      </c>
      <c r="J1490" s="163" t="n">
        <v>45671</v>
      </c>
      <c r="K1490" s="163" t="n">
        <v>45672</v>
      </c>
      <c r="L1490" t="inlineStr"/>
      <c r="M1490" s="163" t="n">
        <v>45684</v>
      </c>
      <c r="N1490" s="164" t="n">
        <v>60</v>
      </c>
      <c r="O1490" s="164" t="n">
        <v>8</v>
      </c>
      <c r="P1490" t="inlineStr">
        <is>
          <t>Liberado</t>
        </is>
      </c>
      <c r="Q1490" s="165" t="n">
        <v>400</v>
      </c>
      <c r="R1490" s="165" t="n">
        <v>1000</v>
      </c>
      <c r="S1490" s="165" t="n">
        <v>1000</v>
      </c>
      <c r="T1490" s="165" t="n">
        <v>0</v>
      </c>
      <c r="U1490" s="166" t="n">
        <v>1000</v>
      </c>
      <c r="V1490" s="166" t="n">
        <v>0</v>
      </c>
      <c r="W1490" t="inlineStr">
        <is>
          <t>X</t>
        </is>
      </c>
      <c r="X1490" t="inlineStr">
        <is>
          <t>0.00</t>
        </is>
      </c>
      <c r="Y1490" t="inlineStr"/>
      <c r="Z1490" t="inlineStr">
        <is>
          <t>INOX IBERICA, S.A.</t>
        </is>
      </c>
      <c r="AA1490" t="inlineStr">
        <is>
          <t>DIN</t>
        </is>
      </c>
      <c r="AB1490" t="inlineStr">
        <is>
          <t>DIN6798-A4,3-A2</t>
        </is>
      </c>
      <c r="AC1490" t="inlineStr"/>
      <c r="AD1490" s="164" t="n">
        <v>0</v>
      </c>
      <c r="AE1490" s="185" t="n">
        <v>0</v>
      </c>
      <c r="AG1490" s="167" t="inlineStr">
        <is>
          <t>7218|JA2583_1001</t>
        </is>
      </c>
      <c r="AH1490" s="47">
        <f>IF(M1490=0,"-",M1490-J1490)</f>
        <v/>
      </c>
      <c r="AI1490" s="46">
        <f>IF(AND(S1490=0,M1490&gt;0,L1490=0),IF(AH1490&gt;=120,"VERY HIGH",IF(AH1490&gt;=90,"HIGH",IF(AH1490&gt;=60,"MEDIUM",IF(AH1490&lt;60,"LOW")))),"-")</f>
        <v/>
      </c>
      <c r="AJ1490" s="12" t="n"/>
      <c r="AK1490" s="53">
        <f>IF(AND(W1490="X",M1490&lt;=$AJ$2),"YES","")</f>
        <v/>
      </c>
      <c r="AL1490" s="54">
        <f>IF(AND(W1490="X",M1490&lt;=$AJ$2),S1490,"")</f>
        <v/>
      </c>
      <c r="AM1490" s="35" t="n"/>
      <c r="AN1490" s="35">
        <f>IF(AND(W1490="X",M1490&gt;$AJ$2),S1490,"")</f>
        <v/>
      </c>
      <c r="AO1490" s="35">
        <f>IF(AND(W1490="",M1490&gt;0,$AJ$2&gt;M1490,L1490=""),1,0)</f>
        <v/>
      </c>
      <c r="AP1490" s="35">
        <f>IF(AND(AK1490="YES",W1490="X"),"X","")</f>
        <v/>
      </c>
      <c r="AQ1490" s="55">
        <f>IF(AP1490="X",100%,0%)</f>
        <v/>
      </c>
      <c r="AR1490" s="25">
        <f>IF(AND(T1490&gt;0,L1490=""),H1490,"")</f>
        <v/>
      </c>
      <c r="AS1490" s="25">
        <f>IF(AND(D1490&gt;0,H1490=0,G1490=""),1,"")</f>
        <v/>
      </c>
      <c r="AT1490" s="25">
        <f>IF(G1490="BLOQ",1,"")</f>
        <v/>
      </c>
      <c r="AU1490" s="25">
        <f>IF(L1490="BLOQ",1,"")</f>
        <v/>
      </c>
      <c r="AV1490" s="25">
        <f>MONTH(F1490)</f>
        <v/>
      </c>
      <c r="AW1490" s="65">
        <f>IF(AP1490="",100%,0%)</f>
        <v/>
      </c>
      <c r="AX1490" s="56" t="n"/>
      <c r="AY1490" s="24">
        <f>IF(M1490=0,"",M1490-$AX$2)</f>
        <v/>
      </c>
      <c r="AZ1490" s="66">
        <f>IF(AND(W1490="",AY1490&gt;0,AY1490&lt;15),1,0)</f>
        <v/>
      </c>
      <c r="BA1490" s="24">
        <f>IF(AND(W1490="",AY1490&gt;0,AY1490&lt;15),T1490,"")</f>
        <v/>
      </c>
      <c r="BB1490" s="87">
        <f>IF(R1490&lt;Q1490,"X","")</f>
        <v/>
      </c>
      <c r="BC1490" s="190" t="inlineStr">
        <is>
          <t>NO</t>
        </is>
      </c>
      <c r="BD1490" s="191" t="inlineStr">
        <is>
          <t>SI</t>
        </is>
      </c>
    </row>
    <row r="1491" ht="15" customHeight="1" s="162">
      <c r="A1491" s="7" t="n">
        <v>1490</v>
      </c>
      <c r="B1491" t="inlineStr">
        <is>
          <t>1264011783500</t>
        </is>
      </c>
      <c r="C1491" t="inlineStr">
        <is>
          <t>SAI 80KW 3F 400V 5X8 C/ARMARIO/INT S/OF</t>
        </is>
      </c>
      <c r="D1491" t="inlineStr">
        <is>
          <t>1800114612</t>
        </is>
      </c>
      <c r="E1491" t="inlineStr">
        <is>
          <t>10</t>
        </is>
      </c>
      <c r="F1491" s="163" t="n">
        <v>45588</v>
      </c>
      <c r="G1491" t="inlineStr"/>
      <c r="H1491" t="inlineStr">
        <is>
          <t>4200595863</t>
        </is>
      </c>
      <c r="I1491" t="inlineStr">
        <is>
          <t>10</t>
        </is>
      </c>
      <c r="J1491" s="163" t="n">
        <v>45688</v>
      </c>
      <c r="K1491" s="163" t="n">
        <v>45693</v>
      </c>
      <c r="L1491" t="inlineStr"/>
      <c r="M1491" s="163" t="n">
        <v>45716</v>
      </c>
      <c r="N1491" s="164" t="n">
        <v>40</v>
      </c>
      <c r="O1491" s="164" t="n">
        <v>8</v>
      </c>
      <c r="P1491" t="inlineStr">
        <is>
          <t>Liberado</t>
        </is>
      </c>
      <c r="Q1491" s="165" t="n">
        <v>1</v>
      </c>
      <c r="R1491" s="165" t="n">
        <v>1</v>
      </c>
      <c r="S1491" s="165" t="n">
        <v>1</v>
      </c>
      <c r="T1491" s="165" t="n">
        <v>0</v>
      </c>
      <c r="U1491" s="166" t="n">
        <v>1</v>
      </c>
      <c r="V1491" s="166" t="n">
        <v>0</v>
      </c>
      <c r="W1491" t="inlineStr">
        <is>
          <t>X</t>
        </is>
      </c>
      <c r="X1491" t="inlineStr">
        <is>
          <t>0.00</t>
        </is>
      </c>
      <c r="Y1491" t="inlineStr"/>
      <c r="Z1491" t="inlineStr">
        <is>
          <t>TD SYNNEX SPAIN, S.L.U.</t>
        </is>
      </c>
      <c r="AA1491" t="inlineStr">
        <is>
          <t>SCHNEIDER ELECTRIC</t>
        </is>
      </c>
      <c r="AB1491" t="inlineStr">
        <is>
          <t>GVSUPS80KHS/221213-12728957</t>
        </is>
      </c>
      <c r="AC1491" t="inlineStr"/>
      <c r="AD1491" s="164" t="n">
        <v>0</v>
      </c>
      <c r="AE1491" s="185" t="n">
        <v>0</v>
      </c>
      <c r="AG1491" s="167" t="inlineStr">
        <is>
          <t>7218|JA2582_1001</t>
        </is>
      </c>
      <c r="AH1491" s="47">
        <f>IF(M1491=0,"-",M1491-J1491)</f>
        <v/>
      </c>
      <c r="AI1491" s="46">
        <f>IF(AND(S1491=0,M1491&gt;0,L1491=0),IF(AH1491&gt;=120,"VERY HIGH",IF(AH1491&gt;=90,"HIGH",IF(AH1491&gt;=60,"MEDIUM",IF(AH1491&lt;60,"LOW")))),"-")</f>
        <v/>
      </c>
      <c r="AJ1491" s="12" t="n"/>
      <c r="AK1491" s="53">
        <f>IF(AND(W1491="X",M1491&lt;=$AJ$2),"YES","")</f>
        <v/>
      </c>
      <c r="AL1491" s="54">
        <f>IF(AND(W1491="X",M1491&lt;=$AJ$2),S1491,"")</f>
        <v/>
      </c>
      <c r="AM1491" s="35" t="n"/>
      <c r="AN1491" s="35">
        <f>IF(AND(W1491="X",M1491&gt;$AJ$2),S1491,"")</f>
        <v/>
      </c>
      <c r="AO1491" s="35">
        <f>IF(AND(W1491="",M1491&gt;0,$AJ$2&gt;M1491,L1491=""),1,0)</f>
        <v/>
      </c>
      <c r="AP1491" s="35">
        <f>IF(AND(AK1491="YES",W1491="X"),"X","")</f>
        <v/>
      </c>
      <c r="AQ1491" s="55">
        <f>IF(AP1491="X",100%,0%)</f>
        <v/>
      </c>
      <c r="AR1491" s="25">
        <f>IF(AND(T1491&gt;0,L1491=""),H1491,"")</f>
        <v/>
      </c>
      <c r="AS1491" s="25">
        <f>IF(AND(D1491&gt;0,H1491=0,G1491=""),1,"")</f>
        <v/>
      </c>
      <c r="AT1491" s="25">
        <f>IF(G1491="BLOQ",1,"")</f>
        <v/>
      </c>
      <c r="AU1491" s="25">
        <f>IF(L1491="BLOQ",1,"")</f>
        <v/>
      </c>
      <c r="AV1491" s="25">
        <f>MONTH(F1491)</f>
        <v/>
      </c>
      <c r="AW1491" s="65">
        <f>IF(AP1491="",100%,0%)</f>
        <v/>
      </c>
      <c r="AX1491" s="56" t="n"/>
      <c r="AY1491" s="24">
        <f>IF(M1491=0,"",M1491-$AX$2)</f>
        <v/>
      </c>
      <c r="AZ1491" s="66">
        <f>IF(AND(W1491="",AY1491&gt;0,AY1491&lt;15),1,0)</f>
        <v/>
      </c>
      <c r="BA1491" s="24">
        <f>IF(AND(W1491="",AY1491&gt;0,AY1491&lt;15),T1491,"")</f>
        <v/>
      </c>
      <c r="BB1491" s="87">
        <f>IF(R1491&lt;Q1491,"X","")</f>
        <v/>
      </c>
      <c r="BC1491" s="190" t="inlineStr">
        <is>
          <t>NO</t>
        </is>
      </c>
      <c r="BD1491" s="191" t="inlineStr">
        <is>
          <t>SI</t>
        </is>
      </c>
    </row>
    <row r="1492" ht="15" customHeight="1" s="162">
      <c r="A1492" s="7" t="n">
        <v>1491</v>
      </c>
      <c r="B1492" t="inlineStr">
        <is>
          <t>1264011783500</t>
        </is>
      </c>
      <c r="C1492" t="inlineStr">
        <is>
          <t>SAI 80KW 3F 400V 5X8 C/ARMARIO/INT S/OF</t>
        </is>
      </c>
      <c r="D1492" t="inlineStr">
        <is>
          <t>1800114612</t>
        </is>
      </c>
      <c r="E1492" t="inlineStr">
        <is>
          <t>10</t>
        </is>
      </c>
      <c r="F1492" s="163" t="n">
        <v>45588</v>
      </c>
      <c r="G1492" t="inlineStr"/>
      <c r="H1492" t="inlineStr">
        <is>
          <t>4200584758</t>
        </is>
      </c>
      <c r="I1492" t="inlineStr">
        <is>
          <t>10</t>
        </is>
      </c>
      <c r="J1492" s="163" t="n">
        <v>45603</v>
      </c>
      <c r="K1492" s="163" t="n">
        <v>45604</v>
      </c>
      <c r="L1492" t="inlineStr">
        <is>
          <t>BORR</t>
        </is>
      </c>
      <c r="M1492" s="163" t="n">
        <v>45608</v>
      </c>
      <c r="N1492" s="164" t="n">
        <v>40</v>
      </c>
      <c r="O1492" s="164" t="n">
        <v>8</v>
      </c>
      <c r="P1492" t="inlineStr"/>
      <c r="Q1492" s="165" t="n">
        <v>1</v>
      </c>
      <c r="R1492" s="165" t="n">
        <v>1</v>
      </c>
      <c r="S1492" s="165" t="n">
        <v>0</v>
      </c>
      <c r="T1492" s="165" t="n">
        <v>1</v>
      </c>
      <c r="U1492" s="166" t="n">
        <v>0</v>
      </c>
      <c r="V1492" s="166" t="n">
        <v>0</v>
      </c>
      <c r="W1492" t="inlineStr"/>
      <c r="X1492" t="inlineStr">
        <is>
          <t>15105.56</t>
        </is>
      </c>
      <c r="Y1492" t="inlineStr"/>
      <c r="Z1492" t="inlineStr">
        <is>
          <t>SCHNEIDER ELECTRIC IT SPAIN, S.L</t>
        </is>
      </c>
      <c r="AA1492" t="inlineStr">
        <is>
          <t>SCHNEIDER ELECTRIC</t>
        </is>
      </c>
      <c r="AB1492" t="inlineStr">
        <is>
          <t>GVSUPS80KHS/221213-12728957</t>
        </is>
      </c>
      <c r="AC1492" t="inlineStr"/>
      <c r="AD1492" s="164" t="n">
        <v>0</v>
      </c>
      <c r="AE1492" s="185" t="n">
        <v>0</v>
      </c>
      <c r="AG1492" s="167" t="inlineStr">
        <is>
          <t>7218|JA2582_1001</t>
        </is>
      </c>
      <c r="AH1492" s="47">
        <f>IF(M1492=0,"-",M1492-J1492)</f>
        <v/>
      </c>
      <c r="AI1492" s="46">
        <f>IF(AND(S1492=0,M1492&gt;0,L1492=0),IF(AH1492&gt;=120,"VERY HIGH",IF(AH1492&gt;=90,"HIGH",IF(AH1492&gt;=60,"MEDIUM",IF(AH1492&lt;60,"LOW")))),"-")</f>
        <v/>
      </c>
      <c r="AJ1492" s="12" t="n"/>
      <c r="AK1492" s="53">
        <f>IF(AND(W1492="X",M1492&lt;=$AJ$2),"YES","")</f>
        <v/>
      </c>
      <c r="AL1492" s="54">
        <f>IF(AND(W1492="X",M1492&lt;=$AJ$2),S1492,"")</f>
        <v/>
      </c>
      <c r="AM1492" s="35" t="n"/>
      <c r="AN1492" s="35">
        <f>IF(AND(W1492="X",M1492&gt;$AJ$2),S1492,"")</f>
        <v/>
      </c>
      <c r="AO1492" s="35">
        <f>IF(AND(W1492="",M1492&gt;0,$AJ$2&gt;M1492,L1492=""),1,0)</f>
        <v/>
      </c>
      <c r="AP1492" s="35">
        <f>IF(AND(AK1492="YES",W1492="X"),"X","")</f>
        <v/>
      </c>
      <c r="AQ1492" s="55">
        <f>IF(AP1492="X",100%,0%)</f>
        <v/>
      </c>
      <c r="AR1492" s="25">
        <f>IF(AND(T1492&gt;0,L1492=""),H1492,"")</f>
        <v/>
      </c>
      <c r="AS1492" s="25">
        <f>IF(AND(D1492&gt;0,H1492=0,G1492=""),1,"")</f>
        <v/>
      </c>
      <c r="AT1492" s="25">
        <f>IF(G1492="BLOQ",1,"")</f>
        <v/>
      </c>
      <c r="AU1492" s="25">
        <f>IF(L1492="BLOQ",1,"")</f>
        <v/>
      </c>
      <c r="AV1492" s="25">
        <f>MONTH(F1492)</f>
        <v/>
      </c>
      <c r="AW1492" s="65">
        <f>IF(AP1492="",100%,0%)</f>
        <v/>
      </c>
      <c r="AX1492" s="56" t="n"/>
      <c r="AY1492" s="24">
        <f>IF(M1492=0,"",M1492-$AX$2)</f>
        <v/>
      </c>
      <c r="AZ1492" s="66">
        <f>IF(AND(W1492="",AY1492&gt;0,AY1492&lt;15),1,0)</f>
        <v/>
      </c>
      <c r="BA1492" s="24">
        <f>IF(AND(W1492="",AY1492&gt;0,AY1492&lt;15),T1492,"")</f>
        <v/>
      </c>
      <c r="BB1492" s="87">
        <f>IF(R1492&lt;Q1492,"X","")</f>
        <v/>
      </c>
      <c r="BC1492" s="190" t="inlineStr">
        <is>
          <t>NO</t>
        </is>
      </c>
      <c r="BD1492" s="191" t="inlineStr">
        <is>
          <t>SI</t>
        </is>
      </c>
    </row>
    <row r="1493" ht="15" customHeight="1" s="162">
      <c r="A1493" s="7" t="n">
        <v>1492</v>
      </c>
      <c r="B1493" t="inlineStr">
        <is>
          <t>1209994130024</t>
        </is>
      </c>
      <c r="C1493" t="inlineStr">
        <is>
          <t>ACC BACKSHELL #13 RECTO AL ZN/CO NEGRO</t>
        </is>
      </c>
      <c r="D1493" t="inlineStr">
        <is>
          <t>1800114613</t>
        </is>
      </c>
      <c r="E1493" t="inlineStr">
        <is>
          <t>10</t>
        </is>
      </c>
      <c r="F1493" s="163" t="n">
        <v>45588</v>
      </c>
      <c r="G1493" t="inlineStr"/>
      <c r="H1493" t="inlineStr">
        <is>
          <t>4200585421</t>
        </is>
      </c>
      <c r="I1493" t="inlineStr">
        <is>
          <t>20</t>
        </is>
      </c>
      <c r="J1493" s="163" t="n">
        <v>45609</v>
      </c>
      <c r="K1493" s="163" t="n">
        <v>45609</v>
      </c>
      <c r="L1493" t="inlineStr"/>
      <c r="M1493" s="163" t="n">
        <v>45637</v>
      </c>
      <c r="N1493" s="164" t="n">
        <v>40</v>
      </c>
      <c r="O1493" s="164" t="n">
        <v>8</v>
      </c>
      <c r="P1493" t="inlineStr">
        <is>
          <t>Liberado</t>
        </is>
      </c>
      <c r="Q1493" s="165" t="n">
        <v>30</v>
      </c>
      <c r="R1493" s="165" t="n">
        <v>30</v>
      </c>
      <c r="S1493" s="165" t="n">
        <v>30</v>
      </c>
      <c r="T1493" s="165" t="n">
        <v>0</v>
      </c>
      <c r="U1493" s="166" t="n">
        <v>0</v>
      </c>
      <c r="V1493" s="166" t="n">
        <v>0</v>
      </c>
      <c r="W1493" t="inlineStr">
        <is>
          <t>X</t>
        </is>
      </c>
      <c r="X1493" t="inlineStr">
        <is>
          <t>0.00</t>
        </is>
      </c>
      <c r="Y1493" t="inlineStr"/>
      <c r="Z1493" t="inlineStr">
        <is>
          <t>GLENAIR, INC</t>
        </is>
      </c>
      <c r="AA1493" t="inlineStr">
        <is>
          <t>MILITARY SPECS.</t>
        </is>
      </c>
      <c r="AB1493" t="inlineStr">
        <is>
          <t>M85049/38-13Z</t>
        </is>
      </c>
      <c r="AC1493" t="inlineStr"/>
      <c r="AD1493" s="164" t="n">
        <v>0</v>
      </c>
      <c r="AE1493" s="185" t="n">
        <v>0</v>
      </c>
      <c r="AG1493" s="167" t="inlineStr">
        <is>
          <t>7218|JA2582_1001</t>
        </is>
      </c>
      <c r="AH1493" s="47">
        <f>IF(M1493=0,"-",M1493-J1493)</f>
        <v/>
      </c>
      <c r="AI1493" s="46">
        <f>IF(AND(S1493=0,M1493&gt;0,L1493=0),IF(AH1493&gt;=120,"VERY HIGH",IF(AH1493&gt;=90,"HIGH",IF(AH1493&gt;=60,"MEDIUM",IF(AH1493&lt;60,"LOW")))),"-")</f>
        <v/>
      </c>
      <c r="AJ1493" s="12" t="n"/>
      <c r="AK1493" s="53">
        <f>IF(AND(W1493="X",M1493&lt;=$AJ$2),"YES","")</f>
        <v/>
      </c>
      <c r="AL1493" s="54">
        <f>IF(AND(W1493="X",M1493&lt;=$AJ$2),S1493,"")</f>
        <v/>
      </c>
      <c r="AM1493" s="35" t="n"/>
      <c r="AN1493" s="35">
        <f>IF(AND(W1493="X",M1493&gt;$AJ$2),S1493,"")</f>
        <v/>
      </c>
      <c r="AO1493" s="35">
        <f>IF(AND(W1493="",M1493&gt;0,$AJ$2&gt;M1493,L1493=""),1,0)</f>
        <v/>
      </c>
      <c r="AP1493" s="35">
        <f>IF(AND(AK1493="YES",W1493="X"),"X","")</f>
        <v/>
      </c>
      <c r="AQ1493" s="55">
        <f>IF(AP1493="X",100%,0%)</f>
        <v/>
      </c>
      <c r="AR1493" s="25">
        <f>IF(AND(T1493&gt;0,L1493=""),H1493,"")</f>
        <v/>
      </c>
      <c r="AS1493" s="25">
        <f>IF(AND(D1493&gt;0,H1493=0,G1493=""),1,"")</f>
        <v/>
      </c>
      <c r="AT1493" s="25">
        <f>IF(G1493="BLOQ",1,"")</f>
        <v/>
      </c>
      <c r="AU1493" s="25">
        <f>IF(L1493="BLOQ",1,"")</f>
        <v/>
      </c>
      <c r="AV1493" s="25">
        <f>MONTH(F1493)</f>
        <v/>
      </c>
      <c r="AW1493" s="65">
        <f>IF(AP1493="",100%,0%)</f>
        <v/>
      </c>
      <c r="AX1493" s="56" t="n"/>
      <c r="AY1493" s="24">
        <f>IF(M1493=0,"",M1493-$AX$2)</f>
        <v/>
      </c>
      <c r="AZ1493" s="66">
        <f>IF(AND(W1493="",AY1493&gt;0,AY1493&lt;15),1,0)</f>
        <v/>
      </c>
      <c r="BA1493" s="24">
        <f>IF(AND(W1493="",AY1493&gt;0,AY1493&lt;15),T1493,"")</f>
        <v/>
      </c>
      <c r="BB1493" s="87">
        <f>IF(R1493&lt;Q1493,"X","")</f>
        <v/>
      </c>
      <c r="BC1493" s="190" t="inlineStr">
        <is>
          <t>NO</t>
        </is>
      </c>
      <c r="BD1493" s="191" t="inlineStr">
        <is>
          <t>SI</t>
        </is>
      </c>
    </row>
    <row r="1494" ht="15" customHeight="1" s="162">
      <c r="A1494" s="7" t="n">
        <v>1493</v>
      </c>
      <c r="B1494" t="inlineStr">
        <is>
          <t>1237000122003</t>
        </is>
      </c>
      <c r="C1494" t="inlineStr">
        <is>
          <t>BLOQ TERM 2P 26-12AWG DNRAIL G/Y PT2,5PE</t>
        </is>
      </c>
      <c r="D1494" t="inlineStr">
        <is>
          <t>1800114613</t>
        </is>
      </c>
      <c r="E1494" t="inlineStr">
        <is>
          <t>20</t>
        </is>
      </c>
      <c r="F1494" s="163" t="n">
        <v>45588</v>
      </c>
      <c r="G1494" t="inlineStr"/>
      <c r="H1494" t="inlineStr">
        <is>
          <t>4200591800</t>
        </is>
      </c>
      <c r="I1494" t="inlineStr">
        <is>
          <t>10</t>
        </is>
      </c>
      <c r="J1494" s="163" t="n">
        <v>45656</v>
      </c>
      <c r="K1494" s="163" t="n">
        <v>45660</v>
      </c>
      <c r="L1494" t="inlineStr"/>
      <c r="M1494" s="163" t="n">
        <v>45681</v>
      </c>
      <c r="N1494" s="164" t="n">
        <v>40</v>
      </c>
      <c r="O1494" s="164" t="n">
        <v>8</v>
      </c>
      <c r="P1494" t="inlineStr">
        <is>
          <t>Liberado</t>
        </is>
      </c>
      <c r="Q1494" s="165" t="n">
        <v>20</v>
      </c>
      <c r="R1494" s="165" t="n">
        <v>50</v>
      </c>
      <c r="S1494" s="165" t="n">
        <v>50</v>
      </c>
      <c r="T1494" s="165" t="n">
        <v>0</v>
      </c>
      <c r="U1494" s="166" t="n">
        <v>50</v>
      </c>
      <c r="V1494" s="166" t="n">
        <v>0</v>
      </c>
      <c r="W1494" t="inlineStr">
        <is>
          <t>X</t>
        </is>
      </c>
      <c r="X1494" t="inlineStr">
        <is>
          <t>0.00</t>
        </is>
      </c>
      <c r="Y1494" t="inlineStr"/>
      <c r="Z1494" t="inlineStr">
        <is>
          <t>(AEMSA)ALMACENES ELECTRICOS MADRILE</t>
        </is>
      </c>
      <c r="AA1494" t="inlineStr">
        <is>
          <t>PHOENIX CONTACT</t>
        </is>
      </c>
      <c r="AB1494" t="inlineStr">
        <is>
          <t>3209536</t>
        </is>
      </c>
      <c r="AC1494" t="inlineStr"/>
      <c r="AD1494" s="164" t="n">
        <v>0</v>
      </c>
      <c r="AE1494" s="185" t="n">
        <v>0</v>
      </c>
      <c r="AG1494" s="167" t="inlineStr">
        <is>
          <t>7218|JA2582_1001</t>
        </is>
      </c>
      <c r="AH1494" s="47">
        <f>IF(M1494=0,"-",M1494-J1494)</f>
        <v/>
      </c>
      <c r="AI1494" s="46">
        <f>IF(AND(S1494=0,M1494&gt;0,L1494=0),IF(AH1494&gt;=120,"VERY HIGH",IF(AH1494&gt;=90,"HIGH",IF(AH1494&gt;=60,"MEDIUM",IF(AH1494&lt;60,"LOW")))),"-")</f>
        <v/>
      </c>
      <c r="AJ1494" s="12" t="n"/>
      <c r="AK1494" s="53">
        <f>IF(AND(W1494="X",M1494&lt;=$AJ$2),"YES","")</f>
        <v/>
      </c>
      <c r="AL1494" s="54">
        <f>IF(AND(W1494="X",M1494&lt;=$AJ$2),S1494,"")</f>
        <v/>
      </c>
      <c r="AM1494" s="35" t="n"/>
      <c r="AN1494" s="35">
        <f>IF(AND(W1494="X",M1494&gt;$AJ$2),S1494,"")</f>
        <v/>
      </c>
      <c r="AO1494" s="35">
        <f>IF(AND(W1494="",M1494&gt;0,$AJ$2&gt;M1494,L1494=""),1,0)</f>
        <v/>
      </c>
      <c r="AP1494" s="35">
        <f>IF(AND(AK1494="YES",W1494="X"),"X","")</f>
        <v/>
      </c>
      <c r="AQ1494" s="55">
        <f>IF(AP1494="X",100%,0%)</f>
        <v/>
      </c>
      <c r="AR1494" s="25">
        <f>IF(AND(T1494&gt;0,L1494=""),H1494,"")</f>
        <v/>
      </c>
      <c r="AS1494" s="25">
        <f>IF(AND(D1494&gt;0,H1494=0,G1494=""),1,"")</f>
        <v/>
      </c>
      <c r="AT1494" s="25">
        <f>IF(G1494="BLOQ",1,"")</f>
        <v/>
      </c>
      <c r="AU1494" s="25">
        <f>IF(L1494="BLOQ",1,"")</f>
        <v/>
      </c>
      <c r="AV1494" s="25">
        <f>MONTH(F1494)</f>
        <v/>
      </c>
      <c r="AW1494" s="65">
        <f>IF(AP1494="",100%,0%)</f>
        <v/>
      </c>
      <c r="AX1494" s="56" t="n"/>
      <c r="AY1494" s="24">
        <f>IF(M1494=0,"",M1494-$AX$2)</f>
        <v/>
      </c>
      <c r="AZ1494" s="66">
        <f>IF(AND(W1494="",AY1494&gt;0,AY1494&lt;15),1,0)</f>
        <v/>
      </c>
      <c r="BA1494" s="24">
        <f>IF(AND(W1494="",AY1494&gt;0,AY1494&lt;15),T1494,"")</f>
        <v/>
      </c>
      <c r="BB1494" s="87">
        <f>IF(R1494&lt;Q1494,"X","")</f>
        <v/>
      </c>
      <c r="BC1494" s="190" t="inlineStr">
        <is>
          <t>NO</t>
        </is>
      </c>
      <c r="BD1494" s="191" t="inlineStr">
        <is>
          <t>SI</t>
        </is>
      </c>
    </row>
    <row r="1495" ht="15" customHeight="1" s="162">
      <c r="A1495" s="7" t="n">
        <v>1494</v>
      </c>
      <c r="B1495" t="inlineStr">
        <is>
          <t>1237090062101</t>
        </is>
      </c>
      <c r="C1495" t="inlineStr">
        <is>
          <t>BORNA RAIL SIZE#22 DISENO#3 5A S/SELLAR</t>
        </is>
      </c>
      <c r="D1495" t="inlineStr">
        <is>
          <t>1800114614</t>
        </is>
      </c>
      <c r="E1495" t="inlineStr">
        <is>
          <t>20</t>
        </is>
      </c>
      <c r="F1495" s="163" t="n">
        <v>45588</v>
      </c>
      <c r="G1495" t="inlineStr"/>
      <c r="H1495" t="inlineStr">
        <is>
          <t>4200585921</t>
        </is>
      </c>
      <c r="I1495" t="inlineStr">
        <is>
          <t>20</t>
        </is>
      </c>
      <c r="J1495" s="163" t="n">
        <v>45611</v>
      </c>
      <c r="K1495" s="163" t="n">
        <v>45618</v>
      </c>
      <c r="L1495" t="inlineStr"/>
      <c r="M1495" s="163" t="n">
        <v>45698</v>
      </c>
      <c r="N1495" s="164" t="n">
        <v>30</v>
      </c>
      <c r="O1495" s="164" t="n">
        <v>8</v>
      </c>
      <c r="P1495" t="inlineStr">
        <is>
          <t>Liberado</t>
        </is>
      </c>
      <c r="Q1495" s="165" t="n">
        <v>20</v>
      </c>
      <c r="R1495" s="165" t="n">
        <v>50</v>
      </c>
      <c r="S1495" s="165" t="n">
        <v>50</v>
      </c>
      <c r="T1495" s="165" t="n">
        <v>0</v>
      </c>
      <c r="U1495" s="166" t="n">
        <v>50</v>
      </c>
      <c r="V1495" s="166" t="n">
        <v>0</v>
      </c>
      <c r="W1495" t="inlineStr">
        <is>
          <t>X</t>
        </is>
      </c>
      <c r="X1495" t="inlineStr">
        <is>
          <t>0.00</t>
        </is>
      </c>
      <c r="Y1495" t="inlineStr"/>
      <c r="Z1495" t="inlineStr">
        <is>
          <t>SOURIAU</t>
        </is>
      </c>
      <c r="AA1495" t="inlineStr">
        <is>
          <t>SOURIAU</t>
        </is>
      </c>
      <c r="AB1495" t="inlineStr">
        <is>
          <t>8559N2202B</t>
        </is>
      </c>
      <c r="AC1495" t="inlineStr"/>
      <c r="AD1495" s="164" t="n">
        <v>0</v>
      </c>
      <c r="AE1495" s="185" t="n">
        <v>0</v>
      </c>
      <c r="AG1495" s="167" t="inlineStr">
        <is>
          <t>7218|JA2583_1001</t>
        </is>
      </c>
      <c r="AH1495" s="47">
        <f>IF(M1495=0,"-",M1495-J1495)</f>
        <v/>
      </c>
      <c r="AI1495" s="46">
        <f>IF(AND(S1495=0,M1495&gt;0,L1495=0),IF(AH1495&gt;=120,"VERY HIGH",IF(AH1495&gt;=90,"HIGH",IF(AH1495&gt;=60,"MEDIUM",IF(AH1495&lt;60,"LOW")))),"-")</f>
        <v/>
      </c>
      <c r="AJ1495" s="12" t="n"/>
      <c r="AK1495" s="53">
        <f>IF(AND(W1495="X",M1495&lt;=$AJ$2),"YES","")</f>
        <v/>
      </c>
      <c r="AL1495" s="54">
        <f>IF(AND(W1495="X",M1495&lt;=$AJ$2),S1495,"")</f>
        <v/>
      </c>
      <c r="AM1495" s="35" t="n"/>
      <c r="AN1495" s="35">
        <f>IF(AND(W1495="X",M1495&gt;$AJ$2),S1495,"")</f>
        <v/>
      </c>
      <c r="AO1495" s="35">
        <f>IF(AND(W1495="",M1495&gt;0,$AJ$2&gt;M1495,L1495=""),1,0)</f>
        <v/>
      </c>
      <c r="AP1495" s="35">
        <f>IF(AND(AK1495="YES",W1495="X"),"X","")</f>
        <v/>
      </c>
      <c r="AQ1495" s="55">
        <f>IF(AP1495="X",100%,0%)</f>
        <v/>
      </c>
      <c r="AR1495" s="25">
        <f>IF(AND(T1495&gt;0,L1495=""),H1495,"")</f>
        <v/>
      </c>
      <c r="AS1495" s="25">
        <f>IF(AND(D1495&gt;0,H1495=0,G1495=""),1,"")</f>
        <v/>
      </c>
      <c r="AT1495" s="25">
        <f>IF(G1495="BLOQ",1,"")</f>
        <v/>
      </c>
      <c r="AU1495" s="25">
        <f>IF(L1495="BLOQ",1,"")</f>
        <v/>
      </c>
      <c r="AV1495" s="25">
        <f>MONTH(F1495)</f>
        <v/>
      </c>
      <c r="AW1495" s="65">
        <f>IF(AP1495="",100%,0%)</f>
        <v/>
      </c>
      <c r="AX1495" s="56" t="n"/>
      <c r="AY1495" s="24">
        <f>IF(M1495=0,"",M1495-$AX$2)</f>
        <v/>
      </c>
      <c r="AZ1495" s="66">
        <f>IF(AND(W1495="",AY1495&gt;0,AY1495&lt;15),1,0)</f>
        <v/>
      </c>
      <c r="BA1495" s="24">
        <f>IF(AND(W1495="",AY1495&gt;0,AY1495&lt;15),T1495,"")</f>
        <v/>
      </c>
      <c r="BB1495" s="87">
        <f>IF(R1495&lt;Q1495,"X","")</f>
        <v/>
      </c>
      <c r="BC1495" s="190" t="inlineStr">
        <is>
          <t>NO</t>
        </is>
      </c>
      <c r="BD1495" s="191" t="inlineStr">
        <is>
          <t>SI</t>
        </is>
      </c>
    </row>
    <row r="1496" ht="15" customHeight="1" s="162">
      <c r="A1496" s="7" t="n">
        <v>1495</v>
      </c>
      <c r="B1496" t="inlineStr">
        <is>
          <t>3050501221300</t>
        </is>
      </c>
      <c r="C1496" t="inlineStr">
        <is>
          <t>MEMORY RAM SODIMM 16GB 3200MHZ 1.2V DDR4</t>
        </is>
      </c>
      <c r="D1496" t="inlineStr">
        <is>
          <t>1800114614</t>
        </is>
      </c>
      <c r="E1496" t="inlineStr">
        <is>
          <t>30</t>
        </is>
      </c>
      <c r="F1496" s="163" t="n">
        <v>45588</v>
      </c>
      <c r="G1496" t="inlineStr"/>
      <c r="H1496" t="inlineStr">
        <is>
          <t>4200584480</t>
        </is>
      </c>
      <c r="I1496" t="inlineStr">
        <is>
          <t>10</t>
        </is>
      </c>
      <c r="J1496" s="163" t="n">
        <v>45602</v>
      </c>
      <c r="K1496" s="163" t="n">
        <v>45602</v>
      </c>
      <c r="L1496" t="inlineStr"/>
      <c r="M1496" s="163" t="n">
        <v>45611</v>
      </c>
      <c r="N1496" s="164" t="n">
        <v>40</v>
      </c>
      <c r="O1496" s="164" t="n">
        <v>8</v>
      </c>
      <c r="P1496" t="inlineStr">
        <is>
          <t>Liberado</t>
        </is>
      </c>
      <c r="Q1496" s="165" t="n">
        <v>1</v>
      </c>
      <c r="R1496" s="165" t="n">
        <v>1</v>
      </c>
      <c r="S1496" s="165" t="n">
        <v>1</v>
      </c>
      <c r="T1496" s="165" t="n">
        <v>0</v>
      </c>
      <c r="U1496" s="166" t="n">
        <v>1</v>
      </c>
      <c r="V1496" s="166" t="n">
        <v>0</v>
      </c>
      <c r="W1496" t="inlineStr">
        <is>
          <t>X</t>
        </is>
      </c>
      <c r="X1496" t="inlineStr">
        <is>
          <t>0.00</t>
        </is>
      </c>
      <c r="Y1496" t="inlineStr"/>
      <c r="Z1496" t="inlineStr">
        <is>
          <t>INFORMATICA CALCULO Y TECNICA, S.A.</t>
        </is>
      </c>
      <c r="AA1496" t="inlineStr">
        <is>
          <t>CRUCIAL</t>
        </is>
      </c>
      <c r="AB1496" t="inlineStr">
        <is>
          <t>CT16G4SFD832A</t>
        </is>
      </c>
      <c r="AC1496" t="inlineStr"/>
      <c r="AD1496" s="164" t="n">
        <v>0</v>
      </c>
      <c r="AE1496" s="185" t="n">
        <v>0</v>
      </c>
      <c r="AG1496" s="167" t="inlineStr">
        <is>
          <t>7218|JA2583_1001</t>
        </is>
      </c>
      <c r="AH1496" s="47">
        <f>IF(M1496=0,"-",M1496-J1496)</f>
        <v/>
      </c>
      <c r="AI1496" s="46">
        <f>IF(AND(S1496=0,M1496&gt;0,L1496=0),IF(AH1496&gt;=120,"VERY HIGH",IF(AH1496&gt;=90,"HIGH",IF(AH1496&gt;=60,"MEDIUM",IF(AH1496&lt;60,"LOW")))),"-")</f>
        <v/>
      </c>
      <c r="AJ1496" s="12" t="n"/>
      <c r="AK1496" s="53">
        <f>IF(AND(W1496="X",M1496&lt;=$AJ$2),"YES","")</f>
        <v/>
      </c>
      <c r="AL1496" s="54">
        <f>IF(AND(W1496="X",M1496&lt;=$AJ$2),S1496,"")</f>
        <v/>
      </c>
      <c r="AM1496" s="35" t="n"/>
      <c r="AN1496" s="35">
        <f>IF(AND(W1496="X",M1496&gt;$AJ$2),S1496,"")</f>
        <v/>
      </c>
      <c r="AO1496" s="35">
        <f>IF(AND(W1496="",M1496&gt;0,$AJ$2&gt;M1496,L1496=""),1,0)</f>
        <v/>
      </c>
      <c r="AP1496" s="35">
        <f>IF(AND(AK1496="YES",W1496="X"),"X","")</f>
        <v/>
      </c>
      <c r="AQ1496" s="55">
        <f>IF(AP1496="X",100%,0%)</f>
        <v/>
      </c>
      <c r="AR1496" s="25">
        <f>IF(AND(T1496&gt;0,L1496=""),H1496,"")</f>
        <v/>
      </c>
      <c r="AS1496" s="25">
        <f>IF(AND(D1496&gt;0,H1496=0,G1496=""),1,"")</f>
        <v/>
      </c>
      <c r="AT1496" s="25">
        <f>IF(G1496="BLOQ",1,"")</f>
        <v/>
      </c>
      <c r="AU1496" s="25">
        <f>IF(L1496="BLOQ",1,"")</f>
        <v/>
      </c>
      <c r="AV1496" s="25">
        <f>MONTH(F1496)</f>
        <v/>
      </c>
      <c r="AW1496" s="65">
        <f>IF(AP1496="",100%,0%)</f>
        <v/>
      </c>
      <c r="AX1496" s="56" t="n"/>
      <c r="AY1496" s="24">
        <f>IF(M1496=0,"",M1496-$AX$2)</f>
        <v/>
      </c>
      <c r="AZ1496" s="66">
        <f>IF(AND(W1496="",AY1496&gt;0,AY1496&lt;15),1,0)</f>
        <v/>
      </c>
      <c r="BA1496" s="24">
        <f>IF(AND(W1496="",AY1496&gt;0,AY1496&lt;15),T1496,"")</f>
        <v/>
      </c>
      <c r="BB1496" s="87">
        <f>IF(R1496&lt;Q1496,"X","")</f>
        <v/>
      </c>
      <c r="BC1496" s="191" t="inlineStr">
        <is>
          <t>SI</t>
        </is>
      </c>
      <c r="BD1496" s="191" t="inlineStr">
        <is>
          <t>SI</t>
        </is>
      </c>
    </row>
    <row r="1497" ht="15" customHeight="1" s="162">
      <c r="A1497" s="7" t="n">
        <v>1496</v>
      </c>
      <c r="B1497" t="inlineStr">
        <is>
          <t>3060303930200</t>
        </is>
      </c>
      <c r="C1497" t="inlineStr">
        <is>
          <t>DISK SSD 250GB M.2 NVME PCIE G4X4 3D TLC</t>
        </is>
      </c>
      <c r="D1497" t="inlineStr">
        <is>
          <t>1800114614</t>
        </is>
      </c>
      <c r="E1497" t="inlineStr">
        <is>
          <t>40</t>
        </is>
      </c>
      <c r="F1497" s="163" t="n">
        <v>45588</v>
      </c>
      <c r="G1497" t="inlineStr"/>
      <c r="H1497" t="inlineStr">
        <is>
          <t>4200584489</t>
        </is>
      </c>
      <c r="I1497" t="inlineStr">
        <is>
          <t>10</t>
        </is>
      </c>
      <c r="J1497" s="163" t="n">
        <v>45602</v>
      </c>
      <c r="K1497" s="163" t="n">
        <v>45602</v>
      </c>
      <c r="L1497" t="inlineStr"/>
      <c r="M1497" s="163" t="n">
        <v>45611</v>
      </c>
      <c r="N1497" s="164" t="n">
        <v>40</v>
      </c>
      <c r="O1497" s="164" t="n">
        <v>8</v>
      </c>
      <c r="P1497" t="inlineStr">
        <is>
          <t>Liberado</t>
        </is>
      </c>
      <c r="Q1497" s="165" t="n">
        <v>1</v>
      </c>
      <c r="R1497" s="165" t="n">
        <v>1</v>
      </c>
      <c r="S1497" s="165" t="n">
        <v>1</v>
      </c>
      <c r="T1497" s="165" t="n">
        <v>0</v>
      </c>
      <c r="U1497" s="166" t="n">
        <v>1</v>
      </c>
      <c r="V1497" s="166" t="n">
        <v>0</v>
      </c>
      <c r="W1497" t="inlineStr">
        <is>
          <t>X</t>
        </is>
      </c>
      <c r="X1497" t="inlineStr">
        <is>
          <t>0.00</t>
        </is>
      </c>
      <c r="Y1497" t="inlineStr"/>
      <c r="Z1497" t="inlineStr">
        <is>
          <t>TD SYNNEX SPAIN, S.L.U.</t>
        </is>
      </c>
      <c r="AA1497" t="inlineStr">
        <is>
          <t>KINGSTON</t>
        </is>
      </c>
      <c r="AB1497" t="inlineStr">
        <is>
          <t>SNV2S/250G</t>
        </is>
      </c>
      <c r="AC1497" t="inlineStr"/>
      <c r="AD1497" s="164" t="n">
        <v>0</v>
      </c>
      <c r="AE1497" s="185" t="n">
        <v>0</v>
      </c>
      <c r="AG1497" s="167" t="inlineStr">
        <is>
          <t>7218|JA2583_1001</t>
        </is>
      </c>
      <c r="AH1497" s="47">
        <f>IF(M1497=0,"-",M1497-J1497)</f>
        <v/>
      </c>
      <c r="AI1497" s="46">
        <f>IF(AND(S1497=0,M1497&gt;0,L1497=0),IF(AH1497&gt;=120,"VERY HIGH",IF(AH1497&gt;=90,"HIGH",IF(AH1497&gt;=60,"MEDIUM",IF(AH1497&lt;60,"LOW")))),"-")</f>
        <v/>
      </c>
      <c r="AJ1497" s="12" t="n"/>
      <c r="AK1497" s="53">
        <f>IF(AND(W1497="X",M1497&lt;=$AJ$2),"YES","")</f>
        <v/>
      </c>
      <c r="AL1497" s="54">
        <f>IF(AND(W1497="X",M1497&lt;=$AJ$2),S1497,"")</f>
        <v/>
      </c>
      <c r="AM1497" s="35" t="n"/>
      <c r="AN1497" s="35">
        <f>IF(AND(W1497="X",M1497&gt;$AJ$2),S1497,"")</f>
        <v/>
      </c>
      <c r="AO1497" s="35">
        <f>IF(AND(W1497="",M1497&gt;0,$AJ$2&gt;M1497,L1497=""),1,0)</f>
        <v/>
      </c>
      <c r="AP1497" s="35">
        <f>IF(AND(AK1497="YES",W1497="X"),"X","")</f>
        <v/>
      </c>
      <c r="AQ1497" s="55">
        <f>IF(AP1497="X",100%,0%)</f>
        <v/>
      </c>
      <c r="AR1497" s="25">
        <f>IF(AND(T1497&gt;0,L1497=""),H1497,"")</f>
        <v/>
      </c>
      <c r="AS1497" s="25">
        <f>IF(AND(D1497&gt;0,H1497=0,G1497=""),1,"")</f>
        <v/>
      </c>
      <c r="AT1497" s="25">
        <f>IF(G1497="BLOQ",1,"")</f>
        <v/>
      </c>
      <c r="AU1497" s="25">
        <f>IF(L1497="BLOQ",1,"")</f>
        <v/>
      </c>
      <c r="AV1497" s="25">
        <f>MONTH(F1497)</f>
        <v/>
      </c>
      <c r="AW1497" s="65">
        <f>IF(AP1497="",100%,0%)</f>
        <v/>
      </c>
      <c r="AX1497" s="56" t="n"/>
      <c r="AY1497" s="24">
        <f>IF(M1497=0,"",M1497-$AX$2)</f>
        <v/>
      </c>
      <c r="AZ1497" s="66">
        <f>IF(AND(W1497="",AY1497&gt;0,AY1497&lt;15),1,0)</f>
        <v/>
      </c>
      <c r="BA1497" s="24">
        <f>IF(AND(W1497="",AY1497&gt;0,AY1497&lt;15),T1497,"")</f>
        <v/>
      </c>
      <c r="BB1497" s="87">
        <f>IF(R1497&lt;Q1497,"X","")</f>
        <v/>
      </c>
      <c r="BC1497" s="191" t="inlineStr">
        <is>
          <t>SI</t>
        </is>
      </c>
      <c r="BD1497" s="191" t="inlineStr">
        <is>
          <t>SI</t>
        </is>
      </c>
    </row>
    <row r="1498" ht="15" customHeight="1" s="162">
      <c r="A1498" s="7" t="n">
        <v>1497</v>
      </c>
      <c r="B1498" t="inlineStr">
        <is>
          <t>1237714400300</t>
        </is>
      </c>
      <c r="C1498" t="inlineStr">
        <is>
          <t>TERM PUNTE AISL P/CBL 4MM2 E-CU-PP NARAN</t>
        </is>
      </c>
      <c r="D1498" t="inlineStr">
        <is>
          <t>1800114615</t>
        </is>
      </c>
      <c r="E1498" t="inlineStr">
        <is>
          <t>10</t>
        </is>
      </c>
      <c r="F1498" s="163" t="n">
        <v>45588</v>
      </c>
      <c r="G1498" t="inlineStr"/>
      <c r="H1498" t="inlineStr">
        <is>
          <t>4200590467</t>
        </is>
      </c>
      <c r="I1498" t="inlineStr">
        <is>
          <t>10</t>
        </is>
      </c>
      <c r="J1498" s="163" t="n">
        <v>45643</v>
      </c>
      <c r="K1498" s="163" t="n">
        <v>45643</v>
      </c>
      <c r="L1498" t="inlineStr"/>
      <c r="M1498" s="163" t="n">
        <v>45646</v>
      </c>
      <c r="N1498" s="164" t="n">
        <v>45</v>
      </c>
      <c r="O1498" s="164" t="n">
        <v>8</v>
      </c>
      <c r="P1498" t="inlineStr">
        <is>
          <t>Liberado</t>
        </is>
      </c>
      <c r="Q1498" s="165" t="n">
        <v>50</v>
      </c>
      <c r="R1498" s="165" t="n">
        <v>100</v>
      </c>
      <c r="S1498" s="165" t="n">
        <v>100</v>
      </c>
      <c r="T1498" s="165" t="n">
        <v>0</v>
      </c>
      <c r="U1498" s="166" t="n">
        <v>0</v>
      </c>
      <c r="V1498" s="166" t="n">
        <v>0</v>
      </c>
      <c r="W1498" t="inlineStr">
        <is>
          <t>X</t>
        </is>
      </c>
      <c r="X1498" t="inlineStr">
        <is>
          <t>0.00</t>
        </is>
      </c>
      <c r="Y1498" t="inlineStr"/>
      <c r="Z1498" t="inlineStr">
        <is>
          <t>LUJISA, S.A.</t>
        </is>
      </c>
      <c r="AA1498" t="inlineStr">
        <is>
          <t>XB</t>
        </is>
      </c>
      <c r="AB1498" t="inlineStr">
        <is>
          <t>TE-4.00</t>
        </is>
      </c>
      <c r="AC1498" t="inlineStr"/>
      <c r="AD1498" s="164" t="n">
        <v>0</v>
      </c>
      <c r="AE1498" s="185" t="n">
        <v>0</v>
      </c>
      <c r="AG1498" s="167" t="inlineStr">
        <is>
          <t>7218|JA2585_1001</t>
        </is>
      </c>
      <c r="AH1498" s="47">
        <f>IF(M1498=0,"-",M1498-J1498)</f>
        <v/>
      </c>
      <c r="AI1498" s="46">
        <f>IF(AND(S1498=0,M1498&gt;0,L1498=0),IF(AH1498&gt;=120,"VERY HIGH",IF(AH1498&gt;=90,"HIGH",IF(AH1498&gt;=60,"MEDIUM",IF(AH1498&lt;60,"LOW")))),"-")</f>
        <v/>
      </c>
      <c r="AJ1498" s="12" t="n"/>
      <c r="AK1498" s="53">
        <f>IF(AND(W1498="X",M1498&lt;=$AJ$2),"YES","")</f>
        <v/>
      </c>
      <c r="AL1498" s="54">
        <f>IF(AND(W1498="X",M1498&lt;=$AJ$2),S1498,"")</f>
        <v/>
      </c>
      <c r="AM1498" s="35" t="n"/>
      <c r="AN1498" s="35">
        <f>IF(AND(W1498="X",M1498&gt;$AJ$2),S1498,"")</f>
        <v/>
      </c>
      <c r="AO1498" s="35">
        <f>IF(AND(W1498="",M1498&gt;0,$AJ$2&gt;M1498,L1498=""),1,0)</f>
        <v/>
      </c>
      <c r="AP1498" s="35">
        <f>IF(AND(AK1498="YES",W1498="X"),"X","")</f>
        <v/>
      </c>
      <c r="AQ1498" s="55">
        <f>IF(AP1498="X",100%,0%)</f>
        <v/>
      </c>
      <c r="AR1498" s="25">
        <f>IF(AND(T1498&gt;0,L1498=""),H1498,"")</f>
        <v/>
      </c>
      <c r="AS1498" s="25">
        <f>IF(AND(D1498&gt;0,H1498=0,G1498=""),1,"")</f>
        <v/>
      </c>
      <c r="AT1498" s="25">
        <f>IF(G1498="BLOQ",1,"")</f>
        <v/>
      </c>
      <c r="AU1498" s="25">
        <f>IF(L1498="BLOQ",1,"")</f>
        <v/>
      </c>
      <c r="AV1498" s="25">
        <f>MONTH(F1498)</f>
        <v/>
      </c>
      <c r="AW1498" s="65">
        <f>IF(AP1498="",100%,0%)</f>
        <v/>
      </c>
      <c r="AX1498" s="56" t="n"/>
      <c r="AY1498" s="24">
        <f>IF(M1498=0,"",M1498-$AX$2)</f>
        <v/>
      </c>
      <c r="AZ1498" s="66">
        <f>IF(AND(W1498="",AY1498&gt;0,AY1498&lt;15),1,0)</f>
        <v/>
      </c>
      <c r="BA1498" s="24">
        <f>IF(AND(W1498="",AY1498&gt;0,AY1498&lt;15),T1498,"")</f>
        <v/>
      </c>
      <c r="BB1498" s="87">
        <f>IF(R1498&lt;Q1498,"X","")</f>
        <v/>
      </c>
      <c r="BC1498" s="190" t="inlineStr">
        <is>
          <t>NO</t>
        </is>
      </c>
      <c r="BD1498" s="191" t="inlineStr">
        <is>
          <t>SI</t>
        </is>
      </c>
    </row>
    <row r="1499" ht="15" customHeight="1" s="162">
      <c r="A1499" s="7" t="n">
        <v>1498</v>
      </c>
      <c r="B1499" t="inlineStr">
        <is>
          <t>1238514252800</t>
        </is>
      </c>
      <c r="C1499" t="inlineStr">
        <is>
          <t>TERM PUNTERA P/CBL 2,5MM2 E-CU-PP GRIS</t>
        </is>
      </c>
      <c r="D1499" t="inlineStr">
        <is>
          <t>1800114615</t>
        </is>
      </c>
      <c r="E1499" t="inlineStr">
        <is>
          <t>20</t>
        </is>
      </c>
      <c r="F1499" s="163" t="n">
        <v>45588</v>
      </c>
      <c r="G1499" t="inlineStr"/>
      <c r="H1499" t="inlineStr">
        <is>
          <t>4200589329</t>
        </is>
      </c>
      <c r="I1499" t="inlineStr">
        <is>
          <t>40</t>
        </is>
      </c>
      <c r="J1499" s="163" t="n">
        <v>45636</v>
      </c>
      <c r="K1499" s="163" t="n">
        <v>45639</v>
      </c>
      <c r="L1499" t="inlineStr"/>
      <c r="M1499" s="163" t="n">
        <v>45646</v>
      </c>
      <c r="N1499" s="164" t="n">
        <v>40</v>
      </c>
      <c r="O1499" s="164" t="n">
        <v>8</v>
      </c>
      <c r="P1499" t="inlineStr">
        <is>
          <t>Liberado</t>
        </is>
      </c>
      <c r="Q1499" s="165" t="n">
        <v>100</v>
      </c>
      <c r="R1499" s="165" t="n">
        <v>100</v>
      </c>
      <c r="S1499" s="165" t="n">
        <v>100</v>
      </c>
      <c r="T1499" s="165" t="n">
        <v>0</v>
      </c>
      <c r="U1499" s="166" t="n">
        <v>100</v>
      </c>
      <c r="V1499" s="166" t="n">
        <v>0</v>
      </c>
      <c r="W1499" t="inlineStr">
        <is>
          <t>X</t>
        </is>
      </c>
      <c r="X1499" t="inlineStr">
        <is>
          <t>0.00</t>
        </is>
      </c>
      <c r="Y1499" t="inlineStr"/>
      <c r="Z1499" t="inlineStr">
        <is>
          <t>ICOMPPLUS ELECTRONICS S.L</t>
        </is>
      </c>
      <c r="AA1499" t="inlineStr">
        <is>
          <t>XB</t>
        </is>
      </c>
      <c r="AB1499" t="inlineStr">
        <is>
          <t>TE-2.50</t>
        </is>
      </c>
      <c r="AC1499" t="inlineStr"/>
      <c r="AD1499" s="164" t="n">
        <v>0</v>
      </c>
      <c r="AE1499" s="185" t="n">
        <v>0</v>
      </c>
      <c r="AG1499" s="167" t="inlineStr">
        <is>
          <t>7218|JA2585_1001</t>
        </is>
      </c>
      <c r="AH1499" s="47">
        <f>IF(M1499=0,"-",M1499-J1499)</f>
        <v/>
      </c>
      <c r="AI1499" s="46">
        <f>IF(AND(S1499=0,M1499&gt;0,L1499=0),IF(AH1499&gt;=120,"VERY HIGH",IF(AH1499&gt;=90,"HIGH",IF(AH1499&gt;=60,"MEDIUM",IF(AH1499&lt;60,"LOW")))),"-")</f>
        <v/>
      </c>
      <c r="AJ1499" s="12" t="n"/>
      <c r="AK1499" s="53">
        <f>IF(AND(W1499="X",M1499&lt;=$AJ$2),"YES","")</f>
        <v/>
      </c>
      <c r="AL1499" s="54">
        <f>IF(AND(W1499="X",M1499&lt;=$AJ$2),S1499,"")</f>
        <v/>
      </c>
      <c r="AM1499" s="35" t="n"/>
      <c r="AN1499" s="35">
        <f>IF(AND(W1499="X",M1499&gt;$AJ$2),S1499,"")</f>
        <v/>
      </c>
      <c r="AO1499" s="35">
        <f>IF(AND(W1499="",M1499&gt;0,$AJ$2&gt;M1499,L1499=""),1,0)</f>
        <v/>
      </c>
      <c r="AP1499" s="35">
        <f>IF(AND(AK1499="YES",W1499="X"),"X","")</f>
        <v/>
      </c>
      <c r="AQ1499" s="55">
        <f>IF(AP1499="X",100%,0%)</f>
        <v/>
      </c>
      <c r="AR1499" s="25">
        <f>IF(AND(T1499&gt;0,L1499=""),H1499,"")</f>
        <v/>
      </c>
      <c r="AS1499" s="25">
        <f>IF(AND(D1499&gt;0,H1499=0,G1499=""),1,"")</f>
        <v/>
      </c>
      <c r="AT1499" s="25">
        <f>IF(G1499="BLOQ",1,"")</f>
        <v/>
      </c>
      <c r="AU1499" s="25">
        <f>IF(L1499="BLOQ",1,"")</f>
        <v/>
      </c>
      <c r="AV1499" s="25">
        <f>MONTH(F1499)</f>
        <v/>
      </c>
      <c r="AW1499" s="65">
        <f>IF(AP1499="",100%,0%)</f>
        <v/>
      </c>
      <c r="AX1499" s="56" t="n"/>
      <c r="AY1499" s="24">
        <f>IF(M1499=0,"",M1499-$AX$2)</f>
        <v/>
      </c>
      <c r="AZ1499" s="66">
        <f>IF(AND(W1499="",AY1499&gt;0,AY1499&lt;15),1,0)</f>
        <v/>
      </c>
      <c r="BA1499" s="24">
        <f>IF(AND(W1499="",AY1499&gt;0,AY1499&lt;15),T1499,"")</f>
        <v/>
      </c>
      <c r="BB1499" s="87">
        <f>IF(R1499&lt;Q1499,"X","")</f>
        <v/>
      </c>
      <c r="BC1499" s="190" t="inlineStr">
        <is>
          <t>NO</t>
        </is>
      </c>
      <c r="BD1499" s="191" t="inlineStr">
        <is>
          <t>SI</t>
        </is>
      </c>
    </row>
    <row r="1500" ht="15" customHeight="1" s="162">
      <c r="A1500" s="7" t="n">
        <v>1499</v>
      </c>
      <c r="B1500" t="inlineStr">
        <is>
          <t>1587080790700</t>
        </is>
      </c>
      <c r="C1500" t="inlineStr">
        <is>
          <t>ETIQ ADH 27X12,5MM PLATA PE TRASNF TERMI</t>
        </is>
      </c>
      <c r="D1500" t="inlineStr">
        <is>
          <t>1800114615</t>
        </is>
      </c>
      <c r="E1500" t="inlineStr">
        <is>
          <t>30</t>
        </is>
      </c>
      <c r="F1500" s="163" t="n">
        <v>45588</v>
      </c>
      <c r="G1500" t="inlineStr"/>
      <c r="H1500" t="inlineStr">
        <is>
          <t>4200582294</t>
        </is>
      </c>
      <c r="I1500" t="inlineStr">
        <is>
          <t>100</t>
        </is>
      </c>
      <c r="J1500" s="163" t="n">
        <v>45587</v>
      </c>
      <c r="K1500" s="163" t="n">
        <v>45614</v>
      </c>
      <c r="L1500" t="inlineStr"/>
      <c r="M1500" s="163" t="n">
        <v>45606</v>
      </c>
      <c r="N1500" s="164" t="n">
        <v>40</v>
      </c>
      <c r="O1500" s="164" t="n">
        <v>8</v>
      </c>
      <c r="P1500" t="inlineStr">
        <is>
          <t>Liberado</t>
        </is>
      </c>
      <c r="Q1500" s="165" t="n">
        <v>50</v>
      </c>
      <c r="R1500" s="165" t="n">
        <v>250</v>
      </c>
      <c r="S1500" s="165" t="n">
        <v>250</v>
      </c>
      <c r="T1500" s="165" t="n">
        <v>0</v>
      </c>
      <c r="U1500" s="166" t="n">
        <v>250</v>
      </c>
      <c r="V1500" s="166" t="n">
        <v>0</v>
      </c>
      <c r="W1500" t="inlineStr">
        <is>
          <t>X</t>
        </is>
      </c>
      <c r="X1500" t="inlineStr">
        <is>
          <t>0.00</t>
        </is>
      </c>
      <c r="Y1500" t="inlineStr"/>
      <c r="Z1500" t="inlineStr">
        <is>
          <t>MARKABLE SOLUTIONS, S.L.</t>
        </is>
      </c>
      <c r="AA1500" t="inlineStr">
        <is>
          <t>BRADY</t>
        </is>
      </c>
      <c r="AB1500" t="inlineStr">
        <is>
          <t>M71EP-2-7593-SL</t>
        </is>
      </c>
      <c r="AC1500" t="inlineStr"/>
      <c r="AD1500" s="164" t="n">
        <v>0</v>
      </c>
      <c r="AE1500" s="185" t="n">
        <v>0</v>
      </c>
      <c r="AG1500" s="167" t="inlineStr">
        <is>
          <t>7218|JA2585_1001</t>
        </is>
      </c>
      <c r="AH1500" s="47">
        <f>IF(M1500=0,"-",M1500-J1500)</f>
        <v/>
      </c>
      <c r="AI1500" s="46">
        <f>IF(AND(S1500=0,M1500&gt;0,L1500=0),IF(AH1500&gt;=120,"VERY HIGH",IF(AH1500&gt;=90,"HIGH",IF(AH1500&gt;=60,"MEDIUM",IF(AH1500&lt;60,"LOW")))),"-")</f>
        <v/>
      </c>
      <c r="AJ1500" s="12" t="n"/>
      <c r="AK1500" s="53">
        <f>IF(AND(W1500="X",M1500&lt;=$AJ$2),"YES","")</f>
        <v/>
      </c>
      <c r="AL1500" s="54">
        <f>IF(AND(W1500="X",M1500&lt;=$AJ$2),S1500,"")</f>
        <v/>
      </c>
      <c r="AM1500" s="35" t="n"/>
      <c r="AN1500" s="35">
        <f>IF(AND(W1500="X",M1500&gt;$AJ$2),S1500,"")</f>
        <v/>
      </c>
      <c r="AO1500" s="35">
        <f>IF(AND(W1500="",M1500&gt;0,$AJ$2&gt;M1500,L1500=""),1,0)</f>
        <v/>
      </c>
      <c r="AP1500" s="35">
        <f>IF(AND(AK1500="YES",W1500="X"),"X","")</f>
        <v/>
      </c>
      <c r="AQ1500" s="55">
        <f>IF(AP1500="X",100%,0%)</f>
        <v/>
      </c>
      <c r="AR1500" s="25">
        <f>IF(AND(T1500&gt;0,L1500=""),H1500,"")</f>
        <v/>
      </c>
      <c r="AS1500" s="25">
        <f>IF(AND(D1500&gt;0,H1500=0,G1500=""),1,"")</f>
        <v/>
      </c>
      <c r="AT1500" s="25">
        <f>IF(G1500="BLOQ",1,"")</f>
        <v/>
      </c>
      <c r="AU1500" s="25">
        <f>IF(L1500="BLOQ",1,"")</f>
        <v/>
      </c>
      <c r="AV1500" s="25">
        <f>MONTH(F1500)</f>
        <v/>
      </c>
      <c r="AW1500" s="65">
        <f>IF(AP1500="",100%,0%)</f>
        <v/>
      </c>
      <c r="AX1500" s="56" t="n"/>
      <c r="AY1500" s="24">
        <f>IF(M1500=0,"",M1500-$AX$2)</f>
        <v/>
      </c>
      <c r="AZ1500" s="66">
        <f>IF(AND(W1500="",AY1500&gt;0,AY1500&lt;15),1,0)</f>
        <v/>
      </c>
      <c r="BA1500" s="24">
        <f>IF(AND(W1500="",AY1500&gt;0,AY1500&lt;15),T1500,"")</f>
        <v/>
      </c>
      <c r="BB1500" s="87">
        <f>IF(R1500&lt;Q1500,"X","")</f>
        <v/>
      </c>
      <c r="BC1500" s="190" t="inlineStr">
        <is>
          <t>NO</t>
        </is>
      </c>
      <c r="BD1500" s="191" t="inlineStr">
        <is>
          <t>SI</t>
        </is>
      </c>
    </row>
    <row r="1501" ht="15" customHeight="1" s="162">
      <c r="A1501" s="7" t="n">
        <v>1500</v>
      </c>
      <c r="B1501" t="inlineStr">
        <is>
          <t>1705202000000</t>
        </is>
      </c>
      <c r="C1501" t="inlineStr">
        <is>
          <t>CUBIERTA P/ MODULO SOPORTE 19" 3U</t>
        </is>
      </c>
      <c r="D1501" t="inlineStr">
        <is>
          <t>1800114615</t>
        </is>
      </c>
      <c r="E1501" t="inlineStr">
        <is>
          <t>40</t>
        </is>
      </c>
      <c r="F1501" s="163" t="n">
        <v>45588</v>
      </c>
      <c r="G1501" t="inlineStr"/>
      <c r="H1501" t="inlineStr">
        <is>
          <t>4200589856</t>
        </is>
      </c>
      <c r="I1501" t="inlineStr">
        <is>
          <t>10</t>
        </is>
      </c>
      <c r="J1501" s="163" t="n">
        <v>45638</v>
      </c>
      <c r="K1501" s="163" t="n">
        <v>45638</v>
      </c>
      <c r="L1501" t="inlineStr"/>
      <c r="M1501" s="163" t="n">
        <v>45672</v>
      </c>
      <c r="N1501" s="164" t="n">
        <v>40</v>
      </c>
      <c r="O1501" s="164" t="n">
        <v>8</v>
      </c>
      <c r="P1501" t="inlineStr">
        <is>
          <t>Liberado</t>
        </is>
      </c>
      <c r="Q1501" s="165" t="n">
        <v>2</v>
      </c>
      <c r="R1501" s="165" t="n">
        <v>2</v>
      </c>
      <c r="S1501" s="165" t="n">
        <v>2</v>
      </c>
      <c r="T1501" s="165" t="n">
        <v>0</v>
      </c>
      <c r="U1501" s="166" t="n">
        <v>2</v>
      </c>
      <c r="V1501" s="166" t="n">
        <v>0</v>
      </c>
      <c r="W1501" t="inlineStr">
        <is>
          <t>X</t>
        </is>
      </c>
      <c r="X1501" t="inlineStr">
        <is>
          <t>0.00</t>
        </is>
      </c>
      <c r="Y1501" t="inlineStr"/>
      <c r="Z1501" t="inlineStr">
        <is>
          <t>CENVALSA, S.L.</t>
        </is>
      </c>
      <c r="AA1501" t="inlineStr">
        <is>
          <t>PENTAIR</t>
        </is>
      </c>
      <c r="AB1501" t="inlineStr">
        <is>
          <t>24564-100</t>
        </is>
      </c>
      <c r="AC1501" t="inlineStr"/>
      <c r="AD1501" s="164" t="n">
        <v>0</v>
      </c>
      <c r="AE1501" s="185" t="n">
        <v>0</v>
      </c>
      <c r="AG1501" s="167" t="inlineStr">
        <is>
          <t>7218|JA2585_1001</t>
        </is>
      </c>
      <c r="AH1501" s="47">
        <f>IF(M1501=0,"-",M1501-J1501)</f>
        <v/>
      </c>
      <c r="AI1501" s="46">
        <f>IF(AND(S1501=0,M1501&gt;0,L1501=0),IF(AH1501&gt;=120,"VERY HIGH",IF(AH1501&gt;=90,"HIGH",IF(AH1501&gt;=60,"MEDIUM",IF(AH1501&lt;60,"LOW")))),"-")</f>
        <v/>
      </c>
      <c r="AJ1501" s="12" t="n"/>
      <c r="AK1501" s="53">
        <f>IF(AND(W1501="X",M1501&lt;=$AJ$2),"YES","")</f>
        <v/>
      </c>
      <c r="AL1501" s="54">
        <f>IF(AND(W1501="X",M1501&lt;=$AJ$2),S1501,"")</f>
        <v/>
      </c>
      <c r="AM1501" s="35" t="n"/>
      <c r="AN1501" s="35">
        <f>IF(AND(W1501="X",M1501&gt;$AJ$2),S1501,"")</f>
        <v/>
      </c>
      <c r="AO1501" s="35">
        <f>IF(AND(W1501="",M1501&gt;0,$AJ$2&gt;M1501,L1501=""),1,0)</f>
        <v/>
      </c>
      <c r="AP1501" s="35">
        <f>IF(AND(AK1501="YES",W1501="X"),"X","")</f>
        <v/>
      </c>
      <c r="AQ1501" s="55">
        <f>IF(AP1501="X",100%,0%)</f>
        <v/>
      </c>
      <c r="AR1501" s="25">
        <f>IF(AND(T1501&gt;0,L1501=""),H1501,"")</f>
        <v/>
      </c>
      <c r="AS1501" s="25">
        <f>IF(AND(D1501&gt;0,H1501=0,G1501=""),1,"")</f>
        <v/>
      </c>
      <c r="AT1501" s="25">
        <f>IF(G1501="BLOQ",1,"")</f>
        <v/>
      </c>
      <c r="AU1501" s="25">
        <f>IF(L1501="BLOQ",1,"")</f>
        <v/>
      </c>
      <c r="AV1501" s="25">
        <f>MONTH(F1501)</f>
        <v/>
      </c>
      <c r="AW1501" s="65">
        <f>IF(AP1501="",100%,0%)</f>
        <v/>
      </c>
      <c r="AX1501" s="56" t="n"/>
      <c r="AY1501" s="24">
        <f>IF(M1501=0,"",M1501-$AX$2)</f>
        <v/>
      </c>
      <c r="AZ1501" s="66">
        <f>IF(AND(W1501="",AY1501&gt;0,AY1501&lt;15),1,0)</f>
        <v/>
      </c>
      <c r="BA1501" s="24">
        <f>IF(AND(W1501="",AY1501&gt;0,AY1501&lt;15),T1501,"")</f>
        <v/>
      </c>
      <c r="BB1501" s="87">
        <f>IF(R1501&lt;Q1501,"X","")</f>
        <v/>
      </c>
      <c r="BC1501" s="190" t="inlineStr">
        <is>
          <t>NO</t>
        </is>
      </c>
      <c r="BD1501" s="191" t="inlineStr">
        <is>
          <t>SI</t>
        </is>
      </c>
    </row>
    <row r="1502" ht="15" customHeight="1" s="162">
      <c r="A1502" s="7" t="n">
        <v>1501</v>
      </c>
      <c r="B1502" t="inlineStr">
        <is>
          <t>1706201190000</t>
        </is>
      </c>
      <c r="C1502" t="inlineStr">
        <is>
          <t>KIT MOD DISTR POT SUBRACK 3U 84HP 115MM</t>
        </is>
      </c>
      <c r="D1502" t="inlineStr">
        <is>
          <t>1800114615</t>
        </is>
      </c>
      <c r="E1502" t="inlineStr">
        <is>
          <t>50</t>
        </is>
      </c>
      <c r="F1502" s="163" t="n">
        <v>45588</v>
      </c>
      <c r="G1502" t="inlineStr"/>
      <c r="H1502" t="inlineStr">
        <is>
          <t>4200587542</t>
        </is>
      </c>
      <c r="I1502" t="inlineStr">
        <is>
          <t>80</t>
        </is>
      </c>
      <c r="J1502" s="163" t="n">
        <v>45623</v>
      </c>
      <c r="K1502" s="163" t="n">
        <v>45623</v>
      </c>
      <c r="L1502" t="inlineStr"/>
      <c r="M1502" s="163" t="n">
        <v>45646</v>
      </c>
      <c r="N1502" s="164" t="n">
        <v>40</v>
      </c>
      <c r="O1502" s="164" t="n">
        <v>8</v>
      </c>
      <c r="P1502" t="inlineStr">
        <is>
          <t>Liberado</t>
        </is>
      </c>
      <c r="Q1502" s="165" t="n">
        <v>2</v>
      </c>
      <c r="R1502" s="165" t="n">
        <v>2</v>
      </c>
      <c r="S1502" s="165" t="n">
        <v>2</v>
      </c>
      <c r="T1502" s="165" t="n">
        <v>0</v>
      </c>
      <c r="U1502" s="166" t="n">
        <v>2</v>
      </c>
      <c r="V1502" s="166" t="n">
        <v>0</v>
      </c>
      <c r="W1502" t="inlineStr">
        <is>
          <t>X</t>
        </is>
      </c>
      <c r="X1502" t="inlineStr">
        <is>
          <t>0.00</t>
        </is>
      </c>
      <c r="Y1502" t="inlineStr"/>
      <c r="Z1502" t="inlineStr">
        <is>
          <t>CENVALSA, S.L.</t>
        </is>
      </c>
      <c r="AA1502" t="inlineStr">
        <is>
          <t>SCHROFF</t>
        </is>
      </c>
      <c r="AB1502" t="inlineStr">
        <is>
          <t>24563-100</t>
        </is>
      </c>
      <c r="AC1502" t="inlineStr"/>
      <c r="AD1502" s="164" t="n">
        <v>1</v>
      </c>
      <c r="AE1502" s="185" t="n">
        <v>0</v>
      </c>
      <c r="AG1502" s="167" t="inlineStr">
        <is>
          <t>7218|JA2585_1001</t>
        </is>
      </c>
      <c r="AH1502" s="47">
        <f>IF(M1502=0,"-",M1502-J1502)</f>
        <v/>
      </c>
      <c r="AI1502" s="46">
        <f>IF(AND(S1502=0,M1502&gt;0,L1502=0),IF(AH1502&gt;=120,"VERY HIGH",IF(AH1502&gt;=90,"HIGH",IF(AH1502&gt;=60,"MEDIUM",IF(AH1502&lt;60,"LOW")))),"-")</f>
        <v/>
      </c>
      <c r="AJ1502" s="12" t="n"/>
      <c r="AK1502" s="53">
        <f>IF(AND(W1502="X",M1502&lt;=$AJ$2),"YES","")</f>
        <v/>
      </c>
      <c r="AL1502" s="54">
        <f>IF(AND(W1502="X",M1502&lt;=$AJ$2),S1502,"")</f>
        <v/>
      </c>
      <c r="AM1502" s="35" t="n"/>
      <c r="AN1502" s="35">
        <f>IF(AND(W1502="X",M1502&gt;$AJ$2),S1502,"")</f>
        <v/>
      </c>
      <c r="AO1502" s="35">
        <f>IF(AND(W1502="",M1502&gt;0,$AJ$2&gt;M1502,L1502=""),1,0)</f>
        <v/>
      </c>
      <c r="AP1502" s="35">
        <f>IF(AND(AK1502="YES",W1502="X"),"X","")</f>
        <v/>
      </c>
      <c r="AQ1502" s="55">
        <f>IF(AP1502="X",100%,0%)</f>
        <v/>
      </c>
      <c r="AR1502" s="25">
        <f>IF(AND(T1502&gt;0,L1502=""),H1502,"")</f>
        <v/>
      </c>
      <c r="AS1502" s="25">
        <f>IF(AND(D1502&gt;0,H1502=0,G1502=""),1,"")</f>
        <v/>
      </c>
      <c r="AT1502" s="25">
        <f>IF(G1502="BLOQ",1,"")</f>
        <v/>
      </c>
      <c r="AU1502" s="25">
        <f>IF(L1502="BLOQ",1,"")</f>
        <v/>
      </c>
      <c r="AV1502" s="25">
        <f>MONTH(F1502)</f>
        <v/>
      </c>
      <c r="AW1502" s="65">
        <f>IF(AP1502="",100%,0%)</f>
        <v/>
      </c>
      <c r="AX1502" s="56" t="n"/>
      <c r="AY1502" s="24">
        <f>IF(M1502=0,"",M1502-$AX$2)</f>
        <v/>
      </c>
      <c r="AZ1502" s="66">
        <f>IF(AND(W1502="",AY1502&gt;0,AY1502&lt;15),1,0)</f>
        <v/>
      </c>
      <c r="BA1502" s="24">
        <f>IF(AND(W1502="",AY1502&gt;0,AY1502&lt;15),T1502,"")</f>
        <v/>
      </c>
      <c r="BB1502" s="87">
        <f>IF(R1502&lt;Q1502,"X","")</f>
        <v/>
      </c>
      <c r="BC1502" s="190" t="inlineStr">
        <is>
          <t>NO</t>
        </is>
      </c>
      <c r="BD1502" s="191" t="inlineStr">
        <is>
          <t>SI</t>
        </is>
      </c>
    </row>
    <row r="1503" ht="15" customHeight="1" s="162">
      <c r="A1503" s="7" t="n">
        <v>1502</v>
      </c>
      <c r="B1503" t="inlineStr">
        <is>
          <t>1209994085220</t>
        </is>
      </c>
      <c r="C1503" t="inlineStr">
        <is>
          <t>ACC CNC CIR #8 .500-20UNF STRN RELIEF NI</t>
        </is>
      </c>
      <c r="D1503" t="inlineStr">
        <is>
          <t>1800114616</t>
        </is>
      </c>
      <c r="E1503" t="inlineStr">
        <is>
          <t>10</t>
        </is>
      </c>
      <c r="F1503" s="163" t="n">
        <v>45588</v>
      </c>
      <c r="G1503" t="inlineStr"/>
      <c r="H1503" t="inlineStr">
        <is>
          <t>4200584635</t>
        </is>
      </c>
      <c r="I1503" t="inlineStr">
        <is>
          <t>420</t>
        </is>
      </c>
      <c r="J1503" s="163" t="n">
        <v>45603</v>
      </c>
      <c r="K1503" s="163" t="n">
        <v>45655</v>
      </c>
      <c r="L1503" t="inlineStr"/>
      <c r="M1503" s="163" t="n">
        <v>45606</v>
      </c>
      <c r="N1503" s="164" t="n">
        <v>80</v>
      </c>
      <c r="O1503" s="164" t="n">
        <v>8</v>
      </c>
      <c r="P1503" t="inlineStr">
        <is>
          <t>Liberado</t>
        </is>
      </c>
      <c r="Q1503" s="165" t="n">
        <v>25</v>
      </c>
      <c r="R1503" s="165" t="n">
        <v>25</v>
      </c>
      <c r="S1503" s="165" t="n">
        <v>25</v>
      </c>
      <c r="T1503" s="165" t="n">
        <v>0</v>
      </c>
      <c r="U1503" s="166" t="n">
        <v>25</v>
      </c>
      <c r="V1503" s="166" t="n">
        <v>0</v>
      </c>
      <c r="W1503" t="inlineStr">
        <is>
          <t>X</t>
        </is>
      </c>
      <c r="X1503" t="inlineStr">
        <is>
          <t>0.00</t>
        </is>
      </c>
      <c r="Y1503" t="inlineStr"/>
      <c r="Z1503" t="inlineStr">
        <is>
          <t>Electro Enterprises New York</t>
        </is>
      </c>
      <c r="AA1503" t="inlineStr">
        <is>
          <t>MILITARY SPECS.</t>
        </is>
      </c>
      <c r="AB1503" t="inlineStr">
        <is>
          <t>M85049/52-1-8N</t>
        </is>
      </c>
      <c r="AC1503" t="inlineStr"/>
      <c r="AD1503" s="164" t="n">
        <v>0</v>
      </c>
      <c r="AE1503" s="185" t="n">
        <v>0</v>
      </c>
      <c r="AG1503" s="167" t="inlineStr">
        <is>
          <t>7218|JA2586_1001</t>
        </is>
      </c>
      <c r="AH1503" s="47">
        <f>IF(M1503=0,"-",M1503-J1503)</f>
        <v/>
      </c>
      <c r="AI1503" s="46">
        <f>IF(AND(S1503=0,M1503&gt;0,L1503=0),IF(AH1503&gt;=120,"VERY HIGH",IF(AH1503&gt;=90,"HIGH",IF(AH1503&gt;=60,"MEDIUM",IF(AH1503&lt;60,"LOW")))),"-")</f>
        <v/>
      </c>
      <c r="AJ1503" s="12" t="n"/>
      <c r="AK1503" s="53">
        <f>IF(AND(W1503="X",M1503&lt;=$AJ$2),"YES","")</f>
        <v/>
      </c>
      <c r="AL1503" s="54">
        <f>IF(AND(W1503="X",M1503&lt;=$AJ$2),S1503,"")</f>
        <v/>
      </c>
      <c r="AM1503" s="35" t="n"/>
      <c r="AN1503" s="35">
        <f>IF(AND(W1503="X",M1503&gt;$AJ$2),S1503,"")</f>
        <v/>
      </c>
      <c r="AO1503" s="35">
        <f>IF(AND(W1503="",M1503&gt;0,$AJ$2&gt;M1503,L1503=""),1,0)</f>
        <v/>
      </c>
      <c r="AP1503" s="35">
        <f>IF(AND(AK1503="YES",W1503="X"),"X","")</f>
        <v/>
      </c>
      <c r="AQ1503" s="55">
        <f>IF(AP1503="X",100%,0%)</f>
        <v/>
      </c>
      <c r="AR1503" s="25">
        <f>IF(AND(T1503&gt;0,L1503=""),H1503,"")</f>
        <v/>
      </c>
      <c r="AS1503" s="25">
        <f>IF(AND(D1503&gt;0,H1503=0,G1503=""),1,"")</f>
        <v/>
      </c>
      <c r="AT1503" s="25">
        <f>IF(G1503="BLOQ",1,"")</f>
        <v/>
      </c>
      <c r="AU1503" s="25">
        <f>IF(L1503="BLOQ",1,"")</f>
        <v/>
      </c>
      <c r="AV1503" s="25">
        <f>MONTH(F1503)</f>
        <v/>
      </c>
      <c r="AW1503" s="65">
        <f>IF(AP1503="",100%,0%)</f>
        <v/>
      </c>
      <c r="AX1503" s="56" t="n"/>
      <c r="AY1503" s="24">
        <f>IF(M1503=0,"",M1503-$AX$2)</f>
        <v/>
      </c>
      <c r="AZ1503" s="66">
        <f>IF(AND(W1503="",AY1503&gt;0,AY1503&lt;15),1,0)</f>
        <v/>
      </c>
      <c r="BA1503" s="24">
        <f>IF(AND(W1503="",AY1503&gt;0,AY1503&lt;15),T1503,"")</f>
        <v/>
      </c>
      <c r="BB1503" s="87">
        <f>IF(R1503&lt;Q1503,"X","")</f>
        <v/>
      </c>
      <c r="BC1503" s="190" t="inlineStr">
        <is>
          <t>NO</t>
        </is>
      </c>
      <c r="BD1503" s="191" t="inlineStr">
        <is>
          <t>SI</t>
        </is>
      </c>
    </row>
    <row r="1504" ht="15" customHeight="1" s="162">
      <c r="A1504" s="7" t="n">
        <v>1503</v>
      </c>
      <c r="B1504" t="inlineStr">
        <is>
          <t>1229511850000</t>
        </is>
      </c>
      <c r="C1504" t="inlineStr">
        <is>
          <t>CBL EQ STEREO-3.5MM-H ACOD/2XRCA-M L=3M</t>
        </is>
      </c>
      <c r="D1504" t="inlineStr">
        <is>
          <t>1800114617</t>
        </is>
      </c>
      <c r="E1504" t="inlineStr">
        <is>
          <t>10</t>
        </is>
      </c>
      <c r="F1504" s="163" t="n">
        <v>45588</v>
      </c>
      <c r="G1504" t="inlineStr"/>
      <c r="H1504" t="inlineStr">
        <is>
          <t>4200592966</t>
        </is>
      </c>
      <c r="I1504" t="inlineStr">
        <is>
          <t>80</t>
        </is>
      </c>
      <c r="J1504" s="163" t="n">
        <v>45671</v>
      </c>
      <c r="K1504" s="163" t="n">
        <v>45674</v>
      </c>
      <c r="L1504" t="inlineStr"/>
      <c r="M1504" s="163" t="n">
        <v>45681</v>
      </c>
      <c r="N1504" s="164" t="n">
        <v>40</v>
      </c>
      <c r="O1504" s="164" t="n">
        <v>8</v>
      </c>
      <c r="P1504" t="inlineStr">
        <is>
          <t>Liberado</t>
        </is>
      </c>
      <c r="Q1504" s="165" t="n">
        <v>2</v>
      </c>
      <c r="R1504" s="165" t="n">
        <v>2</v>
      </c>
      <c r="S1504" s="165" t="n">
        <v>2</v>
      </c>
      <c r="T1504" s="165" t="n">
        <v>0</v>
      </c>
      <c r="U1504" s="166" t="n">
        <v>2</v>
      </c>
      <c r="V1504" s="166" t="n">
        <v>0</v>
      </c>
      <c r="W1504" t="inlineStr">
        <is>
          <t>X</t>
        </is>
      </c>
      <c r="X1504" t="inlineStr">
        <is>
          <t>0.00</t>
        </is>
      </c>
      <c r="Y1504" t="inlineStr"/>
      <c r="Z1504" t="inlineStr">
        <is>
          <t>INFORMATICA CALCULO Y TECNICA, S.A.</t>
        </is>
      </c>
      <c r="AA1504" t="inlineStr">
        <is>
          <t>VAN DAMME</t>
        </is>
      </c>
      <c r="AB1504" t="inlineStr">
        <is>
          <t>103-326-704</t>
        </is>
      </c>
      <c r="AC1504" t="inlineStr"/>
      <c r="AD1504" s="164" t="n">
        <v>0</v>
      </c>
      <c r="AE1504" s="185" t="n">
        <v>0</v>
      </c>
      <c r="AG1504" s="167" t="inlineStr">
        <is>
          <t>7218|JA2587_1001</t>
        </is>
      </c>
      <c r="AH1504" s="47">
        <f>IF(M1504=0,"-",M1504-J1504)</f>
        <v/>
      </c>
      <c r="AI1504" s="46">
        <f>IF(AND(S1504=0,M1504&gt;0,L1504=0),IF(AH1504&gt;=120,"VERY HIGH",IF(AH1504&gt;=90,"HIGH",IF(AH1504&gt;=60,"MEDIUM",IF(AH1504&lt;60,"LOW")))),"-")</f>
        <v/>
      </c>
      <c r="AJ1504" s="12" t="n"/>
      <c r="AK1504" s="53">
        <f>IF(AND(W1504="X",M1504&lt;=$AJ$2),"YES","")</f>
        <v/>
      </c>
      <c r="AL1504" s="54">
        <f>IF(AND(W1504="X",M1504&lt;=$AJ$2),S1504,"")</f>
        <v/>
      </c>
      <c r="AM1504" s="35" t="n"/>
      <c r="AN1504" s="35">
        <f>IF(AND(W1504="X",M1504&gt;$AJ$2),S1504,"")</f>
        <v/>
      </c>
      <c r="AO1504" s="35">
        <f>IF(AND(W1504="",M1504&gt;0,$AJ$2&gt;M1504,L1504=""),1,0)</f>
        <v/>
      </c>
      <c r="AP1504" s="35">
        <f>IF(AND(AK1504="YES",W1504="X"),"X","")</f>
        <v/>
      </c>
      <c r="AQ1504" s="55">
        <f>IF(AP1504="X",100%,0%)</f>
        <v/>
      </c>
      <c r="AR1504" s="25">
        <f>IF(AND(T1504&gt;0,L1504=""),H1504,"")</f>
        <v/>
      </c>
      <c r="AS1504" s="25">
        <f>IF(AND(D1504&gt;0,H1504=0,G1504=""),1,"")</f>
        <v/>
      </c>
      <c r="AT1504" s="25">
        <f>IF(G1504="BLOQ",1,"")</f>
        <v/>
      </c>
      <c r="AU1504" s="25">
        <f>IF(L1504="BLOQ",1,"")</f>
        <v/>
      </c>
      <c r="AV1504" s="25">
        <f>MONTH(F1504)</f>
        <v/>
      </c>
      <c r="AW1504" s="65">
        <f>IF(AP1504="",100%,0%)</f>
        <v/>
      </c>
      <c r="AX1504" s="56" t="n"/>
      <c r="AY1504" s="24">
        <f>IF(M1504=0,"",M1504-$AX$2)</f>
        <v/>
      </c>
      <c r="AZ1504" s="66">
        <f>IF(AND(W1504="",AY1504&gt;0,AY1504&lt;15),1,0)</f>
        <v/>
      </c>
      <c r="BA1504" s="24">
        <f>IF(AND(W1504="",AY1504&gt;0,AY1504&lt;15),T1504,"")</f>
        <v/>
      </c>
      <c r="BB1504" s="87">
        <f>IF(R1504&lt;Q1504,"X","")</f>
        <v/>
      </c>
      <c r="BC1504" s="190" t="inlineStr">
        <is>
          <t>NO</t>
        </is>
      </c>
      <c r="BD1504" s="191" t="inlineStr">
        <is>
          <t>SI</t>
        </is>
      </c>
    </row>
    <row r="1505" ht="15" customHeight="1" s="162">
      <c r="A1505" s="7" t="n">
        <v>1504</v>
      </c>
      <c r="B1505" t="inlineStr">
        <is>
          <t>3190402380300</t>
        </is>
      </c>
      <c r="C1505" t="inlineStr">
        <is>
          <t>MONITOR TACTIL LCD 22" 1920X1080 FULL HD</t>
        </is>
      </c>
      <c r="D1505" t="inlineStr">
        <is>
          <t>1800114618</t>
        </is>
      </c>
      <c r="E1505" t="inlineStr">
        <is>
          <t>10</t>
        </is>
      </c>
      <c r="F1505" s="163" t="n">
        <v>45588</v>
      </c>
      <c r="G1505" t="inlineStr"/>
      <c r="H1505" t="inlineStr">
        <is>
          <t>4200583638</t>
        </is>
      </c>
      <c r="I1505" t="inlineStr">
        <is>
          <t>30</t>
        </is>
      </c>
      <c r="J1505" s="163" t="n">
        <v>45595</v>
      </c>
      <c r="K1505" s="163" t="n">
        <v>45595</v>
      </c>
      <c r="L1505" t="inlineStr"/>
      <c r="M1505" s="163" t="n">
        <v>45609</v>
      </c>
      <c r="N1505" s="164" t="n">
        <v>40</v>
      </c>
      <c r="O1505" s="164" t="n">
        <v>8</v>
      </c>
      <c r="P1505" t="inlineStr">
        <is>
          <t>Liberado</t>
        </is>
      </c>
      <c r="Q1505" s="165" t="n">
        <v>2</v>
      </c>
      <c r="R1505" s="165" t="n">
        <v>2</v>
      </c>
      <c r="S1505" s="165" t="n">
        <v>2</v>
      </c>
      <c r="T1505" s="165" t="n">
        <v>0</v>
      </c>
      <c r="U1505" s="166" t="n">
        <v>2</v>
      </c>
      <c r="V1505" s="166" t="n">
        <v>0</v>
      </c>
      <c r="W1505" t="inlineStr">
        <is>
          <t>X</t>
        </is>
      </c>
      <c r="X1505" t="inlineStr">
        <is>
          <t>0.00</t>
        </is>
      </c>
      <c r="Y1505" t="inlineStr"/>
      <c r="Z1505" t="inlineStr">
        <is>
          <t>INGRAM MICRO, S.L.U.</t>
        </is>
      </c>
      <c r="AA1505" t="inlineStr">
        <is>
          <t>ELO TOUCH SOLUTIONS</t>
        </is>
      </c>
      <c r="AB1505" t="inlineStr">
        <is>
          <t>E351600</t>
        </is>
      </c>
      <c r="AC1505" t="inlineStr"/>
      <c r="AD1505" s="164" t="n">
        <v>0</v>
      </c>
      <c r="AE1505" s="185" t="n">
        <v>0</v>
      </c>
      <c r="AG1505" s="167" t="inlineStr">
        <is>
          <t>7218|JA2588_1001</t>
        </is>
      </c>
      <c r="AH1505" s="47">
        <f>IF(M1505=0,"-",M1505-J1505)</f>
        <v/>
      </c>
      <c r="AI1505" s="46">
        <f>IF(AND(S1505=0,M1505&gt;0,L1505=0),IF(AH1505&gt;=120,"VERY HIGH",IF(AH1505&gt;=90,"HIGH",IF(AH1505&gt;=60,"MEDIUM",IF(AH1505&lt;60,"LOW")))),"-")</f>
        <v/>
      </c>
      <c r="AJ1505" s="12" t="n"/>
      <c r="AK1505" s="53">
        <f>IF(AND(W1505="X",M1505&lt;=$AJ$2),"YES","")</f>
        <v/>
      </c>
      <c r="AL1505" s="54">
        <f>IF(AND(W1505="X",M1505&lt;=$AJ$2),S1505,"")</f>
        <v/>
      </c>
      <c r="AM1505" s="35" t="n"/>
      <c r="AN1505" s="35">
        <f>IF(AND(W1505="X",M1505&gt;$AJ$2),S1505,"")</f>
        <v/>
      </c>
      <c r="AO1505" s="35">
        <f>IF(AND(W1505="",M1505&gt;0,$AJ$2&gt;M1505,L1505=""),1,0)</f>
        <v/>
      </c>
      <c r="AP1505" s="35">
        <f>IF(AND(AK1505="YES",W1505="X"),"X","")</f>
        <v/>
      </c>
      <c r="AQ1505" s="55">
        <f>IF(AP1505="X",100%,0%)</f>
        <v/>
      </c>
      <c r="AR1505" s="25">
        <f>IF(AND(T1505&gt;0,L1505=""),H1505,"")</f>
        <v/>
      </c>
      <c r="AS1505" s="25">
        <f>IF(AND(D1505&gt;0,H1505=0,G1505=""),1,"")</f>
        <v/>
      </c>
      <c r="AT1505" s="25">
        <f>IF(G1505="BLOQ",1,"")</f>
        <v/>
      </c>
      <c r="AU1505" s="25">
        <f>IF(L1505="BLOQ",1,"")</f>
        <v/>
      </c>
      <c r="AV1505" s="25">
        <f>MONTH(F1505)</f>
        <v/>
      </c>
      <c r="AW1505" s="65">
        <f>IF(AP1505="",100%,0%)</f>
        <v/>
      </c>
      <c r="AX1505" s="56" t="n"/>
      <c r="AY1505" s="24">
        <f>IF(M1505=0,"",M1505-$AX$2)</f>
        <v/>
      </c>
      <c r="AZ1505" s="66">
        <f>IF(AND(W1505="",AY1505&gt;0,AY1505&lt;15),1,0)</f>
        <v/>
      </c>
      <c r="BA1505" s="24">
        <f>IF(AND(W1505="",AY1505&gt;0,AY1505&lt;15),T1505,"")</f>
        <v/>
      </c>
      <c r="BB1505" s="87">
        <f>IF(R1505&lt;Q1505,"X","")</f>
        <v/>
      </c>
      <c r="BC1505" s="191" t="inlineStr">
        <is>
          <t>SI</t>
        </is>
      </c>
      <c r="BD1505" s="191" t="inlineStr">
        <is>
          <t>SI</t>
        </is>
      </c>
    </row>
    <row r="1506" ht="15" customHeight="1" s="162">
      <c r="A1506" s="7" t="n">
        <v>1505</v>
      </c>
      <c r="B1506" t="inlineStr">
        <is>
          <t>1209994130022</t>
        </is>
      </c>
      <c r="C1506" t="inlineStr">
        <is>
          <t>STRAIN RELIEF #13 AL/NI M85049/38-13N</t>
        </is>
      </c>
      <c r="D1506" t="inlineStr">
        <is>
          <t>1800114769</t>
        </is>
      </c>
      <c r="E1506" t="inlineStr">
        <is>
          <t>10</t>
        </is>
      </c>
      <c r="F1506" s="163" t="n">
        <v>45590</v>
      </c>
      <c r="G1506" t="inlineStr"/>
      <c r="H1506" t="inlineStr">
        <is>
          <t>4200584417</t>
        </is>
      </c>
      <c r="I1506" t="inlineStr">
        <is>
          <t>10</t>
        </is>
      </c>
      <c r="J1506" s="163" t="n">
        <v>45601</v>
      </c>
      <c r="K1506" s="163" t="n">
        <v>45602</v>
      </c>
      <c r="L1506" t="inlineStr"/>
      <c r="M1506" s="163" t="n">
        <v>45606</v>
      </c>
      <c r="N1506" s="164" t="n">
        <v>30</v>
      </c>
      <c r="O1506" s="164" t="n">
        <v>8</v>
      </c>
      <c r="P1506" t="inlineStr">
        <is>
          <t>Liberado</t>
        </is>
      </c>
      <c r="Q1506" s="165" t="n">
        <v>9</v>
      </c>
      <c r="R1506" s="165" t="n">
        <v>9</v>
      </c>
      <c r="S1506" s="165" t="n">
        <v>9</v>
      </c>
      <c r="T1506" s="165" t="n">
        <v>0</v>
      </c>
      <c r="U1506" s="166" t="n">
        <v>9</v>
      </c>
      <c r="V1506" s="166" t="n">
        <v>0</v>
      </c>
      <c r="W1506" t="inlineStr">
        <is>
          <t>X</t>
        </is>
      </c>
      <c r="X1506" t="inlineStr">
        <is>
          <t>0.00</t>
        </is>
      </c>
      <c r="Y1506" t="inlineStr"/>
      <c r="Z1506" t="inlineStr">
        <is>
          <t>SUMINISTROS CONECTORES PROF.,SA.</t>
        </is>
      </c>
      <c r="AA1506" t="inlineStr">
        <is>
          <t>SAE INC.</t>
        </is>
      </c>
      <c r="AB1506" t="inlineStr">
        <is>
          <t>AS85049/38-13N</t>
        </is>
      </c>
      <c r="AC1506" t="inlineStr"/>
      <c r="AD1506" s="164" t="n">
        <v>0</v>
      </c>
      <c r="AE1506" s="185" t="n">
        <v>0</v>
      </c>
      <c r="AG1506" s="167" t="inlineStr">
        <is>
          <t>7218|JA2582_1001</t>
        </is>
      </c>
      <c r="AH1506" s="47">
        <f>IF(M1506=0,"-",M1506-J1506)</f>
        <v/>
      </c>
      <c r="AI1506" s="46">
        <f>IF(AND(S1506=0,M1506&gt;0,L1506=0),IF(AH1506&gt;=120,"VERY HIGH",IF(AH1506&gt;=90,"HIGH",IF(AH1506&gt;=60,"MEDIUM",IF(AH1506&lt;60,"LOW")))),"-")</f>
        <v/>
      </c>
      <c r="AJ1506" s="12" t="n"/>
      <c r="AK1506" s="53">
        <f>IF(AND(W1506="X",M1506&lt;=$AJ$2),"YES","")</f>
        <v/>
      </c>
      <c r="AL1506" s="54">
        <f>IF(AND(W1506="X",M1506&lt;=$AJ$2),S1506,"")</f>
        <v/>
      </c>
      <c r="AM1506" s="35" t="n"/>
      <c r="AN1506" s="35">
        <f>IF(AND(W1506="X",M1506&gt;$AJ$2),S1506,"")</f>
        <v/>
      </c>
      <c r="AO1506" s="35">
        <f>IF(AND(W1506="",M1506&gt;0,$AJ$2&gt;M1506,L1506=""),1,0)</f>
        <v/>
      </c>
      <c r="AP1506" s="35">
        <f>IF(AND(AK1506="YES",W1506="X"),"X","")</f>
        <v/>
      </c>
      <c r="AQ1506" s="55">
        <f>IF(AP1506="X",100%,0%)</f>
        <v/>
      </c>
      <c r="AR1506" s="25">
        <f>IF(AND(T1506&gt;0,L1506=""),H1506,"")</f>
        <v/>
      </c>
      <c r="AS1506" s="25">
        <f>IF(AND(D1506&gt;0,H1506=0,G1506=""),1,"")</f>
        <v/>
      </c>
      <c r="AT1506" s="25">
        <f>IF(G1506="BLOQ",1,"")</f>
        <v/>
      </c>
      <c r="AU1506" s="25">
        <f>IF(L1506="BLOQ",1,"")</f>
        <v/>
      </c>
      <c r="AV1506" s="25">
        <f>MONTH(F1506)</f>
        <v/>
      </c>
      <c r="AW1506" s="65">
        <f>IF(AP1506="",100%,0%)</f>
        <v/>
      </c>
      <c r="AX1506" s="56" t="n"/>
      <c r="AY1506" s="24">
        <f>IF(M1506=0,"",M1506-$AX$2)</f>
        <v/>
      </c>
      <c r="AZ1506" s="66">
        <f>IF(AND(W1506="",AY1506&gt;0,AY1506&lt;15),1,0)</f>
        <v/>
      </c>
      <c r="BA1506" s="24">
        <f>IF(AND(W1506="",AY1506&gt;0,AY1506&lt;15),T1506,"")</f>
        <v/>
      </c>
      <c r="BB1506" s="87">
        <f>IF(R1506&lt;Q1506,"X","")</f>
        <v/>
      </c>
      <c r="BC1506" s="190" t="inlineStr">
        <is>
          <t>NO</t>
        </is>
      </c>
      <c r="BD1506" s="191" t="inlineStr">
        <is>
          <t>SI</t>
        </is>
      </c>
    </row>
    <row r="1507" ht="15" customHeight="1" s="162">
      <c r="A1507" s="7" t="n">
        <v>1506</v>
      </c>
      <c r="B1507" t="inlineStr">
        <is>
          <t>1214200430721</t>
        </is>
      </c>
      <c r="C1507" t="inlineStr">
        <is>
          <t>CNC CIR 13-4   4H PLUG D38999/26ZC4SN</t>
        </is>
      </c>
      <c r="D1507" t="inlineStr">
        <is>
          <t>1800114769</t>
        </is>
      </c>
      <c r="E1507" t="inlineStr">
        <is>
          <t>20</t>
        </is>
      </c>
      <c r="F1507" s="163" t="n">
        <v>45590</v>
      </c>
      <c r="G1507" t="inlineStr"/>
      <c r="H1507" t="inlineStr">
        <is>
          <t>4200584635</t>
        </is>
      </c>
      <c r="I1507" t="inlineStr">
        <is>
          <t>510</t>
        </is>
      </c>
      <c r="J1507" s="163" t="n">
        <v>45603</v>
      </c>
      <c r="K1507" s="163" t="n">
        <v>45655</v>
      </c>
      <c r="L1507" t="inlineStr"/>
      <c r="M1507" s="163" t="n">
        <v>45606</v>
      </c>
      <c r="N1507" s="164" t="n">
        <v>45</v>
      </c>
      <c r="O1507" s="164" t="n">
        <v>8</v>
      </c>
      <c r="P1507" t="inlineStr">
        <is>
          <t>Liberado</t>
        </is>
      </c>
      <c r="Q1507" s="165" t="n">
        <v>11</v>
      </c>
      <c r="R1507" s="165" t="n">
        <v>11</v>
      </c>
      <c r="S1507" s="165" t="n">
        <v>11</v>
      </c>
      <c r="T1507" s="165" t="n">
        <v>0</v>
      </c>
      <c r="U1507" s="166" t="n">
        <v>11</v>
      </c>
      <c r="V1507" s="166" t="n">
        <v>0</v>
      </c>
      <c r="W1507" t="inlineStr">
        <is>
          <t>X</t>
        </is>
      </c>
      <c r="X1507" t="inlineStr">
        <is>
          <t>0.00</t>
        </is>
      </c>
      <c r="Y1507" t="inlineStr"/>
      <c r="Z1507" t="inlineStr">
        <is>
          <t>Electro Enterprises New York</t>
        </is>
      </c>
      <c r="AA1507" t="inlineStr">
        <is>
          <t>MILITARY SPECS.</t>
        </is>
      </c>
      <c r="AB1507" t="inlineStr">
        <is>
          <t>D38999/26ZC4SN</t>
        </is>
      </c>
      <c r="AC1507" t="inlineStr"/>
      <c r="AD1507" s="164" t="n">
        <v>0</v>
      </c>
      <c r="AE1507" s="185" t="n">
        <v>0</v>
      </c>
      <c r="AG1507" s="167" t="inlineStr">
        <is>
          <t>7218|JA2582_1001</t>
        </is>
      </c>
      <c r="AH1507" s="47">
        <f>IF(M1507=0,"-",M1507-J1507)</f>
        <v/>
      </c>
      <c r="AI1507" s="46">
        <f>IF(AND(S1507=0,M1507&gt;0,L1507=0),IF(AH1507&gt;=120,"VERY HIGH",IF(AH1507&gt;=90,"HIGH",IF(AH1507&gt;=60,"MEDIUM",IF(AH1507&lt;60,"LOW")))),"-")</f>
        <v/>
      </c>
      <c r="AJ1507" s="12" t="n"/>
      <c r="AK1507" s="53">
        <f>IF(AND(W1507="X",M1507&lt;=$AJ$2),"YES","")</f>
        <v/>
      </c>
      <c r="AL1507" s="54">
        <f>IF(AND(W1507="X",M1507&lt;=$AJ$2),S1507,"")</f>
        <v/>
      </c>
      <c r="AM1507" s="35" t="n"/>
      <c r="AN1507" s="35">
        <f>IF(AND(W1507="X",M1507&gt;$AJ$2),S1507,"")</f>
        <v/>
      </c>
      <c r="AO1507" s="35">
        <f>IF(AND(W1507="",M1507&gt;0,$AJ$2&gt;M1507,L1507=""),1,0)</f>
        <v/>
      </c>
      <c r="AP1507" s="35">
        <f>IF(AND(AK1507="YES",W1507="X"),"X","")</f>
        <v/>
      </c>
      <c r="AQ1507" s="55">
        <f>IF(AP1507="X",100%,0%)</f>
        <v/>
      </c>
      <c r="AR1507" s="25">
        <f>IF(AND(T1507&gt;0,L1507=""),H1507,"")</f>
        <v/>
      </c>
      <c r="AS1507" s="25">
        <f>IF(AND(D1507&gt;0,H1507=0,G1507=""),1,"")</f>
        <v/>
      </c>
      <c r="AT1507" s="25">
        <f>IF(G1507="BLOQ",1,"")</f>
        <v/>
      </c>
      <c r="AU1507" s="25">
        <f>IF(L1507="BLOQ",1,"")</f>
        <v/>
      </c>
      <c r="AV1507" s="25">
        <f>MONTH(F1507)</f>
        <v/>
      </c>
      <c r="AW1507" s="65">
        <f>IF(AP1507="",100%,0%)</f>
        <v/>
      </c>
      <c r="AX1507" s="56" t="n"/>
      <c r="AY1507" s="24">
        <f>IF(M1507=0,"",M1507-$AX$2)</f>
        <v/>
      </c>
      <c r="AZ1507" s="66">
        <f>IF(AND(W1507="",AY1507&gt;0,AY1507&lt;15),1,0)</f>
        <v/>
      </c>
      <c r="BA1507" s="24">
        <f>IF(AND(W1507="",AY1507&gt;0,AY1507&lt;15),T1507,"")</f>
        <v/>
      </c>
      <c r="BB1507" s="87">
        <f>IF(R1507&lt;Q1507,"X","")</f>
        <v/>
      </c>
      <c r="BC1507" s="190" t="inlineStr">
        <is>
          <t>NO</t>
        </is>
      </c>
      <c r="BD1507" s="191" t="inlineStr">
        <is>
          <t>SI</t>
        </is>
      </c>
    </row>
    <row r="1508" ht="15" customHeight="1" s="162">
      <c r="A1508" s="7" t="n">
        <v>1507</v>
      </c>
      <c r="B1508" t="inlineStr">
        <is>
          <t>1218095002000</t>
        </is>
      </c>
      <c r="C1508" t="inlineStr">
        <is>
          <t>CLAVIJA STAR TOP 400V 50/60HZ 16A ROJO</t>
        </is>
      </c>
      <c r="D1508" t="inlineStr">
        <is>
          <t>1800114769</t>
        </is>
      </c>
      <c r="E1508" t="inlineStr">
        <is>
          <t>30</t>
        </is>
      </c>
      <c r="F1508" s="163" t="n">
        <v>45590</v>
      </c>
      <c r="G1508" t="inlineStr"/>
      <c r="H1508" t="inlineStr">
        <is>
          <t>4200586251</t>
        </is>
      </c>
      <c r="I1508" t="inlineStr">
        <is>
          <t>40</t>
        </is>
      </c>
      <c r="J1508" s="163" t="n">
        <v>45615</v>
      </c>
      <c r="K1508" s="163" t="n">
        <v>45616</v>
      </c>
      <c r="L1508" t="inlineStr"/>
      <c r="M1508" s="163" t="n">
        <v>45624</v>
      </c>
      <c r="N1508" s="164" t="n">
        <v>80</v>
      </c>
      <c r="O1508" s="164" t="n">
        <v>8</v>
      </c>
      <c r="P1508" t="inlineStr">
        <is>
          <t>Liberado</t>
        </is>
      </c>
      <c r="Q1508" s="165" t="n">
        <v>6</v>
      </c>
      <c r="R1508" s="165" t="n">
        <v>6</v>
      </c>
      <c r="S1508" s="165" t="n">
        <v>6</v>
      </c>
      <c r="T1508" s="165" t="n">
        <v>0</v>
      </c>
      <c r="U1508" s="166" t="n">
        <v>6</v>
      </c>
      <c r="V1508" s="166" t="n">
        <v>0</v>
      </c>
      <c r="W1508" t="inlineStr">
        <is>
          <t>X</t>
        </is>
      </c>
      <c r="X1508" t="inlineStr">
        <is>
          <t>0.00</t>
        </is>
      </c>
      <c r="Y1508" t="inlineStr"/>
      <c r="Z1508" t="inlineStr">
        <is>
          <t>(AEMSA)ALMACENES ELECTRICOS MADRILE</t>
        </is>
      </c>
      <c r="AA1508" t="inlineStr">
        <is>
          <t>MENNEKES ELECT.</t>
        </is>
      </c>
      <c r="AB1508" t="inlineStr">
        <is>
          <t>33</t>
        </is>
      </c>
      <c r="AC1508" t="inlineStr"/>
      <c r="AD1508" s="164" t="n">
        <v>0</v>
      </c>
      <c r="AE1508" s="185" t="n">
        <v>0</v>
      </c>
      <c r="AG1508" s="167" t="inlineStr">
        <is>
          <t>7218|JA2582_1001</t>
        </is>
      </c>
      <c r="AH1508" s="47">
        <f>IF(M1508=0,"-",M1508-J1508)</f>
        <v/>
      </c>
      <c r="AI1508" s="46">
        <f>IF(AND(S1508=0,M1508&gt;0,L1508=0),IF(AH1508&gt;=120,"VERY HIGH",IF(AH1508&gt;=90,"HIGH",IF(AH1508&gt;=60,"MEDIUM",IF(AH1508&lt;60,"LOW")))),"-")</f>
        <v/>
      </c>
      <c r="AJ1508" s="12" t="n"/>
      <c r="AK1508" s="53">
        <f>IF(AND(W1508="X",M1508&lt;=$AJ$2),"YES","")</f>
        <v/>
      </c>
      <c r="AL1508" s="54">
        <f>IF(AND(W1508="X",M1508&lt;=$AJ$2),S1508,"")</f>
        <v/>
      </c>
      <c r="AM1508" s="35" t="n"/>
      <c r="AN1508" s="35">
        <f>IF(AND(W1508="X",M1508&gt;$AJ$2),S1508,"")</f>
        <v/>
      </c>
      <c r="AO1508" s="35">
        <f>IF(AND(W1508="",M1508&gt;0,$AJ$2&gt;M1508,L1508=""),1,0)</f>
        <v/>
      </c>
      <c r="AP1508" s="35">
        <f>IF(AND(AK1508="YES",W1508="X"),"X","")</f>
        <v/>
      </c>
      <c r="AQ1508" s="55">
        <f>IF(AP1508="X",100%,0%)</f>
        <v/>
      </c>
      <c r="AR1508" s="25">
        <f>IF(AND(T1508&gt;0,L1508=""),H1508,"")</f>
        <v/>
      </c>
      <c r="AS1508" s="25">
        <f>IF(AND(D1508&gt;0,H1508=0,G1508=""),1,"")</f>
        <v/>
      </c>
      <c r="AT1508" s="25">
        <f>IF(G1508="BLOQ",1,"")</f>
        <v/>
      </c>
      <c r="AU1508" s="25">
        <f>IF(L1508="BLOQ",1,"")</f>
        <v/>
      </c>
      <c r="AV1508" s="25">
        <f>MONTH(F1508)</f>
        <v/>
      </c>
      <c r="AW1508" s="65">
        <f>IF(AP1508="",100%,0%)</f>
        <v/>
      </c>
      <c r="AX1508" s="56" t="n"/>
      <c r="AY1508" s="24">
        <f>IF(M1508=0,"",M1508-$AX$2)</f>
        <v/>
      </c>
      <c r="AZ1508" s="66">
        <f>IF(AND(W1508="",AY1508&gt;0,AY1508&lt;15),1,0)</f>
        <v/>
      </c>
      <c r="BA1508" s="24">
        <f>IF(AND(W1508="",AY1508&gt;0,AY1508&lt;15),T1508,"")</f>
        <v/>
      </c>
      <c r="BB1508" s="87">
        <f>IF(R1508&lt;Q1508,"X","")</f>
        <v/>
      </c>
      <c r="BC1508" s="190" t="inlineStr">
        <is>
          <t>NO</t>
        </is>
      </c>
      <c r="BD1508" s="191" t="inlineStr">
        <is>
          <t>SI</t>
        </is>
      </c>
    </row>
    <row r="1509" ht="15" customHeight="1" s="162">
      <c r="A1509" s="7" t="n">
        <v>1508</v>
      </c>
      <c r="B1509" t="inlineStr">
        <is>
          <t>1222291900200</t>
        </is>
      </c>
      <c r="C1509" t="inlineStr">
        <is>
          <t>CBL 2X1,50MM TRENZADO 500V ROJO/NEGRO</t>
        </is>
      </c>
      <c r="D1509" t="inlineStr">
        <is>
          <t>1800114769</t>
        </is>
      </c>
      <c r="E1509" t="inlineStr">
        <is>
          <t>40</t>
        </is>
      </c>
      <c r="F1509" s="163" t="n">
        <v>45590</v>
      </c>
      <c r="G1509" t="inlineStr"/>
      <c r="H1509" t="inlineStr">
        <is>
          <t>4200591804</t>
        </is>
      </c>
      <c r="I1509" t="inlineStr">
        <is>
          <t>10</t>
        </is>
      </c>
      <c r="J1509" s="163" t="n">
        <v>45656</v>
      </c>
      <c r="K1509" s="163" t="n">
        <v>45665</v>
      </c>
      <c r="L1509" t="inlineStr"/>
      <c r="M1509" s="163" t="n">
        <v>45667</v>
      </c>
      <c r="N1509" s="164" t="n">
        <v>30</v>
      </c>
      <c r="O1509" s="164" t="n">
        <v>8</v>
      </c>
      <c r="P1509" t="inlineStr">
        <is>
          <t>Liberado</t>
        </is>
      </c>
      <c r="Q1509" s="165" t="n">
        <v>50</v>
      </c>
      <c r="R1509" s="165" t="n">
        <v>100</v>
      </c>
      <c r="S1509" s="165" t="n">
        <v>100</v>
      </c>
      <c r="T1509" s="165" t="n">
        <v>0</v>
      </c>
      <c r="U1509" s="166" t="n">
        <v>100</v>
      </c>
      <c r="V1509" s="166" t="n">
        <v>0</v>
      </c>
      <c r="W1509" t="inlineStr">
        <is>
          <t>X</t>
        </is>
      </c>
      <c r="X1509" t="inlineStr">
        <is>
          <t>0.00</t>
        </is>
      </c>
      <c r="Y1509" t="inlineStr"/>
      <c r="Z1509" t="inlineStr">
        <is>
          <t>LUJISA, S.A.</t>
        </is>
      </c>
      <c r="AA1509" t="inlineStr">
        <is>
          <t>GESCABLE</t>
        </is>
      </c>
      <c r="AB1509" t="inlineStr">
        <is>
          <t>GESFIRE RF 90 AS+</t>
        </is>
      </c>
      <c r="AC1509" t="inlineStr"/>
      <c r="AD1509" s="164" t="n">
        <v>0</v>
      </c>
      <c r="AE1509" s="185" t="n">
        <v>0</v>
      </c>
      <c r="AG1509" s="167" t="inlineStr">
        <is>
          <t>7218|JA2582_1001</t>
        </is>
      </c>
      <c r="AH1509" s="47">
        <f>IF(M1509=0,"-",M1509-J1509)</f>
        <v/>
      </c>
      <c r="AI1509" s="46">
        <f>IF(AND(S1509=0,M1509&gt;0,L1509=0),IF(AH1509&gt;=120,"VERY HIGH",IF(AH1509&gt;=90,"HIGH",IF(AH1509&gt;=60,"MEDIUM",IF(AH1509&lt;60,"LOW")))),"-")</f>
        <v/>
      </c>
      <c r="AJ1509" s="12" t="n"/>
      <c r="AK1509" s="53">
        <f>IF(AND(W1509="X",M1509&lt;=$AJ$2),"YES","")</f>
        <v/>
      </c>
      <c r="AL1509" s="54">
        <f>IF(AND(W1509="X",M1509&lt;=$AJ$2),S1509,"")</f>
        <v/>
      </c>
      <c r="AM1509" s="35" t="n"/>
      <c r="AN1509" s="35">
        <f>IF(AND(W1509="X",M1509&gt;$AJ$2),S1509,"")</f>
        <v/>
      </c>
      <c r="AO1509" s="35">
        <f>IF(AND(W1509="",M1509&gt;0,$AJ$2&gt;M1509,L1509=""),1,0)</f>
        <v/>
      </c>
      <c r="AP1509" s="35">
        <f>IF(AND(AK1509="YES",W1509="X"),"X","")</f>
        <v/>
      </c>
      <c r="AQ1509" s="55">
        <f>IF(AP1509="X",100%,0%)</f>
        <v/>
      </c>
      <c r="AR1509" s="25">
        <f>IF(AND(T1509&gt;0,L1509=""),H1509,"")</f>
        <v/>
      </c>
      <c r="AS1509" s="25">
        <f>IF(AND(D1509&gt;0,H1509=0,G1509=""),1,"")</f>
        <v/>
      </c>
      <c r="AT1509" s="25">
        <f>IF(G1509="BLOQ",1,"")</f>
        <v/>
      </c>
      <c r="AU1509" s="25">
        <f>IF(L1509="BLOQ",1,"")</f>
        <v/>
      </c>
      <c r="AV1509" s="25">
        <f>MONTH(F1509)</f>
        <v/>
      </c>
      <c r="AW1509" s="65">
        <f>IF(AP1509="",100%,0%)</f>
        <v/>
      </c>
      <c r="AX1509" s="56" t="n"/>
      <c r="AY1509" s="24">
        <f>IF(M1509=0,"",M1509-$AX$2)</f>
        <v/>
      </c>
      <c r="AZ1509" s="66">
        <f>IF(AND(W1509="",AY1509&gt;0,AY1509&lt;15),1,0)</f>
        <v/>
      </c>
      <c r="BA1509" s="24">
        <f>IF(AND(W1509="",AY1509&gt;0,AY1509&lt;15),T1509,"")</f>
        <v/>
      </c>
      <c r="BB1509" s="87">
        <f>IF(R1509&lt;Q1509,"X","")</f>
        <v/>
      </c>
      <c r="BC1509" s="190" t="inlineStr">
        <is>
          <t>NO</t>
        </is>
      </c>
      <c r="BD1509" s="191" t="inlineStr">
        <is>
          <t>SI</t>
        </is>
      </c>
    </row>
    <row r="1510" ht="15" customHeight="1" s="162">
      <c r="A1510" s="7" t="n">
        <v>1509</v>
      </c>
      <c r="B1510" t="inlineStr">
        <is>
          <t>1237092052300</t>
        </is>
      </c>
      <c r="C1510" t="inlineStr">
        <is>
          <t>TAPA FINAL 36.2X50.5X2.5MM ZAP/TW7 OR</t>
        </is>
      </c>
      <c r="D1510" t="inlineStr">
        <is>
          <t>1800114769</t>
        </is>
      </c>
      <c r="E1510" t="inlineStr">
        <is>
          <t>50</t>
        </is>
      </c>
      <c r="F1510" s="163" t="n">
        <v>45590</v>
      </c>
      <c r="G1510" t="inlineStr"/>
      <c r="H1510" t="inlineStr">
        <is>
          <t>4200584477</t>
        </is>
      </c>
      <c r="I1510" t="inlineStr">
        <is>
          <t>70</t>
        </is>
      </c>
      <c r="J1510" s="163" t="n">
        <v>45602</v>
      </c>
      <c r="K1510" s="163" t="n">
        <v>45603</v>
      </c>
      <c r="L1510" t="inlineStr"/>
      <c r="M1510" s="163" t="n">
        <v>45606</v>
      </c>
      <c r="N1510" s="164" t="n">
        <v>40</v>
      </c>
      <c r="O1510" s="164" t="n">
        <v>8</v>
      </c>
      <c r="P1510" t="inlineStr">
        <is>
          <t>Liberado</t>
        </is>
      </c>
      <c r="Q1510" s="165" t="n">
        <v>10</v>
      </c>
      <c r="R1510" s="165" t="n">
        <v>10</v>
      </c>
      <c r="S1510" s="165" t="n">
        <v>10</v>
      </c>
      <c r="T1510" s="165" t="n">
        <v>0</v>
      </c>
      <c r="U1510" s="166" t="n">
        <v>10</v>
      </c>
      <c r="V1510" s="166" t="n">
        <v>0</v>
      </c>
      <c r="W1510" t="inlineStr">
        <is>
          <t>X</t>
        </is>
      </c>
      <c r="X1510" t="inlineStr">
        <is>
          <t>0.00</t>
        </is>
      </c>
      <c r="Y1510" t="inlineStr"/>
      <c r="Z1510" t="inlineStr">
        <is>
          <t>WEIDMULLER, S.A.</t>
        </is>
      </c>
      <c r="AA1510" t="inlineStr">
        <is>
          <t>WEIDMULLER</t>
        </is>
      </c>
      <c r="AB1510" t="inlineStr">
        <is>
          <t>1706130000</t>
        </is>
      </c>
      <c r="AC1510" t="inlineStr"/>
      <c r="AD1510" s="164" t="n">
        <v>0</v>
      </c>
      <c r="AE1510" s="185" t="n">
        <v>0</v>
      </c>
      <c r="AG1510" s="167" t="inlineStr">
        <is>
          <t>7218|JA2582_1001</t>
        </is>
      </c>
      <c r="AH1510" s="47">
        <f>IF(M1510=0,"-",M1510-J1510)</f>
        <v/>
      </c>
      <c r="AI1510" s="46">
        <f>IF(AND(S1510=0,M1510&gt;0,L1510=0),IF(AH1510&gt;=120,"VERY HIGH",IF(AH1510&gt;=90,"HIGH",IF(AH1510&gt;=60,"MEDIUM",IF(AH1510&lt;60,"LOW")))),"-")</f>
        <v/>
      </c>
      <c r="AJ1510" s="12" t="n"/>
      <c r="AK1510" s="53">
        <f>IF(AND(W1510="X",M1510&lt;=$AJ$2),"YES","")</f>
        <v/>
      </c>
      <c r="AL1510" s="54">
        <f>IF(AND(W1510="X",M1510&lt;=$AJ$2),S1510,"")</f>
        <v/>
      </c>
      <c r="AM1510" s="35" t="n"/>
      <c r="AN1510" s="35">
        <f>IF(AND(W1510="X",M1510&gt;$AJ$2),S1510,"")</f>
        <v/>
      </c>
      <c r="AO1510" s="35">
        <f>IF(AND(W1510="",M1510&gt;0,$AJ$2&gt;M1510,L1510=""),1,0)</f>
        <v/>
      </c>
      <c r="AP1510" s="35">
        <f>IF(AND(AK1510="YES",W1510="X"),"X","")</f>
        <v/>
      </c>
      <c r="AQ1510" s="55">
        <f>IF(AP1510="X",100%,0%)</f>
        <v/>
      </c>
      <c r="AR1510" s="25">
        <f>IF(AND(T1510&gt;0,L1510=""),H1510,"")</f>
        <v/>
      </c>
      <c r="AS1510" s="25">
        <f>IF(AND(D1510&gt;0,H1510=0,G1510=""),1,"")</f>
        <v/>
      </c>
      <c r="AT1510" s="25">
        <f>IF(G1510="BLOQ",1,"")</f>
        <v/>
      </c>
      <c r="AU1510" s="25">
        <f>IF(L1510="BLOQ",1,"")</f>
        <v/>
      </c>
      <c r="AV1510" s="25">
        <f>MONTH(F1510)</f>
        <v/>
      </c>
      <c r="AW1510" s="65">
        <f>IF(AP1510="",100%,0%)</f>
        <v/>
      </c>
      <c r="AX1510" s="56" t="n"/>
      <c r="AY1510" s="24">
        <f>IF(M1510=0,"",M1510-$AX$2)</f>
        <v/>
      </c>
      <c r="AZ1510" s="66">
        <f>IF(AND(W1510="",AY1510&gt;0,AY1510&lt;15),1,0)</f>
        <v/>
      </c>
      <c r="BA1510" s="24">
        <f>IF(AND(W1510="",AY1510&gt;0,AY1510&lt;15),T1510,"")</f>
        <v/>
      </c>
      <c r="BB1510" s="87">
        <f>IF(R1510&lt;Q1510,"X","")</f>
        <v/>
      </c>
      <c r="BC1510" s="190" t="inlineStr">
        <is>
          <t>NO</t>
        </is>
      </c>
      <c r="BD1510" s="191" t="inlineStr">
        <is>
          <t>SI</t>
        </is>
      </c>
    </row>
    <row r="1511" ht="15" customHeight="1" s="162">
      <c r="A1511" s="7" t="n">
        <v>1510</v>
      </c>
      <c r="B1511" t="inlineStr">
        <is>
          <t>3166035600000</t>
        </is>
      </c>
      <c r="C1511" t="inlineStr">
        <is>
          <t>LIC SW SIMULADOR FMS A320 FFS</t>
        </is>
      </c>
      <c r="D1511" t="inlineStr">
        <is>
          <t>1800114778</t>
        </is>
      </c>
      <c r="E1511" t="inlineStr">
        <is>
          <t>20</t>
        </is>
      </c>
      <c r="F1511" s="163" t="n">
        <v>45590</v>
      </c>
      <c r="G1511" t="inlineStr"/>
      <c r="H1511" t="inlineStr">
        <is>
          <t>4200589833</t>
        </is>
      </c>
      <c r="I1511" t="inlineStr">
        <is>
          <t>10</t>
        </is>
      </c>
      <c r="J1511" s="163" t="n">
        <v>45638</v>
      </c>
      <c r="K1511" s="163" t="n">
        <v>45664</v>
      </c>
      <c r="L1511" t="inlineStr"/>
      <c r="M1511" s="163" t="n">
        <v>45664</v>
      </c>
      <c r="N1511" s="164" t="n">
        <v>40</v>
      </c>
      <c r="O1511" s="164" t="n">
        <v>8</v>
      </c>
      <c r="P1511" t="inlineStr">
        <is>
          <t>Liberado</t>
        </is>
      </c>
      <c r="Q1511" s="165" t="n">
        <v>1</v>
      </c>
      <c r="R1511" s="165" t="n">
        <v>1</v>
      </c>
      <c r="S1511" s="165" t="n">
        <v>1</v>
      </c>
      <c r="T1511" s="165" t="n">
        <v>0</v>
      </c>
      <c r="U1511" s="166" t="n">
        <v>1</v>
      </c>
      <c r="V1511" s="166" t="n">
        <v>0</v>
      </c>
      <c r="W1511" t="inlineStr">
        <is>
          <t>X</t>
        </is>
      </c>
      <c r="X1511" t="inlineStr">
        <is>
          <t>0.00</t>
        </is>
      </c>
      <c r="Y1511" t="inlineStr"/>
      <c r="Z1511" t="inlineStr">
        <is>
          <t>Honeywell International SARL</t>
        </is>
      </c>
      <c r="AA1511" t="inlineStr">
        <is>
          <t>HONEYWELL</t>
        </is>
      </c>
      <c r="AB1511" t="inlineStr">
        <is>
          <t>PS4087600-907</t>
        </is>
      </c>
      <c r="AC1511" t="inlineStr"/>
      <c r="AD1511" s="164" t="n">
        <v>0</v>
      </c>
      <c r="AE1511" s="185" t="n">
        <v>0</v>
      </c>
      <c r="AG1511" s="167" t="inlineStr">
        <is>
          <t>7218|JA2576_1001</t>
        </is>
      </c>
      <c r="AH1511" s="47">
        <f>IF(M1511=0,"-",M1511-J1511)</f>
        <v/>
      </c>
      <c r="AI1511" s="46">
        <f>IF(AND(S1511=0,M1511&gt;0,L1511=0),IF(AH1511&gt;=120,"VERY HIGH",IF(AH1511&gt;=90,"HIGH",IF(AH1511&gt;=60,"MEDIUM",IF(AH1511&lt;60,"LOW")))),"-")</f>
        <v/>
      </c>
      <c r="AJ1511" s="12" t="n"/>
      <c r="AK1511" s="53">
        <f>IF(AND(W1511="X",M1511&lt;=$AJ$2),"YES","")</f>
        <v/>
      </c>
      <c r="AL1511" s="54">
        <f>IF(AND(W1511="X",M1511&lt;=$AJ$2),S1511,"")</f>
        <v/>
      </c>
      <c r="AM1511" s="35" t="n"/>
      <c r="AN1511" s="35">
        <f>IF(AND(W1511="X",M1511&gt;$AJ$2),S1511,"")</f>
        <v/>
      </c>
      <c r="AO1511" s="35">
        <f>IF(AND(W1511="",M1511&gt;0,$AJ$2&gt;M1511,L1511=""),1,0)</f>
        <v/>
      </c>
      <c r="AP1511" s="35">
        <f>IF(AND(AK1511="YES",W1511="X"),"X","")</f>
        <v/>
      </c>
      <c r="AQ1511" s="55">
        <f>IF(AP1511="X",100%,0%)</f>
        <v/>
      </c>
      <c r="AR1511" s="25">
        <f>IF(AND(T1511&gt;0,L1511=""),H1511,"")</f>
        <v/>
      </c>
      <c r="AS1511" s="25">
        <f>IF(AND(D1511&gt;0,H1511=0,G1511=""),1,"")</f>
        <v/>
      </c>
      <c r="AT1511" s="25">
        <f>IF(G1511="BLOQ",1,"")</f>
        <v/>
      </c>
      <c r="AU1511" s="25">
        <f>IF(L1511="BLOQ",1,"")</f>
        <v/>
      </c>
      <c r="AV1511" s="25">
        <f>MONTH(F1511)</f>
        <v/>
      </c>
      <c r="AW1511" s="65">
        <f>IF(AP1511="",100%,0%)</f>
        <v/>
      </c>
      <c r="AX1511" s="56" t="n"/>
      <c r="AY1511" s="24">
        <f>IF(M1511=0,"",M1511-$AX$2)</f>
        <v/>
      </c>
      <c r="AZ1511" s="66">
        <f>IF(AND(W1511="",AY1511&gt;0,AY1511&lt;15),1,0)</f>
        <v/>
      </c>
      <c r="BA1511" s="24">
        <f>IF(AND(W1511="",AY1511&gt;0,AY1511&lt;15),T1511,"")</f>
        <v/>
      </c>
      <c r="BB1511" s="87">
        <f>IF(R1511&lt;Q1511,"X","")</f>
        <v/>
      </c>
      <c r="BC1511" s="190" t="inlineStr">
        <is>
          <t>NO</t>
        </is>
      </c>
      <c r="BD1511" s="191" t="inlineStr">
        <is>
          <t>SI</t>
        </is>
      </c>
    </row>
    <row r="1512" ht="15" customHeight="1" s="162">
      <c r="A1512" s="7" t="n">
        <v>1511</v>
      </c>
      <c r="B1512" t="inlineStr">
        <is>
          <t>1706202120000</t>
        </is>
      </c>
      <c r="C1512" t="inlineStr">
        <is>
          <t>SOPORTE CARRIL DIN 84HP 426MM GRIS ACERO</t>
        </is>
      </c>
      <c r="D1512" t="inlineStr">
        <is>
          <t>1800114780</t>
        </is>
      </c>
      <c r="E1512" t="inlineStr">
        <is>
          <t>10</t>
        </is>
      </c>
      <c r="F1512" s="163" t="n">
        <v>45590</v>
      </c>
      <c r="G1512" t="inlineStr"/>
      <c r="H1512" t="inlineStr">
        <is>
          <t>4200586187</t>
        </is>
      </c>
      <c r="I1512" t="inlineStr">
        <is>
          <t>230</t>
        </is>
      </c>
      <c r="J1512" s="163" t="n">
        <v>45614</v>
      </c>
      <c r="K1512" s="163" t="n">
        <v>45617</v>
      </c>
      <c r="L1512" t="inlineStr"/>
      <c r="M1512" s="163" t="n">
        <v>45635</v>
      </c>
      <c r="N1512" s="164" t="n">
        <v>30</v>
      </c>
      <c r="O1512" s="164" t="n">
        <v>8</v>
      </c>
      <c r="P1512" t="inlineStr">
        <is>
          <t>Liberado</t>
        </is>
      </c>
      <c r="Q1512" s="165" t="n">
        <v>2</v>
      </c>
      <c r="R1512" s="165" t="n">
        <v>2</v>
      </c>
      <c r="S1512" s="165" t="n">
        <v>2</v>
      </c>
      <c r="T1512" s="165" t="n">
        <v>0</v>
      </c>
      <c r="U1512" s="166" t="n">
        <v>2</v>
      </c>
      <c r="V1512" s="166" t="n">
        <v>0</v>
      </c>
      <c r="W1512" t="inlineStr">
        <is>
          <t>X</t>
        </is>
      </c>
      <c r="X1512" t="inlineStr">
        <is>
          <t>0.00</t>
        </is>
      </c>
      <c r="Y1512" t="inlineStr"/>
      <c r="Z1512" t="inlineStr">
        <is>
          <t>CENVALSA, S.L.</t>
        </is>
      </c>
      <c r="AA1512" t="inlineStr">
        <is>
          <t>SCHROFF</t>
        </is>
      </c>
      <c r="AB1512" t="inlineStr">
        <is>
          <t>24565-100</t>
        </is>
      </c>
      <c r="AC1512" t="inlineStr"/>
      <c r="AD1512" s="164" t="n">
        <v>0</v>
      </c>
      <c r="AE1512" s="185" t="n">
        <v>0</v>
      </c>
      <c r="AG1512" s="167" t="inlineStr">
        <is>
          <t>7218|JA2585_1001</t>
        </is>
      </c>
      <c r="AH1512" s="47">
        <f>IF(M1512=0,"-",M1512-J1512)</f>
        <v/>
      </c>
      <c r="AI1512" s="46">
        <f>IF(AND(S1512=0,M1512&gt;0,L1512=0),IF(AH1512&gt;=120,"VERY HIGH",IF(AH1512&gt;=90,"HIGH",IF(AH1512&gt;=60,"MEDIUM",IF(AH1512&lt;60,"LOW")))),"-")</f>
        <v/>
      </c>
      <c r="AJ1512" s="12" t="n"/>
      <c r="AK1512" s="53">
        <f>IF(AND(W1512="X",M1512&lt;=$AJ$2),"YES","")</f>
        <v/>
      </c>
      <c r="AL1512" s="54">
        <f>IF(AND(W1512="X",M1512&lt;=$AJ$2),S1512,"")</f>
        <v/>
      </c>
      <c r="AM1512" s="35" t="n"/>
      <c r="AN1512" s="35">
        <f>IF(AND(W1512="X",M1512&gt;$AJ$2),S1512,"")</f>
        <v/>
      </c>
      <c r="AO1512" s="35">
        <f>IF(AND(W1512="",M1512&gt;0,$AJ$2&gt;M1512,L1512=""),1,0)</f>
        <v/>
      </c>
      <c r="AP1512" s="35">
        <f>IF(AND(AK1512="YES",W1512="X"),"X","")</f>
        <v/>
      </c>
      <c r="AQ1512" s="55">
        <f>IF(AP1512="X",100%,0%)</f>
        <v/>
      </c>
      <c r="AR1512" s="25">
        <f>IF(AND(T1512&gt;0,L1512=""),H1512,"")</f>
        <v/>
      </c>
      <c r="AS1512" s="25">
        <f>IF(AND(D1512&gt;0,H1512=0,G1512=""),1,"")</f>
        <v/>
      </c>
      <c r="AT1512" s="25">
        <f>IF(G1512="BLOQ",1,"")</f>
        <v/>
      </c>
      <c r="AU1512" s="25">
        <f>IF(L1512="BLOQ",1,"")</f>
        <v/>
      </c>
      <c r="AV1512" s="25">
        <f>MONTH(F1512)</f>
        <v/>
      </c>
      <c r="AW1512" s="65">
        <f>IF(AP1512="",100%,0%)</f>
        <v/>
      </c>
      <c r="AX1512" s="56" t="n"/>
      <c r="AY1512" s="24">
        <f>IF(M1512=0,"",M1512-$AX$2)</f>
        <v/>
      </c>
      <c r="AZ1512" s="66">
        <f>IF(AND(W1512="",AY1512&gt;0,AY1512&lt;15),1,0)</f>
        <v/>
      </c>
      <c r="BA1512" s="24">
        <f>IF(AND(W1512="",AY1512&gt;0,AY1512&lt;15),T1512,"")</f>
        <v/>
      </c>
      <c r="BB1512" s="87">
        <f>IF(R1512&lt;Q1512,"X","")</f>
        <v/>
      </c>
      <c r="BC1512" s="190" t="inlineStr">
        <is>
          <t>NO</t>
        </is>
      </c>
      <c r="BD1512" s="191" t="inlineStr">
        <is>
          <t>SI</t>
        </is>
      </c>
    </row>
    <row r="1513" ht="15" customHeight="1" s="162">
      <c r="A1513" s="7" t="n">
        <v>1512</v>
      </c>
      <c r="B1513" t="inlineStr">
        <is>
          <t>1390704692600</t>
        </is>
      </c>
      <c r="C1513" t="inlineStr">
        <is>
          <t>PANEL FFIOS 170X85X58.25MM</t>
        </is>
      </c>
      <c r="D1513" t="inlineStr">
        <is>
          <t>1800114782</t>
        </is>
      </c>
      <c r="E1513" t="inlineStr">
        <is>
          <t>10</t>
        </is>
      </c>
      <c r="F1513" s="163" t="n">
        <v>45590</v>
      </c>
      <c r="G1513" t="inlineStr">
        <is>
          <t>BORR</t>
        </is>
      </c>
      <c r="H1513" t="inlineStr">
        <is>
          <t>4200583170</t>
        </is>
      </c>
      <c r="I1513" t="inlineStr">
        <is>
          <t>10</t>
        </is>
      </c>
      <c r="J1513" s="163" t="n">
        <v>45593</v>
      </c>
      <c r="K1513" s="163" t="n">
        <v>45601</v>
      </c>
      <c r="L1513" t="inlineStr">
        <is>
          <t>BORR</t>
        </is>
      </c>
      <c r="M1513" s="163" t="n">
        <v>45649</v>
      </c>
      <c r="N1513" s="164" t="n">
        <v>40</v>
      </c>
      <c r="O1513" s="164" t="n">
        <v>8</v>
      </c>
      <c r="P1513" t="inlineStr">
        <is>
          <t>Liberado</t>
        </is>
      </c>
      <c r="Q1513" s="165" t="n">
        <v>1</v>
      </c>
      <c r="R1513" s="165" t="n">
        <v>1</v>
      </c>
      <c r="S1513" s="165" t="n">
        <v>0</v>
      </c>
      <c r="T1513" s="165" t="n">
        <v>1</v>
      </c>
      <c r="U1513" s="166" t="n">
        <v>0</v>
      </c>
      <c r="V1513" s="166" t="n">
        <v>0</v>
      </c>
      <c r="W1513" t="inlineStr"/>
      <c r="X1513" t="inlineStr">
        <is>
          <t>7960.78</t>
        </is>
      </c>
      <c r="Y1513" t="inlineStr"/>
      <c r="Z1513" t="inlineStr">
        <is>
          <t>SUMINISTROS, FRESADOS Y GRABADOS</t>
        </is>
      </c>
      <c r="AA1513" t="inlineStr">
        <is>
          <t>GRABYSUR</t>
        </is>
      </c>
      <c r="AB1513" t="inlineStr">
        <is>
          <t>GR-SEQ40402</t>
        </is>
      </c>
      <c r="AC1513" t="inlineStr"/>
      <c r="AD1513" s="164" t="n">
        <v>0</v>
      </c>
      <c r="AE1513" s="185" t="n">
        <v>0</v>
      </c>
      <c r="AG1513" s="167" t="inlineStr">
        <is>
          <t>7218|JA2588_1001</t>
        </is>
      </c>
      <c r="AH1513" s="47">
        <f>IF(M1513=0,"-",M1513-J1513)</f>
        <v/>
      </c>
      <c r="AI1513" s="46">
        <f>IF(AND(S1513=0,M1513&gt;0,L1513=0),IF(AH1513&gt;=120,"VERY HIGH",IF(AH1513&gt;=90,"HIGH",IF(AH1513&gt;=60,"MEDIUM",IF(AH1513&lt;60,"LOW")))),"-")</f>
        <v/>
      </c>
      <c r="AJ1513" s="12" t="n"/>
      <c r="AK1513" s="53">
        <f>IF(AND(W1513="X",M1513&lt;=$AJ$2),"YES","")</f>
        <v/>
      </c>
      <c r="AL1513" s="54">
        <f>IF(AND(W1513="X",M1513&lt;=$AJ$2),S1513,"")</f>
        <v/>
      </c>
      <c r="AM1513" s="35" t="n"/>
      <c r="AN1513" s="35">
        <f>IF(AND(W1513="X",M1513&gt;$AJ$2),S1513,"")</f>
        <v/>
      </c>
      <c r="AO1513" s="35">
        <f>IF(AND(W1513="",M1513&gt;0,$AJ$2&gt;M1513,L1513=""),1,0)</f>
        <v/>
      </c>
      <c r="AP1513" s="35">
        <f>IF(AND(AK1513="YES",W1513="X"),"X","")</f>
        <v/>
      </c>
      <c r="AQ1513" s="55">
        <f>IF(AP1513="X",100%,0%)</f>
        <v/>
      </c>
      <c r="AR1513" s="25">
        <f>IF(AND(T1513&gt;0,L1513=""),H1513,"")</f>
        <v/>
      </c>
      <c r="AS1513" s="25">
        <f>IF(AND(D1513&gt;0,H1513=0,G1513=""),1,"")</f>
        <v/>
      </c>
      <c r="AT1513" s="25">
        <f>IF(G1513="BLOQ",1,"")</f>
        <v/>
      </c>
      <c r="AU1513" s="25">
        <f>IF(L1513="BLOQ",1,"")</f>
        <v/>
      </c>
      <c r="AV1513" s="25">
        <f>MONTH(F1513)</f>
        <v/>
      </c>
      <c r="AW1513" s="65">
        <f>IF(AP1513="",100%,0%)</f>
        <v/>
      </c>
      <c r="AX1513" s="56" t="n"/>
      <c r="AY1513" s="24">
        <f>IF(M1513=0,"",M1513-$AX$2)</f>
        <v/>
      </c>
      <c r="AZ1513" s="66">
        <f>IF(AND(W1513="",AY1513&gt;0,AY1513&lt;15),1,0)</f>
        <v/>
      </c>
      <c r="BA1513" s="24">
        <f>IF(AND(W1513="",AY1513&gt;0,AY1513&lt;15),T1513,"")</f>
        <v/>
      </c>
      <c r="BB1513" s="87">
        <f>IF(R1513&lt;Q1513,"X","")</f>
        <v/>
      </c>
      <c r="BC1513" s="190" t="inlineStr">
        <is>
          <t>NO</t>
        </is>
      </c>
      <c r="BD1513" s="191" t="inlineStr">
        <is>
          <t>SI</t>
        </is>
      </c>
    </row>
    <row r="1514" ht="15" customHeight="1" s="162">
      <c r="A1514" s="7" t="n">
        <v>1513</v>
      </c>
      <c r="B1514" t="inlineStr">
        <is>
          <t>1390704692700</t>
        </is>
      </c>
      <c r="C1514" t="inlineStr">
        <is>
          <t>PANEL SEAT 71X85MM ALUM 6061T6</t>
        </is>
      </c>
      <c r="D1514" t="inlineStr">
        <is>
          <t>1800114782</t>
        </is>
      </c>
      <c r="E1514" t="inlineStr">
        <is>
          <t>20</t>
        </is>
      </c>
      <c r="F1514" s="163" t="n">
        <v>45590</v>
      </c>
      <c r="G1514" t="inlineStr"/>
      <c r="H1514" t="inlineStr">
        <is>
          <t>4200583170</t>
        </is>
      </c>
      <c r="I1514" t="inlineStr">
        <is>
          <t>20</t>
        </is>
      </c>
      <c r="J1514" s="163" t="n">
        <v>45593</v>
      </c>
      <c r="K1514" s="163" t="n">
        <v>45601</v>
      </c>
      <c r="L1514" t="inlineStr"/>
      <c r="M1514" s="163" t="n">
        <v>45711</v>
      </c>
      <c r="N1514" s="164" t="n">
        <v>40</v>
      </c>
      <c r="O1514" s="164" t="n">
        <v>8</v>
      </c>
      <c r="P1514" t="inlineStr">
        <is>
          <t>Liberado</t>
        </is>
      </c>
      <c r="Q1514" s="165" t="n">
        <v>1</v>
      </c>
      <c r="R1514" s="165" t="n">
        <v>1</v>
      </c>
      <c r="S1514" s="165" t="n">
        <v>1</v>
      </c>
      <c r="T1514" s="165" t="n">
        <v>0</v>
      </c>
      <c r="U1514" s="166" t="n">
        <v>1</v>
      </c>
      <c r="V1514" s="166" t="n">
        <v>0</v>
      </c>
      <c r="W1514" t="inlineStr">
        <is>
          <t>X</t>
        </is>
      </c>
      <c r="X1514" t="inlineStr">
        <is>
          <t>0.00</t>
        </is>
      </c>
      <c r="Y1514" t="inlineStr"/>
      <c r="Z1514" t="inlineStr">
        <is>
          <t>SUMINISTROS, FRESADOS Y GRABADOS</t>
        </is>
      </c>
      <c r="AA1514" t="inlineStr">
        <is>
          <t>GRABYSUR</t>
        </is>
      </c>
      <c r="AB1514" t="inlineStr">
        <is>
          <t>GR-SEQ40403</t>
        </is>
      </c>
      <c r="AC1514" t="inlineStr"/>
      <c r="AD1514" s="164" t="n">
        <v>1</v>
      </c>
      <c r="AE1514" s="185" t="n">
        <v>1</v>
      </c>
      <c r="AG1514" s="167" t="inlineStr">
        <is>
          <t>7218|JA2588_1001</t>
        </is>
      </c>
      <c r="AH1514" s="47">
        <f>IF(M1514=0,"-",M1514-J1514)</f>
        <v/>
      </c>
      <c r="AI1514" s="46">
        <f>IF(AND(S1514=0,M1514&gt;0,L1514=0),IF(AH1514&gt;=120,"VERY HIGH",IF(AH1514&gt;=90,"HIGH",IF(AH1514&gt;=60,"MEDIUM",IF(AH1514&lt;60,"LOW")))),"-")</f>
        <v/>
      </c>
      <c r="AJ1514" s="12" t="n"/>
      <c r="AK1514" s="53">
        <f>IF(AND(W1514="X",M1514&lt;=$AJ$2),"YES","")</f>
        <v/>
      </c>
      <c r="AL1514" s="54">
        <f>IF(AND(W1514="X",M1514&lt;=$AJ$2),S1514,"")</f>
        <v/>
      </c>
      <c r="AM1514" s="35" t="n"/>
      <c r="AN1514" s="35">
        <f>IF(AND(W1514="X",M1514&gt;$AJ$2),S1514,"")</f>
        <v/>
      </c>
      <c r="AO1514" s="35">
        <f>IF(AND(W1514="",M1514&gt;0,$AJ$2&gt;M1514,L1514=""),1,0)</f>
        <v/>
      </c>
      <c r="AP1514" s="35">
        <f>IF(AND(AK1514="YES",W1514="X"),"X","")</f>
        <v/>
      </c>
      <c r="AQ1514" s="55">
        <f>IF(AP1514="X",100%,0%)</f>
        <v/>
      </c>
      <c r="AR1514" s="25">
        <f>IF(AND(T1514&gt;0,L1514=""),H1514,"")</f>
        <v/>
      </c>
      <c r="AS1514" s="25">
        <f>IF(AND(D1514&gt;0,H1514=0,G1514=""),1,"")</f>
        <v/>
      </c>
      <c r="AT1514" s="25">
        <f>IF(G1514="BLOQ",1,"")</f>
        <v/>
      </c>
      <c r="AU1514" s="25">
        <f>IF(L1514="BLOQ",1,"")</f>
        <v/>
      </c>
      <c r="AV1514" s="25">
        <f>MONTH(F1514)</f>
        <v/>
      </c>
      <c r="AW1514" s="65">
        <f>IF(AP1514="",100%,0%)</f>
        <v/>
      </c>
      <c r="AX1514" s="56" t="n"/>
      <c r="AY1514" s="24">
        <f>IF(M1514=0,"",M1514-$AX$2)</f>
        <v/>
      </c>
      <c r="AZ1514" s="66">
        <f>IF(AND(W1514="",AY1514&gt;0,AY1514&lt;15),1,0)</f>
        <v/>
      </c>
      <c r="BA1514" s="24">
        <f>IF(AND(W1514="",AY1514&gt;0,AY1514&lt;15),T1514,"")</f>
        <v/>
      </c>
      <c r="BB1514" s="87">
        <f>IF(R1514&lt;Q1514,"X","")</f>
        <v/>
      </c>
      <c r="BC1514" s="191" t="inlineStr">
        <is>
          <t>SI</t>
        </is>
      </c>
      <c r="BD1514" s="191" t="inlineStr">
        <is>
          <t>SI</t>
        </is>
      </c>
    </row>
    <row r="1515" ht="15" customHeight="1" s="162">
      <c r="A1515" s="7" t="n">
        <v>1514</v>
      </c>
      <c r="B1515" t="inlineStr">
        <is>
          <t>1390704692800</t>
        </is>
      </c>
      <c r="C1515" t="inlineStr">
        <is>
          <t>PANEL CONEXION AUDIO IOS 50X85MM ALUM</t>
        </is>
      </c>
      <c r="D1515" t="inlineStr">
        <is>
          <t>1800114782</t>
        </is>
      </c>
      <c r="E1515" t="inlineStr">
        <is>
          <t>30</t>
        </is>
      </c>
      <c r="F1515" s="163" t="n">
        <v>45590</v>
      </c>
      <c r="G1515" t="inlineStr">
        <is>
          <t>BORR</t>
        </is>
      </c>
      <c r="H1515" t="inlineStr">
        <is>
          <t>4200583170</t>
        </is>
      </c>
      <c r="I1515" t="inlineStr">
        <is>
          <t>30</t>
        </is>
      </c>
      <c r="J1515" s="163" t="n">
        <v>45593</v>
      </c>
      <c r="K1515" s="163" t="n">
        <v>45601</v>
      </c>
      <c r="L1515" t="inlineStr">
        <is>
          <t>BORR</t>
        </is>
      </c>
      <c r="M1515" s="163" t="n">
        <v>45649</v>
      </c>
      <c r="N1515" s="164" t="n">
        <v>40</v>
      </c>
      <c r="O1515" s="164" t="n">
        <v>8</v>
      </c>
      <c r="P1515" t="inlineStr">
        <is>
          <t>Liberado</t>
        </is>
      </c>
      <c r="Q1515" s="165" t="n">
        <v>1</v>
      </c>
      <c r="R1515" s="165" t="n">
        <v>1</v>
      </c>
      <c r="S1515" s="165" t="n">
        <v>0</v>
      </c>
      <c r="T1515" s="165" t="n">
        <v>1</v>
      </c>
      <c r="U1515" s="166" t="n">
        <v>0</v>
      </c>
      <c r="V1515" s="166" t="n">
        <v>0</v>
      </c>
      <c r="W1515" t="inlineStr"/>
      <c r="X1515" t="inlineStr">
        <is>
          <t>1068.08</t>
        </is>
      </c>
      <c r="Y1515" t="inlineStr"/>
      <c r="Z1515" t="inlineStr">
        <is>
          <t>SUMINISTROS, FRESADOS Y GRABADOS</t>
        </is>
      </c>
      <c r="AA1515" t="inlineStr">
        <is>
          <t>GRABYSUR</t>
        </is>
      </c>
      <c r="AB1515" t="inlineStr">
        <is>
          <t>GR-SEQ40404</t>
        </is>
      </c>
      <c r="AC1515" t="inlineStr"/>
      <c r="AD1515" s="164" t="n">
        <v>0</v>
      </c>
      <c r="AE1515" s="185" t="n">
        <v>0</v>
      </c>
      <c r="AG1515" s="167" t="inlineStr">
        <is>
          <t>7218|JA2588_1001</t>
        </is>
      </c>
      <c r="AH1515" s="47">
        <f>IF(M1515=0,"-",M1515-J1515)</f>
        <v/>
      </c>
      <c r="AI1515" s="46">
        <f>IF(AND(S1515=0,M1515&gt;0,L1515=0),IF(AH1515&gt;=120,"VERY HIGH",IF(AH1515&gt;=90,"HIGH",IF(AH1515&gt;=60,"MEDIUM",IF(AH1515&lt;60,"LOW")))),"-")</f>
        <v/>
      </c>
      <c r="AJ1515" s="12" t="n"/>
      <c r="AK1515" s="53">
        <f>IF(AND(W1515="X",M1515&lt;=$AJ$2),"YES","")</f>
        <v/>
      </c>
      <c r="AL1515" s="54">
        <f>IF(AND(W1515="X",M1515&lt;=$AJ$2),S1515,"")</f>
        <v/>
      </c>
      <c r="AM1515" s="35" t="n"/>
      <c r="AN1515" s="35">
        <f>IF(AND(W1515="X",M1515&gt;$AJ$2),S1515,"")</f>
        <v/>
      </c>
      <c r="AO1515" s="35">
        <f>IF(AND(W1515="",M1515&gt;0,$AJ$2&gt;M1515,L1515=""),1,0)</f>
        <v/>
      </c>
      <c r="AP1515" s="35">
        <f>IF(AND(AK1515="YES",W1515="X"),"X","")</f>
        <v/>
      </c>
      <c r="AQ1515" s="55">
        <f>IF(AP1515="X",100%,0%)</f>
        <v/>
      </c>
      <c r="AR1515" s="25">
        <f>IF(AND(T1515&gt;0,L1515=""),H1515,"")</f>
        <v/>
      </c>
      <c r="AS1515" s="25">
        <f>IF(AND(D1515&gt;0,H1515=0,G1515=""),1,"")</f>
        <v/>
      </c>
      <c r="AT1515" s="25">
        <f>IF(G1515="BLOQ",1,"")</f>
        <v/>
      </c>
      <c r="AU1515" s="25">
        <f>IF(L1515="BLOQ",1,"")</f>
        <v/>
      </c>
      <c r="AV1515" s="25">
        <f>MONTH(F1515)</f>
        <v/>
      </c>
      <c r="AW1515" s="65">
        <f>IF(AP1515="",100%,0%)</f>
        <v/>
      </c>
      <c r="AX1515" s="56" t="n"/>
      <c r="AY1515" s="24">
        <f>IF(M1515=0,"",M1515-$AX$2)</f>
        <v/>
      </c>
      <c r="AZ1515" s="66">
        <f>IF(AND(W1515="",AY1515&gt;0,AY1515&lt;15),1,0)</f>
        <v/>
      </c>
      <c r="BA1515" s="24">
        <f>IF(AND(W1515="",AY1515&gt;0,AY1515&lt;15),T1515,"")</f>
        <v/>
      </c>
      <c r="BB1515" s="87">
        <f>IF(R1515&lt;Q1515,"X","")</f>
        <v/>
      </c>
      <c r="BC1515" s="190" t="inlineStr">
        <is>
          <t>NO</t>
        </is>
      </c>
      <c r="BD1515" s="191" t="inlineStr">
        <is>
          <t>SI</t>
        </is>
      </c>
    </row>
    <row r="1516" ht="15" customHeight="1" s="162">
      <c r="A1516" s="7" t="n">
        <v>1515</v>
      </c>
      <c r="B1516" t="inlineStr">
        <is>
          <t>1390704693000</t>
        </is>
      </c>
      <c r="C1516" t="inlineStr">
        <is>
          <t>PANEL SEAT+AUDIO ALUM 6061T6</t>
        </is>
      </c>
      <c r="D1516" t="inlineStr">
        <is>
          <t>1800114782</t>
        </is>
      </c>
      <c r="E1516" t="inlineStr">
        <is>
          <t>40</t>
        </is>
      </c>
      <c r="F1516" s="163" t="n">
        <v>45590</v>
      </c>
      <c r="G1516" t="inlineStr">
        <is>
          <t>BORR</t>
        </is>
      </c>
      <c r="H1516" t="inlineStr">
        <is>
          <t>4200583170</t>
        </is>
      </c>
      <c r="I1516" t="inlineStr">
        <is>
          <t>40</t>
        </is>
      </c>
      <c r="J1516" s="163" t="n">
        <v>45593</v>
      </c>
      <c r="K1516" s="163" t="n">
        <v>45601</v>
      </c>
      <c r="L1516" t="inlineStr">
        <is>
          <t>BORR</t>
        </is>
      </c>
      <c r="M1516" s="163" t="n">
        <v>45649</v>
      </c>
      <c r="N1516" s="164" t="n">
        <v>40</v>
      </c>
      <c r="O1516" s="164" t="n">
        <v>8</v>
      </c>
      <c r="P1516" t="inlineStr">
        <is>
          <t>Liberado</t>
        </is>
      </c>
      <c r="Q1516" s="165" t="n">
        <v>1</v>
      </c>
      <c r="R1516" s="165" t="n">
        <v>1</v>
      </c>
      <c r="S1516" s="165" t="n">
        <v>0</v>
      </c>
      <c r="T1516" s="165" t="n">
        <v>1</v>
      </c>
      <c r="U1516" s="166" t="n">
        <v>0</v>
      </c>
      <c r="V1516" s="166" t="n">
        <v>0</v>
      </c>
      <c r="W1516" t="inlineStr"/>
      <c r="X1516" t="inlineStr">
        <is>
          <t>1733.42</t>
        </is>
      </c>
      <c r="Y1516" t="inlineStr"/>
      <c r="Z1516" t="inlineStr">
        <is>
          <t>SUMINISTROS, FRESADOS Y GRABADOS</t>
        </is>
      </c>
      <c r="AA1516" t="inlineStr">
        <is>
          <t>GRABYSUR</t>
        </is>
      </c>
      <c r="AB1516" t="inlineStr">
        <is>
          <t>GR-SEQ40406</t>
        </is>
      </c>
      <c r="AC1516" t="inlineStr"/>
      <c r="AD1516" s="164" t="n">
        <v>0</v>
      </c>
      <c r="AE1516" s="185" t="n">
        <v>0</v>
      </c>
      <c r="AG1516" s="167" t="inlineStr">
        <is>
          <t>7218|JA2588_1001</t>
        </is>
      </c>
      <c r="AH1516" s="47">
        <f>IF(M1516=0,"-",M1516-J1516)</f>
        <v/>
      </c>
      <c r="AI1516" s="46">
        <f>IF(AND(S1516=0,M1516&gt;0,L1516=0),IF(AH1516&gt;=120,"VERY HIGH",IF(AH1516&gt;=90,"HIGH",IF(AH1516&gt;=60,"MEDIUM",IF(AH1516&lt;60,"LOW")))),"-")</f>
        <v/>
      </c>
      <c r="AJ1516" s="12" t="n"/>
      <c r="AK1516" s="53">
        <f>IF(AND(W1516="X",M1516&lt;=$AJ$2),"YES","")</f>
        <v/>
      </c>
      <c r="AL1516" s="54">
        <f>IF(AND(W1516="X",M1516&lt;=$AJ$2),S1516,"")</f>
        <v/>
      </c>
      <c r="AM1516" s="35" t="n"/>
      <c r="AN1516" s="35">
        <f>IF(AND(W1516="X",M1516&gt;$AJ$2),S1516,"")</f>
        <v/>
      </c>
      <c r="AO1516" s="35">
        <f>IF(AND(W1516="",M1516&gt;0,$AJ$2&gt;M1516,L1516=""),1,0)</f>
        <v/>
      </c>
      <c r="AP1516" s="35">
        <f>IF(AND(AK1516="YES",W1516="X"),"X","")</f>
        <v/>
      </c>
      <c r="AQ1516" s="55">
        <f>IF(AP1516="X",100%,0%)</f>
        <v/>
      </c>
      <c r="AR1516" s="25">
        <f>IF(AND(T1516&gt;0,L1516=""),H1516,"")</f>
        <v/>
      </c>
      <c r="AS1516" s="25">
        <f>IF(AND(D1516&gt;0,H1516=0,G1516=""),1,"")</f>
        <v/>
      </c>
      <c r="AT1516" s="25">
        <f>IF(G1516="BLOQ",1,"")</f>
        <v/>
      </c>
      <c r="AU1516" s="25">
        <f>IF(L1516="BLOQ",1,"")</f>
        <v/>
      </c>
      <c r="AV1516" s="25">
        <f>MONTH(F1516)</f>
        <v/>
      </c>
      <c r="AW1516" s="65">
        <f>IF(AP1516="",100%,0%)</f>
        <v/>
      </c>
      <c r="AX1516" s="56" t="n"/>
      <c r="AY1516" s="24">
        <f>IF(M1516=0,"",M1516-$AX$2)</f>
        <v/>
      </c>
      <c r="AZ1516" s="66">
        <f>IF(AND(W1516="",AY1516&gt;0,AY1516&lt;15),1,0)</f>
        <v/>
      </c>
      <c r="BA1516" s="24">
        <f>IF(AND(W1516="",AY1516&gt;0,AY1516&lt;15),T1516,"")</f>
        <v/>
      </c>
      <c r="BB1516" s="87">
        <f>IF(R1516&lt;Q1516,"X","")</f>
        <v/>
      </c>
      <c r="BC1516" s="190" t="inlineStr">
        <is>
          <t>NO</t>
        </is>
      </c>
      <c r="BD1516" s="191" t="inlineStr">
        <is>
          <t>SI</t>
        </is>
      </c>
    </row>
    <row r="1517" ht="15" customHeight="1" s="162">
      <c r="A1517" s="7" t="n">
        <v>1516</v>
      </c>
      <c r="B1517" t="inlineStr">
        <is>
          <t>1390704693100</t>
        </is>
      </c>
      <c r="C1517" t="inlineStr">
        <is>
          <t>PANEL BLANCO 50X85X2MM ALUM 6061T6</t>
        </is>
      </c>
      <c r="D1517" t="inlineStr">
        <is>
          <t>1800114782</t>
        </is>
      </c>
      <c r="E1517" t="inlineStr">
        <is>
          <t>50</t>
        </is>
      </c>
      <c r="F1517" s="163" t="n">
        <v>45590</v>
      </c>
      <c r="G1517" t="inlineStr">
        <is>
          <t>BORR</t>
        </is>
      </c>
      <c r="H1517" t="inlineStr">
        <is>
          <t>4200583170</t>
        </is>
      </c>
      <c r="I1517" t="inlineStr">
        <is>
          <t>50</t>
        </is>
      </c>
      <c r="J1517" s="163" t="n">
        <v>45593</v>
      </c>
      <c r="K1517" s="163" t="n">
        <v>45601</v>
      </c>
      <c r="L1517" t="inlineStr">
        <is>
          <t>BORR</t>
        </is>
      </c>
      <c r="M1517" s="163" t="n">
        <v>45649</v>
      </c>
      <c r="N1517" s="164" t="n">
        <v>40</v>
      </c>
      <c r="O1517" s="164" t="n">
        <v>8</v>
      </c>
      <c r="P1517" t="inlineStr">
        <is>
          <t>Liberado</t>
        </is>
      </c>
      <c r="Q1517" s="165" t="n">
        <v>1</v>
      </c>
      <c r="R1517" s="165" t="n">
        <v>1</v>
      </c>
      <c r="S1517" s="165" t="n">
        <v>0</v>
      </c>
      <c r="T1517" s="165" t="n">
        <v>1</v>
      </c>
      <c r="U1517" s="166" t="n">
        <v>0</v>
      </c>
      <c r="V1517" s="166" t="n">
        <v>0</v>
      </c>
      <c r="W1517" t="inlineStr"/>
      <c r="X1517" t="inlineStr">
        <is>
          <t>565.95</t>
        </is>
      </c>
      <c r="Y1517" t="inlineStr"/>
      <c r="Z1517" t="inlineStr">
        <is>
          <t>SUMINISTROS, FRESADOS Y GRABADOS</t>
        </is>
      </c>
      <c r="AA1517" t="inlineStr">
        <is>
          <t>GRABYSUR</t>
        </is>
      </c>
      <c r="AB1517" t="inlineStr">
        <is>
          <t>GR-SEQ40407</t>
        </is>
      </c>
      <c r="AC1517" t="inlineStr"/>
      <c r="AD1517" s="164" t="n">
        <v>0</v>
      </c>
      <c r="AE1517" s="185" t="n">
        <v>0</v>
      </c>
      <c r="AG1517" s="167" t="inlineStr">
        <is>
          <t>7218|JA2588_1001</t>
        </is>
      </c>
      <c r="AH1517" s="47">
        <f>IF(M1517=0,"-",M1517-J1517)</f>
        <v/>
      </c>
      <c r="AI1517" s="46">
        <f>IF(AND(S1517=0,M1517&gt;0,L1517=0),IF(AH1517&gt;=120,"VERY HIGH",IF(AH1517&gt;=90,"HIGH",IF(AH1517&gt;=60,"MEDIUM",IF(AH1517&lt;60,"LOW")))),"-")</f>
        <v/>
      </c>
      <c r="AJ1517" s="12" t="n"/>
      <c r="AK1517" s="53">
        <f>IF(AND(W1517="X",M1517&lt;=$AJ$2),"YES","")</f>
        <v/>
      </c>
      <c r="AL1517" s="54">
        <f>IF(AND(W1517="X",M1517&lt;=$AJ$2),S1517,"")</f>
        <v/>
      </c>
      <c r="AM1517" s="35" t="n"/>
      <c r="AN1517" s="35">
        <f>IF(AND(W1517="X",M1517&gt;$AJ$2),S1517,"")</f>
        <v/>
      </c>
      <c r="AO1517" s="35">
        <f>IF(AND(W1517="",M1517&gt;0,$AJ$2&gt;M1517,L1517=""),1,0)</f>
        <v/>
      </c>
      <c r="AP1517" s="35">
        <f>IF(AND(AK1517="YES",W1517="X"),"X","")</f>
        <v/>
      </c>
      <c r="AQ1517" s="55">
        <f>IF(AP1517="X",100%,0%)</f>
        <v/>
      </c>
      <c r="AR1517" s="25">
        <f>IF(AND(T1517&gt;0,L1517=""),H1517,"")</f>
        <v/>
      </c>
      <c r="AS1517" s="25">
        <f>IF(AND(D1517&gt;0,H1517=0,G1517=""),1,"")</f>
        <v/>
      </c>
      <c r="AT1517" s="25">
        <f>IF(G1517="BLOQ",1,"")</f>
        <v/>
      </c>
      <c r="AU1517" s="25">
        <f>IF(L1517="BLOQ",1,"")</f>
        <v/>
      </c>
      <c r="AV1517" s="25">
        <f>MONTH(F1517)</f>
        <v/>
      </c>
      <c r="AW1517" s="65">
        <f>IF(AP1517="",100%,0%)</f>
        <v/>
      </c>
      <c r="AX1517" s="56" t="n"/>
      <c r="AY1517" s="24">
        <f>IF(M1517=0,"",M1517-$AX$2)</f>
        <v/>
      </c>
      <c r="AZ1517" s="66">
        <f>IF(AND(W1517="",AY1517&gt;0,AY1517&lt;15),1,0)</f>
        <v/>
      </c>
      <c r="BA1517" s="24">
        <f>IF(AND(W1517="",AY1517&gt;0,AY1517&lt;15),T1517,"")</f>
        <v/>
      </c>
      <c r="BB1517" s="87">
        <f>IF(R1517&lt;Q1517,"X","")</f>
        <v/>
      </c>
      <c r="BC1517" s="190" t="inlineStr">
        <is>
          <t>NO</t>
        </is>
      </c>
      <c r="BD1517" s="191" t="inlineStr">
        <is>
          <t>SI</t>
        </is>
      </c>
    </row>
    <row r="1518" ht="15" customHeight="1" s="162">
      <c r="A1518" s="7" t="n">
        <v>1517</v>
      </c>
      <c r="B1518" t="inlineStr">
        <is>
          <t>1390705801095</t>
        </is>
      </c>
      <c r="C1518" t="inlineStr">
        <is>
          <t>IOS AUDIO CONNECTION PANEL A320</t>
        </is>
      </c>
      <c r="D1518" t="inlineStr">
        <is>
          <t>1800114782</t>
        </is>
      </c>
      <c r="E1518" t="inlineStr">
        <is>
          <t>60</t>
        </is>
      </c>
      <c r="F1518" s="163" t="n">
        <v>45590</v>
      </c>
      <c r="G1518" t="inlineStr"/>
      <c r="H1518" t="inlineStr">
        <is>
          <t>4200583170</t>
        </is>
      </c>
      <c r="I1518" t="inlineStr">
        <is>
          <t>60</t>
        </is>
      </c>
      <c r="J1518" s="163" t="n">
        <v>45593</v>
      </c>
      <c r="K1518" s="163" t="n">
        <v>45601</v>
      </c>
      <c r="L1518" t="inlineStr"/>
      <c r="M1518" s="163" t="n">
        <v>45711</v>
      </c>
      <c r="N1518" s="164" t="n">
        <v>40</v>
      </c>
      <c r="O1518" s="164" t="n">
        <v>8</v>
      </c>
      <c r="P1518" t="inlineStr">
        <is>
          <t>Liberado</t>
        </is>
      </c>
      <c r="Q1518" s="165" t="n">
        <v>1</v>
      </c>
      <c r="R1518" s="165" t="n">
        <v>1</v>
      </c>
      <c r="S1518" s="165" t="n">
        <v>1</v>
      </c>
      <c r="T1518" s="165" t="n">
        <v>0</v>
      </c>
      <c r="U1518" s="166" t="n">
        <v>1</v>
      </c>
      <c r="V1518" s="166" t="n">
        <v>0</v>
      </c>
      <c r="W1518" t="inlineStr">
        <is>
          <t>X</t>
        </is>
      </c>
      <c r="X1518" t="inlineStr">
        <is>
          <t>0.00</t>
        </is>
      </c>
      <c r="Y1518" t="inlineStr"/>
      <c r="Z1518" t="inlineStr">
        <is>
          <t>SUMINISTROS, FRESADOS Y GRABADOS</t>
        </is>
      </c>
      <c r="AA1518" t="inlineStr">
        <is>
          <t>GRABYSUR</t>
        </is>
      </c>
      <c r="AB1518" t="inlineStr">
        <is>
          <t>GR-SEQ40408</t>
        </is>
      </c>
      <c r="AC1518" t="inlineStr"/>
      <c r="AD1518" s="164" t="n">
        <v>1</v>
      </c>
      <c r="AE1518" s="185" t="n">
        <v>1</v>
      </c>
      <c r="AG1518" s="167" t="inlineStr">
        <is>
          <t>7218|JA2588_1001</t>
        </is>
      </c>
      <c r="AH1518" s="47">
        <f>IF(M1518=0,"-",M1518-J1518)</f>
        <v/>
      </c>
      <c r="AI1518" s="46">
        <f>IF(AND(S1518=0,M1518&gt;0,L1518=0),IF(AH1518&gt;=120,"VERY HIGH",IF(AH1518&gt;=90,"HIGH",IF(AH1518&gt;=60,"MEDIUM",IF(AH1518&lt;60,"LOW")))),"-")</f>
        <v/>
      </c>
      <c r="AJ1518" s="12" t="n"/>
      <c r="AK1518" s="53">
        <f>IF(AND(W1518="X",M1518&lt;=$AJ$2),"YES","")</f>
        <v/>
      </c>
      <c r="AL1518" s="54">
        <f>IF(AND(W1518="X",M1518&lt;=$AJ$2),S1518,"")</f>
        <v/>
      </c>
      <c r="AM1518" s="35" t="n"/>
      <c r="AN1518" s="35">
        <f>IF(AND(W1518="X",M1518&gt;$AJ$2),S1518,"")</f>
        <v/>
      </c>
      <c r="AO1518" s="35">
        <f>IF(AND(W1518="",M1518&gt;0,$AJ$2&gt;M1518,L1518=""),1,0)</f>
        <v/>
      </c>
      <c r="AP1518" s="35">
        <f>IF(AND(AK1518="YES",W1518="X"),"X","")</f>
        <v/>
      </c>
      <c r="AQ1518" s="55">
        <f>IF(AP1518="X",100%,0%)</f>
        <v/>
      </c>
      <c r="AR1518" s="25">
        <f>IF(AND(T1518&gt;0,L1518=""),H1518,"")</f>
        <v/>
      </c>
      <c r="AS1518" s="25">
        <f>IF(AND(D1518&gt;0,H1518=0,G1518=""),1,"")</f>
        <v/>
      </c>
      <c r="AT1518" s="25">
        <f>IF(G1518="BLOQ",1,"")</f>
        <v/>
      </c>
      <c r="AU1518" s="25">
        <f>IF(L1518="BLOQ",1,"")</f>
        <v/>
      </c>
      <c r="AV1518" s="25">
        <f>MONTH(F1518)</f>
        <v/>
      </c>
      <c r="AW1518" s="65">
        <f>IF(AP1518="",100%,0%)</f>
        <v/>
      </c>
      <c r="AX1518" s="56" t="n"/>
      <c r="AY1518" s="24">
        <f>IF(M1518=0,"",M1518-$AX$2)</f>
        <v/>
      </c>
      <c r="AZ1518" s="66">
        <f>IF(AND(W1518="",AY1518&gt;0,AY1518&lt;15),1,0)</f>
        <v/>
      </c>
      <c r="BA1518" s="24">
        <f>IF(AND(W1518="",AY1518&gt;0,AY1518&lt;15),T1518,"")</f>
        <v/>
      </c>
      <c r="BB1518" s="87">
        <f>IF(R1518&lt;Q1518,"X","")</f>
        <v/>
      </c>
      <c r="BC1518" s="191" t="inlineStr">
        <is>
          <t>SI</t>
        </is>
      </c>
      <c r="BD1518" s="191" t="inlineStr">
        <is>
          <t>SI</t>
        </is>
      </c>
    </row>
    <row r="1519" ht="15" customHeight="1" s="162">
      <c r="A1519" s="7" t="n">
        <v>1518</v>
      </c>
      <c r="B1519" t="inlineStr">
        <is>
          <t>1390705801195</t>
        </is>
      </c>
      <c r="C1519" t="inlineStr">
        <is>
          <t>USB PANEL A320</t>
        </is>
      </c>
      <c r="D1519" t="inlineStr">
        <is>
          <t>1800114782</t>
        </is>
      </c>
      <c r="E1519" t="inlineStr">
        <is>
          <t>70</t>
        </is>
      </c>
      <c r="F1519" s="163" t="n">
        <v>45590</v>
      </c>
      <c r="G1519" t="inlineStr"/>
      <c r="H1519" t="inlineStr">
        <is>
          <t>4200583170</t>
        </is>
      </c>
      <c r="I1519" t="inlineStr">
        <is>
          <t>70</t>
        </is>
      </c>
      <c r="J1519" s="163" t="n">
        <v>45593</v>
      </c>
      <c r="K1519" s="163" t="n">
        <v>45601</v>
      </c>
      <c r="L1519" t="inlineStr"/>
      <c r="M1519" s="163" t="n">
        <v>45711</v>
      </c>
      <c r="N1519" s="164" t="n">
        <v>40</v>
      </c>
      <c r="O1519" s="164" t="n">
        <v>8</v>
      </c>
      <c r="P1519" t="inlineStr">
        <is>
          <t>Liberado</t>
        </is>
      </c>
      <c r="Q1519" s="165" t="n">
        <v>1</v>
      </c>
      <c r="R1519" s="165" t="n">
        <v>1</v>
      </c>
      <c r="S1519" s="165" t="n">
        <v>1</v>
      </c>
      <c r="T1519" s="165" t="n">
        <v>0</v>
      </c>
      <c r="U1519" s="166" t="n">
        <v>1</v>
      </c>
      <c r="V1519" s="166" t="n">
        <v>0</v>
      </c>
      <c r="W1519" t="inlineStr">
        <is>
          <t>X</t>
        </is>
      </c>
      <c r="X1519" t="inlineStr">
        <is>
          <t>0.00</t>
        </is>
      </c>
      <c r="Y1519" t="inlineStr"/>
      <c r="Z1519" t="inlineStr">
        <is>
          <t>SUMINISTROS, FRESADOS Y GRABADOS</t>
        </is>
      </c>
      <c r="AA1519" t="inlineStr">
        <is>
          <t>GRABYSUR</t>
        </is>
      </c>
      <c r="AB1519" t="inlineStr">
        <is>
          <t>GR-SEQ40409</t>
        </is>
      </c>
      <c r="AC1519" t="inlineStr"/>
      <c r="AD1519" s="164" t="n">
        <v>1</v>
      </c>
      <c r="AE1519" s="185" t="n">
        <v>1</v>
      </c>
      <c r="AG1519" s="167" t="inlineStr">
        <is>
          <t>7218|JA2588_1001</t>
        </is>
      </c>
      <c r="AH1519" s="47">
        <f>IF(M1519=0,"-",M1519-J1519)</f>
        <v/>
      </c>
      <c r="AI1519" s="46">
        <f>IF(AND(S1519=0,M1519&gt;0,L1519=0),IF(AH1519&gt;=120,"VERY HIGH",IF(AH1519&gt;=90,"HIGH",IF(AH1519&gt;=60,"MEDIUM",IF(AH1519&lt;60,"LOW")))),"-")</f>
        <v/>
      </c>
      <c r="AJ1519" s="12" t="n"/>
      <c r="AK1519" s="53">
        <f>IF(AND(W1519="X",M1519&lt;=$AJ$2),"YES","")</f>
        <v/>
      </c>
      <c r="AL1519" s="54">
        <f>IF(AND(W1519="X",M1519&lt;=$AJ$2),S1519,"")</f>
        <v/>
      </c>
      <c r="AM1519" s="35" t="n"/>
      <c r="AN1519" s="35">
        <f>IF(AND(W1519="X",M1519&gt;$AJ$2),S1519,"")</f>
        <v/>
      </c>
      <c r="AO1519" s="35">
        <f>IF(AND(W1519="",M1519&gt;0,$AJ$2&gt;M1519,L1519=""),1,0)</f>
        <v/>
      </c>
      <c r="AP1519" s="35">
        <f>IF(AND(AK1519="YES",W1519="X"),"X","")</f>
        <v/>
      </c>
      <c r="AQ1519" s="55">
        <f>IF(AP1519="X",100%,0%)</f>
        <v/>
      </c>
      <c r="AR1519" s="25">
        <f>IF(AND(T1519&gt;0,L1519=""),H1519,"")</f>
        <v/>
      </c>
      <c r="AS1519" s="25">
        <f>IF(AND(D1519&gt;0,H1519=0,G1519=""),1,"")</f>
        <v/>
      </c>
      <c r="AT1519" s="25">
        <f>IF(G1519="BLOQ",1,"")</f>
        <v/>
      </c>
      <c r="AU1519" s="25">
        <f>IF(L1519="BLOQ",1,"")</f>
        <v/>
      </c>
      <c r="AV1519" s="25">
        <f>MONTH(F1519)</f>
        <v/>
      </c>
      <c r="AW1519" s="65">
        <f>IF(AP1519="",100%,0%)</f>
        <v/>
      </c>
      <c r="AX1519" s="56" t="n"/>
      <c r="AY1519" s="24">
        <f>IF(M1519=0,"",M1519-$AX$2)</f>
        <v/>
      </c>
      <c r="AZ1519" s="66">
        <f>IF(AND(W1519="",AY1519&gt;0,AY1519&lt;15),1,0)</f>
        <v/>
      </c>
      <c r="BA1519" s="24">
        <f>IF(AND(W1519="",AY1519&gt;0,AY1519&lt;15),T1519,"")</f>
        <v/>
      </c>
      <c r="BB1519" s="87">
        <f>IF(R1519&lt;Q1519,"X","")</f>
        <v/>
      </c>
      <c r="BC1519" s="191" t="inlineStr">
        <is>
          <t>SI</t>
        </is>
      </c>
      <c r="BD1519" s="191" t="inlineStr">
        <is>
          <t>SI</t>
        </is>
      </c>
    </row>
    <row r="1520" ht="15" customHeight="1" s="162">
      <c r="A1520" s="7" t="n">
        <v>1519</v>
      </c>
      <c r="B1520" t="inlineStr">
        <is>
          <t>1390705801295</t>
        </is>
      </c>
      <c r="C1520" t="inlineStr">
        <is>
          <t>AUDIO AND SEAT PANEL A320</t>
        </is>
      </c>
      <c r="D1520" t="inlineStr">
        <is>
          <t>1800114782</t>
        </is>
      </c>
      <c r="E1520" t="inlineStr">
        <is>
          <t>80</t>
        </is>
      </c>
      <c r="F1520" s="163" t="n">
        <v>45590</v>
      </c>
      <c r="G1520" t="inlineStr"/>
      <c r="H1520" t="inlineStr">
        <is>
          <t>4200583170</t>
        </is>
      </c>
      <c r="I1520" t="inlineStr">
        <is>
          <t>80</t>
        </is>
      </c>
      <c r="J1520" s="163" t="n">
        <v>45593</v>
      </c>
      <c r="K1520" s="163" t="n">
        <v>45601</v>
      </c>
      <c r="L1520" t="inlineStr"/>
      <c r="M1520" s="163" t="n">
        <v>45711</v>
      </c>
      <c r="N1520" s="164" t="n">
        <v>40</v>
      </c>
      <c r="O1520" s="164" t="n">
        <v>8</v>
      </c>
      <c r="P1520" t="inlineStr">
        <is>
          <t>Liberado</t>
        </is>
      </c>
      <c r="Q1520" s="165" t="n">
        <v>1</v>
      </c>
      <c r="R1520" s="165" t="n">
        <v>1</v>
      </c>
      <c r="S1520" s="165" t="n">
        <v>1</v>
      </c>
      <c r="T1520" s="165" t="n">
        <v>0</v>
      </c>
      <c r="U1520" s="166" t="n">
        <v>1</v>
      </c>
      <c r="V1520" s="166" t="n">
        <v>0</v>
      </c>
      <c r="W1520" t="inlineStr">
        <is>
          <t>X</t>
        </is>
      </c>
      <c r="X1520" t="inlineStr">
        <is>
          <t>0.00</t>
        </is>
      </c>
      <c r="Y1520" t="inlineStr"/>
      <c r="Z1520" t="inlineStr">
        <is>
          <t>SUMINISTROS, FRESADOS Y GRABADOS</t>
        </is>
      </c>
      <c r="AA1520" t="inlineStr">
        <is>
          <t>GRABYSUR</t>
        </is>
      </c>
      <c r="AB1520" t="inlineStr">
        <is>
          <t>GR-SEQ40410</t>
        </is>
      </c>
      <c r="AC1520" t="inlineStr"/>
      <c r="AD1520" s="164" t="n">
        <v>1</v>
      </c>
      <c r="AE1520" s="185" t="n">
        <v>1</v>
      </c>
      <c r="AG1520" s="167" t="inlineStr">
        <is>
          <t>7218|JA2588_1001</t>
        </is>
      </c>
      <c r="AH1520" s="47">
        <f>IF(M1520=0,"-",M1520-J1520)</f>
        <v/>
      </c>
      <c r="AI1520" s="46">
        <f>IF(AND(S1520=0,M1520&gt;0,L1520=0),IF(AH1520&gt;=120,"VERY HIGH",IF(AH1520&gt;=90,"HIGH",IF(AH1520&gt;=60,"MEDIUM",IF(AH1520&lt;60,"LOW")))),"-")</f>
        <v/>
      </c>
      <c r="AJ1520" s="12" t="n"/>
      <c r="AK1520" s="53">
        <f>IF(AND(W1520="X",M1520&lt;=$AJ$2),"YES","")</f>
        <v/>
      </c>
      <c r="AL1520" s="54">
        <f>IF(AND(W1520="X",M1520&lt;=$AJ$2),S1520,"")</f>
        <v/>
      </c>
      <c r="AM1520" s="35" t="n"/>
      <c r="AN1520" s="35">
        <f>IF(AND(W1520="X",M1520&gt;$AJ$2),S1520,"")</f>
        <v/>
      </c>
      <c r="AO1520" s="35">
        <f>IF(AND(W1520="",M1520&gt;0,$AJ$2&gt;M1520,L1520=""),1,0)</f>
        <v/>
      </c>
      <c r="AP1520" s="35">
        <f>IF(AND(AK1520="YES",W1520="X"),"X","")</f>
        <v/>
      </c>
      <c r="AQ1520" s="55">
        <f>IF(AP1520="X",100%,0%)</f>
        <v/>
      </c>
      <c r="AR1520" s="25">
        <f>IF(AND(T1520&gt;0,L1520=""),H1520,"")</f>
        <v/>
      </c>
      <c r="AS1520" s="25">
        <f>IF(AND(D1520&gt;0,H1520=0,G1520=""),1,"")</f>
        <v/>
      </c>
      <c r="AT1520" s="25">
        <f>IF(G1520="BLOQ",1,"")</f>
        <v/>
      </c>
      <c r="AU1520" s="25">
        <f>IF(L1520="BLOQ",1,"")</f>
        <v/>
      </c>
      <c r="AV1520" s="25">
        <f>MONTH(F1520)</f>
        <v/>
      </c>
      <c r="AW1520" s="65">
        <f>IF(AP1520="",100%,0%)</f>
        <v/>
      </c>
      <c r="AX1520" s="56" t="n"/>
      <c r="AY1520" s="24">
        <f>IF(M1520=0,"",M1520-$AX$2)</f>
        <v/>
      </c>
      <c r="AZ1520" s="66">
        <f>IF(AND(W1520="",AY1520&gt;0,AY1520&lt;15),1,0)</f>
        <v/>
      </c>
      <c r="BA1520" s="24">
        <f>IF(AND(W1520="",AY1520&gt;0,AY1520&lt;15),T1520,"")</f>
        <v/>
      </c>
      <c r="BB1520" s="87">
        <f>IF(R1520&lt;Q1520,"X","")</f>
        <v/>
      </c>
      <c r="BC1520" s="191" t="inlineStr">
        <is>
          <t>SI</t>
        </is>
      </c>
      <c r="BD1520" s="191" t="inlineStr">
        <is>
          <t>SI</t>
        </is>
      </c>
    </row>
    <row r="1521" ht="15" customHeight="1" s="162">
      <c r="A1521" s="7" t="n">
        <v>1520</v>
      </c>
      <c r="B1521" t="inlineStr">
        <is>
          <t>1390705801395</t>
        </is>
      </c>
      <c r="C1521" t="inlineStr">
        <is>
          <t>FFIOS PANEL A320</t>
        </is>
      </c>
      <c r="D1521" t="inlineStr">
        <is>
          <t>1800114782</t>
        </is>
      </c>
      <c r="E1521" t="inlineStr">
        <is>
          <t>90</t>
        </is>
      </c>
      <c r="F1521" s="163" t="n">
        <v>45590</v>
      </c>
      <c r="G1521" t="inlineStr"/>
      <c r="H1521" t="inlineStr">
        <is>
          <t>4200583170</t>
        </is>
      </c>
      <c r="I1521" t="inlineStr">
        <is>
          <t>90</t>
        </is>
      </c>
      <c r="J1521" s="163" t="n">
        <v>45593</v>
      </c>
      <c r="K1521" s="163" t="n">
        <v>45601</v>
      </c>
      <c r="L1521" t="inlineStr"/>
      <c r="M1521" s="163" t="n">
        <v>45711</v>
      </c>
      <c r="N1521" s="164" t="n">
        <v>40</v>
      </c>
      <c r="O1521" s="164" t="n">
        <v>8</v>
      </c>
      <c r="P1521" t="inlineStr">
        <is>
          <t>Liberado</t>
        </is>
      </c>
      <c r="Q1521" s="165" t="n">
        <v>1</v>
      </c>
      <c r="R1521" s="165" t="n">
        <v>1</v>
      </c>
      <c r="S1521" s="165" t="n">
        <v>1</v>
      </c>
      <c r="T1521" s="165" t="n">
        <v>0</v>
      </c>
      <c r="U1521" s="166" t="n">
        <v>1</v>
      </c>
      <c r="V1521" s="166" t="n">
        <v>0</v>
      </c>
      <c r="W1521" t="inlineStr">
        <is>
          <t>X</t>
        </is>
      </c>
      <c r="X1521" t="inlineStr">
        <is>
          <t>0.00</t>
        </is>
      </c>
      <c r="Y1521" t="inlineStr"/>
      <c r="Z1521" t="inlineStr">
        <is>
          <t>SUMINISTROS, FRESADOS Y GRABADOS</t>
        </is>
      </c>
      <c r="AA1521" t="inlineStr">
        <is>
          <t>GRABYSUR</t>
        </is>
      </c>
      <c r="AB1521" t="inlineStr">
        <is>
          <t>GR-SEQ40411</t>
        </is>
      </c>
      <c r="AC1521" t="inlineStr"/>
      <c r="AD1521" s="164" t="n">
        <v>1</v>
      </c>
      <c r="AE1521" s="185" t="n">
        <v>1</v>
      </c>
      <c r="AG1521" s="167" t="inlineStr">
        <is>
          <t>7218|JA2588_1001</t>
        </is>
      </c>
      <c r="AH1521" s="47">
        <f>IF(M1521=0,"-",M1521-J1521)</f>
        <v/>
      </c>
      <c r="AI1521" s="46">
        <f>IF(AND(S1521=0,M1521&gt;0,L1521=0),IF(AH1521&gt;=120,"VERY HIGH",IF(AH1521&gt;=90,"HIGH",IF(AH1521&gt;=60,"MEDIUM",IF(AH1521&lt;60,"LOW")))),"-")</f>
        <v/>
      </c>
      <c r="AJ1521" s="12" t="n"/>
      <c r="AK1521" s="53">
        <f>IF(AND(W1521="X",M1521&lt;=$AJ$2),"YES","")</f>
        <v/>
      </c>
      <c r="AL1521" s="54">
        <f>IF(AND(W1521="X",M1521&lt;=$AJ$2),S1521,"")</f>
        <v/>
      </c>
      <c r="AM1521" s="35" t="n"/>
      <c r="AN1521" s="35">
        <f>IF(AND(W1521="X",M1521&gt;$AJ$2),S1521,"")</f>
        <v/>
      </c>
      <c r="AO1521" s="35">
        <f>IF(AND(W1521="",M1521&gt;0,$AJ$2&gt;M1521,L1521=""),1,0)</f>
        <v/>
      </c>
      <c r="AP1521" s="35">
        <f>IF(AND(AK1521="YES",W1521="X"),"X","")</f>
        <v/>
      </c>
      <c r="AQ1521" s="55">
        <f>IF(AP1521="X",100%,0%)</f>
        <v/>
      </c>
      <c r="AR1521" s="25">
        <f>IF(AND(T1521&gt;0,L1521=""),H1521,"")</f>
        <v/>
      </c>
      <c r="AS1521" s="25">
        <f>IF(AND(D1521&gt;0,H1521=0,G1521=""),1,"")</f>
        <v/>
      </c>
      <c r="AT1521" s="25">
        <f>IF(G1521="BLOQ",1,"")</f>
        <v/>
      </c>
      <c r="AU1521" s="25">
        <f>IF(L1521="BLOQ",1,"")</f>
        <v/>
      </c>
      <c r="AV1521" s="25">
        <f>MONTH(F1521)</f>
        <v/>
      </c>
      <c r="AW1521" s="65">
        <f>IF(AP1521="",100%,0%)</f>
        <v/>
      </c>
      <c r="AX1521" s="56" t="n"/>
      <c r="AY1521" s="24">
        <f>IF(M1521=0,"",M1521-$AX$2)</f>
        <v/>
      </c>
      <c r="AZ1521" s="66">
        <f>IF(AND(W1521="",AY1521&gt;0,AY1521&lt;15),1,0)</f>
        <v/>
      </c>
      <c r="BA1521" s="24">
        <f>IF(AND(W1521="",AY1521&gt;0,AY1521&lt;15),T1521,"")</f>
        <v/>
      </c>
      <c r="BB1521" s="87">
        <f>IF(R1521&lt;Q1521,"X","")</f>
        <v/>
      </c>
      <c r="BC1521" s="191" t="inlineStr">
        <is>
          <t>SI</t>
        </is>
      </c>
      <c r="BD1521" s="191" t="inlineStr">
        <is>
          <t>SI</t>
        </is>
      </c>
    </row>
    <row r="1522" ht="15" customHeight="1" s="162">
      <c r="A1522" s="7" t="n">
        <v>1521</v>
      </c>
      <c r="B1522" t="inlineStr">
        <is>
          <t>1390705801495</t>
        </is>
      </c>
      <c r="C1522" t="inlineStr">
        <is>
          <t>BLANCK PANEL A320</t>
        </is>
      </c>
      <c r="D1522" t="inlineStr">
        <is>
          <t>1800114782</t>
        </is>
      </c>
      <c r="E1522" t="inlineStr">
        <is>
          <t>100</t>
        </is>
      </c>
      <c r="F1522" s="163" t="n">
        <v>45590</v>
      </c>
      <c r="G1522" t="inlineStr"/>
      <c r="H1522" t="inlineStr">
        <is>
          <t>4200583170</t>
        </is>
      </c>
      <c r="I1522" t="inlineStr">
        <is>
          <t>100</t>
        </is>
      </c>
      <c r="J1522" s="163" t="n">
        <v>45593</v>
      </c>
      <c r="K1522" s="163" t="n">
        <v>45601</v>
      </c>
      <c r="L1522" t="inlineStr"/>
      <c r="M1522" s="163" t="n">
        <v>45711</v>
      </c>
      <c r="N1522" s="164" t="n">
        <v>40</v>
      </c>
      <c r="O1522" s="164" t="n">
        <v>8</v>
      </c>
      <c r="P1522" t="inlineStr">
        <is>
          <t>Liberado</t>
        </is>
      </c>
      <c r="Q1522" s="165" t="n">
        <v>1</v>
      </c>
      <c r="R1522" s="165" t="n">
        <v>1</v>
      </c>
      <c r="S1522" s="165" t="n">
        <v>1</v>
      </c>
      <c r="T1522" s="165" t="n">
        <v>0</v>
      </c>
      <c r="U1522" s="166" t="n">
        <v>1</v>
      </c>
      <c r="V1522" s="166" t="n">
        <v>0</v>
      </c>
      <c r="W1522" t="inlineStr">
        <is>
          <t>X</t>
        </is>
      </c>
      <c r="X1522" t="inlineStr">
        <is>
          <t>0.00</t>
        </is>
      </c>
      <c r="Y1522" t="inlineStr"/>
      <c r="Z1522" t="inlineStr">
        <is>
          <t>SUMINISTROS, FRESADOS Y GRABADOS</t>
        </is>
      </c>
      <c r="AA1522" t="inlineStr">
        <is>
          <t>GRABYSUR</t>
        </is>
      </c>
      <c r="AB1522" t="inlineStr">
        <is>
          <t>GR-SEQ40412</t>
        </is>
      </c>
      <c r="AC1522" t="inlineStr"/>
      <c r="AD1522" s="164" t="n">
        <v>1</v>
      </c>
      <c r="AE1522" s="185" t="n">
        <v>1</v>
      </c>
      <c r="AG1522" s="167" t="inlineStr">
        <is>
          <t>7218|JA2588_1001</t>
        </is>
      </c>
      <c r="AH1522" s="47">
        <f>IF(M1522=0,"-",M1522-J1522)</f>
        <v/>
      </c>
      <c r="AI1522" s="46">
        <f>IF(AND(S1522=0,M1522&gt;0,L1522=0),IF(AH1522&gt;=120,"VERY HIGH",IF(AH1522&gt;=90,"HIGH",IF(AH1522&gt;=60,"MEDIUM",IF(AH1522&lt;60,"LOW")))),"-")</f>
        <v/>
      </c>
      <c r="AJ1522" s="12" t="n"/>
      <c r="AK1522" s="53">
        <f>IF(AND(W1522="X",M1522&lt;=$AJ$2),"YES","")</f>
        <v/>
      </c>
      <c r="AL1522" s="54">
        <f>IF(AND(W1522="X",M1522&lt;=$AJ$2),S1522,"")</f>
        <v/>
      </c>
      <c r="AM1522" s="35" t="n"/>
      <c r="AN1522" s="35">
        <f>IF(AND(W1522="X",M1522&gt;$AJ$2),S1522,"")</f>
        <v/>
      </c>
      <c r="AO1522" s="35">
        <f>IF(AND(W1522="",M1522&gt;0,$AJ$2&gt;M1522,L1522=""),1,0)</f>
        <v/>
      </c>
      <c r="AP1522" s="35">
        <f>IF(AND(AK1522="YES",W1522="X"),"X","")</f>
        <v/>
      </c>
      <c r="AQ1522" s="55">
        <f>IF(AP1522="X",100%,0%)</f>
        <v/>
      </c>
      <c r="AR1522" s="25">
        <f>IF(AND(T1522&gt;0,L1522=""),H1522,"")</f>
        <v/>
      </c>
      <c r="AS1522" s="25">
        <f>IF(AND(D1522&gt;0,H1522=0,G1522=""),1,"")</f>
        <v/>
      </c>
      <c r="AT1522" s="25">
        <f>IF(G1522="BLOQ",1,"")</f>
        <v/>
      </c>
      <c r="AU1522" s="25">
        <f>IF(L1522="BLOQ",1,"")</f>
        <v/>
      </c>
      <c r="AV1522" s="25">
        <f>MONTH(F1522)</f>
        <v/>
      </c>
      <c r="AW1522" s="65">
        <f>IF(AP1522="",100%,0%)</f>
        <v/>
      </c>
      <c r="AX1522" s="56" t="n"/>
      <c r="AY1522" s="24">
        <f>IF(M1522=0,"",M1522-$AX$2)</f>
        <v/>
      </c>
      <c r="AZ1522" s="66">
        <f>IF(AND(W1522="",AY1522&gt;0,AY1522&lt;15),1,0)</f>
        <v/>
      </c>
      <c r="BA1522" s="24">
        <f>IF(AND(W1522="",AY1522&gt;0,AY1522&lt;15),T1522,"")</f>
        <v/>
      </c>
      <c r="BB1522" s="87">
        <f>IF(R1522&lt;Q1522,"X","")</f>
        <v/>
      </c>
      <c r="BC1522" s="191" t="inlineStr">
        <is>
          <t>SI</t>
        </is>
      </c>
      <c r="BD1522" s="191" t="inlineStr">
        <is>
          <t>SI</t>
        </is>
      </c>
    </row>
    <row r="1523" ht="15" customHeight="1" s="162">
      <c r="A1523" s="7" t="n">
        <v>1522</v>
      </c>
      <c r="B1523" t="inlineStr">
        <is>
          <t>1229598230401</t>
        </is>
      </c>
      <c r="C1523" t="inlineStr">
        <is>
          <t>CBL EQ HDMI 1.4-M/M HD PRO P/150 L=45.7M</t>
        </is>
      </c>
      <c r="D1523" t="inlineStr">
        <is>
          <t>1800114783</t>
        </is>
      </c>
      <c r="E1523" t="inlineStr">
        <is>
          <t>10</t>
        </is>
      </c>
      <c r="F1523" s="163" t="n">
        <v>45590</v>
      </c>
      <c r="G1523" t="inlineStr"/>
      <c r="H1523" t="inlineStr">
        <is>
          <t>4200585481</t>
        </is>
      </c>
      <c r="I1523" t="inlineStr">
        <is>
          <t>10</t>
        </is>
      </c>
      <c r="J1523" s="163" t="n">
        <v>45609</v>
      </c>
      <c r="K1523" s="163" t="n">
        <v>45609</v>
      </c>
      <c r="L1523" t="inlineStr"/>
      <c r="M1523" s="163" t="n">
        <v>45617</v>
      </c>
      <c r="N1523" s="164" t="n">
        <v>30</v>
      </c>
      <c r="O1523" s="164" t="n">
        <v>8</v>
      </c>
      <c r="P1523" t="inlineStr">
        <is>
          <t>Liberado</t>
        </is>
      </c>
      <c r="Q1523" s="165" t="n">
        <v>2</v>
      </c>
      <c r="R1523" s="165" t="n">
        <v>2</v>
      </c>
      <c r="S1523" s="165" t="n">
        <v>2</v>
      </c>
      <c r="T1523" s="165" t="n">
        <v>0</v>
      </c>
      <c r="U1523" s="166" t="n">
        <v>2</v>
      </c>
      <c r="V1523" s="166" t="n">
        <v>0</v>
      </c>
      <c r="W1523" t="inlineStr">
        <is>
          <t>X</t>
        </is>
      </c>
      <c r="X1523" t="inlineStr">
        <is>
          <t>0.00</t>
        </is>
      </c>
      <c r="Y1523" t="inlineStr"/>
      <c r="Z1523" t="inlineStr">
        <is>
          <t>PENTATEL COMUNICACIONES, S.L.</t>
        </is>
      </c>
      <c r="AA1523" t="inlineStr">
        <is>
          <t>EXTRON ELECTRONICS</t>
        </is>
      </c>
      <c r="AB1523" t="inlineStr">
        <is>
          <t>26-726-150</t>
        </is>
      </c>
      <c r="AC1523" t="inlineStr"/>
      <c r="AD1523" s="164" t="n">
        <v>1</v>
      </c>
      <c r="AE1523" s="185" t="n">
        <v>1</v>
      </c>
      <c r="AG1523" s="167" t="inlineStr">
        <is>
          <t>7218|JA2588_1001</t>
        </is>
      </c>
      <c r="AH1523" s="47">
        <f>IF(M1523=0,"-",M1523-J1523)</f>
        <v/>
      </c>
      <c r="AI1523" s="46">
        <f>IF(AND(S1523=0,M1523&gt;0,L1523=0),IF(AH1523&gt;=120,"VERY HIGH",IF(AH1523&gt;=90,"HIGH",IF(AH1523&gt;=60,"MEDIUM",IF(AH1523&lt;60,"LOW")))),"-")</f>
        <v/>
      </c>
      <c r="AJ1523" s="12" t="n"/>
      <c r="AK1523" s="53">
        <f>IF(AND(W1523="X",M1523&lt;=$AJ$2),"YES","")</f>
        <v/>
      </c>
      <c r="AL1523" s="54">
        <f>IF(AND(W1523="X",M1523&lt;=$AJ$2),S1523,"")</f>
        <v/>
      </c>
      <c r="AM1523" s="35" t="n"/>
      <c r="AN1523" s="35">
        <f>IF(AND(W1523="X",M1523&gt;$AJ$2),S1523,"")</f>
        <v/>
      </c>
      <c r="AO1523" s="35">
        <f>IF(AND(W1523="",M1523&gt;0,$AJ$2&gt;M1523,L1523=""),1,0)</f>
        <v/>
      </c>
      <c r="AP1523" s="35">
        <f>IF(AND(AK1523="YES",W1523="X"),"X","")</f>
        <v/>
      </c>
      <c r="AQ1523" s="55">
        <f>IF(AP1523="X",100%,0%)</f>
        <v/>
      </c>
      <c r="AR1523" s="25">
        <f>IF(AND(T1523&gt;0,L1523=""),H1523,"")</f>
        <v/>
      </c>
      <c r="AS1523" s="25">
        <f>IF(AND(D1523&gt;0,H1523=0,G1523=""),1,"")</f>
        <v/>
      </c>
      <c r="AT1523" s="25">
        <f>IF(G1523="BLOQ",1,"")</f>
        <v/>
      </c>
      <c r="AU1523" s="25">
        <f>IF(L1523="BLOQ",1,"")</f>
        <v/>
      </c>
      <c r="AV1523" s="25">
        <f>MONTH(F1523)</f>
        <v/>
      </c>
      <c r="AW1523" s="65">
        <f>IF(AP1523="",100%,0%)</f>
        <v/>
      </c>
      <c r="AX1523" s="56" t="n"/>
      <c r="AY1523" s="24">
        <f>IF(M1523=0,"",M1523-$AX$2)</f>
        <v/>
      </c>
      <c r="AZ1523" s="66">
        <f>IF(AND(W1523="",AY1523&gt;0,AY1523&lt;15),1,0)</f>
        <v/>
      </c>
      <c r="BA1523" s="24">
        <f>IF(AND(W1523="",AY1523&gt;0,AY1523&lt;15),T1523,"")</f>
        <v/>
      </c>
      <c r="BB1523" s="87">
        <f>IF(R1523&lt;Q1523,"X","")</f>
        <v/>
      </c>
      <c r="BC1523" s="190" t="inlineStr">
        <is>
          <t>NO</t>
        </is>
      </c>
      <c r="BD1523" s="191" t="inlineStr">
        <is>
          <t>SI</t>
        </is>
      </c>
    </row>
    <row r="1524" ht="15" customHeight="1" s="162">
      <c r="A1524" s="7" t="n">
        <v>1523</v>
      </c>
      <c r="B1524" t="inlineStr">
        <is>
          <t>1219000490700</t>
        </is>
      </c>
      <c r="C1524" t="inlineStr">
        <is>
          <t>CAJA PORTACONTACTOS 4H 1,57MM RECEP</t>
        </is>
      </c>
      <c r="D1524" t="inlineStr">
        <is>
          <t>1800115231</t>
        </is>
      </c>
      <c r="E1524" t="inlineStr">
        <is>
          <t>10</t>
        </is>
      </c>
      <c r="F1524" s="163" t="n">
        <v>45600</v>
      </c>
      <c r="G1524" t="inlineStr"/>
      <c r="H1524" t="inlineStr">
        <is>
          <t>4200588938</t>
        </is>
      </c>
      <c r="I1524" t="inlineStr">
        <is>
          <t>160</t>
        </is>
      </c>
      <c r="J1524" s="163" t="n">
        <v>45631</v>
      </c>
      <c r="K1524" s="163" t="n">
        <v>45636</v>
      </c>
      <c r="L1524" t="inlineStr"/>
      <c r="M1524" s="163" t="n">
        <v>45643</v>
      </c>
      <c r="N1524" s="164" t="n">
        <v>30</v>
      </c>
      <c r="O1524" s="164" t="n">
        <v>8</v>
      </c>
      <c r="P1524" t="inlineStr">
        <is>
          <t>Liberado</t>
        </is>
      </c>
      <c r="Q1524" s="165" t="n">
        <v>5</v>
      </c>
      <c r="R1524" s="165" t="n">
        <v>5</v>
      </c>
      <c r="S1524" s="165" t="n">
        <v>5</v>
      </c>
      <c r="T1524" s="165" t="n">
        <v>0</v>
      </c>
      <c r="U1524" s="166" t="n">
        <v>5</v>
      </c>
      <c r="V1524" s="166" t="n">
        <v>0</v>
      </c>
      <c r="W1524" t="inlineStr">
        <is>
          <t>X</t>
        </is>
      </c>
      <c r="X1524" t="inlineStr">
        <is>
          <t>0.00</t>
        </is>
      </c>
      <c r="Y1524" t="inlineStr"/>
      <c r="Z1524" t="inlineStr">
        <is>
          <t>TELKRON, S.A.</t>
        </is>
      </c>
      <c r="AA1524" t="inlineStr">
        <is>
          <t>MOLEX</t>
        </is>
      </c>
      <c r="AB1524" t="inlineStr">
        <is>
          <t>0050291758</t>
        </is>
      </c>
      <c r="AC1524" t="inlineStr"/>
      <c r="AD1524" s="164" t="n">
        <v>0</v>
      </c>
      <c r="AE1524" s="185" t="n">
        <v>0</v>
      </c>
      <c r="AG1524" s="167" t="inlineStr">
        <is>
          <t>7218|JA2582_1001</t>
        </is>
      </c>
      <c r="AH1524" s="47">
        <f>IF(M1524=0,"-",M1524-J1524)</f>
        <v/>
      </c>
      <c r="AI1524" s="46">
        <f>IF(AND(S1524=0,M1524&gt;0,L1524=0),IF(AH1524&gt;=120,"VERY HIGH",IF(AH1524&gt;=90,"HIGH",IF(AH1524&gt;=60,"MEDIUM",IF(AH1524&lt;60,"LOW")))),"-")</f>
        <v/>
      </c>
      <c r="AJ1524" s="12" t="n"/>
      <c r="AK1524" s="53">
        <f>IF(AND(W1524="X",M1524&lt;=$AJ$2),"YES","")</f>
        <v/>
      </c>
      <c r="AL1524" s="54">
        <f>IF(AND(W1524="X",M1524&lt;=$AJ$2),S1524,"")</f>
        <v/>
      </c>
      <c r="AM1524" s="35" t="n"/>
      <c r="AN1524" s="35">
        <f>IF(AND(W1524="X",M1524&gt;$AJ$2),S1524,"")</f>
        <v/>
      </c>
      <c r="AO1524" s="35">
        <f>IF(AND(W1524="",M1524&gt;0,$AJ$2&gt;M1524,L1524=""),1,0)</f>
        <v/>
      </c>
      <c r="AP1524" s="35">
        <f>IF(AND(AK1524="YES",W1524="X"),"X","")</f>
        <v/>
      </c>
      <c r="AQ1524" s="55">
        <f>IF(AP1524="X",100%,0%)</f>
        <v/>
      </c>
      <c r="AR1524" s="25">
        <f>IF(AND(T1524&gt;0,L1524=""),H1524,"")</f>
        <v/>
      </c>
      <c r="AS1524" s="25">
        <f>IF(AND(D1524&gt;0,H1524=0,G1524=""),1,"")</f>
        <v/>
      </c>
      <c r="AT1524" s="25">
        <f>IF(G1524="BLOQ",1,"")</f>
        <v/>
      </c>
      <c r="AU1524" s="25">
        <f>IF(L1524="BLOQ",1,"")</f>
        <v/>
      </c>
      <c r="AV1524" s="25">
        <f>MONTH(F1524)</f>
        <v/>
      </c>
      <c r="AW1524" s="65">
        <f>IF(AP1524="",100%,0%)</f>
        <v/>
      </c>
      <c r="AX1524" s="56" t="n"/>
      <c r="AY1524" s="24">
        <f>IF(M1524=0,"",M1524-$AX$2)</f>
        <v/>
      </c>
      <c r="AZ1524" s="66">
        <f>IF(AND(W1524="",AY1524&gt;0,AY1524&lt;15),1,0)</f>
        <v/>
      </c>
      <c r="BA1524" s="24">
        <f>IF(AND(W1524="",AY1524&gt;0,AY1524&lt;15),T1524,"")</f>
        <v/>
      </c>
      <c r="BB1524" s="87">
        <f>IF(R1524&lt;Q1524,"X","")</f>
        <v/>
      </c>
      <c r="BC1524" s="190" t="inlineStr">
        <is>
          <t>NO</t>
        </is>
      </c>
      <c r="BD1524" s="191" t="inlineStr">
        <is>
          <t>SI</t>
        </is>
      </c>
    </row>
    <row r="1525" ht="15" customHeight="1" s="162">
      <c r="A1525" s="7" t="n">
        <v>1524</v>
      </c>
      <c r="B1525" t="inlineStr">
        <is>
          <t>1237092052800</t>
        </is>
      </c>
      <c r="C1525" t="inlineStr">
        <is>
          <t>TAPA FINAL 2.2X39.6X68MM GRIS D-PTTB 2.5</t>
        </is>
      </c>
      <c r="D1525" t="inlineStr">
        <is>
          <t>1800115231</t>
        </is>
      </c>
      <c r="E1525" t="inlineStr">
        <is>
          <t>20</t>
        </is>
      </c>
      <c r="F1525" s="163" t="n">
        <v>45600</v>
      </c>
      <c r="G1525" t="inlineStr"/>
      <c r="H1525" t="inlineStr">
        <is>
          <t>4200585756</t>
        </is>
      </c>
      <c r="I1525" t="inlineStr">
        <is>
          <t>70</t>
        </is>
      </c>
      <c r="J1525" s="163" t="n">
        <v>45610</v>
      </c>
      <c r="K1525" s="163" t="n">
        <v>45615</v>
      </c>
      <c r="L1525" t="inlineStr"/>
      <c r="M1525" s="163" t="n">
        <v>45621</v>
      </c>
      <c r="N1525" s="164" t="n">
        <v>40</v>
      </c>
      <c r="O1525" s="164" t="n">
        <v>8</v>
      </c>
      <c r="P1525" t="inlineStr">
        <is>
          <t>Liberado</t>
        </is>
      </c>
      <c r="Q1525" s="165" t="n">
        <v>5</v>
      </c>
      <c r="R1525" s="165" t="n">
        <v>5</v>
      </c>
      <c r="S1525" s="165" t="n">
        <v>5</v>
      </c>
      <c r="T1525" s="165" t="n">
        <v>0</v>
      </c>
      <c r="U1525" s="166" t="n">
        <v>5</v>
      </c>
      <c r="V1525" s="166" t="n">
        <v>0</v>
      </c>
      <c r="W1525" t="inlineStr">
        <is>
          <t>X</t>
        </is>
      </c>
      <c r="X1525" t="inlineStr">
        <is>
          <t>0.00</t>
        </is>
      </c>
      <c r="Y1525" t="inlineStr"/>
      <c r="Z1525" t="inlineStr">
        <is>
          <t>LUJISA, S.A.</t>
        </is>
      </c>
      <c r="AA1525" t="inlineStr">
        <is>
          <t>PHOENIX CONTACT</t>
        </is>
      </c>
      <c r="AB1525" t="inlineStr">
        <is>
          <t>3211634</t>
        </is>
      </c>
      <c r="AC1525" t="inlineStr"/>
      <c r="AD1525" s="164" t="n">
        <v>0</v>
      </c>
      <c r="AE1525" s="185" t="n">
        <v>0</v>
      </c>
      <c r="AG1525" s="167" t="inlineStr">
        <is>
          <t>7218|JA2582_1001</t>
        </is>
      </c>
      <c r="AH1525" s="47">
        <f>IF(M1525=0,"-",M1525-J1525)</f>
        <v/>
      </c>
      <c r="AI1525" s="46">
        <f>IF(AND(S1525=0,M1525&gt;0,L1525=0),IF(AH1525&gt;=120,"VERY HIGH",IF(AH1525&gt;=90,"HIGH",IF(AH1525&gt;=60,"MEDIUM",IF(AH1525&lt;60,"LOW")))),"-")</f>
        <v/>
      </c>
      <c r="AJ1525" s="12" t="n"/>
      <c r="AK1525" s="53">
        <f>IF(AND(W1525="X",M1525&lt;=$AJ$2),"YES","")</f>
        <v/>
      </c>
      <c r="AL1525" s="54">
        <f>IF(AND(W1525="X",M1525&lt;=$AJ$2),S1525,"")</f>
        <v/>
      </c>
      <c r="AM1525" s="35" t="n"/>
      <c r="AN1525" s="35">
        <f>IF(AND(W1525="X",M1525&gt;$AJ$2),S1525,"")</f>
        <v/>
      </c>
      <c r="AO1525" s="35">
        <f>IF(AND(W1525="",M1525&gt;0,$AJ$2&gt;M1525,L1525=""),1,0)</f>
        <v/>
      </c>
      <c r="AP1525" s="35">
        <f>IF(AND(AK1525="YES",W1525="X"),"X","")</f>
        <v/>
      </c>
      <c r="AQ1525" s="55">
        <f>IF(AP1525="X",100%,0%)</f>
        <v/>
      </c>
      <c r="AR1525" s="25">
        <f>IF(AND(T1525&gt;0,L1525=""),H1525,"")</f>
        <v/>
      </c>
      <c r="AS1525" s="25">
        <f>IF(AND(D1525&gt;0,H1525=0,G1525=""),1,"")</f>
        <v/>
      </c>
      <c r="AT1525" s="25">
        <f>IF(G1525="BLOQ",1,"")</f>
        <v/>
      </c>
      <c r="AU1525" s="25">
        <f>IF(L1525="BLOQ",1,"")</f>
        <v/>
      </c>
      <c r="AV1525" s="25">
        <f>MONTH(F1525)</f>
        <v/>
      </c>
      <c r="AW1525" s="65">
        <f>IF(AP1525="",100%,0%)</f>
        <v/>
      </c>
      <c r="AX1525" s="56" t="n"/>
      <c r="AY1525" s="24">
        <f>IF(M1525=0,"",M1525-$AX$2)</f>
        <v/>
      </c>
      <c r="AZ1525" s="66">
        <f>IF(AND(W1525="",AY1525&gt;0,AY1525&lt;15),1,0)</f>
        <v/>
      </c>
      <c r="BA1525" s="24">
        <f>IF(AND(W1525="",AY1525&gt;0,AY1525&lt;15),T1525,"")</f>
        <v/>
      </c>
      <c r="BB1525" s="87">
        <f>IF(R1525&lt;Q1525,"X","")</f>
        <v/>
      </c>
      <c r="BC1525" s="190" t="inlineStr">
        <is>
          <t>NO</t>
        </is>
      </c>
      <c r="BD1525" s="191" t="inlineStr">
        <is>
          <t>SI</t>
        </is>
      </c>
    </row>
    <row r="1526" ht="15" customHeight="1" s="162">
      <c r="A1526" s="7" t="n">
        <v>1525</v>
      </c>
      <c r="B1526" t="inlineStr">
        <is>
          <t>1237093219000</t>
        </is>
      </c>
      <c r="C1526" t="inlineStr">
        <is>
          <t>TAPA FINAL 48.6X2.2X29.1MM PA GRS DST2,5</t>
        </is>
      </c>
      <c r="D1526" t="inlineStr">
        <is>
          <t>1800115231</t>
        </is>
      </c>
      <c r="E1526" t="inlineStr">
        <is>
          <t>30</t>
        </is>
      </c>
      <c r="F1526" s="163" t="n">
        <v>45600</v>
      </c>
      <c r="G1526" t="inlineStr"/>
      <c r="H1526" t="inlineStr">
        <is>
          <t>4200585736</t>
        </is>
      </c>
      <c r="I1526" t="inlineStr">
        <is>
          <t>80</t>
        </is>
      </c>
      <c r="J1526" s="163" t="n">
        <v>45610</v>
      </c>
      <c r="K1526" s="163" t="n">
        <v>45610</v>
      </c>
      <c r="L1526" t="inlineStr"/>
      <c r="M1526" s="163" t="n">
        <v>45621</v>
      </c>
      <c r="N1526" s="164" t="n">
        <v>40</v>
      </c>
      <c r="O1526" s="164" t="n">
        <v>8</v>
      </c>
      <c r="P1526" t="inlineStr">
        <is>
          <t>Liberado</t>
        </is>
      </c>
      <c r="Q1526" s="165" t="n">
        <v>5</v>
      </c>
      <c r="R1526" s="165" t="n">
        <v>5</v>
      </c>
      <c r="S1526" s="165" t="n">
        <v>5</v>
      </c>
      <c r="T1526" s="165" t="n">
        <v>0</v>
      </c>
      <c r="U1526" s="166" t="n">
        <v>5</v>
      </c>
      <c r="V1526" s="166" t="n">
        <v>0</v>
      </c>
      <c r="W1526" t="inlineStr">
        <is>
          <t>X</t>
        </is>
      </c>
      <c r="X1526" t="inlineStr">
        <is>
          <t>0.00</t>
        </is>
      </c>
      <c r="Y1526" t="inlineStr"/>
      <c r="Z1526" t="inlineStr">
        <is>
          <t>MOUSER ELECTRONICS, INC.</t>
        </is>
      </c>
      <c r="AA1526" t="inlineStr">
        <is>
          <t>PHOENIX CONTACT</t>
        </is>
      </c>
      <c r="AB1526" t="inlineStr">
        <is>
          <t>3030417</t>
        </is>
      </c>
      <c r="AC1526" t="inlineStr"/>
      <c r="AD1526" s="164" t="n">
        <v>0</v>
      </c>
      <c r="AE1526" s="185" t="n">
        <v>0</v>
      </c>
      <c r="AG1526" s="167" t="inlineStr">
        <is>
          <t>7218|JA2582_1001</t>
        </is>
      </c>
      <c r="AH1526" s="47">
        <f>IF(M1526=0,"-",M1526-J1526)</f>
        <v/>
      </c>
      <c r="AI1526" s="46">
        <f>IF(AND(S1526=0,M1526&gt;0,L1526=0),IF(AH1526&gt;=120,"VERY HIGH",IF(AH1526&gt;=90,"HIGH",IF(AH1526&gt;=60,"MEDIUM",IF(AH1526&lt;60,"LOW")))),"-")</f>
        <v/>
      </c>
      <c r="AJ1526" s="12" t="n"/>
      <c r="AK1526" s="53">
        <f>IF(AND(W1526="X",M1526&lt;=$AJ$2),"YES","")</f>
        <v/>
      </c>
      <c r="AL1526" s="54">
        <f>IF(AND(W1526="X",M1526&lt;=$AJ$2),S1526,"")</f>
        <v/>
      </c>
      <c r="AM1526" s="35" t="n"/>
      <c r="AN1526" s="35">
        <f>IF(AND(W1526="X",M1526&gt;$AJ$2),S1526,"")</f>
        <v/>
      </c>
      <c r="AO1526" s="35">
        <f>IF(AND(W1526="",M1526&gt;0,$AJ$2&gt;M1526,L1526=""),1,0)</f>
        <v/>
      </c>
      <c r="AP1526" s="35">
        <f>IF(AND(AK1526="YES",W1526="X"),"X","")</f>
        <v/>
      </c>
      <c r="AQ1526" s="55">
        <f>IF(AP1526="X",100%,0%)</f>
        <v/>
      </c>
      <c r="AR1526" s="25">
        <f>IF(AND(T1526&gt;0,L1526=""),H1526,"")</f>
        <v/>
      </c>
      <c r="AS1526" s="25">
        <f>IF(AND(D1526&gt;0,H1526=0,G1526=""),1,"")</f>
        <v/>
      </c>
      <c r="AT1526" s="25">
        <f>IF(G1526="BLOQ",1,"")</f>
        <v/>
      </c>
      <c r="AU1526" s="25">
        <f>IF(L1526="BLOQ",1,"")</f>
        <v/>
      </c>
      <c r="AV1526" s="25">
        <f>MONTH(F1526)</f>
        <v/>
      </c>
      <c r="AW1526" s="65">
        <f>IF(AP1526="",100%,0%)</f>
        <v/>
      </c>
      <c r="AX1526" s="56" t="n"/>
      <c r="AY1526" s="24">
        <f>IF(M1526=0,"",M1526-$AX$2)</f>
        <v/>
      </c>
      <c r="AZ1526" s="66">
        <f>IF(AND(W1526="",AY1526&gt;0,AY1526&lt;15),1,0)</f>
        <v/>
      </c>
      <c r="BA1526" s="24">
        <f>IF(AND(W1526="",AY1526&gt;0,AY1526&lt;15),T1526,"")</f>
        <v/>
      </c>
      <c r="BB1526" s="87">
        <f>IF(R1526&lt;Q1526,"X","")</f>
        <v/>
      </c>
      <c r="BC1526" s="190" t="inlineStr">
        <is>
          <t>NO</t>
        </is>
      </c>
      <c r="BD1526" s="191" t="inlineStr">
        <is>
          <t>SI</t>
        </is>
      </c>
    </row>
    <row r="1527" ht="15" customHeight="1" s="162">
      <c r="A1527" s="7" t="n">
        <v>1526</v>
      </c>
      <c r="B1527" t="inlineStr">
        <is>
          <t>7854619050100</t>
        </is>
      </c>
      <c r="C1527" t="inlineStr">
        <is>
          <t>CORREA MUÑECA TIERRA ESD BANANA/M 1.8M</t>
        </is>
      </c>
      <c r="D1527" t="inlineStr">
        <is>
          <t>1800115232</t>
        </is>
      </c>
      <c r="E1527" t="inlineStr">
        <is>
          <t>10</t>
        </is>
      </c>
      <c r="F1527" s="163" t="n">
        <v>45600</v>
      </c>
      <c r="G1527" t="inlineStr"/>
      <c r="H1527" t="inlineStr">
        <is>
          <t>4200585517</t>
        </is>
      </c>
      <c r="I1527" t="inlineStr">
        <is>
          <t>10</t>
        </is>
      </c>
      <c r="J1527" s="163" t="n">
        <v>45609</v>
      </c>
      <c r="K1527" s="163" t="n">
        <v>45610</v>
      </c>
      <c r="L1527" t="inlineStr"/>
      <c r="M1527" s="163" t="n">
        <v>45606</v>
      </c>
      <c r="N1527" s="164" t="n">
        <v>40</v>
      </c>
      <c r="O1527" s="164" t="n">
        <v>8</v>
      </c>
      <c r="P1527" t="inlineStr">
        <is>
          <t>Liberado</t>
        </is>
      </c>
      <c r="Q1527" s="165" t="n">
        <v>2</v>
      </c>
      <c r="R1527" s="165" t="n">
        <v>2</v>
      </c>
      <c r="S1527" s="165" t="n">
        <v>2</v>
      </c>
      <c r="T1527" s="165" t="n">
        <v>0</v>
      </c>
      <c r="U1527" s="166" t="n">
        <v>0</v>
      </c>
      <c r="V1527" s="166" t="n">
        <v>0</v>
      </c>
      <c r="W1527" t="inlineStr">
        <is>
          <t>X</t>
        </is>
      </c>
      <c r="X1527" t="inlineStr">
        <is>
          <t>0.00</t>
        </is>
      </c>
      <c r="Y1527" t="inlineStr"/>
      <c r="Z1527" t="inlineStr">
        <is>
          <t>ABACO SUYTEC, S.A.U.</t>
        </is>
      </c>
      <c r="AA1527" t="inlineStr">
        <is>
          <t>STARTECH.COM LTD</t>
        </is>
      </c>
      <c r="AB1527" t="inlineStr">
        <is>
          <t>SWS100</t>
        </is>
      </c>
      <c r="AC1527" t="inlineStr"/>
      <c r="AD1527" s="164" t="n">
        <v>0</v>
      </c>
      <c r="AE1527" s="185" t="n">
        <v>0</v>
      </c>
      <c r="AG1527" s="167" t="inlineStr">
        <is>
          <t>7218|JA2585_1001</t>
        </is>
      </c>
      <c r="AH1527" s="47">
        <f>IF(M1527=0,"-",M1527-J1527)</f>
        <v/>
      </c>
      <c r="AI1527" s="46">
        <f>IF(AND(S1527=0,M1527&gt;0,L1527=0),IF(AH1527&gt;=120,"VERY HIGH",IF(AH1527&gt;=90,"HIGH",IF(AH1527&gt;=60,"MEDIUM",IF(AH1527&lt;60,"LOW")))),"-")</f>
        <v/>
      </c>
      <c r="AJ1527" s="12" t="n"/>
      <c r="AK1527" s="53">
        <f>IF(AND(W1527="X",M1527&lt;=$AJ$2),"YES","")</f>
        <v/>
      </c>
      <c r="AL1527" s="54">
        <f>IF(AND(W1527="X",M1527&lt;=$AJ$2),S1527,"")</f>
        <v/>
      </c>
      <c r="AM1527" s="35" t="n"/>
      <c r="AN1527" s="35">
        <f>IF(AND(W1527="X",M1527&gt;$AJ$2),S1527,"")</f>
        <v/>
      </c>
      <c r="AO1527" s="35">
        <f>IF(AND(W1527="",M1527&gt;0,$AJ$2&gt;M1527,L1527=""),1,0)</f>
        <v/>
      </c>
      <c r="AP1527" s="35">
        <f>IF(AND(AK1527="YES",W1527="X"),"X","")</f>
        <v/>
      </c>
      <c r="AQ1527" s="55">
        <f>IF(AP1527="X",100%,0%)</f>
        <v/>
      </c>
      <c r="AR1527" s="25">
        <f>IF(AND(T1527&gt;0,L1527=""),H1527,"")</f>
        <v/>
      </c>
      <c r="AS1527" s="25">
        <f>IF(AND(D1527&gt;0,H1527=0,G1527=""),1,"")</f>
        <v/>
      </c>
      <c r="AT1527" s="25">
        <f>IF(G1527="BLOQ",1,"")</f>
        <v/>
      </c>
      <c r="AU1527" s="25">
        <f>IF(L1527="BLOQ",1,"")</f>
        <v/>
      </c>
      <c r="AV1527" s="25">
        <f>MONTH(F1527)</f>
        <v/>
      </c>
      <c r="AW1527" s="65">
        <f>IF(AP1527="",100%,0%)</f>
        <v/>
      </c>
      <c r="AX1527" s="56" t="n"/>
      <c r="AY1527" s="24">
        <f>IF(M1527=0,"",M1527-$AX$2)</f>
        <v/>
      </c>
      <c r="AZ1527" s="66">
        <f>IF(AND(W1527="",AY1527&gt;0,AY1527&lt;15),1,0)</f>
        <v/>
      </c>
      <c r="BA1527" s="24">
        <f>IF(AND(W1527="",AY1527&gt;0,AY1527&lt;15),T1527,"")</f>
        <v/>
      </c>
      <c r="BB1527" s="87">
        <f>IF(R1527&lt;Q1527,"X","")</f>
        <v/>
      </c>
      <c r="BC1527" s="191" t="inlineStr">
        <is>
          <t>SI</t>
        </is>
      </c>
      <c r="BD1527" s="191" t="inlineStr">
        <is>
          <t>SI</t>
        </is>
      </c>
    </row>
    <row r="1528" ht="15" customHeight="1" s="162">
      <c r="A1528" s="7" t="n">
        <v>1527</v>
      </c>
      <c r="B1528" t="inlineStr">
        <is>
          <t>0915477020000</t>
        </is>
      </c>
      <c r="C1528" t="inlineStr">
        <is>
          <t>PCB-400 HZ AC DIMMER BOARD</t>
        </is>
      </c>
      <c r="D1528" t="inlineStr">
        <is>
          <t>1800115413</t>
        </is>
      </c>
      <c r="E1528" t="inlineStr">
        <is>
          <t>10</t>
        </is>
      </c>
      <c r="F1528" s="163" t="n">
        <v>45603</v>
      </c>
      <c r="G1528" t="inlineStr"/>
      <c r="H1528" t="inlineStr">
        <is>
          <t>4200584859</t>
        </is>
      </c>
      <c r="I1528" t="inlineStr">
        <is>
          <t>10</t>
        </is>
      </c>
      <c r="J1528" s="163" t="n">
        <v>45604</v>
      </c>
      <c r="K1528" s="163" t="n">
        <v>45604</v>
      </c>
      <c r="L1528" t="inlineStr"/>
      <c r="M1528" s="163" t="n">
        <v>45635</v>
      </c>
      <c r="N1528" s="164" t="n">
        <v>50</v>
      </c>
      <c r="O1528" s="164" t="n">
        <v>8</v>
      </c>
      <c r="P1528" t="inlineStr">
        <is>
          <t>Liberado</t>
        </is>
      </c>
      <c r="Q1528" s="165" t="n">
        <v>6</v>
      </c>
      <c r="R1528" s="165" t="n">
        <v>6</v>
      </c>
      <c r="S1528" s="165" t="n">
        <v>6</v>
      </c>
      <c r="T1528" s="165" t="n">
        <v>0</v>
      </c>
      <c r="U1528" s="166" t="n">
        <v>6</v>
      </c>
      <c r="V1528" s="166" t="n">
        <v>0</v>
      </c>
      <c r="W1528" t="inlineStr">
        <is>
          <t>X</t>
        </is>
      </c>
      <c r="X1528" t="inlineStr">
        <is>
          <t>0.00</t>
        </is>
      </c>
      <c r="Y1528" t="inlineStr"/>
      <c r="Z1528" t="inlineStr">
        <is>
          <t>LAB CIRCUITS SA</t>
        </is>
      </c>
      <c r="AA1528" t="inlineStr">
        <is>
          <t>INDRA SISTEMAS S.A.</t>
        </is>
      </c>
      <c r="AB1528" t="inlineStr">
        <is>
          <t>0915477020000</t>
        </is>
      </c>
      <c r="AC1528" t="inlineStr"/>
      <c r="AD1528" s="164" t="n">
        <v>0</v>
      </c>
      <c r="AE1528" s="185" t="n">
        <v>0</v>
      </c>
      <c r="AG1528" s="167" t="inlineStr">
        <is>
          <t>7218|JA2586_1001</t>
        </is>
      </c>
      <c r="AH1528" s="47">
        <f>IF(M1528=0,"-",M1528-J1528)</f>
        <v/>
      </c>
      <c r="AI1528" s="46">
        <f>IF(AND(S1528=0,M1528&gt;0,L1528=0),IF(AH1528&gt;=120,"VERY HIGH",IF(AH1528&gt;=90,"HIGH",IF(AH1528&gt;=60,"MEDIUM",IF(AH1528&lt;60,"LOW")))),"-")</f>
        <v/>
      </c>
      <c r="AJ1528" s="12" t="n"/>
      <c r="AK1528" s="53">
        <f>IF(AND(W1528="X",M1528&lt;=$AJ$2),"YES","")</f>
        <v/>
      </c>
      <c r="AL1528" s="54">
        <f>IF(AND(W1528="X",M1528&lt;=$AJ$2),S1528,"")</f>
        <v/>
      </c>
      <c r="AM1528" s="35" t="n"/>
      <c r="AN1528" s="35">
        <f>IF(AND(W1528="X",M1528&gt;$AJ$2),S1528,"")</f>
        <v/>
      </c>
      <c r="AO1528" s="35">
        <f>IF(AND(W1528="",M1528&gt;0,$AJ$2&gt;M1528,L1528=""),1,0)</f>
        <v/>
      </c>
      <c r="AP1528" s="35">
        <f>IF(AND(AK1528="YES",W1528="X"),"X","")</f>
        <v/>
      </c>
      <c r="AQ1528" s="55">
        <f>IF(AP1528="X",100%,0%)</f>
        <v/>
      </c>
      <c r="AR1528" s="25">
        <f>IF(AND(T1528&gt;0,L1528=""),H1528,"")</f>
        <v/>
      </c>
      <c r="AS1528" s="25">
        <f>IF(AND(D1528&gt;0,H1528=0,G1528=""),1,"")</f>
        <v/>
      </c>
      <c r="AT1528" s="25">
        <f>IF(G1528="BLOQ",1,"")</f>
        <v/>
      </c>
      <c r="AU1528" s="25">
        <f>IF(L1528="BLOQ",1,"")</f>
        <v/>
      </c>
      <c r="AV1528" s="25">
        <f>MONTH(F1528)</f>
        <v/>
      </c>
      <c r="AW1528" s="65">
        <f>IF(AP1528="",100%,0%)</f>
        <v/>
      </c>
      <c r="AX1528" s="56" t="n"/>
      <c r="AY1528" s="24">
        <f>IF(M1528=0,"",M1528-$AX$2)</f>
        <v/>
      </c>
      <c r="AZ1528" s="66">
        <f>IF(AND(W1528="",AY1528&gt;0,AY1528&lt;15),1,0)</f>
        <v/>
      </c>
      <c r="BA1528" s="24">
        <f>IF(AND(W1528="",AY1528&gt;0,AY1528&lt;15),T1528,"")</f>
        <v/>
      </c>
      <c r="BB1528" s="87">
        <f>IF(R1528&lt;Q1528,"X","")</f>
        <v/>
      </c>
      <c r="BC1528" s="190" t="inlineStr">
        <is>
          <t>NO</t>
        </is>
      </c>
      <c r="BD1528" s="190" t="inlineStr">
        <is>
          <t>NO</t>
        </is>
      </c>
    </row>
    <row r="1529" ht="15" customHeight="1" s="162">
      <c r="A1529" s="7" t="n">
        <v>1528</v>
      </c>
      <c r="B1529" t="inlineStr">
        <is>
          <t>0973585290100</t>
        </is>
      </c>
      <c r="C1529" t="inlineStr">
        <is>
          <t>SOPORTE ESPEJO</t>
        </is>
      </c>
      <c r="D1529" t="inlineStr">
        <is>
          <t>1800115609</t>
        </is>
      </c>
      <c r="E1529" t="inlineStr">
        <is>
          <t>10</t>
        </is>
      </c>
      <c r="F1529" s="163" t="n">
        <v>45609</v>
      </c>
      <c r="G1529" t="inlineStr"/>
      <c r="H1529" t="inlineStr">
        <is>
          <t>4600004162</t>
        </is>
      </c>
      <c r="I1529" t="inlineStr">
        <is>
          <t>80</t>
        </is>
      </c>
      <c r="J1529" s="163" t="n">
        <v>45615</v>
      </c>
      <c r="K1529" s="163" t="n">
        <v>45616</v>
      </c>
      <c r="L1529" t="inlineStr"/>
      <c r="M1529" s="163" t="n">
        <v>46006</v>
      </c>
      <c r="N1529" s="164" t="n">
        <v>40</v>
      </c>
      <c r="O1529" s="164" t="n">
        <v>8</v>
      </c>
      <c r="P1529" t="inlineStr">
        <is>
          <t>Liberado</t>
        </is>
      </c>
      <c r="Q1529" s="165" t="n">
        <v>1</v>
      </c>
      <c r="R1529" s="165" t="n">
        <v>1</v>
      </c>
      <c r="S1529" s="165" t="n">
        <v>1</v>
      </c>
      <c r="T1529" s="165" t="n">
        <v>0</v>
      </c>
      <c r="U1529" s="166" t="n">
        <v>1</v>
      </c>
      <c r="V1529" s="166" t="n">
        <v>0</v>
      </c>
      <c r="W1529" t="inlineStr">
        <is>
          <t>X</t>
        </is>
      </c>
      <c r="X1529" t="inlineStr">
        <is>
          <t>0.00</t>
        </is>
      </c>
      <c r="Y1529" t="inlineStr"/>
      <c r="Z1529" t="inlineStr">
        <is>
          <t>TALLERES XUQUER, SL</t>
        </is>
      </c>
      <c r="AA1529" t="inlineStr">
        <is>
          <t>INDRA SISTEMAS S.A.</t>
        </is>
      </c>
      <c r="AB1529" t="inlineStr">
        <is>
          <t>0973585290100</t>
        </is>
      </c>
      <c r="AC1529" t="inlineStr"/>
      <c r="AD1529" s="164" t="n">
        <v>0</v>
      </c>
      <c r="AE1529" s="185" t="n">
        <v>0</v>
      </c>
      <c r="AG1529" s="167" t="inlineStr">
        <is>
          <t>7218|JA2578_1001</t>
        </is>
      </c>
      <c r="AH1529" s="47">
        <f>IF(M1529=0,"-",M1529-J1529)</f>
        <v/>
      </c>
      <c r="AI1529" s="46">
        <f>IF(AND(S1529=0,M1529&gt;0,L1529=0),IF(AH1529&gt;=120,"VERY HIGH",IF(AH1529&gt;=90,"HIGH",IF(AH1529&gt;=60,"MEDIUM",IF(AH1529&lt;60,"LOW")))),"-")</f>
        <v/>
      </c>
      <c r="AJ1529" s="12" t="n"/>
      <c r="AK1529" s="53">
        <f>IF(AND(W1529="X",M1529&lt;=$AJ$2),"YES","")</f>
        <v/>
      </c>
      <c r="AL1529" s="54">
        <f>IF(AND(W1529="X",M1529&lt;=$AJ$2),S1529,"")</f>
        <v/>
      </c>
      <c r="AM1529" s="35" t="n"/>
      <c r="AN1529" s="35">
        <f>IF(AND(W1529="X",M1529&gt;$AJ$2),S1529,"")</f>
        <v/>
      </c>
      <c r="AO1529" s="35">
        <f>IF(AND(W1529="",M1529&gt;0,$AJ$2&gt;M1529,L1529=""),1,0)</f>
        <v/>
      </c>
      <c r="AP1529" s="35">
        <f>IF(AND(AK1529="YES",W1529="X"),"X","")</f>
        <v/>
      </c>
      <c r="AQ1529" s="55">
        <f>IF(AP1529="X",100%,0%)</f>
        <v/>
      </c>
      <c r="AR1529" s="25">
        <f>IF(AND(T1529&gt;0,L1529=""),H1529,"")</f>
        <v/>
      </c>
      <c r="AS1529" s="25">
        <f>IF(AND(D1529&gt;0,H1529=0,G1529=""),1,"")</f>
        <v/>
      </c>
      <c r="AT1529" s="25">
        <f>IF(G1529="BLOQ",1,"")</f>
        <v/>
      </c>
      <c r="AU1529" s="25">
        <f>IF(L1529="BLOQ",1,"")</f>
        <v/>
      </c>
      <c r="AV1529" s="25">
        <f>MONTH(F1529)</f>
        <v/>
      </c>
      <c r="AW1529" s="65">
        <f>IF(AP1529="",100%,0%)</f>
        <v/>
      </c>
      <c r="AX1529" s="56" t="n"/>
      <c r="AY1529" s="24">
        <f>IF(M1529=0,"",M1529-$AX$2)</f>
        <v/>
      </c>
      <c r="AZ1529" s="66">
        <f>IF(AND(W1529="",AY1529&gt;0,AY1529&lt;15),1,0)</f>
        <v/>
      </c>
      <c r="BA1529" s="24">
        <f>IF(AND(W1529="",AY1529&gt;0,AY1529&lt;15),T1529,"")</f>
        <v/>
      </c>
      <c r="BB1529" s="87">
        <f>IF(R1529&lt;Q1529,"X","")</f>
        <v/>
      </c>
      <c r="BC1529" s="190" t="inlineStr">
        <is>
          <t>NO</t>
        </is>
      </c>
      <c r="BD1529" s="191" t="inlineStr">
        <is>
          <t>SI</t>
        </is>
      </c>
    </row>
    <row r="1530" ht="15" customHeight="1" s="162">
      <c r="A1530" s="7" t="n">
        <v>1529</v>
      </c>
      <c r="B1530" t="inlineStr">
        <is>
          <t>1204894000006</t>
        </is>
      </c>
      <c r="C1530" t="inlineStr">
        <is>
          <t>ACC P/CNC BACKSHELL SR R/A NIC SIZE 19</t>
        </is>
      </c>
      <c r="D1530" t="inlineStr">
        <is>
          <t>1800115630</t>
        </is>
      </c>
      <c r="E1530" t="inlineStr">
        <is>
          <t>10</t>
        </is>
      </c>
      <c r="F1530" s="163" t="n">
        <v>45609</v>
      </c>
      <c r="G1530" t="inlineStr"/>
      <c r="H1530" t="inlineStr">
        <is>
          <t>4200590263</t>
        </is>
      </c>
      <c r="I1530" t="inlineStr">
        <is>
          <t>130</t>
        </is>
      </c>
      <c r="J1530" s="163" t="n">
        <v>45642</v>
      </c>
      <c r="K1530" s="163" t="n">
        <v>45644</v>
      </c>
      <c r="L1530" t="inlineStr"/>
      <c r="M1530" s="163" t="n">
        <v>45702</v>
      </c>
      <c r="N1530" s="164" t="n">
        <v>40</v>
      </c>
      <c r="O1530" s="164" t="n">
        <v>8</v>
      </c>
      <c r="P1530" t="inlineStr">
        <is>
          <t>Liberado</t>
        </is>
      </c>
      <c r="Q1530" s="165" t="n">
        <v>2</v>
      </c>
      <c r="R1530" s="165" t="n">
        <v>2</v>
      </c>
      <c r="S1530" s="165" t="n">
        <v>2</v>
      </c>
      <c r="T1530" s="165" t="n">
        <v>0</v>
      </c>
      <c r="U1530" s="166" t="n">
        <v>2</v>
      </c>
      <c r="V1530" s="166" t="n">
        <v>0</v>
      </c>
      <c r="W1530" t="inlineStr">
        <is>
          <t>X</t>
        </is>
      </c>
      <c r="X1530" t="inlineStr">
        <is>
          <t>0.00</t>
        </is>
      </c>
      <c r="Y1530" t="inlineStr"/>
      <c r="Z1530" t="inlineStr">
        <is>
          <t>CONECTORES Y CABLES VAHER, S.A.</t>
        </is>
      </c>
      <c r="AA1530" t="inlineStr">
        <is>
          <t>AMPHENOL CORP</t>
        </is>
      </c>
      <c r="AB1530" t="inlineStr">
        <is>
          <t>M85049/39-19N</t>
        </is>
      </c>
      <c r="AC1530" t="inlineStr"/>
      <c r="AD1530" s="164" t="n">
        <v>2</v>
      </c>
      <c r="AE1530" s="185" t="n">
        <v>1</v>
      </c>
      <c r="AG1530" s="167" t="inlineStr">
        <is>
          <t>7218|JA2582_1001</t>
        </is>
      </c>
      <c r="AH1530" s="47">
        <f>IF(M1530=0,"-",M1530-J1530)</f>
        <v/>
      </c>
      <c r="AI1530" s="46">
        <f>IF(AND(S1530=0,M1530&gt;0,L1530=0),IF(AH1530&gt;=120,"VERY HIGH",IF(AH1530&gt;=90,"HIGH",IF(AH1530&gt;=60,"MEDIUM",IF(AH1530&lt;60,"LOW")))),"-")</f>
        <v/>
      </c>
      <c r="AJ1530" s="12" t="n"/>
      <c r="AK1530" s="53">
        <f>IF(AND(W1530="X",M1530&lt;=$AJ$2),"YES","")</f>
        <v/>
      </c>
      <c r="AL1530" s="54">
        <f>IF(AND(W1530="X",M1530&lt;=$AJ$2),S1530,"")</f>
        <v/>
      </c>
      <c r="AM1530" s="35" t="n"/>
      <c r="AN1530" s="35">
        <f>IF(AND(W1530="X",M1530&gt;$AJ$2),S1530,"")</f>
        <v/>
      </c>
      <c r="AO1530" s="35">
        <f>IF(AND(W1530="",M1530&gt;0,$AJ$2&gt;M1530,L1530=""),1,0)</f>
        <v/>
      </c>
      <c r="AP1530" s="35">
        <f>IF(AND(AK1530="YES",W1530="X"),"X","")</f>
        <v/>
      </c>
      <c r="AQ1530" s="55">
        <f>IF(AP1530="X",100%,0%)</f>
        <v/>
      </c>
      <c r="AR1530" s="25">
        <f>IF(AND(T1530&gt;0,L1530=""),H1530,"")</f>
        <v/>
      </c>
      <c r="AS1530" s="25">
        <f>IF(AND(D1530&gt;0,H1530=0,G1530=""),1,"")</f>
        <v/>
      </c>
      <c r="AT1530" s="25">
        <f>IF(G1530="BLOQ",1,"")</f>
        <v/>
      </c>
      <c r="AU1530" s="25">
        <f>IF(L1530="BLOQ",1,"")</f>
        <v/>
      </c>
      <c r="AV1530" s="25">
        <f>MONTH(F1530)</f>
        <v/>
      </c>
      <c r="AW1530" s="65">
        <f>IF(AP1530="",100%,0%)</f>
        <v/>
      </c>
      <c r="AX1530" s="56" t="n"/>
      <c r="AY1530" s="24">
        <f>IF(M1530=0,"",M1530-$AX$2)</f>
        <v/>
      </c>
      <c r="AZ1530" s="66">
        <f>IF(AND(W1530="",AY1530&gt;0,AY1530&lt;15),1,0)</f>
        <v/>
      </c>
      <c r="BA1530" s="24">
        <f>IF(AND(W1530="",AY1530&gt;0,AY1530&lt;15),T1530,"")</f>
        <v/>
      </c>
      <c r="BB1530" s="87">
        <f>IF(R1530&lt;Q1530,"X","")</f>
        <v/>
      </c>
      <c r="BC1530" s="190" t="inlineStr">
        <is>
          <t>NO</t>
        </is>
      </c>
      <c r="BD1530" s="191" t="inlineStr">
        <is>
          <t>SI</t>
        </is>
      </c>
    </row>
    <row r="1531" ht="15" customHeight="1" s="162">
      <c r="A1531" s="7" t="n">
        <v>1530</v>
      </c>
      <c r="B1531" t="inlineStr">
        <is>
          <t>1219090250000</t>
        </is>
      </c>
      <c r="C1531" t="inlineStr">
        <is>
          <t>ACC CONTACTO H AWG18-24 D=1,57MM SERIE 1</t>
        </is>
      </c>
      <c r="D1531" t="inlineStr">
        <is>
          <t>1800115630</t>
        </is>
      </c>
      <c r="E1531" t="inlineStr">
        <is>
          <t>20</t>
        </is>
      </c>
      <c r="F1531" s="163" t="n">
        <v>45609</v>
      </c>
      <c r="G1531" t="inlineStr"/>
      <c r="H1531" t="inlineStr">
        <is>
          <t>4200594482</t>
        </is>
      </c>
      <c r="I1531" t="inlineStr">
        <is>
          <t>20</t>
        </is>
      </c>
      <c r="J1531" s="163" t="n">
        <v>45681</v>
      </c>
      <c r="K1531" s="163" t="n">
        <v>45681</v>
      </c>
      <c r="L1531" t="inlineStr"/>
      <c r="M1531" s="163" t="n">
        <v>45692</v>
      </c>
      <c r="N1531" s="164" t="n">
        <v>30</v>
      </c>
      <c r="O1531" s="164" t="n">
        <v>8</v>
      </c>
      <c r="P1531" t="inlineStr">
        <is>
          <t>Liberado</t>
        </is>
      </c>
      <c r="Q1531" s="166" t="n">
        <v>10</v>
      </c>
      <c r="R1531" s="166" t="n">
        <v>10</v>
      </c>
      <c r="S1531" s="166" t="n">
        <v>10</v>
      </c>
      <c r="T1531" s="166" t="n">
        <v>0</v>
      </c>
      <c r="U1531" s="166" t="n">
        <v>0</v>
      </c>
      <c r="V1531" s="166" t="n">
        <v>0</v>
      </c>
      <c r="W1531" t="inlineStr">
        <is>
          <t>X</t>
        </is>
      </c>
      <c r="X1531" t="inlineStr">
        <is>
          <t>0.00</t>
        </is>
      </c>
      <c r="Y1531" t="inlineStr"/>
      <c r="Z1531" t="inlineStr">
        <is>
          <t>TCX MICRO, S.L.U</t>
        </is>
      </c>
      <c r="AA1531" t="inlineStr">
        <is>
          <t>RS</t>
        </is>
      </c>
      <c r="AB1531" t="inlineStr">
        <is>
          <t>236-3050</t>
        </is>
      </c>
      <c r="AC1531" t="inlineStr"/>
      <c r="AD1531" s="164" t="n">
        <v>0</v>
      </c>
      <c r="AE1531" s="185" t="n">
        <v>0</v>
      </c>
      <c r="AG1531" s="167" t="inlineStr">
        <is>
          <t>7218|JA2582_1001</t>
        </is>
      </c>
      <c r="AH1531" s="47">
        <f>IF(M1531=0,"-",M1531-J1531)</f>
        <v/>
      </c>
      <c r="AI1531" s="46">
        <f>IF(AND(S1531=0,M1531&gt;0,L1531=0),IF(AH1531&gt;=120,"VERY HIGH",IF(AH1531&gt;=90,"HIGH",IF(AH1531&gt;=60,"MEDIUM",IF(AH1531&lt;60,"LOW")))),"-")</f>
        <v/>
      </c>
      <c r="AJ1531" s="12" t="n"/>
      <c r="AK1531" s="53">
        <f>IF(AND(W1531="X",M1531&lt;=$AJ$2),"YES","")</f>
        <v/>
      </c>
      <c r="AL1531" s="54">
        <f>IF(AND(W1531="X",M1531&lt;=$AJ$2),S1531,"")</f>
        <v/>
      </c>
      <c r="AM1531" s="35" t="n"/>
      <c r="AN1531" s="35">
        <f>IF(AND(W1531="X",M1531&gt;$AJ$2),S1531,"")</f>
        <v/>
      </c>
      <c r="AO1531" s="35">
        <f>IF(AND(W1531="",M1531&gt;0,$AJ$2&gt;M1531,L1531=""),1,0)</f>
        <v/>
      </c>
      <c r="AP1531" s="35">
        <f>IF(AND(AK1531="YES",W1531="X"),"X","")</f>
        <v/>
      </c>
      <c r="AQ1531" s="55">
        <f>IF(AP1531="X",100%,0%)</f>
        <v/>
      </c>
      <c r="AR1531" s="25">
        <f>IF(AND(T1531&gt;0,L1531=""),H1531,"")</f>
        <v/>
      </c>
      <c r="AS1531" s="25">
        <f>IF(AND(D1531&gt;0,H1531=0,G1531=""),1,"")</f>
        <v/>
      </c>
      <c r="AT1531" s="25">
        <f>IF(G1531="BLOQ",1,"")</f>
        <v/>
      </c>
      <c r="AU1531" s="25">
        <f>IF(L1531="BLOQ",1,"")</f>
        <v/>
      </c>
      <c r="AV1531" s="25">
        <f>MONTH(F1531)</f>
        <v/>
      </c>
      <c r="AW1531" s="65">
        <f>IF(AP1531="",100%,0%)</f>
        <v/>
      </c>
      <c r="AX1531" s="56" t="n"/>
      <c r="AY1531" s="24">
        <f>IF(M1531=0,"",M1531-$AX$2)</f>
        <v/>
      </c>
      <c r="AZ1531" s="66">
        <f>IF(AND(W1531="",AY1531&gt;0,AY1531&lt;15),1,0)</f>
        <v/>
      </c>
      <c r="BA1531" s="24">
        <f>IF(AND(W1531="",AY1531&gt;0,AY1531&lt;15),T1531,"")</f>
        <v/>
      </c>
      <c r="BB1531" s="87">
        <f>IF(R1531&lt;Q1531,"X","")</f>
        <v/>
      </c>
      <c r="BC1531" s="190" t="inlineStr">
        <is>
          <t>NO</t>
        </is>
      </c>
      <c r="BD1531" s="191" t="inlineStr">
        <is>
          <t>SI</t>
        </is>
      </c>
    </row>
    <row r="1532" ht="15" customHeight="1" s="162">
      <c r="A1532" s="7" t="n">
        <v>1531</v>
      </c>
      <c r="B1532" t="inlineStr">
        <is>
          <t>3210104720000</t>
        </is>
      </c>
      <c r="C1532" t="inlineStr">
        <is>
          <t>LATIGUILLO ETHERNET UTP CAT.6 RJ45 M/M,</t>
        </is>
      </c>
      <c r="D1532" t="inlineStr">
        <is>
          <t>1800115631</t>
        </is>
      </c>
      <c r="E1532" t="inlineStr">
        <is>
          <t>10</t>
        </is>
      </c>
      <c r="F1532" s="163" t="n">
        <v>45609</v>
      </c>
      <c r="G1532" t="inlineStr"/>
      <c r="H1532" t="inlineStr">
        <is>
          <t>4200586361</t>
        </is>
      </c>
      <c r="I1532" t="inlineStr">
        <is>
          <t>10</t>
        </is>
      </c>
      <c r="J1532" s="163" t="n">
        <v>45615</v>
      </c>
      <c r="K1532" s="163" t="n">
        <v>45615</v>
      </c>
      <c r="L1532" t="inlineStr"/>
      <c r="M1532" s="163" t="n">
        <v>45618</v>
      </c>
      <c r="N1532" s="164" t="n">
        <v>40</v>
      </c>
      <c r="O1532" s="164" t="n">
        <v>8</v>
      </c>
      <c r="P1532" t="inlineStr">
        <is>
          <t>Liberado</t>
        </is>
      </c>
      <c r="Q1532" s="165" t="n">
        <v>3</v>
      </c>
      <c r="R1532" s="165" t="n">
        <v>3</v>
      </c>
      <c r="S1532" s="165" t="n">
        <v>3</v>
      </c>
      <c r="T1532" s="165" t="n">
        <v>0</v>
      </c>
      <c r="U1532" s="166" t="n">
        <v>3</v>
      </c>
      <c r="V1532" s="166" t="n">
        <v>0</v>
      </c>
      <c r="W1532" t="inlineStr">
        <is>
          <t>X</t>
        </is>
      </c>
      <c r="X1532" t="inlineStr">
        <is>
          <t>0.00</t>
        </is>
      </c>
      <c r="Y1532" t="inlineStr"/>
      <c r="Z1532" t="inlineStr">
        <is>
          <t>CUBITEL,S.L</t>
        </is>
      </c>
      <c r="AA1532" t="inlineStr">
        <is>
          <t>CUBITEL</t>
        </is>
      </c>
      <c r="AB1532" t="inlineStr">
        <is>
          <t>CBT-CAT6-3M</t>
        </is>
      </c>
      <c r="AC1532" t="inlineStr"/>
      <c r="AD1532" s="164" t="n">
        <v>0</v>
      </c>
      <c r="AE1532" s="185" t="n">
        <v>0</v>
      </c>
      <c r="AG1532" s="167" t="inlineStr">
        <is>
          <t>7218|JA2585_1001</t>
        </is>
      </c>
      <c r="AH1532" s="47">
        <f>IF(M1532=0,"-",M1532-J1532)</f>
        <v/>
      </c>
      <c r="AI1532" s="46">
        <f>IF(AND(S1532=0,M1532&gt;0,L1532=0),IF(AH1532&gt;=120,"VERY HIGH",IF(AH1532&gt;=90,"HIGH",IF(AH1532&gt;=60,"MEDIUM",IF(AH1532&lt;60,"LOW")))),"-")</f>
        <v/>
      </c>
      <c r="AJ1532" s="12" t="n"/>
      <c r="AK1532" s="53">
        <f>IF(AND(W1532="X",M1532&lt;=$AJ$2),"YES","")</f>
        <v/>
      </c>
      <c r="AL1532" s="54">
        <f>IF(AND(W1532="X",M1532&lt;=$AJ$2),S1532,"")</f>
        <v/>
      </c>
      <c r="AM1532" s="35" t="n"/>
      <c r="AN1532" s="35">
        <f>IF(AND(W1532="X",M1532&gt;$AJ$2),S1532,"")</f>
        <v/>
      </c>
      <c r="AO1532" s="35">
        <f>IF(AND(W1532="",M1532&gt;0,$AJ$2&gt;M1532,L1532=""),1,0)</f>
        <v/>
      </c>
      <c r="AP1532" s="35">
        <f>IF(AND(AK1532="YES",W1532="X"),"X","")</f>
        <v/>
      </c>
      <c r="AQ1532" s="55">
        <f>IF(AP1532="X",100%,0%)</f>
        <v/>
      </c>
      <c r="AR1532" s="25">
        <f>IF(AND(T1532&gt;0,L1532=""),H1532,"")</f>
        <v/>
      </c>
      <c r="AS1532" s="25">
        <f>IF(AND(D1532&gt;0,H1532=0,G1532=""),1,"")</f>
        <v/>
      </c>
      <c r="AT1532" s="25">
        <f>IF(G1532="BLOQ",1,"")</f>
        <v/>
      </c>
      <c r="AU1532" s="25">
        <f>IF(L1532="BLOQ",1,"")</f>
        <v/>
      </c>
      <c r="AV1532" s="25">
        <f>MONTH(F1532)</f>
        <v/>
      </c>
      <c r="AW1532" s="65">
        <f>IF(AP1532="",100%,0%)</f>
        <v/>
      </c>
      <c r="AX1532" s="56" t="n"/>
      <c r="AY1532" s="24">
        <f>IF(M1532=0,"",M1532-$AX$2)</f>
        <v/>
      </c>
      <c r="AZ1532" s="66">
        <f>IF(AND(W1532="",AY1532&gt;0,AY1532&lt;15),1,0)</f>
        <v/>
      </c>
      <c r="BA1532" s="24">
        <f>IF(AND(W1532="",AY1532&gt;0,AY1532&lt;15),T1532,"")</f>
        <v/>
      </c>
      <c r="BB1532" s="87">
        <f>IF(R1532&lt;Q1532,"X","")</f>
        <v/>
      </c>
      <c r="BC1532" s="190" t="inlineStr">
        <is>
          <t>NO</t>
        </is>
      </c>
      <c r="BD1532" s="191" t="inlineStr">
        <is>
          <t>SI</t>
        </is>
      </c>
    </row>
    <row r="1533" ht="15" customHeight="1" s="162">
      <c r="A1533" s="7" t="n">
        <v>1532</v>
      </c>
      <c r="B1533" t="inlineStr">
        <is>
          <t>3210104720100</t>
        </is>
      </c>
      <c r="C1533" t="inlineStr">
        <is>
          <t>LATIGUILLO ETHERNET UTP CAT.6 RJ45 M/M,</t>
        </is>
      </c>
      <c r="D1533" t="inlineStr">
        <is>
          <t>1800115631</t>
        </is>
      </c>
      <c r="E1533" t="inlineStr">
        <is>
          <t>20</t>
        </is>
      </c>
      <c r="F1533" s="163" t="n">
        <v>45609</v>
      </c>
      <c r="G1533" t="inlineStr"/>
      <c r="H1533" t="inlineStr">
        <is>
          <t>4200586361</t>
        </is>
      </c>
      <c r="I1533" t="inlineStr">
        <is>
          <t>20</t>
        </is>
      </c>
      <c r="J1533" s="163" t="n">
        <v>45615</v>
      </c>
      <c r="K1533" s="163" t="n">
        <v>45615</v>
      </c>
      <c r="L1533" t="inlineStr"/>
      <c r="M1533" s="163" t="n">
        <v>45618</v>
      </c>
      <c r="N1533" s="164" t="n">
        <v>30</v>
      </c>
      <c r="O1533" s="164" t="n">
        <v>8</v>
      </c>
      <c r="P1533" t="inlineStr">
        <is>
          <t>Liberado</t>
        </is>
      </c>
      <c r="Q1533" s="165" t="n">
        <v>3</v>
      </c>
      <c r="R1533" s="165" t="n">
        <v>3</v>
      </c>
      <c r="S1533" s="165" t="n">
        <v>3</v>
      </c>
      <c r="T1533" s="165" t="n">
        <v>0</v>
      </c>
      <c r="U1533" s="166" t="n">
        <v>3</v>
      </c>
      <c r="V1533" s="166" t="n">
        <v>0</v>
      </c>
      <c r="W1533" t="inlineStr">
        <is>
          <t>X</t>
        </is>
      </c>
      <c r="X1533" t="inlineStr">
        <is>
          <t>0.00</t>
        </is>
      </c>
      <c r="Y1533" t="inlineStr"/>
      <c r="Z1533" t="inlineStr">
        <is>
          <t>CUBITEL,S.L</t>
        </is>
      </c>
      <c r="AA1533" t="inlineStr">
        <is>
          <t>CUBITEL</t>
        </is>
      </c>
      <c r="AB1533" t="inlineStr">
        <is>
          <t>CBT-CAT6-5M</t>
        </is>
      </c>
      <c r="AC1533" t="inlineStr"/>
      <c r="AD1533" s="164" t="n">
        <v>0</v>
      </c>
      <c r="AE1533" s="185" t="n">
        <v>0</v>
      </c>
      <c r="AG1533" s="167" t="inlineStr">
        <is>
          <t>7218|JA2585_1001</t>
        </is>
      </c>
      <c r="AH1533" s="47">
        <f>IF(M1533=0,"-",M1533-J1533)</f>
        <v/>
      </c>
      <c r="AI1533" s="46">
        <f>IF(AND(S1533=0,M1533&gt;0,L1533=0),IF(AH1533&gt;=120,"VERY HIGH",IF(AH1533&gt;=90,"HIGH",IF(AH1533&gt;=60,"MEDIUM",IF(AH1533&lt;60,"LOW")))),"-")</f>
        <v/>
      </c>
      <c r="AJ1533" s="12" t="n"/>
      <c r="AK1533" s="53">
        <f>IF(AND(W1533="X",M1533&lt;=$AJ$2),"YES","")</f>
        <v/>
      </c>
      <c r="AL1533" s="54">
        <f>IF(AND(W1533="X",M1533&lt;=$AJ$2),S1533,"")</f>
        <v/>
      </c>
      <c r="AM1533" s="35" t="n"/>
      <c r="AN1533" s="35">
        <f>IF(AND(W1533="X",M1533&gt;$AJ$2),S1533,"")</f>
        <v/>
      </c>
      <c r="AO1533" s="35">
        <f>IF(AND(W1533="",M1533&gt;0,$AJ$2&gt;M1533,L1533=""),1,0)</f>
        <v/>
      </c>
      <c r="AP1533" s="35">
        <f>IF(AND(AK1533="YES",W1533="X"),"X","")</f>
        <v/>
      </c>
      <c r="AQ1533" s="55">
        <f>IF(AP1533="X",100%,0%)</f>
        <v/>
      </c>
      <c r="AR1533" s="25">
        <f>IF(AND(T1533&gt;0,L1533=""),H1533,"")</f>
        <v/>
      </c>
      <c r="AS1533" s="25">
        <f>IF(AND(D1533&gt;0,H1533=0,G1533=""),1,"")</f>
        <v/>
      </c>
      <c r="AT1533" s="25">
        <f>IF(G1533="BLOQ",1,"")</f>
        <v/>
      </c>
      <c r="AU1533" s="25">
        <f>IF(L1533="BLOQ",1,"")</f>
        <v/>
      </c>
      <c r="AV1533" s="25">
        <f>MONTH(F1533)</f>
        <v/>
      </c>
      <c r="AW1533" s="65">
        <f>IF(AP1533="",100%,0%)</f>
        <v/>
      </c>
      <c r="AX1533" s="56" t="n"/>
      <c r="AY1533" s="24">
        <f>IF(M1533=0,"",M1533-$AX$2)</f>
        <v/>
      </c>
      <c r="AZ1533" s="66">
        <f>IF(AND(W1533="",AY1533&gt;0,AY1533&lt;15),1,0)</f>
        <v/>
      </c>
      <c r="BA1533" s="24">
        <f>IF(AND(W1533="",AY1533&gt;0,AY1533&lt;15),T1533,"")</f>
        <v/>
      </c>
      <c r="BB1533" s="87">
        <f>IF(R1533&lt;Q1533,"X","")</f>
        <v/>
      </c>
      <c r="BC1533" s="190" t="inlineStr">
        <is>
          <t>NO</t>
        </is>
      </c>
      <c r="BD1533" s="191" t="inlineStr">
        <is>
          <t>SI</t>
        </is>
      </c>
    </row>
    <row r="1534" ht="15" customHeight="1" s="162">
      <c r="A1534" s="7" t="n">
        <v>1533</v>
      </c>
      <c r="B1534" t="inlineStr">
        <is>
          <t>3210104720300</t>
        </is>
      </c>
      <c r="C1534" t="inlineStr">
        <is>
          <t>LATIGUILLO ETHERNET UTP CAT.6 RJ45 M/M,</t>
        </is>
      </c>
      <c r="D1534" t="inlineStr">
        <is>
          <t>1800115631</t>
        </is>
      </c>
      <c r="E1534" t="inlineStr">
        <is>
          <t>30</t>
        </is>
      </c>
      <c r="F1534" s="163" t="n">
        <v>45609</v>
      </c>
      <c r="G1534" t="inlineStr"/>
      <c r="H1534" t="inlineStr">
        <is>
          <t>4200586361</t>
        </is>
      </c>
      <c r="I1534" t="inlineStr">
        <is>
          <t>30</t>
        </is>
      </c>
      <c r="J1534" s="163" t="n">
        <v>45615</v>
      </c>
      <c r="K1534" s="163" t="n">
        <v>45615</v>
      </c>
      <c r="L1534" t="inlineStr"/>
      <c r="M1534" s="163" t="n">
        <v>45618</v>
      </c>
      <c r="N1534" s="164" t="n">
        <v>40</v>
      </c>
      <c r="O1534" s="164" t="n">
        <v>8</v>
      </c>
      <c r="P1534" t="inlineStr">
        <is>
          <t>Liberado</t>
        </is>
      </c>
      <c r="Q1534" s="165" t="n">
        <v>3</v>
      </c>
      <c r="R1534" s="165" t="n">
        <v>3</v>
      </c>
      <c r="S1534" s="165" t="n">
        <v>3</v>
      </c>
      <c r="T1534" s="165" t="n">
        <v>0</v>
      </c>
      <c r="U1534" s="166" t="n">
        <v>3</v>
      </c>
      <c r="V1534" s="166" t="n">
        <v>0</v>
      </c>
      <c r="W1534" t="inlineStr">
        <is>
          <t>X</t>
        </is>
      </c>
      <c r="X1534" t="inlineStr">
        <is>
          <t>0.00</t>
        </is>
      </c>
      <c r="Y1534" t="inlineStr"/>
      <c r="Z1534" t="inlineStr">
        <is>
          <t>CUBITEL,S.L</t>
        </is>
      </c>
      <c r="AA1534" t="inlineStr">
        <is>
          <t>CUBITEL</t>
        </is>
      </c>
      <c r="AB1534" t="inlineStr">
        <is>
          <t>CBT-CAT6-10M</t>
        </is>
      </c>
      <c r="AC1534" t="inlineStr"/>
      <c r="AD1534" s="164" t="n">
        <v>0</v>
      </c>
      <c r="AE1534" s="185" t="n">
        <v>0</v>
      </c>
      <c r="AG1534" s="167" t="inlineStr">
        <is>
          <t>7218|JA2585_1001</t>
        </is>
      </c>
      <c r="AH1534" s="47">
        <f>IF(M1534=0,"-",M1534-J1534)</f>
        <v/>
      </c>
      <c r="AI1534" s="46">
        <f>IF(AND(S1534=0,M1534&gt;0,L1534=0),IF(AH1534&gt;=120,"VERY HIGH",IF(AH1534&gt;=90,"HIGH",IF(AH1534&gt;=60,"MEDIUM",IF(AH1534&lt;60,"LOW")))),"-")</f>
        <v/>
      </c>
      <c r="AJ1534" s="12" t="n"/>
      <c r="AK1534" s="53">
        <f>IF(AND(W1534="X",M1534&lt;=$AJ$2),"YES","")</f>
        <v/>
      </c>
      <c r="AL1534" s="54">
        <f>IF(AND(W1534="X",M1534&lt;=$AJ$2),S1534,"")</f>
        <v/>
      </c>
      <c r="AM1534" s="35" t="n"/>
      <c r="AN1534" s="35">
        <f>IF(AND(W1534="X",M1534&gt;$AJ$2),S1534,"")</f>
        <v/>
      </c>
      <c r="AO1534" s="35">
        <f>IF(AND(W1534="",M1534&gt;0,$AJ$2&gt;M1534,L1534=""),1,0)</f>
        <v/>
      </c>
      <c r="AP1534" s="35">
        <f>IF(AND(AK1534="YES",W1534="X"),"X","")</f>
        <v/>
      </c>
      <c r="AQ1534" s="55">
        <f>IF(AP1534="X",100%,0%)</f>
        <v/>
      </c>
      <c r="AR1534" s="25">
        <f>IF(AND(T1534&gt;0,L1534=""),H1534,"")</f>
        <v/>
      </c>
      <c r="AS1534" s="25">
        <f>IF(AND(D1534&gt;0,H1534=0,G1534=""),1,"")</f>
        <v/>
      </c>
      <c r="AT1534" s="25">
        <f>IF(G1534="BLOQ",1,"")</f>
        <v/>
      </c>
      <c r="AU1534" s="25">
        <f>IF(L1534="BLOQ",1,"")</f>
        <v/>
      </c>
      <c r="AV1534" s="25">
        <f>MONTH(F1534)</f>
        <v/>
      </c>
      <c r="AW1534" s="65">
        <f>IF(AP1534="",100%,0%)</f>
        <v/>
      </c>
      <c r="AX1534" s="56" t="n"/>
      <c r="AY1534" s="24">
        <f>IF(M1534=0,"",M1534-$AX$2)</f>
        <v/>
      </c>
      <c r="AZ1534" s="66">
        <f>IF(AND(W1534="",AY1534&gt;0,AY1534&lt;15),1,0)</f>
        <v/>
      </c>
      <c r="BA1534" s="24">
        <f>IF(AND(W1534="",AY1534&gt;0,AY1534&lt;15),T1534,"")</f>
        <v/>
      </c>
      <c r="BB1534" s="87">
        <f>IF(R1534&lt;Q1534,"X","")</f>
        <v/>
      </c>
      <c r="BC1534" s="190" t="inlineStr">
        <is>
          <t>NO</t>
        </is>
      </c>
      <c r="BD1534" s="191" t="inlineStr">
        <is>
          <t>SI</t>
        </is>
      </c>
    </row>
    <row r="1535" ht="15" customHeight="1" s="162">
      <c r="A1535" s="7" t="n">
        <v>1534</v>
      </c>
      <c r="B1535" t="inlineStr">
        <is>
          <t>3210104721300</t>
        </is>
      </c>
      <c r="C1535" t="inlineStr">
        <is>
          <t>LATIGUILLO ETHERNET UTP CAT6 RJ45 M/M L=</t>
        </is>
      </c>
      <c r="D1535" t="inlineStr">
        <is>
          <t>1800115631</t>
        </is>
      </c>
      <c r="E1535" t="inlineStr">
        <is>
          <t>40</t>
        </is>
      </c>
      <c r="F1535" s="163" t="n">
        <v>45609</v>
      </c>
      <c r="G1535" t="inlineStr"/>
      <c r="H1535" t="inlineStr">
        <is>
          <t>4200586361</t>
        </is>
      </c>
      <c r="I1535" t="inlineStr">
        <is>
          <t>40</t>
        </is>
      </c>
      <c r="J1535" s="163" t="n">
        <v>45615</v>
      </c>
      <c r="K1535" s="163" t="n">
        <v>45615</v>
      </c>
      <c r="L1535" t="inlineStr"/>
      <c r="M1535" s="163" t="n">
        <v>45618</v>
      </c>
      <c r="N1535" s="164" t="n">
        <v>40</v>
      </c>
      <c r="O1535" s="164" t="n">
        <v>8</v>
      </c>
      <c r="P1535" t="inlineStr">
        <is>
          <t>Liberado</t>
        </is>
      </c>
      <c r="Q1535" s="165" t="n">
        <v>3</v>
      </c>
      <c r="R1535" s="165" t="n">
        <v>3</v>
      </c>
      <c r="S1535" s="165" t="n">
        <v>3</v>
      </c>
      <c r="T1535" s="165" t="n">
        <v>0</v>
      </c>
      <c r="U1535" s="166" t="n">
        <v>3</v>
      </c>
      <c r="V1535" s="166" t="n">
        <v>0</v>
      </c>
      <c r="W1535" t="inlineStr">
        <is>
          <t>X</t>
        </is>
      </c>
      <c r="X1535" t="inlineStr">
        <is>
          <t>0.00</t>
        </is>
      </c>
      <c r="Y1535" t="inlineStr"/>
      <c r="Z1535" t="inlineStr">
        <is>
          <t>CUBITEL,S.L</t>
        </is>
      </c>
      <c r="AA1535" t="inlineStr">
        <is>
          <t>CUBITEL</t>
        </is>
      </c>
      <c r="AB1535" t="inlineStr">
        <is>
          <t>CBT-CAT6-2M</t>
        </is>
      </c>
      <c r="AC1535" t="inlineStr"/>
      <c r="AD1535" s="164" t="n">
        <v>0</v>
      </c>
      <c r="AE1535" s="185" t="n">
        <v>0</v>
      </c>
      <c r="AG1535" s="167" t="inlineStr">
        <is>
          <t>7218|JA2585_1001</t>
        </is>
      </c>
      <c r="AH1535" s="47">
        <f>IF(M1535=0,"-",M1535-J1535)</f>
        <v/>
      </c>
      <c r="AI1535" s="46">
        <f>IF(AND(S1535=0,M1535&gt;0,L1535=0),IF(AH1535&gt;=120,"VERY HIGH",IF(AH1535&gt;=90,"HIGH",IF(AH1535&gt;=60,"MEDIUM",IF(AH1535&lt;60,"LOW")))),"-")</f>
        <v/>
      </c>
      <c r="AJ1535" s="12" t="n"/>
      <c r="AK1535" s="53">
        <f>IF(AND(W1535="X",M1535&lt;=$AJ$2),"YES","")</f>
        <v/>
      </c>
      <c r="AL1535" s="54">
        <f>IF(AND(W1535="X",M1535&lt;=$AJ$2),S1535,"")</f>
        <v/>
      </c>
      <c r="AM1535" s="35" t="n"/>
      <c r="AN1535" s="35">
        <f>IF(AND(W1535="X",M1535&gt;$AJ$2),S1535,"")</f>
        <v/>
      </c>
      <c r="AO1535" s="35">
        <f>IF(AND(W1535="",M1535&gt;0,$AJ$2&gt;M1535,L1535=""),1,0)</f>
        <v/>
      </c>
      <c r="AP1535" s="35">
        <f>IF(AND(AK1535="YES",W1535="X"),"X","")</f>
        <v/>
      </c>
      <c r="AQ1535" s="55">
        <f>IF(AP1535="X",100%,0%)</f>
        <v/>
      </c>
      <c r="AR1535" s="25">
        <f>IF(AND(T1535&gt;0,L1535=""),H1535,"")</f>
        <v/>
      </c>
      <c r="AS1535" s="25">
        <f>IF(AND(D1535&gt;0,H1535=0,G1535=""),1,"")</f>
        <v/>
      </c>
      <c r="AT1535" s="25">
        <f>IF(G1535="BLOQ",1,"")</f>
        <v/>
      </c>
      <c r="AU1535" s="25">
        <f>IF(L1535="BLOQ",1,"")</f>
        <v/>
      </c>
      <c r="AV1535" s="25">
        <f>MONTH(F1535)</f>
        <v/>
      </c>
      <c r="AW1535" s="65">
        <f>IF(AP1535="",100%,0%)</f>
        <v/>
      </c>
      <c r="AX1535" s="56" t="n"/>
      <c r="AY1535" s="24">
        <f>IF(M1535=0,"",M1535-$AX$2)</f>
        <v/>
      </c>
      <c r="AZ1535" s="66">
        <f>IF(AND(W1535="",AY1535&gt;0,AY1535&lt;15),1,0)</f>
        <v/>
      </c>
      <c r="BA1535" s="24">
        <f>IF(AND(W1535="",AY1535&gt;0,AY1535&lt;15),T1535,"")</f>
        <v/>
      </c>
      <c r="BB1535" s="87">
        <f>IF(R1535&lt;Q1535,"X","")</f>
        <v/>
      </c>
      <c r="BC1535" s="190" t="inlineStr">
        <is>
          <t>NO</t>
        </is>
      </c>
      <c r="BD1535" s="191" t="inlineStr">
        <is>
          <t>SI</t>
        </is>
      </c>
    </row>
    <row r="1536" ht="15" customHeight="1" s="162">
      <c r="A1536" s="7" t="n">
        <v>1535</v>
      </c>
      <c r="B1536" t="inlineStr">
        <is>
          <t>1229593631000</t>
        </is>
      </c>
      <c r="C1536" t="inlineStr">
        <is>
          <t>CBL EQUIP EXTENS USB 2.0 L=8M</t>
        </is>
      </c>
      <c r="D1536" t="inlineStr">
        <is>
          <t>1800115632</t>
        </is>
      </c>
      <c r="E1536" t="inlineStr">
        <is>
          <t>10</t>
        </is>
      </c>
      <c r="F1536" s="163" t="n">
        <v>45609</v>
      </c>
      <c r="G1536" t="inlineStr"/>
      <c r="H1536" t="inlineStr">
        <is>
          <t>4200586683</t>
        </is>
      </c>
      <c r="I1536" t="inlineStr">
        <is>
          <t>10</t>
        </is>
      </c>
      <c r="J1536" s="163" t="n">
        <v>45616</v>
      </c>
      <c r="K1536" s="163" t="n">
        <v>45617</v>
      </c>
      <c r="L1536" t="inlineStr"/>
      <c r="M1536" s="163" t="n">
        <v>45625</v>
      </c>
      <c r="N1536" s="164" t="n">
        <v>30</v>
      </c>
      <c r="O1536" s="164" t="n">
        <v>8</v>
      </c>
      <c r="P1536" t="inlineStr">
        <is>
          <t>Liberado</t>
        </is>
      </c>
      <c r="Q1536" s="165" t="n">
        <v>1</v>
      </c>
      <c r="R1536" s="165" t="n">
        <v>1</v>
      </c>
      <c r="S1536" s="165" t="n">
        <v>1</v>
      </c>
      <c r="T1536" s="165" t="n">
        <v>0</v>
      </c>
      <c r="U1536" s="166" t="n">
        <v>1</v>
      </c>
      <c r="V1536" s="166" t="n">
        <v>0</v>
      </c>
      <c r="W1536" t="inlineStr">
        <is>
          <t>X</t>
        </is>
      </c>
      <c r="X1536" t="inlineStr">
        <is>
          <t>0.00</t>
        </is>
      </c>
      <c r="Y1536" t="inlineStr"/>
      <c r="Z1536" t="inlineStr">
        <is>
          <t>ELECTRONIC EQUIPMENT TRADING SAU (E</t>
        </is>
      </c>
      <c r="AA1536" t="inlineStr">
        <is>
          <t>LINDY</t>
        </is>
      </c>
      <c r="AB1536" t="inlineStr">
        <is>
          <t>42780</t>
        </is>
      </c>
      <c r="AC1536" t="inlineStr"/>
      <c r="AD1536" s="164" t="n">
        <v>0</v>
      </c>
      <c r="AE1536" s="185" t="n">
        <v>0</v>
      </c>
      <c r="AG1536" s="167" t="inlineStr">
        <is>
          <t>7218|JA2588_1001</t>
        </is>
      </c>
      <c r="AH1536" s="47">
        <f>IF(M1536=0,"-",M1536-J1536)</f>
        <v/>
      </c>
      <c r="AI1536" s="46">
        <f>IF(AND(S1536=0,M1536&gt;0,L1536=0),IF(AH1536&gt;=120,"VERY HIGH",IF(AH1536&gt;=90,"HIGH",IF(AH1536&gt;=60,"MEDIUM",IF(AH1536&lt;60,"LOW")))),"-")</f>
        <v/>
      </c>
      <c r="AJ1536" s="12" t="n"/>
      <c r="AK1536" s="53">
        <f>IF(AND(W1536="X",M1536&lt;=$AJ$2),"YES","")</f>
        <v/>
      </c>
      <c r="AL1536" s="54">
        <f>IF(AND(W1536="X",M1536&lt;=$AJ$2),S1536,"")</f>
        <v/>
      </c>
      <c r="AM1536" s="35" t="n"/>
      <c r="AN1536" s="35">
        <f>IF(AND(W1536="X",M1536&gt;$AJ$2),S1536,"")</f>
        <v/>
      </c>
      <c r="AO1536" s="35">
        <f>IF(AND(W1536="",M1536&gt;0,$AJ$2&gt;M1536,L1536=""),1,0)</f>
        <v/>
      </c>
      <c r="AP1536" s="35">
        <f>IF(AND(AK1536="YES",W1536="X"),"X","")</f>
        <v/>
      </c>
      <c r="AQ1536" s="55">
        <f>IF(AP1536="X",100%,0%)</f>
        <v/>
      </c>
      <c r="AR1536" s="25">
        <f>IF(AND(T1536&gt;0,L1536=""),H1536,"")</f>
        <v/>
      </c>
      <c r="AS1536" s="25">
        <f>IF(AND(D1536&gt;0,H1536=0,G1536=""),1,"")</f>
        <v/>
      </c>
      <c r="AT1536" s="25">
        <f>IF(G1536="BLOQ",1,"")</f>
        <v/>
      </c>
      <c r="AU1536" s="25">
        <f>IF(L1536="BLOQ",1,"")</f>
        <v/>
      </c>
      <c r="AV1536" s="25">
        <f>MONTH(F1536)</f>
        <v/>
      </c>
      <c r="AW1536" s="65">
        <f>IF(AP1536="",100%,0%)</f>
        <v/>
      </c>
      <c r="AX1536" s="56" t="n"/>
      <c r="AY1536" s="24">
        <f>IF(M1536=0,"",M1536-$AX$2)</f>
        <v/>
      </c>
      <c r="AZ1536" s="66">
        <f>IF(AND(W1536="",AY1536&gt;0,AY1536&lt;15),1,0)</f>
        <v/>
      </c>
      <c r="BA1536" s="24">
        <f>IF(AND(W1536="",AY1536&gt;0,AY1536&lt;15),T1536,"")</f>
        <v/>
      </c>
      <c r="BB1536" s="87">
        <f>IF(R1536&lt;Q1536,"X","")</f>
        <v/>
      </c>
      <c r="BC1536" s="190" t="inlineStr">
        <is>
          <t>NO</t>
        </is>
      </c>
      <c r="BD1536" s="191" t="inlineStr">
        <is>
          <t>SI</t>
        </is>
      </c>
    </row>
    <row r="1537" ht="15" customHeight="1" s="162">
      <c r="A1537" s="7" t="n">
        <v>1536</v>
      </c>
      <c r="B1537" t="inlineStr">
        <is>
          <t>0973585290200</t>
        </is>
      </c>
      <c r="C1537" t="inlineStr">
        <is>
          <t>CIERRE SUPERIOR</t>
        </is>
      </c>
      <c r="D1537" t="inlineStr">
        <is>
          <t>1800115675</t>
        </is>
      </c>
      <c r="E1537" t="inlineStr">
        <is>
          <t>10</t>
        </is>
      </c>
      <c r="F1537" s="163" t="n">
        <v>45611</v>
      </c>
      <c r="G1537" t="inlineStr"/>
      <c r="H1537" t="inlineStr">
        <is>
          <t>4600004162</t>
        </is>
      </c>
      <c r="I1537" t="inlineStr">
        <is>
          <t>50</t>
        </is>
      </c>
      <c r="J1537" s="163" t="n">
        <v>45615</v>
      </c>
      <c r="K1537" s="163" t="n">
        <v>45616</v>
      </c>
      <c r="L1537" t="inlineStr"/>
      <c r="M1537" s="163" t="n">
        <v>46006</v>
      </c>
      <c r="N1537" s="164" t="n">
        <v>40</v>
      </c>
      <c r="O1537" s="164" t="n">
        <v>8</v>
      </c>
      <c r="P1537" t="inlineStr">
        <is>
          <t>Liberado</t>
        </is>
      </c>
      <c r="Q1537" s="165" t="n">
        <v>1</v>
      </c>
      <c r="R1537" s="165" t="n">
        <v>1</v>
      </c>
      <c r="S1537" s="165" t="n">
        <v>1</v>
      </c>
      <c r="T1537" s="165" t="n">
        <v>0</v>
      </c>
      <c r="U1537" s="166" t="n">
        <v>1</v>
      </c>
      <c r="V1537" s="166" t="n">
        <v>0</v>
      </c>
      <c r="W1537" t="inlineStr">
        <is>
          <t>X</t>
        </is>
      </c>
      <c r="X1537" t="inlineStr">
        <is>
          <t>0.00</t>
        </is>
      </c>
      <c r="Y1537" t="inlineStr"/>
      <c r="Z1537" t="inlineStr">
        <is>
          <t>TALLERES XUQUER, SL</t>
        </is>
      </c>
      <c r="AA1537" t="inlineStr">
        <is>
          <t>INDRA SISTEMAS S.A.</t>
        </is>
      </c>
      <c r="AB1537" t="inlineStr">
        <is>
          <t>0973585290200</t>
        </is>
      </c>
      <c r="AC1537" t="inlineStr"/>
      <c r="AD1537" s="164" t="n">
        <v>0</v>
      </c>
      <c r="AE1537" s="185" t="n">
        <v>0</v>
      </c>
      <c r="AG1537" s="167" t="inlineStr">
        <is>
          <t>7218|JA2578_1001</t>
        </is>
      </c>
      <c r="AH1537" s="47">
        <f>IF(M1537=0,"-",M1537-J1537)</f>
        <v/>
      </c>
      <c r="AI1537" s="46">
        <f>IF(AND(S1537=0,M1537&gt;0,L1537=0),IF(AH1537&gt;=120,"VERY HIGH",IF(AH1537&gt;=90,"HIGH",IF(AH1537&gt;=60,"MEDIUM",IF(AH1537&lt;60,"LOW")))),"-")</f>
        <v/>
      </c>
      <c r="AJ1537" s="12" t="n"/>
      <c r="AK1537" s="53">
        <f>IF(AND(W1537="X",M1537&lt;=$AJ$2),"YES","")</f>
        <v/>
      </c>
      <c r="AL1537" s="54">
        <f>IF(AND(W1537="X",M1537&lt;=$AJ$2),S1537,"")</f>
        <v/>
      </c>
      <c r="AM1537" s="35" t="n"/>
      <c r="AN1537" s="35">
        <f>IF(AND(W1537="X",M1537&gt;$AJ$2),S1537,"")</f>
        <v/>
      </c>
      <c r="AO1537" s="35">
        <f>IF(AND(W1537="",M1537&gt;0,$AJ$2&gt;M1537,L1537=""),1,0)</f>
        <v/>
      </c>
      <c r="AP1537" s="35">
        <f>IF(AND(AK1537="YES",W1537="X"),"X","")</f>
        <v/>
      </c>
      <c r="AQ1537" s="55">
        <f>IF(AP1537="X",100%,0%)</f>
        <v/>
      </c>
      <c r="AR1537" s="25">
        <f>IF(AND(T1537&gt;0,L1537=""),H1537,"")</f>
        <v/>
      </c>
      <c r="AS1537" s="25">
        <f>IF(AND(D1537&gt;0,H1537=0,G1537=""),1,"")</f>
        <v/>
      </c>
      <c r="AT1537" s="25">
        <f>IF(G1537="BLOQ",1,"")</f>
        <v/>
      </c>
      <c r="AU1537" s="25">
        <f>IF(L1537="BLOQ",1,"")</f>
        <v/>
      </c>
      <c r="AV1537" s="25">
        <f>MONTH(F1537)</f>
        <v/>
      </c>
      <c r="AW1537" s="65">
        <f>IF(AP1537="",100%,0%)</f>
        <v/>
      </c>
      <c r="AX1537" s="56" t="n"/>
      <c r="AY1537" s="24">
        <f>IF(M1537=0,"",M1537-$AX$2)</f>
        <v/>
      </c>
      <c r="AZ1537" s="66">
        <f>IF(AND(W1537="",AY1537&gt;0,AY1537&lt;15),1,0)</f>
        <v/>
      </c>
      <c r="BA1537" s="24">
        <f>IF(AND(W1537="",AY1537&gt;0,AY1537&lt;15),T1537,"")</f>
        <v/>
      </c>
      <c r="BB1537" s="87">
        <f>IF(R1537&lt;Q1537,"X","")</f>
        <v/>
      </c>
      <c r="BC1537" s="190" t="inlineStr">
        <is>
          <t>NO</t>
        </is>
      </c>
      <c r="BD1537" s="191" t="inlineStr">
        <is>
          <t>SI</t>
        </is>
      </c>
    </row>
    <row r="1538" ht="15" customHeight="1" s="162">
      <c r="A1538" s="7" t="n">
        <v>1537</v>
      </c>
      <c r="B1538" t="inlineStr">
        <is>
          <t>0973585290300</t>
        </is>
      </c>
      <c r="C1538" t="inlineStr">
        <is>
          <t>SOPORTE PANTALLA BPS</t>
        </is>
      </c>
      <c r="D1538" t="inlineStr">
        <is>
          <t>1800115675</t>
        </is>
      </c>
      <c r="E1538" t="inlineStr">
        <is>
          <t>20</t>
        </is>
      </c>
      <c r="F1538" s="163" t="n">
        <v>45611</v>
      </c>
      <c r="G1538" t="inlineStr"/>
      <c r="H1538" t="inlineStr">
        <is>
          <t>4600004162</t>
        </is>
      </c>
      <c r="I1538" t="inlineStr">
        <is>
          <t>60</t>
        </is>
      </c>
      <c r="J1538" s="163" t="n">
        <v>45615</v>
      </c>
      <c r="K1538" s="163" t="n">
        <v>45616</v>
      </c>
      <c r="L1538" t="inlineStr"/>
      <c r="M1538" s="163" t="n">
        <v>46006</v>
      </c>
      <c r="N1538" s="164" t="n">
        <v>40</v>
      </c>
      <c r="O1538" s="164" t="n">
        <v>8</v>
      </c>
      <c r="P1538" t="inlineStr">
        <is>
          <t>Liberado</t>
        </is>
      </c>
      <c r="Q1538" s="165" t="n">
        <v>1</v>
      </c>
      <c r="R1538" s="165" t="n">
        <v>1</v>
      </c>
      <c r="S1538" s="165" t="n">
        <v>1</v>
      </c>
      <c r="T1538" s="165" t="n">
        <v>0</v>
      </c>
      <c r="U1538" s="166" t="n">
        <v>1</v>
      </c>
      <c r="V1538" s="166" t="n">
        <v>0</v>
      </c>
      <c r="W1538" t="inlineStr">
        <is>
          <t>X</t>
        </is>
      </c>
      <c r="X1538" t="inlineStr">
        <is>
          <t>0.00</t>
        </is>
      </c>
      <c r="Y1538" t="inlineStr"/>
      <c r="Z1538" t="inlineStr">
        <is>
          <t>TALLERES XUQUER, SL</t>
        </is>
      </c>
      <c r="AA1538" t="inlineStr">
        <is>
          <t>INDRA SISTEMAS S.A.</t>
        </is>
      </c>
      <c r="AB1538" t="inlineStr">
        <is>
          <t>0973585290300</t>
        </is>
      </c>
      <c r="AC1538" t="inlineStr"/>
      <c r="AD1538" s="164" t="n">
        <v>0</v>
      </c>
      <c r="AE1538" s="185" t="n">
        <v>0</v>
      </c>
      <c r="AG1538" s="167" t="inlineStr">
        <is>
          <t>7218|JA2578_1001</t>
        </is>
      </c>
      <c r="AH1538" s="47">
        <f>IF(M1538=0,"-",M1538-J1538)</f>
        <v/>
      </c>
      <c r="AI1538" s="46">
        <f>IF(AND(S1538=0,M1538&gt;0,L1538=0),IF(AH1538&gt;=120,"VERY HIGH",IF(AH1538&gt;=90,"HIGH",IF(AH1538&gt;=60,"MEDIUM",IF(AH1538&lt;60,"LOW")))),"-")</f>
        <v/>
      </c>
      <c r="AJ1538" s="12" t="n"/>
      <c r="AK1538" s="53">
        <f>IF(AND(W1538="X",M1538&lt;=$AJ$2),"YES","")</f>
        <v/>
      </c>
      <c r="AL1538" s="54">
        <f>IF(AND(W1538="X",M1538&lt;=$AJ$2),S1538,"")</f>
        <v/>
      </c>
      <c r="AM1538" s="35" t="n"/>
      <c r="AN1538" s="35">
        <f>IF(AND(W1538="X",M1538&gt;$AJ$2),S1538,"")</f>
        <v/>
      </c>
      <c r="AO1538" s="35">
        <f>IF(AND(W1538="",M1538&gt;0,$AJ$2&gt;M1538,L1538=""),1,0)</f>
        <v/>
      </c>
      <c r="AP1538" s="35">
        <f>IF(AND(AK1538="YES",W1538="X"),"X","")</f>
        <v/>
      </c>
      <c r="AQ1538" s="55">
        <f>IF(AP1538="X",100%,0%)</f>
        <v/>
      </c>
      <c r="AR1538" s="25">
        <f>IF(AND(T1538&gt;0,L1538=""),H1538,"")</f>
        <v/>
      </c>
      <c r="AS1538" s="25">
        <f>IF(AND(D1538&gt;0,H1538=0,G1538=""),1,"")</f>
        <v/>
      </c>
      <c r="AT1538" s="25">
        <f>IF(G1538="BLOQ",1,"")</f>
        <v/>
      </c>
      <c r="AU1538" s="25">
        <f>IF(L1538="BLOQ",1,"")</f>
        <v/>
      </c>
      <c r="AV1538" s="25">
        <f>MONTH(F1538)</f>
        <v/>
      </c>
      <c r="AW1538" s="65">
        <f>IF(AP1538="",100%,0%)</f>
        <v/>
      </c>
      <c r="AX1538" s="56" t="n"/>
      <c r="AY1538" s="24">
        <f>IF(M1538=0,"",M1538-$AX$2)</f>
        <v/>
      </c>
      <c r="AZ1538" s="66">
        <f>IF(AND(W1538="",AY1538&gt;0,AY1538&lt;15),1,0)</f>
        <v/>
      </c>
      <c r="BA1538" s="24">
        <f>IF(AND(W1538="",AY1538&gt;0,AY1538&lt;15),T1538,"")</f>
        <v/>
      </c>
      <c r="BB1538" s="87">
        <f>IF(R1538&lt;Q1538,"X","")</f>
        <v/>
      </c>
      <c r="BC1538" s="190" t="inlineStr">
        <is>
          <t>NO</t>
        </is>
      </c>
      <c r="BD1538" s="191" t="inlineStr">
        <is>
          <t>SI</t>
        </is>
      </c>
    </row>
    <row r="1539" ht="15" customHeight="1" s="162">
      <c r="A1539" s="7" t="n">
        <v>1538</v>
      </c>
      <c r="B1539" t="inlineStr">
        <is>
          <t>0973585290400</t>
        </is>
      </c>
      <c r="C1539" t="inlineStr">
        <is>
          <t>CIERRE POST SUP + ANILLOS ADAPT</t>
        </is>
      </c>
      <c r="D1539" t="inlineStr">
        <is>
          <t>1800115675</t>
        </is>
      </c>
      <c r="E1539" t="inlineStr">
        <is>
          <t>30</t>
        </is>
      </c>
      <c r="F1539" s="163" t="n">
        <v>45611</v>
      </c>
      <c r="G1539" t="inlineStr"/>
      <c r="H1539" t="inlineStr">
        <is>
          <t>4600004162</t>
        </is>
      </c>
      <c r="I1539" t="inlineStr">
        <is>
          <t>70</t>
        </is>
      </c>
      <c r="J1539" s="163" t="n">
        <v>45615</v>
      </c>
      <c r="K1539" s="163" t="n">
        <v>45616</v>
      </c>
      <c r="L1539" t="inlineStr"/>
      <c r="M1539" s="163" t="n">
        <v>46006</v>
      </c>
      <c r="N1539" s="164" t="n">
        <v>40</v>
      </c>
      <c r="O1539" s="164" t="n">
        <v>8</v>
      </c>
      <c r="P1539" t="inlineStr">
        <is>
          <t>Liberado</t>
        </is>
      </c>
      <c r="Q1539" s="165" t="n">
        <v>1</v>
      </c>
      <c r="R1539" s="165" t="n">
        <v>1</v>
      </c>
      <c r="S1539" s="165" t="n">
        <v>1</v>
      </c>
      <c r="T1539" s="165" t="n">
        <v>0</v>
      </c>
      <c r="U1539" s="166" t="n">
        <v>1</v>
      </c>
      <c r="V1539" s="166" t="n">
        <v>0</v>
      </c>
      <c r="W1539" t="inlineStr">
        <is>
          <t>X</t>
        </is>
      </c>
      <c r="X1539" t="inlineStr">
        <is>
          <t>0.00</t>
        </is>
      </c>
      <c r="Y1539" t="inlineStr"/>
      <c r="Z1539" t="inlineStr">
        <is>
          <t>TALLERES XUQUER, SL</t>
        </is>
      </c>
      <c r="AA1539" t="inlineStr">
        <is>
          <t>INDRA SISTEMAS S.A.</t>
        </is>
      </c>
      <c r="AB1539" t="inlineStr">
        <is>
          <t>0973585290400</t>
        </is>
      </c>
      <c r="AC1539" t="inlineStr"/>
      <c r="AD1539" s="164" t="n">
        <v>0</v>
      </c>
      <c r="AE1539" s="185" t="n">
        <v>0</v>
      </c>
      <c r="AG1539" s="167" t="inlineStr">
        <is>
          <t>7218|JA2578_1001</t>
        </is>
      </c>
      <c r="AH1539" s="47">
        <f>IF(M1539=0,"-",M1539-J1539)</f>
        <v/>
      </c>
      <c r="AI1539" s="46">
        <f>IF(AND(S1539=0,M1539&gt;0,L1539=0),IF(AH1539&gt;=120,"VERY HIGH",IF(AH1539&gt;=90,"HIGH",IF(AH1539&gt;=60,"MEDIUM",IF(AH1539&lt;60,"LOW")))),"-")</f>
        <v/>
      </c>
      <c r="AJ1539" s="12" t="n"/>
      <c r="AK1539" s="53">
        <f>IF(AND(W1539="X",M1539&lt;=$AJ$2),"YES","")</f>
        <v/>
      </c>
      <c r="AL1539" s="54">
        <f>IF(AND(W1539="X",M1539&lt;=$AJ$2),S1539,"")</f>
        <v/>
      </c>
      <c r="AM1539" s="35" t="n"/>
      <c r="AN1539" s="35">
        <f>IF(AND(W1539="X",M1539&gt;$AJ$2),S1539,"")</f>
        <v/>
      </c>
      <c r="AO1539" s="35">
        <f>IF(AND(W1539="",M1539&gt;0,$AJ$2&gt;M1539,L1539=""),1,0)</f>
        <v/>
      </c>
      <c r="AP1539" s="35">
        <f>IF(AND(AK1539="YES",W1539="X"),"X","")</f>
        <v/>
      </c>
      <c r="AQ1539" s="55">
        <f>IF(AP1539="X",100%,0%)</f>
        <v/>
      </c>
      <c r="AR1539" s="25">
        <f>IF(AND(T1539&gt;0,L1539=""),H1539,"")</f>
        <v/>
      </c>
      <c r="AS1539" s="25">
        <f>IF(AND(D1539&gt;0,H1539=0,G1539=""),1,"")</f>
        <v/>
      </c>
      <c r="AT1539" s="25">
        <f>IF(G1539="BLOQ",1,"")</f>
        <v/>
      </c>
      <c r="AU1539" s="25">
        <f>IF(L1539="BLOQ",1,"")</f>
        <v/>
      </c>
      <c r="AV1539" s="25">
        <f>MONTH(F1539)</f>
        <v/>
      </c>
      <c r="AW1539" s="65">
        <f>IF(AP1539="",100%,0%)</f>
        <v/>
      </c>
      <c r="AX1539" s="56" t="n"/>
      <c r="AY1539" s="24">
        <f>IF(M1539=0,"",M1539-$AX$2)</f>
        <v/>
      </c>
      <c r="AZ1539" s="66">
        <f>IF(AND(W1539="",AY1539&gt;0,AY1539&lt;15),1,0)</f>
        <v/>
      </c>
      <c r="BA1539" s="24">
        <f>IF(AND(W1539="",AY1539&gt;0,AY1539&lt;15),T1539,"")</f>
        <v/>
      </c>
      <c r="BB1539" s="87">
        <f>IF(R1539&lt;Q1539,"X","")</f>
        <v/>
      </c>
      <c r="BC1539" s="190" t="inlineStr">
        <is>
          <t>NO</t>
        </is>
      </c>
      <c r="BD1539" s="191" t="inlineStr">
        <is>
          <t>SI</t>
        </is>
      </c>
    </row>
    <row r="1540" ht="15" customHeight="1" s="162">
      <c r="A1540" s="7" t="n">
        <v>1539</v>
      </c>
      <c r="B1540" t="inlineStr">
        <is>
          <t>0973585290500</t>
        </is>
      </c>
      <c r="C1540" t="inlineStr">
        <is>
          <t>CERRAMIENTO INFERIOR</t>
        </is>
      </c>
      <c r="D1540" t="inlineStr">
        <is>
          <t>1800115676</t>
        </is>
      </c>
      <c r="E1540" t="inlineStr">
        <is>
          <t>10</t>
        </is>
      </c>
      <c r="F1540" s="163" t="n">
        <v>45611</v>
      </c>
      <c r="G1540" t="inlineStr"/>
      <c r="H1540" t="inlineStr">
        <is>
          <t>4600004162</t>
        </is>
      </c>
      <c r="I1540" t="inlineStr">
        <is>
          <t>20</t>
        </is>
      </c>
      <c r="J1540" s="163" t="n">
        <v>45615</v>
      </c>
      <c r="K1540" s="163" t="n">
        <v>45616</v>
      </c>
      <c r="L1540" t="inlineStr"/>
      <c r="M1540" s="163" t="n">
        <v>46006</v>
      </c>
      <c r="N1540" s="164" t="n">
        <v>40</v>
      </c>
      <c r="O1540" s="164" t="n">
        <v>8</v>
      </c>
      <c r="P1540" t="inlineStr">
        <is>
          <t>Liberado</t>
        </is>
      </c>
      <c r="Q1540" s="165" t="n">
        <v>1</v>
      </c>
      <c r="R1540" s="165" t="n">
        <v>1</v>
      </c>
      <c r="S1540" s="165" t="n">
        <v>1</v>
      </c>
      <c r="T1540" s="165" t="n">
        <v>0</v>
      </c>
      <c r="U1540" s="166" t="n">
        <v>1</v>
      </c>
      <c r="V1540" s="166" t="n">
        <v>0</v>
      </c>
      <c r="W1540" t="inlineStr">
        <is>
          <t>X</t>
        </is>
      </c>
      <c r="X1540" t="inlineStr">
        <is>
          <t>0.00</t>
        </is>
      </c>
      <c r="Y1540" t="inlineStr"/>
      <c r="Z1540" t="inlineStr">
        <is>
          <t>TALLERES XUQUER, SL</t>
        </is>
      </c>
      <c r="AA1540" t="inlineStr">
        <is>
          <t>INDRA SISTEMAS S.A.</t>
        </is>
      </c>
      <c r="AB1540" t="inlineStr">
        <is>
          <t>0973585290500</t>
        </is>
      </c>
      <c r="AC1540" t="inlineStr"/>
      <c r="AD1540" s="164" t="n">
        <v>0</v>
      </c>
      <c r="AE1540" s="185" t="n">
        <v>0</v>
      </c>
      <c r="AG1540" s="167" t="inlineStr">
        <is>
          <t>7218|JA2578_1001</t>
        </is>
      </c>
      <c r="AH1540" s="47">
        <f>IF(M1540=0,"-",M1540-J1540)</f>
        <v/>
      </c>
      <c r="AI1540" s="46">
        <f>IF(AND(S1540=0,M1540&gt;0,L1540=0),IF(AH1540&gt;=120,"VERY HIGH",IF(AH1540&gt;=90,"HIGH",IF(AH1540&gt;=60,"MEDIUM",IF(AH1540&lt;60,"LOW")))),"-")</f>
        <v/>
      </c>
      <c r="AJ1540" s="12" t="n"/>
      <c r="AK1540" s="53">
        <f>IF(AND(W1540="X",M1540&lt;=$AJ$2),"YES","")</f>
        <v/>
      </c>
      <c r="AL1540" s="54">
        <f>IF(AND(W1540="X",M1540&lt;=$AJ$2),S1540,"")</f>
        <v/>
      </c>
      <c r="AM1540" s="35" t="n"/>
      <c r="AN1540" s="35">
        <f>IF(AND(W1540="X",M1540&gt;$AJ$2),S1540,"")</f>
        <v/>
      </c>
      <c r="AO1540" s="35">
        <f>IF(AND(W1540="",M1540&gt;0,$AJ$2&gt;M1540,L1540=""),1,0)</f>
        <v/>
      </c>
      <c r="AP1540" s="35">
        <f>IF(AND(AK1540="YES",W1540="X"),"X","")</f>
        <v/>
      </c>
      <c r="AQ1540" s="55">
        <f>IF(AP1540="X",100%,0%)</f>
        <v/>
      </c>
      <c r="AR1540" s="25">
        <f>IF(AND(T1540&gt;0,L1540=""),H1540,"")</f>
        <v/>
      </c>
      <c r="AS1540" s="25">
        <f>IF(AND(D1540&gt;0,H1540=0,G1540=""),1,"")</f>
        <v/>
      </c>
      <c r="AT1540" s="25">
        <f>IF(G1540="BLOQ",1,"")</f>
        <v/>
      </c>
      <c r="AU1540" s="25">
        <f>IF(L1540="BLOQ",1,"")</f>
        <v/>
      </c>
      <c r="AV1540" s="25">
        <f>MONTH(F1540)</f>
        <v/>
      </c>
      <c r="AW1540" s="65">
        <f>IF(AP1540="",100%,0%)</f>
        <v/>
      </c>
      <c r="AX1540" s="56" t="n"/>
      <c r="AY1540" s="24">
        <f>IF(M1540=0,"",M1540-$AX$2)</f>
        <v/>
      </c>
      <c r="AZ1540" s="66">
        <f>IF(AND(W1540="",AY1540&gt;0,AY1540&lt;15),1,0)</f>
        <v/>
      </c>
      <c r="BA1540" s="24">
        <f>IF(AND(W1540="",AY1540&gt;0,AY1540&lt;15),T1540,"")</f>
        <v/>
      </c>
      <c r="BB1540" s="87">
        <f>IF(R1540&lt;Q1540,"X","")</f>
        <v/>
      </c>
      <c r="BC1540" s="190" t="inlineStr">
        <is>
          <t>NO</t>
        </is>
      </c>
      <c r="BD1540" s="191" t="inlineStr">
        <is>
          <t>SI</t>
        </is>
      </c>
    </row>
    <row r="1541" ht="15" customHeight="1" s="162">
      <c r="A1541" s="7" t="n">
        <v>1540</v>
      </c>
      <c r="B1541" t="inlineStr">
        <is>
          <t>0973585290600</t>
        </is>
      </c>
      <c r="C1541" t="inlineStr">
        <is>
          <t>PANEL POSTERIOR</t>
        </is>
      </c>
      <c r="D1541" t="inlineStr">
        <is>
          <t>1800115676</t>
        </is>
      </c>
      <c r="E1541" t="inlineStr">
        <is>
          <t>20</t>
        </is>
      </c>
      <c r="F1541" s="163" t="n">
        <v>45611</v>
      </c>
      <c r="G1541" t="inlineStr"/>
      <c r="H1541" t="inlineStr">
        <is>
          <t>4600004162</t>
        </is>
      </c>
      <c r="I1541" t="inlineStr">
        <is>
          <t>30</t>
        </is>
      </c>
      <c r="J1541" s="163" t="n">
        <v>45615</v>
      </c>
      <c r="K1541" s="163" t="n">
        <v>45616</v>
      </c>
      <c r="L1541" t="inlineStr"/>
      <c r="M1541" s="163" t="n">
        <v>46006</v>
      </c>
      <c r="N1541" s="164" t="n">
        <v>40</v>
      </c>
      <c r="O1541" s="164" t="n">
        <v>8</v>
      </c>
      <c r="P1541" t="inlineStr">
        <is>
          <t>Liberado</t>
        </is>
      </c>
      <c r="Q1541" s="165" t="n">
        <v>1</v>
      </c>
      <c r="R1541" s="165" t="n">
        <v>1</v>
      </c>
      <c r="S1541" s="165" t="n">
        <v>1</v>
      </c>
      <c r="T1541" s="165" t="n">
        <v>0</v>
      </c>
      <c r="U1541" s="166" t="n">
        <v>1</v>
      </c>
      <c r="V1541" s="166" t="n">
        <v>0</v>
      </c>
      <c r="W1541" t="inlineStr">
        <is>
          <t>X</t>
        </is>
      </c>
      <c r="X1541" t="inlineStr">
        <is>
          <t>0.00</t>
        </is>
      </c>
      <c r="Y1541" t="inlineStr"/>
      <c r="Z1541" t="inlineStr">
        <is>
          <t>TALLERES XUQUER, SL</t>
        </is>
      </c>
      <c r="AA1541" t="inlineStr">
        <is>
          <t>INDRA SISTEMAS S.A.</t>
        </is>
      </c>
      <c r="AB1541" t="inlineStr">
        <is>
          <t>0973585290600</t>
        </is>
      </c>
      <c r="AC1541" t="inlineStr"/>
      <c r="AD1541" s="164" t="n">
        <v>0</v>
      </c>
      <c r="AE1541" s="185" t="n">
        <v>0</v>
      </c>
      <c r="AG1541" s="167" t="inlineStr">
        <is>
          <t>7218|JA2578_1001</t>
        </is>
      </c>
      <c r="AH1541" s="47">
        <f>IF(M1541=0,"-",M1541-J1541)</f>
        <v/>
      </c>
      <c r="AI1541" s="46">
        <f>IF(AND(S1541=0,M1541&gt;0,L1541=0),IF(AH1541&gt;=120,"VERY HIGH",IF(AH1541&gt;=90,"HIGH",IF(AH1541&gt;=60,"MEDIUM",IF(AH1541&lt;60,"LOW")))),"-")</f>
        <v/>
      </c>
      <c r="AJ1541" s="12" t="n"/>
      <c r="AK1541" s="53">
        <f>IF(AND(W1541="X",M1541&lt;=$AJ$2),"YES","")</f>
        <v/>
      </c>
      <c r="AL1541" s="54">
        <f>IF(AND(W1541="X",M1541&lt;=$AJ$2),S1541,"")</f>
        <v/>
      </c>
      <c r="AM1541" s="35" t="n"/>
      <c r="AN1541" s="35">
        <f>IF(AND(W1541="X",M1541&gt;$AJ$2),S1541,"")</f>
        <v/>
      </c>
      <c r="AO1541" s="35">
        <f>IF(AND(W1541="",M1541&gt;0,$AJ$2&gt;M1541,L1541=""),1,0)</f>
        <v/>
      </c>
      <c r="AP1541" s="35">
        <f>IF(AND(AK1541="YES",W1541="X"),"X","")</f>
        <v/>
      </c>
      <c r="AQ1541" s="55">
        <f>IF(AP1541="X",100%,0%)</f>
        <v/>
      </c>
      <c r="AR1541" s="25">
        <f>IF(AND(T1541&gt;0,L1541=""),H1541,"")</f>
        <v/>
      </c>
      <c r="AS1541" s="25">
        <f>IF(AND(D1541&gt;0,H1541=0,G1541=""),1,"")</f>
        <v/>
      </c>
      <c r="AT1541" s="25">
        <f>IF(G1541="BLOQ",1,"")</f>
        <v/>
      </c>
      <c r="AU1541" s="25">
        <f>IF(L1541="BLOQ",1,"")</f>
        <v/>
      </c>
      <c r="AV1541" s="25">
        <f>MONTH(F1541)</f>
        <v/>
      </c>
      <c r="AW1541" s="65">
        <f>IF(AP1541="",100%,0%)</f>
        <v/>
      </c>
      <c r="AX1541" s="56" t="n"/>
      <c r="AY1541" s="24">
        <f>IF(M1541=0,"",M1541-$AX$2)</f>
        <v/>
      </c>
      <c r="AZ1541" s="66">
        <f>IF(AND(W1541="",AY1541&gt;0,AY1541&lt;15),1,0)</f>
        <v/>
      </c>
      <c r="BA1541" s="24">
        <f>IF(AND(W1541="",AY1541&gt;0,AY1541&lt;15),T1541,"")</f>
        <v/>
      </c>
      <c r="BB1541" s="87">
        <f>IF(R1541&lt;Q1541,"X","")</f>
        <v/>
      </c>
      <c r="BC1541" s="190" t="inlineStr">
        <is>
          <t>NO</t>
        </is>
      </c>
      <c r="BD1541" s="191" t="inlineStr">
        <is>
          <t>SI</t>
        </is>
      </c>
    </row>
    <row r="1542" ht="15" customHeight="1" s="162">
      <c r="A1542" s="7" t="n">
        <v>1541</v>
      </c>
      <c r="B1542" t="inlineStr">
        <is>
          <t>0973585290700</t>
        </is>
      </c>
      <c r="C1542" t="inlineStr">
        <is>
          <t>ESTRUCTURA PROY BANDEJA PROY SOPORT MASC</t>
        </is>
      </c>
      <c r="D1542" t="inlineStr">
        <is>
          <t>1800115676</t>
        </is>
      </c>
      <c r="E1542" t="inlineStr">
        <is>
          <t>30</t>
        </is>
      </c>
      <c r="F1542" s="163" t="n">
        <v>45611</v>
      </c>
      <c r="G1542" t="inlineStr"/>
      <c r="H1542" t="inlineStr">
        <is>
          <t>4600004162</t>
        </is>
      </c>
      <c r="I1542" t="inlineStr">
        <is>
          <t>40</t>
        </is>
      </c>
      <c r="J1542" s="163" t="n">
        <v>45615</v>
      </c>
      <c r="K1542" s="163" t="n">
        <v>45616</v>
      </c>
      <c r="L1542" t="inlineStr"/>
      <c r="M1542" s="163" t="n">
        <v>46006</v>
      </c>
      <c r="N1542" s="164" t="n">
        <v>40</v>
      </c>
      <c r="O1542" s="164" t="n">
        <v>8</v>
      </c>
      <c r="P1542" t="inlineStr">
        <is>
          <t>Liberado</t>
        </is>
      </c>
      <c r="Q1542" s="165" t="n">
        <v>1</v>
      </c>
      <c r="R1542" s="165" t="n">
        <v>1</v>
      </c>
      <c r="S1542" s="165" t="n">
        <v>1</v>
      </c>
      <c r="T1542" s="165" t="n">
        <v>0</v>
      </c>
      <c r="U1542" s="166" t="n">
        <v>1</v>
      </c>
      <c r="V1542" s="166" t="n">
        <v>0</v>
      </c>
      <c r="W1542" t="inlineStr">
        <is>
          <t>X</t>
        </is>
      </c>
      <c r="X1542" t="inlineStr">
        <is>
          <t>0.00</t>
        </is>
      </c>
      <c r="Y1542" t="inlineStr"/>
      <c r="Z1542" t="inlineStr">
        <is>
          <t>TALLERES XUQUER, SL</t>
        </is>
      </c>
      <c r="AA1542" t="inlineStr">
        <is>
          <t>INDRA SISTEMAS S.A.</t>
        </is>
      </c>
      <c r="AB1542" t="inlineStr">
        <is>
          <t>0973585290700</t>
        </is>
      </c>
      <c r="AC1542" t="inlineStr"/>
      <c r="AD1542" s="164" t="n">
        <v>0</v>
      </c>
      <c r="AE1542" s="185" t="n">
        <v>0</v>
      </c>
      <c r="AG1542" s="167" t="inlineStr">
        <is>
          <t>7218|JA2578_1001</t>
        </is>
      </c>
      <c r="AH1542" s="47">
        <f>IF(M1542=0,"-",M1542-J1542)</f>
        <v/>
      </c>
      <c r="AI1542" s="46">
        <f>IF(AND(S1542=0,M1542&gt;0,L1542=0),IF(AH1542&gt;=120,"VERY HIGH",IF(AH1542&gt;=90,"HIGH",IF(AH1542&gt;=60,"MEDIUM",IF(AH1542&lt;60,"LOW")))),"-")</f>
        <v/>
      </c>
      <c r="AJ1542" s="12" t="n"/>
      <c r="AK1542" s="53">
        <f>IF(AND(W1542="X",M1542&lt;=$AJ$2),"YES","")</f>
        <v/>
      </c>
      <c r="AL1542" s="54">
        <f>IF(AND(W1542="X",M1542&lt;=$AJ$2),S1542,"")</f>
        <v/>
      </c>
      <c r="AM1542" s="35" t="n"/>
      <c r="AN1542" s="35">
        <f>IF(AND(W1542="X",M1542&gt;$AJ$2),S1542,"")</f>
        <v/>
      </c>
      <c r="AO1542" s="35">
        <f>IF(AND(W1542="",M1542&gt;0,$AJ$2&gt;M1542,L1542=""),1,0)</f>
        <v/>
      </c>
      <c r="AP1542" s="35">
        <f>IF(AND(AK1542="YES",W1542="X"),"X","")</f>
        <v/>
      </c>
      <c r="AQ1542" s="55">
        <f>IF(AP1542="X",100%,0%)</f>
        <v/>
      </c>
      <c r="AR1542" s="25">
        <f>IF(AND(T1542&gt;0,L1542=""),H1542,"")</f>
        <v/>
      </c>
      <c r="AS1542" s="25">
        <f>IF(AND(D1542&gt;0,H1542=0,G1542=""),1,"")</f>
        <v/>
      </c>
      <c r="AT1542" s="25">
        <f>IF(G1542="BLOQ",1,"")</f>
        <v/>
      </c>
      <c r="AU1542" s="25">
        <f>IF(L1542="BLOQ",1,"")</f>
        <v/>
      </c>
      <c r="AV1542" s="25">
        <f>MONTH(F1542)</f>
        <v/>
      </c>
      <c r="AW1542" s="65">
        <f>IF(AP1542="",100%,0%)</f>
        <v/>
      </c>
      <c r="AX1542" s="56" t="n"/>
      <c r="AY1542" s="24">
        <f>IF(M1542=0,"",M1542-$AX$2)</f>
        <v/>
      </c>
      <c r="AZ1542" s="66">
        <f>IF(AND(W1542="",AY1542&gt;0,AY1542&lt;15),1,0)</f>
        <v/>
      </c>
      <c r="BA1542" s="24">
        <f>IF(AND(W1542="",AY1542&gt;0,AY1542&lt;15),T1542,"")</f>
        <v/>
      </c>
      <c r="BB1542" s="87">
        <f>IF(R1542&lt;Q1542,"X","")</f>
        <v/>
      </c>
      <c r="BC1542" s="190" t="inlineStr">
        <is>
          <t>NO</t>
        </is>
      </c>
      <c r="BD1542" s="191" t="inlineStr">
        <is>
          <t>SI</t>
        </is>
      </c>
    </row>
    <row r="1543" ht="15" customHeight="1" s="162">
      <c r="A1543" s="7" t="n">
        <v>1542</v>
      </c>
      <c r="B1543" t="inlineStr">
        <is>
          <t>0973585290800</t>
        </is>
      </c>
      <c r="C1543" t="inlineStr">
        <is>
          <t>BPS MATIZADA</t>
        </is>
      </c>
      <c r="D1543" t="inlineStr">
        <is>
          <t>1800115677</t>
        </is>
      </c>
      <c r="E1543" t="inlineStr">
        <is>
          <t>10</t>
        </is>
      </c>
      <c r="F1543" s="163" t="n">
        <v>45611</v>
      </c>
      <c r="G1543" t="inlineStr"/>
      <c r="H1543" t="inlineStr">
        <is>
          <t>4600004162</t>
        </is>
      </c>
      <c r="I1543" t="inlineStr">
        <is>
          <t>10</t>
        </is>
      </c>
      <c r="J1543" s="163" t="n">
        <v>45615</v>
      </c>
      <c r="K1543" s="163" t="n">
        <v>45616</v>
      </c>
      <c r="L1543" t="inlineStr"/>
      <c r="M1543" s="163" t="n">
        <v>46006</v>
      </c>
      <c r="N1543" s="164" t="n">
        <v>40</v>
      </c>
      <c r="O1543" s="164" t="n">
        <v>8</v>
      </c>
      <c r="P1543" t="inlineStr">
        <is>
          <t>Liberado</t>
        </is>
      </c>
      <c r="Q1543" s="165" t="n">
        <v>1</v>
      </c>
      <c r="R1543" s="165" t="n">
        <v>1</v>
      </c>
      <c r="S1543" s="165" t="n">
        <v>1</v>
      </c>
      <c r="T1543" s="165" t="n">
        <v>0</v>
      </c>
      <c r="U1543" s="166" t="n">
        <v>1</v>
      </c>
      <c r="V1543" s="166" t="n">
        <v>0</v>
      </c>
      <c r="W1543" t="inlineStr">
        <is>
          <t>X</t>
        </is>
      </c>
      <c r="X1543" t="inlineStr">
        <is>
          <t>0.00</t>
        </is>
      </c>
      <c r="Y1543" t="inlineStr"/>
      <c r="Z1543" t="inlineStr">
        <is>
          <t>TALLERES XUQUER, SL</t>
        </is>
      </c>
      <c r="AA1543" t="inlineStr">
        <is>
          <t>INDRA SISTEMAS S.A.</t>
        </is>
      </c>
      <c r="AB1543" t="inlineStr">
        <is>
          <t>0973585290800</t>
        </is>
      </c>
      <c r="AC1543" t="inlineStr"/>
      <c r="AD1543" s="164" t="n">
        <v>0</v>
      </c>
      <c r="AE1543" s="185" t="n">
        <v>0</v>
      </c>
      <c r="AG1543" s="167" t="inlineStr">
        <is>
          <t>7218|JA2578_1001</t>
        </is>
      </c>
      <c r="AH1543" s="47">
        <f>IF(M1543=0,"-",M1543-J1543)</f>
        <v/>
      </c>
      <c r="AI1543" s="46">
        <f>IF(AND(S1543=0,M1543&gt;0,L1543=0),IF(AH1543&gt;=120,"VERY HIGH",IF(AH1543&gt;=90,"HIGH",IF(AH1543&gt;=60,"MEDIUM",IF(AH1543&lt;60,"LOW")))),"-")</f>
        <v/>
      </c>
      <c r="AJ1543" s="12" t="n"/>
      <c r="AK1543" s="53">
        <f>IF(AND(W1543="X",M1543&lt;=$AJ$2),"YES","")</f>
        <v/>
      </c>
      <c r="AL1543" s="54">
        <f>IF(AND(W1543="X",M1543&lt;=$AJ$2),S1543,"")</f>
        <v/>
      </c>
      <c r="AM1543" s="35" t="n"/>
      <c r="AN1543" s="35">
        <f>IF(AND(W1543="X",M1543&gt;$AJ$2),S1543,"")</f>
        <v/>
      </c>
      <c r="AO1543" s="35">
        <f>IF(AND(W1543="",M1543&gt;0,$AJ$2&gt;M1543,L1543=""),1,0)</f>
        <v/>
      </c>
      <c r="AP1543" s="35">
        <f>IF(AND(AK1543="YES",W1543="X"),"X","")</f>
        <v/>
      </c>
      <c r="AQ1543" s="55">
        <f>IF(AP1543="X",100%,0%)</f>
        <v/>
      </c>
      <c r="AR1543" s="25">
        <f>IF(AND(T1543&gt;0,L1543=""),H1543,"")</f>
        <v/>
      </c>
      <c r="AS1543" s="25">
        <f>IF(AND(D1543&gt;0,H1543=0,G1543=""),1,"")</f>
        <v/>
      </c>
      <c r="AT1543" s="25">
        <f>IF(G1543="BLOQ",1,"")</f>
        <v/>
      </c>
      <c r="AU1543" s="25">
        <f>IF(L1543="BLOQ",1,"")</f>
        <v/>
      </c>
      <c r="AV1543" s="25">
        <f>MONTH(F1543)</f>
        <v/>
      </c>
      <c r="AW1543" s="65">
        <f>IF(AP1543="",100%,0%)</f>
        <v/>
      </c>
      <c r="AX1543" s="56" t="n"/>
      <c r="AY1543" s="24">
        <f>IF(M1543=0,"",M1543-$AX$2)</f>
        <v/>
      </c>
      <c r="AZ1543" s="66">
        <f>IF(AND(W1543="",AY1543&gt;0,AY1543&lt;15),1,0)</f>
        <v/>
      </c>
      <c r="BA1543" s="24">
        <f>IF(AND(W1543="",AY1543&gt;0,AY1543&lt;15),T1543,"")</f>
        <v/>
      </c>
      <c r="BB1543" s="87">
        <f>IF(R1543&lt;Q1543,"X","")</f>
        <v/>
      </c>
      <c r="BC1543" s="190" t="inlineStr">
        <is>
          <t>NO</t>
        </is>
      </c>
      <c r="BD1543" s="191" t="inlineStr">
        <is>
          <t>SI</t>
        </is>
      </c>
    </row>
    <row r="1544" ht="15" customHeight="1" s="162">
      <c r="A1544" s="7" t="n">
        <v>1543</v>
      </c>
      <c r="B1544" t="inlineStr">
        <is>
          <t>1124390028000</t>
        </is>
      </c>
      <c r="C1544" t="inlineStr">
        <is>
          <t>ACC CUERPO 1NO+1NC C/BLOQ P/INT FINAL</t>
        </is>
      </c>
      <c r="D1544" t="inlineStr">
        <is>
          <t>1800115921</t>
        </is>
      </c>
      <c r="E1544" t="inlineStr">
        <is>
          <t>10</t>
        </is>
      </c>
      <c r="F1544" s="163" t="n">
        <v>45617</v>
      </c>
      <c r="G1544" t="inlineStr"/>
      <c r="H1544" t="inlineStr">
        <is>
          <t>4200587699</t>
        </is>
      </c>
      <c r="I1544" t="inlineStr">
        <is>
          <t>20</t>
        </is>
      </c>
      <c r="J1544" s="163" t="n">
        <v>45624</v>
      </c>
      <c r="K1544" s="163" t="n">
        <v>45624</v>
      </c>
      <c r="L1544" t="inlineStr"/>
      <c r="M1544" s="163" t="n">
        <v>45631</v>
      </c>
      <c r="N1544" s="164" t="n">
        <v>40</v>
      </c>
      <c r="O1544" s="164" t="n">
        <v>8</v>
      </c>
      <c r="P1544" t="inlineStr">
        <is>
          <t>Liberado</t>
        </is>
      </c>
      <c r="Q1544" s="165" t="n">
        <v>2</v>
      </c>
      <c r="R1544" s="165" t="n">
        <v>2</v>
      </c>
      <c r="S1544" s="165" t="n">
        <v>2</v>
      </c>
      <c r="T1544" s="165" t="n">
        <v>0</v>
      </c>
      <c r="U1544" s="166" t="n">
        <v>2</v>
      </c>
      <c r="V1544" s="166" t="n">
        <v>0</v>
      </c>
      <c r="W1544" t="inlineStr">
        <is>
          <t>X</t>
        </is>
      </c>
      <c r="X1544" t="inlineStr">
        <is>
          <t>0.00</t>
        </is>
      </c>
      <c r="Y1544" t="inlineStr"/>
      <c r="Z1544" t="inlineStr">
        <is>
          <t>LUJISA, S.A.</t>
        </is>
      </c>
      <c r="AA1544" t="inlineStr">
        <is>
          <t>LOVATO ELECTRIC S.P.A.</t>
        </is>
      </c>
      <c r="AB1544" t="inlineStr">
        <is>
          <t>KXCBS11</t>
        </is>
      </c>
      <c r="AC1544" t="inlineStr"/>
      <c r="AD1544" s="164" t="n">
        <v>0</v>
      </c>
      <c r="AE1544" s="185" t="n">
        <v>0</v>
      </c>
      <c r="AG1544" s="167" t="inlineStr">
        <is>
          <t>7218|JA2582_1001</t>
        </is>
      </c>
      <c r="AH1544" s="47">
        <f>IF(M1544=0,"-",M1544-J1544)</f>
        <v/>
      </c>
      <c r="AI1544" s="46">
        <f>IF(AND(S1544=0,M1544&gt;0,L1544=0),IF(AH1544&gt;=120,"VERY HIGH",IF(AH1544&gt;=90,"HIGH",IF(AH1544&gt;=60,"MEDIUM",IF(AH1544&lt;60,"LOW")))),"-")</f>
        <v/>
      </c>
      <c r="AJ1544" s="12" t="n"/>
      <c r="AK1544" s="53">
        <f>IF(AND(W1544="X",M1544&lt;=$AJ$2),"YES","")</f>
        <v/>
      </c>
      <c r="AL1544" s="54">
        <f>IF(AND(W1544="X",M1544&lt;=$AJ$2),S1544,"")</f>
        <v/>
      </c>
      <c r="AM1544" s="35" t="n"/>
      <c r="AN1544" s="35">
        <f>IF(AND(W1544="X",M1544&gt;$AJ$2),S1544,"")</f>
        <v/>
      </c>
      <c r="AO1544" s="35">
        <f>IF(AND(W1544="",M1544&gt;0,$AJ$2&gt;M1544,L1544=""),1,0)</f>
        <v/>
      </c>
      <c r="AP1544" s="35">
        <f>IF(AND(AK1544="YES",W1544="X"),"X","")</f>
        <v/>
      </c>
      <c r="AQ1544" s="55">
        <f>IF(AP1544="X",100%,0%)</f>
        <v/>
      </c>
      <c r="AR1544" s="25">
        <f>IF(AND(T1544&gt;0,L1544=""),H1544,"")</f>
        <v/>
      </c>
      <c r="AS1544" s="25">
        <f>IF(AND(D1544&gt;0,H1544=0,G1544=""),1,"")</f>
        <v/>
      </c>
      <c r="AT1544" s="25">
        <f>IF(G1544="BLOQ",1,"")</f>
        <v/>
      </c>
      <c r="AU1544" s="25">
        <f>IF(L1544="BLOQ",1,"")</f>
        <v/>
      </c>
      <c r="AV1544" s="25">
        <f>MONTH(F1544)</f>
        <v/>
      </c>
      <c r="AW1544" s="65">
        <f>IF(AP1544="",100%,0%)</f>
        <v/>
      </c>
      <c r="AX1544" s="56" t="n"/>
      <c r="AY1544" s="24">
        <f>IF(M1544=0,"",M1544-$AX$2)</f>
        <v/>
      </c>
      <c r="AZ1544" s="66">
        <f>IF(AND(W1544="",AY1544&gt;0,AY1544&lt;15),1,0)</f>
        <v/>
      </c>
      <c r="BA1544" s="24">
        <f>IF(AND(W1544="",AY1544&gt;0,AY1544&lt;15),T1544,"")</f>
        <v/>
      </c>
      <c r="BB1544" s="87">
        <f>IF(R1544&lt;Q1544,"X","")</f>
        <v/>
      </c>
      <c r="BC1544" s="190" t="inlineStr">
        <is>
          <t>NO</t>
        </is>
      </c>
      <c r="BD1544" s="191" t="inlineStr">
        <is>
          <t>SI</t>
        </is>
      </c>
    </row>
    <row r="1545" ht="15" customHeight="1" s="162">
      <c r="A1545" s="7" t="n">
        <v>1544</v>
      </c>
      <c r="B1545" t="inlineStr">
        <is>
          <t>1124390028100</t>
        </is>
      </c>
      <c r="C1545" t="inlineStr">
        <is>
          <t>ACC PALANC RODIL ADJ D19X5MM P/INT FINAL</t>
        </is>
      </c>
      <c r="D1545" t="inlineStr">
        <is>
          <t>1800115921</t>
        </is>
      </c>
      <c r="E1545" t="inlineStr">
        <is>
          <t>20</t>
        </is>
      </c>
      <c r="F1545" s="163" t="n">
        <v>45617</v>
      </c>
      <c r="G1545" t="inlineStr"/>
      <c r="H1545" t="inlineStr">
        <is>
          <t>4200587700</t>
        </is>
      </c>
      <c r="I1545" t="inlineStr">
        <is>
          <t>10</t>
        </is>
      </c>
      <c r="J1545" s="163" t="n">
        <v>45624</v>
      </c>
      <c r="K1545" s="163" t="n">
        <v>45624</v>
      </c>
      <c r="L1545" t="inlineStr"/>
      <c r="M1545" s="163" t="n">
        <v>45635</v>
      </c>
      <c r="N1545" s="164" t="n">
        <v>40</v>
      </c>
      <c r="O1545" s="164" t="n">
        <v>8</v>
      </c>
      <c r="P1545" t="inlineStr">
        <is>
          <t>Liberado</t>
        </is>
      </c>
      <c r="Q1545" s="165" t="n">
        <v>2</v>
      </c>
      <c r="R1545" s="165" t="n">
        <v>2</v>
      </c>
      <c r="S1545" s="165" t="n">
        <v>2</v>
      </c>
      <c r="T1545" s="165" t="n">
        <v>0</v>
      </c>
      <c r="U1545" s="166" t="n">
        <v>2</v>
      </c>
      <c r="V1545" s="166" t="n">
        <v>0</v>
      </c>
      <c r="W1545" t="inlineStr">
        <is>
          <t>X</t>
        </is>
      </c>
      <c r="X1545" t="inlineStr">
        <is>
          <t>0.00</t>
        </is>
      </c>
      <c r="Y1545" t="inlineStr"/>
      <c r="Z1545" t="inlineStr">
        <is>
          <t>ICOMPPLUS ELECTRONICS S.L</t>
        </is>
      </c>
      <c r="AA1545" t="inlineStr">
        <is>
          <t>LOVATO ELECTRIC S.P.A.</t>
        </is>
      </c>
      <c r="AB1545" t="inlineStr">
        <is>
          <t>KXAF1</t>
        </is>
      </c>
      <c r="AC1545" t="inlineStr"/>
      <c r="AD1545" s="164" t="n">
        <v>0</v>
      </c>
      <c r="AE1545" s="185" t="n">
        <v>0</v>
      </c>
      <c r="AG1545" s="167" t="inlineStr">
        <is>
          <t>7218|JA2582_1001</t>
        </is>
      </c>
      <c r="AH1545" s="47">
        <f>IF(M1545=0,"-",M1545-J1545)</f>
        <v/>
      </c>
      <c r="AI1545" s="46">
        <f>IF(AND(S1545=0,M1545&gt;0,L1545=0),IF(AH1545&gt;=120,"VERY HIGH",IF(AH1545&gt;=90,"HIGH",IF(AH1545&gt;=60,"MEDIUM",IF(AH1545&lt;60,"LOW")))),"-")</f>
        <v/>
      </c>
      <c r="AJ1545" s="12" t="n"/>
      <c r="AK1545" s="53">
        <f>IF(AND(W1545="X",M1545&lt;=$AJ$2),"YES","")</f>
        <v/>
      </c>
      <c r="AL1545" s="54">
        <f>IF(AND(W1545="X",M1545&lt;=$AJ$2),S1545,"")</f>
        <v/>
      </c>
      <c r="AM1545" s="35" t="n"/>
      <c r="AN1545" s="35">
        <f>IF(AND(W1545="X",M1545&gt;$AJ$2),S1545,"")</f>
        <v/>
      </c>
      <c r="AO1545" s="35">
        <f>IF(AND(W1545="",M1545&gt;0,$AJ$2&gt;M1545,L1545=""),1,0)</f>
        <v/>
      </c>
      <c r="AP1545" s="35">
        <f>IF(AND(AK1545="YES",W1545="X"),"X","")</f>
        <v/>
      </c>
      <c r="AQ1545" s="55">
        <f>IF(AP1545="X",100%,0%)</f>
        <v/>
      </c>
      <c r="AR1545" s="25">
        <f>IF(AND(T1545&gt;0,L1545=""),H1545,"")</f>
        <v/>
      </c>
      <c r="AS1545" s="25">
        <f>IF(AND(D1545&gt;0,H1545=0,G1545=""),1,"")</f>
        <v/>
      </c>
      <c r="AT1545" s="25">
        <f>IF(G1545="BLOQ",1,"")</f>
        <v/>
      </c>
      <c r="AU1545" s="25">
        <f>IF(L1545="BLOQ",1,"")</f>
        <v/>
      </c>
      <c r="AV1545" s="25">
        <f>MONTH(F1545)</f>
        <v/>
      </c>
      <c r="AW1545" s="65">
        <f>IF(AP1545="",100%,0%)</f>
        <v/>
      </c>
      <c r="AX1545" s="56" t="n"/>
      <c r="AY1545" s="24">
        <f>IF(M1545=0,"",M1545-$AX$2)</f>
        <v/>
      </c>
      <c r="AZ1545" s="66">
        <f>IF(AND(W1545="",AY1545&gt;0,AY1545&lt;15),1,0)</f>
        <v/>
      </c>
      <c r="BA1545" s="24">
        <f>IF(AND(W1545="",AY1545&gt;0,AY1545&lt;15),T1545,"")</f>
        <v/>
      </c>
      <c r="BB1545" s="87">
        <f>IF(R1545&lt;Q1545,"X","")</f>
        <v/>
      </c>
      <c r="BC1545" s="190" t="inlineStr">
        <is>
          <t>NO</t>
        </is>
      </c>
      <c r="BD1545" s="191" t="inlineStr">
        <is>
          <t>SI</t>
        </is>
      </c>
    </row>
    <row r="1546" ht="15" customHeight="1" s="162">
      <c r="A1546" s="7" t="n">
        <v>1545</v>
      </c>
      <c r="B1546" t="inlineStr">
        <is>
          <t>1218000324400</t>
        </is>
      </c>
      <c r="C1546" t="inlineStr">
        <is>
          <t>CNC IEC C13 3P/H+T 250V LSZH C/BLOQUEO</t>
        </is>
      </c>
      <c r="D1546" t="inlineStr">
        <is>
          <t>1800115921</t>
        </is>
      </c>
      <c r="E1546" t="inlineStr">
        <is>
          <t>30</t>
        </is>
      </c>
      <c r="F1546" s="163" t="n">
        <v>45617</v>
      </c>
      <c r="G1546" t="inlineStr"/>
      <c r="H1546" t="inlineStr">
        <is>
          <t>4200590003</t>
        </is>
      </c>
      <c r="I1546" t="inlineStr">
        <is>
          <t>140</t>
        </is>
      </c>
      <c r="J1546" s="163" t="n">
        <v>45639</v>
      </c>
      <c r="K1546" s="163" t="n">
        <v>45665</v>
      </c>
      <c r="L1546" t="inlineStr"/>
      <c r="M1546" s="163" t="n">
        <v>45681</v>
      </c>
      <c r="N1546" s="164" t="n">
        <v>40</v>
      </c>
      <c r="O1546" s="164" t="n">
        <v>8</v>
      </c>
      <c r="P1546" t="inlineStr">
        <is>
          <t>Liberado</t>
        </is>
      </c>
      <c r="Q1546" s="165" t="n">
        <v>5</v>
      </c>
      <c r="R1546" s="165" t="n">
        <v>5</v>
      </c>
      <c r="S1546" s="165" t="n">
        <v>5</v>
      </c>
      <c r="T1546" s="165" t="n">
        <v>0</v>
      </c>
      <c r="U1546" s="166" t="n">
        <v>0</v>
      </c>
      <c r="V1546" s="166" t="n">
        <v>0</v>
      </c>
      <c r="W1546" t="inlineStr">
        <is>
          <t>X</t>
        </is>
      </c>
      <c r="X1546" t="inlineStr">
        <is>
          <t>0.00</t>
        </is>
      </c>
      <c r="Y1546" t="inlineStr"/>
      <c r="Z1546" t="inlineStr">
        <is>
          <t>SUMINISTROS CONECTORES PROF.,SA.</t>
        </is>
      </c>
      <c r="AA1546" t="inlineStr">
        <is>
          <t>IEC LOCK</t>
        </is>
      </c>
      <c r="AB1546" t="inlineStr">
        <is>
          <t>PA130100BK</t>
        </is>
      </c>
      <c r="AC1546" t="inlineStr"/>
      <c r="AD1546" s="164" t="n">
        <v>1</v>
      </c>
      <c r="AE1546" s="185" t="n">
        <v>0</v>
      </c>
      <c r="AG1546" s="167" t="inlineStr">
        <is>
          <t>7218|JA2582_1001</t>
        </is>
      </c>
      <c r="AH1546" s="47">
        <f>IF(M1546=0,"-",M1546-J1546)</f>
        <v/>
      </c>
      <c r="AI1546" s="46">
        <f>IF(AND(S1546=0,M1546&gt;0,L1546=0),IF(AH1546&gt;=120,"VERY HIGH",IF(AH1546&gt;=90,"HIGH",IF(AH1546&gt;=60,"MEDIUM",IF(AH1546&lt;60,"LOW")))),"-")</f>
        <v/>
      </c>
      <c r="AJ1546" s="12" t="n"/>
      <c r="AK1546" s="53">
        <f>IF(AND(W1546="X",M1546&lt;=$AJ$2),"YES","")</f>
        <v/>
      </c>
      <c r="AL1546" s="54">
        <f>IF(AND(W1546="X",M1546&lt;=$AJ$2),S1546,"")</f>
        <v/>
      </c>
      <c r="AM1546" s="35" t="n"/>
      <c r="AN1546" s="35">
        <f>IF(AND(W1546="X",M1546&gt;$AJ$2),S1546,"")</f>
        <v/>
      </c>
      <c r="AO1546" s="35">
        <f>IF(AND(W1546="",M1546&gt;0,$AJ$2&gt;M1546,L1546=""),1,0)</f>
        <v/>
      </c>
      <c r="AP1546" s="35">
        <f>IF(AND(AK1546="YES",W1546="X"),"X","")</f>
        <v/>
      </c>
      <c r="AQ1546" s="55">
        <f>IF(AP1546="X",100%,0%)</f>
        <v/>
      </c>
      <c r="AR1546" s="25">
        <f>IF(AND(T1546&gt;0,L1546=""),H1546,"")</f>
        <v/>
      </c>
      <c r="AS1546" s="25">
        <f>IF(AND(D1546&gt;0,H1546=0,G1546=""),1,"")</f>
        <v/>
      </c>
      <c r="AT1546" s="25">
        <f>IF(G1546="BLOQ",1,"")</f>
        <v/>
      </c>
      <c r="AU1546" s="25">
        <f>IF(L1546="BLOQ",1,"")</f>
        <v/>
      </c>
      <c r="AV1546" s="25">
        <f>MONTH(F1546)</f>
        <v/>
      </c>
      <c r="AW1546" s="65">
        <f>IF(AP1546="",100%,0%)</f>
        <v/>
      </c>
      <c r="AX1546" s="56" t="n"/>
      <c r="AY1546" s="24">
        <f>IF(M1546=0,"",M1546-$AX$2)</f>
        <v/>
      </c>
      <c r="AZ1546" s="66">
        <f>IF(AND(W1546="",AY1546&gt;0,AY1546&lt;15),1,0)</f>
        <v/>
      </c>
      <c r="BA1546" s="24">
        <f>IF(AND(W1546="",AY1546&gt;0,AY1546&lt;15),T1546,"")</f>
        <v/>
      </c>
      <c r="BB1546" s="87">
        <f>IF(R1546&lt;Q1546,"X","")</f>
        <v/>
      </c>
      <c r="BC1546" s="190" t="inlineStr">
        <is>
          <t>NO</t>
        </is>
      </c>
      <c r="BD1546" s="191" t="inlineStr">
        <is>
          <t>SI</t>
        </is>
      </c>
    </row>
    <row r="1547" ht="15" customHeight="1" s="162">
      <c r="A1547" s="7" t="n">
        <v>1546</v>
      </c>
      <c r="B1547" t="inlineStr">
        <is>
          <t>1229500280015</t>
        </is>
      </c>
      <c r="C1547" t="inlineStr">
        <is>
          <t>CBL EQ CEE7/7 ACOD-M/IECC13 RECT-H L=2M</t>
        </is>
      </c>
      <c r="D1547" t="inlineStr">
        <is>
          <t>1800115921</t>
        </is>
      </c>
      <c r="E1547" t="inlineStr">
        <is>
          <t>40</t>
        </is>
      </c>
      <c r="F1547" s="163" t="n">
        <v>45617</v>
      </c>
      <c r="G1547" t="inlineStr"/>
      <c r="H1547" t="inlineStr">
        <is>
          <t>4200588386</t>
        </is>
      </c>
      <c r="I1547" t="inlineStr">
        <is>
          <t>300</t>
        </is>
      </c>
      <c r="J1547" s="163" t="n">
        <v>45629</v>
      </c>
      <c r="K1547" s="163" t="n">
        <v>45930</v>
      </c>
      <c r="L1547" t="inlineStr"/>
      <c r="M1547" s="163" t="n">
        <v>45636</v>
      </c>
      <c r="N1547" s="164" t="n">
        <v>40</v>
      </c>
      <c r="O1547" s="164" t="n">
        <v>8</v>
      </c>
      <c r="P1547" t="inlineStr">
        <is>
          <t>Liberado</t>
        </is>
      </c>
      <c r="Q1547" s="165" t="n">
        <v>1</v>
      </c>
      <c r="R1547" s="165" t="n">
        <v>1</v>
      </c>
      <c r="S1547" s="165" t="n">
        <v>1</v>
      </c>
      <c r="T1547" s="165" t="n">
        <v>0</v>
      </c>
      <c r="U1547" s="166" t="n">
        <v>1</v>
      </c>
      <c r="V1547" s="166" t="n">
        <v>0</v>
      </c>
      <c r="W1547" t="inlineStr">
        <is>
          <t>X</t>
        </is>
      </c>
      <c r="X1547" t="inlineStr">
        <is>
          <t>0.00</t>
        </is>
      </c>
      <c r="Y1547" t="inlineStr"/>
      <c r="Z1547" t="inlineStr">
        <is>
          <t>TELKRON, S.A.</t>
        </is>
      </c>
      <c r="AA1547" t="inlineStr">
        <is>
          <t>STARTECH.COM LTD</t>
        </is>
      </c>
      <c r="AB1547" t="inlineStr">
        <is>
          <t>PXT101EUR</t>
        </is>
      </c>
      <c r="AC1547" t="inlineStr"/>
      <c r="AD1547" s="164" t="n">
        <v>0</v>
      </c>
      <c r="AE1547" s="185" t="n">
        <v>0</v>
      </c>
      <c r="AG1547" s="167" t="inlineStr">
        <is>
          <t>7218|JA2582_1001</t>
        </is>
      </c>
      <c r="AH1547" s="47">
        <f>IF(M1547=0,"-",M1547-J1547)</f>
        <v/>
      </c>
      <c r="AI1547" s="46">
        <f>IF(AND(S1547=0,M1547&gt;0,L1547=0),IF(AH1547&gt;=120,"VERY HIGH",IF(AH1547&gt;=90,"HIGH",IF(AH1547&gt;=60,"MEDIUM",IF(AH1547&lt;60,"LOW")))),"-")</f>
        <v/>
      </c>
      <c r="AJ1547" s="12" t="n"/>
      <c r="AK1547" s="53">
        <f>IF(AND(W1547="X",M1547&lt;=$AJ$2),"YES","")</f>
        <v/>
      </c>
      <c r="AL1547" s="54">
        <f>IF(AND(W1547="X",M1547&lt;=$AJ$2),S1547,"")</f>
        <v/>
      </c>
      <c r="AM1547" s="35" t="n"/>
      <c r="AN1547" s="35">
        <f>IF(AND(W1547="X",M1547&gt;$AJ$2),S1547,"")</f>
        <v/>
      </c>
      <c r="AO1547" s="35">
        <f>IF(AND(W1547="",M1547&gt;0,$AJ$2&gt;M1547,L1547=""),1,0)</f>
        <v/>
      </c>
      <c r="AP1547" s="35">
        <f>IF(AND(AK1547="YES",W1547="X"),"X","")</f>
        <v/>
      </c>
      <c r="AQ1547" s="55">
        <f>IF(AP1547="X",100%,0%)</f>
        <v/>
      </c>
      <c r="AR1547" s="25">
        <f>IF(AND(T1547&gt;0,L1547=""),H1547,"")</f>
        <v/>
      </c>
      <c r="AS1547" s="25">
        <f>IF(AND(D1547&gt;0,H1547=0,G1547=""),1,"")</f>
        <v/>
      </c>
      <c r="AT1547" s="25">
        <f>IF(G1547="BLOQ",1,"")</f>
        <v/>
      </c>
      <c r="AU1547" s="25">
        <f>IF(L1547="BLOQ",1,"")</f>
        <v/>
      </c>
      <c r="AV1547" s="25">
        <f>MONTH(F1547)</f>
        <v/>
      </c>
      <c r="AW1547" s="65">
        <f>IF(AP1547="",100%,0%)</f>
        <v/>
      </c>
      <c r="AX1547" s="56" t="n"/>
      <c r="AY1547" s="24">
        <f>IF(M1547=0,"",M1547-$AX$2)</f>
        <v/>
      </c>
      <c r="AZ1547" s="66">
        <f>IF(AND(W1547="",AY1547&gt;0,AY1547&lt;15),1,0)</f>
        <v/>
      </c>
      <c r="BA1547" s="24">
        <f>IF(AND(W1547="",AY1547&gt;0,AY1547&lt;15),T1547,"")</f>
        <v/>
      </c>
      <c r="BB1547" s="87">
        <f>IF(R1547&lt;Q1547,"X","")</f>
        <v/>
      </c>
      <c r="BC1547" s="190" t="inlineStr">
        <is>
          <t>NO</t>
        </is>
      </c>
      <c r="BD1547" s="191" t="inlineStr">
        <is>
          <t>SI</t>
        </is>
      </c>
    </row>
    <row r="1548" ht="15" customHeight="1" s="162">
      <c r="A1548" s="7" t="n">
        <v>1547</v>
      </c>
      <c r="B1548" t="inlineStr">
        <is>
          <t>1234090019000</t>
        </is>
      </c>
      <c r="C1548" t="inlineStr">
        <is>
          <t>FIJACION CABLE VELCRO/SOPORTE 400MM</t>
        </is>
      </c>
      <c r="D1548" t="inlineStr">
        <is>
          <t>1800115921</t>
        </is>
      </c>
      <c r="E1548" t="inlineStr">
        <is>
          <t>50</t>
        </is>
      </c>
      <c r="F1548" s="163" t="n">
        <v>45617</v>
      </c>
      <c r="G1548" t="inlineStr"/>
      <c r="H1548" t="inlineStr">
        <is>
          <t>4200587320</t>
        </is>
      </c>
      <c r="I1548" t="inlineStr">
        <is>
          <t>10</t>
        </is>
      </c>
      <c r="J1548" s="163" t="n">
        <v>45622</v>
      </c>
      <c r="K1548" s="163" t="n">
        <v>45624</v>
      </c>
      <c r="L1548" t="inlineStr"/>
      <c r="M1548" s="163" t="n">
        <v>45688</v>
      </c>
      <c r="N1548" s="164" t="n">
        <v>60</v>
      </c>
      <c r="O1548" s="164" t="n">
        <v>8</v>
      </c>
      <c r="P1548" t="inlineStr">
        <is>
          <t>Liberado</t>
        </is>
      </c>
      <c r="Q1548" s="165" t="n">
        <v>10</v>
      </c>
      <c r="R1548" s="165" t="n">
        <v>10</v>
      </c>
      <c r="S1548" s="165" t="n">
        <v>12</v>
      </c>
      <c r="T1548" s="165" t="n">
        <v>0</v>
      </c>
      <c r="U1548" s="166" t="n">
        <v>10</v>
      </c>
      <c r="V1548" s="166" t="n">
        <v>2</v>
      </c>
      <c r="W1548" t="inlineStr">
        <is>
          <t>X</t>
        </is>
      </c>
      <c r="X1548" t="inlineStr">
        <is>
          <t>0.00</t>
        </is>
      </c>
      <c r="Y1548" t="inlineStr"/>
      <c r="Z1548" t="inlineStr">
        <is>
          <t>RITTAL, S.A</t>
        </is>
      </c>
      <c r="AA1548" t="inlineStr">
        <is>
          <t>RITTAL</t>
        </is>
      </c>
      <c r="AB1548" t="inlineStr">
        <is>
          <t>5502.155</t>
        </is>
      </c>
      <c r="AC1548" t="inlineStr"/>
      <c r="AD1548" s="164" t="n">
        <v>1</v>
      </c>
      <c r="AE1548" s="185" t="n">
        <v>0</v>
      </c>
      <c r="AG1548" s="167" t="inlineStr">
        <is>
          <t>7218|JA2582_1001</t>
        </is>
      </c>
      <c r="AH1548" s="47">
        <f>IF(M1548=0,"-",M1548-J1548)</f>
        <v/>
      </c>
      <c r="AI1548" s="46">
        <f>IF(AND(S1548=0,M1548&gt;0,L1548=0),IF(AH1548&gt;=120,"VERY HIGH",IF(AH1548&gt;=90,"HIGH",IF(AH1548&gt;=60,"MEDIUM",IF(AH1548&lt;60,"LOW")))),"-")</f>
        <v/>
      </c>
      <c r="AJ1548" s="12" t="n"/>
      <c r="AK1548" s="53">
        <f>IF(AND(W1548="X",M1548&lt;=$AJ$2),"YES","")</f>
        <v/>
      </c>
      <c r="AL1548" s="54">
        <f>IF(AND(W1548="X",M1548&lt;=$AJ$2),S1548,"")</f>
        <v/>
      </c>
      <c r="AM1548" s="35" t="n"/>
      <c r="AN1548" s="35">
        <f>IF(AND(W1548="X",M1548&gt;$AJ$2),S1548,"")</f>
        <v/>
      </c>
      <c r="AO1548" s="35">
        <f>IF(AND(W1548="",M1548&gt;0,$AJ$2&gt;M1548,L1548=""),1,0)</f>
        <v/>
      </c>
      <c r="AP1548" s="35">
        <f>IF(AND(AK1548="YES",W1548="X"),"X","")</f>
        <v/>
      </c>
      <c r="AQ1548" s="55">
        <f>IF(AP1548="X",100%,0%)</f>
        <v/>
      </c>
      <c r="AR1548" s="25">
        <f>IF(AND(T1548&gt;0,L1548=""),H1548,"")</f>
        <v/>
      </c>
      <c r="AS1548" s="25">
        <f>IF(AND(D1548&gt;0,H1548=0,G1548=""),1,"")</f>
        <v/>
      </c>
      <c r="AT1548" s="25">
        <f>IF(G1548="BLOQ",1,"")</f>
        <v/>
      </c>
      <c r="AU1548" s="25">
        <f>IF(L1548="BLOQ",1,"")</f>
        <v/>
      </c>
      <c r="AV1548" s="25">
        <f>MONTH(F1548)</f>
        <v/>
      </c>
      <c r="AW1548" s="65">
        <f>IF(AP1548="",100%,0%)</f>
        <v/>
      </c>
      <c r="AX1548" s="56" t="n"/>
      <c r="AY1548" s="24">
        <f>IF(M1548=0,"",M1548-$AX$2)</f>
        <v/>
      </c>
      <c r="AZ1548" s="66">
        <f>IF(AND(W1548="",AY1548&gt;0,AY1548&lt;15),1,0)</f>
        <v/>
      </c>
      <c r="BA1548" s="24">
        <f>IF(AND(W1548="",AY1548&gt;0,AY1548&lt;15),T1548,"")</f>
        <v/>
      </c>
      <c r="BB1548" s="87">
        <f>IF(R1548&lt;Q1548,"X","")</f>
        <v/>
      </c>
      <c r="BC1548" s="190" t="inlineStr">
        <is>
          <t>NO</t>
        </is>
      </c>
      <c r="BD1548" s="191" t="inlineStr">
        <is>
          <t>SI</t>
        </is>
      </c>
    </row>
    <row r="1549" ht="15" customHeight="1" s="162">
      <c r="A1549" s="7" t="n">
        <v>1548</v>
      </c>
      <c r="B1549" t="inlineStr">
        <is>
          <t>1246701149001</t>
        </is>
      </c>
      <c r="C1549" t="inlineStr">
        <is>
          <t>MOD CONTROL REMOTO 120X120X19MM VRV SKY</t>
        </is>
      </c>
      <c r="D1549" t="inlineStr">
        <is>
          <t>1800115921</t>
        </is>
      </c>
      <c r="E1549" t="inlineStr">
        <is>
          <t>60</t>
        </is>
      </c>
      <c r="F1549" s="163" t="n">
        <v>45617</v>
      </c>
      <c r="G1549" t="inlineStr"/>
      <c r="H1549" t="inlineStr">
        <is>
          <t>4200587505</t>
        </is>
      </c>
      <c r="I1549" t="inlineStr">
        <is>
          <t>10</t>
        </is>
      </c>
      <c r="J1549" s="163" t="n">
        <v>45623</v>
      </c>
      <c r="K1549" s="163" t="n">
        <v>45623</v>
      </c>
      <c r="L1549" t="inlineStr"/>
      <c r="M1549" s="163" t="n">
        <v>45632</v>
      </c>
      <c r="N1549" s="164" t="n">
        <v>40</v>
      </c>
      <c r="O1549" s="164" t="n">
        <v>8</v>
      </c>
      <c r="P1549" t="inlineStr">
        <is>
          <t>Liberado</t>
        </is>
      </c>
      <c r="Q1549" s="166" t="n">
        <v>1</v>
      </c>
      <c r="R1549" s="166" t="n">
        <v>1</v>
      </c>
      <c r="S1549" s="166" t="n">
        <v>2</v>
      </c>
      <c r="T1549" s="166" t="n">
        <v>0</v>
      </c>
      <c r="U1549" s="166" t="n">
        <v>1</v>
      </c>
      <c r="V1549" s="166" t="n">
        <v>1</v>
      </c>
      <c r="W1549" t="inlineStr">
        <is>
          <t>X</t>
        </is>
      </c>
      <c r="X1549" t="inlineStr">
        <is>
          <t>0.00</t>
        </is>
      </c>
      <c r="Y1549" t="inlineStr"/>
      <c r="Z1549" t="inlineStr">
        <is>
          <t>YNTEGRA SERV.INTEGRALES, S.L.</t>
        </is>
      </c>
      <c r="AA1549" t="inlineStr">
        <is>
          <t>DAIKIN</t>
        </is>
      </c>
      <c r="AB1549" t="inlineStr">
        <is>
          <t>BRC1E53A</t>
        </is>
      </c>
      <c r="AC1549" t="inlineStr"/>
      <c r="AD1549" s="164" t="n">
        <v>1</v>
      </c>
      <c r="AE1549" s="185" t="n">
        <v>1</v>
      </c>
      <c r="AG1549" s="167" t="inlineStr">
        <is>
          <t>7218|JA2582_1001</t>
        </is>
      </c>
      <c r="AH1549" s="47">
        <f>IF(M1549=0,"-",M1549-J1549)</f>
        <v/>
      </c>
      <c r="AI1549" s="46">
        <f>IF(AND(S1549=0,M1549&gt;0,L1549=0),IF(AH1549&gt;=120,"VERY HIGH",IF(AH1549&gt;=90,"HIGH",IF(AH1549&gt;=60,"MEDIUM",IF(AH1549&lt;60,"LOW")))),"-")</f>
        <v/>
      </c>
      <c r="AJ1549" s="12" t="n"/>
      <c r="AK1549" s="53">
        <f>IF(AND(W1549="X",M1549&lt;=$AJ$2),"YES","")</f>
        <v/>
      </c>
      <c r="AL1549" s="54">
        <f>IF(AND(W1549="X",M1549&lt;=$AJ$2),S1549,"")</f>
        <v/>
      </c>
      <c r="AM1549" s="35" t="n"/>
      <c r="AN1549" s="35">
        <f>IF(AND(W1549="X",M1549&gt;$AJ$2),S1549,"")</f>
        <v/>
      </c>
      <c r="AO1549" s="35">
        <f>IF(AND(W1549="",M1549&gt;0,$AJ$2&gt;M1549,L1549=""),1,0)</f>
        <v/>
      </c>
      <c r="AP1549" s="35">
        <f>IF(AND(AK1549="YES",W1549="X"),"X","")</f>
        <v/>
      </c>
      <c r="AQ1549" s="55">
        <f>IF(AP1549="X",100%,0%)</f>
        <v/>
      </c>
      <c r="AR1549" s="25">
        <f>IF(AND(T1549&gt;0,L1549=""),H1549,"")</f>
        <v/>
      </c>
      <c r="AS1549" s="25">
        <f>IF(AND(D1549&gt;0,H1549=0,G1549=""),1,"")</f>
        <v/>
      </c>
      <c r="AT1549" s="25">
        <f>IF(G1549="BLOQ",1,"")</f>
        <v/>
      </c>
      <c r="AU1549" s="25">
        <f>IF(L1549="BLOQ",1,"")</f>
        <v/>
      </c>
      <c r="AV1549" s="25">
        <f>MONTH(F1549)</f>
        <v/>
      </c>
      <c r="AW1549" s="65">
        <f>IF(AP1549="",100%,0%)</f>
        <v/>
      </c>
      <c r="AX1549" s="56" t="n"/>
      <c r="AY1549" s="24">
        <f>IF(M1549=0,"",M1549-$AX$2)</f>
        <v/>
      </c>
      <c r="AZ1549" s="66">
        <f>IF(AND(W1549="",AY1549&gt;0,AY1549&lt;15),1,0)</f>
        <v/>
      </c>
      <c r="BA1549" s="24">
        <f>IF(AND(W1549="",AY1549&gt;0,AY1549&lt;15),T1549,"")</f>
        <v/>
      </c>
      <c r="BB1549" s="87">
        <f>IF(R1549&lt;Q1549,"X","")</f>
        <v/>
      </c>
      <c r="BC1549" s="190" t="inlineStr">
        <is>
          <t>NO</t>
        </is>
      </c>
      <c r="BD1549" s="191" t="inlineStr">
        <is>
          <t>SI</t>
        </is>
      </c>
    </row>
    <row r="1550" ht="15" customHeight="1" s="162">
      <c r="A1550" s="7" t="n">
        <v>1549</v>
      </c>
      <c r="B1550" t="inlineStr">
        <is>
          <t>1246701149100</t>
        </is>
      </c>
      <c r="C1550" t="inlineStr">
        <is>
          <t>MOD CONTROL REMOTO MANDO-CBL C/BLUETOOTH</t>
        </is>
      </c>
      <c r="D1550" t="inlineStr">
        <is>
          <t>1800115921</t>
        </is>
      </c>
      <c r="E1550" t="inlineStr">
        <is>
          <t>70</t>
        </is>
      </c>
      <c r="F1550" s="163" t="n">
        <v>45617</v>
      </c>
      <c r="G1550" t="inlineStr"/>
      <c r="H1550" t="inlineStr">
        <is>
          <t>4200587505</t>
        </is>
      </c>
      <c r="I1550" t="inlineStr">
        <is>
          <t>20</t>
        </is>
      </c>
      <c r="J1550" s="163" t="n">
        <v>45623</v>
      </c>
      <c r="K1550" s="163" t="n">
        <v>45623</v>
      </c>
      <c r="L1550" t="inlineStr"/>
      <c r="M1550" s="163" t="n">
        <v>45632</v>
      </c>
      <c r="N1550" s="164" t="n">
        <v>40</v>
      </c>
      <c r="O1550" s="164" t="n">
        <v>8</v>
      </c>
      <c r="P1550" t="inlineStr">
        <is>
          <t>Liberado</t>
        </is>
      </c>
      <c r="Q1550" s="166" t="n">
        <v>2</v>
      </c>
      <c r="R1550" s="166" t="n">
        <v>1</v>
      </c>
      <c r="S1550" s="166" t="n">
        <v>2</v>
      </c>
      <c r="T1550" s="166" t="n">
        <v>0</v>
      </c>
      <c r="U1550" s="166" t="n">
        <v>1</v>
      </c>
      <c r="V1550" s="166" t="n">
        <v>1</v>
      </c>
      <c r="W1550" t="inlineStr">
        <is>
          <t>X</t>
        </is>
      </c>
      <c r="X1550" t="inlineStr">
        <is>
          <t>0.00</t>
        </is>
      </c>
      <c r="Y1550" t="inlineStr"/>
      <c r="Z1550" t="inlineStr">
        <is>
          <t>YNTEGRA SERV.INTEGRALES, S.L.</t>
        </is>
      </c>
      <c r="AA1550" t="inlineStr">
        <is>
          <t>DAIKIN</t>
        </is>
      </c>
      <c r="AB1550" t="inlineStr">
        <is>
          <t>BRC1H52W</t>
        </is>
      </c>
      <c r="AC1550" t="inlineStr">
        <is>
          <t>X</t>
        </is>
      </c>
      <c r="AD1550" s="164" t="n">
        <v>1</v>
      </c>
      <c r="AE1550" s="185" t="n">
        <v>1</v>
      </c>
      <c r="AG1550" s="167" t="inlineStr">
        <is>
          <t>7218|JA2582_1001</t>
        </is>
      </c>
      <c r="AH1550" s="47">
        <f>IF(M1550=0,"-",M1550-J1550)</f>
        <v/>
      </c>
      <c r="AI1550" s="46">
        <f>IF(AND(S1550=0,M1550&gt;0,L1550=0),IF(AH1550&gt;=120,"VERY HIGH",IF(AH1550&gt;=90,"HIGH",IF(AH1550&gt;=60,"MEDIUM",IF(AH1550&lt;60,"LOW")))),"-")</f>
        <v/>
      </c>
      <c r="AJ1550" s="12" t="n"/>
      <c r="AK1550" s="53">
        <f>IF(AND(W1550="X",M1550&lt;=$AJ$2),"YES","")</f>
        <v/>
      </c>
      <c r="AL1550" s="54">
        <f>IF(AND(W1550="X",M1550&lt;=$AJ$2),S1550,"")</f>
        <v/>
      </c>
      <c r="AM1550" s="35" t="n"/>
      <c r="AN1550" s="35">
        <f>IF(AND(W1550="X",M1550&gt;$AJ$2),S1550,"")</f>
        <v/>
      </c>
      <c r="AO1550" s="35">
        <f>IF(AND(W1550="",M1550&gt;0,$AJ$2&gt;M1550,L1550=""),1,0)</f>
        <v/>
      </c>
      <c r="AP1550" s="35">
        <f>IF(AND(AK1550="YES",W1550="X"),"X","")</f>
        <v/>
      </c>
      <c r="AQ1550" s="55">
        <f>IF(AP1550="X",100%,0%)</f>
        <v/>
      </c>
      <c r="AR1550" s="25">
        <f>IF(AND(T1550&gt;0,L1550=""),H1550,"")</f>
        <v/>
      </c>
      <c r="AS1550" s="25">
        <f>IF(AND(D1550&gt;0,H1550=0,G1550=""),1,"")</f>
        <v/>
      </c>
      <c r="AT1550" s="25">
        <f>IF(G1550="BLOQ",1,"")</f>
        <v/>
      </c>
      <c r="AU1550" s="25">
        <f>IF(L1550="BLOQ",1,"")</f>
        <v/>
      </c>
      <c r="AV1550" s="25">
        <f>MONTH(F1550)</f>
        <v/>
      </c>
      <c r="AW1550" s="65">
        <f>IF(AP1550="",100%,0%)</f>
        <v/>
      </c>
      <c r="AX1550" s="56" t="n"/>
      <c r="AY1550" s="24">
        <f>IF(M1550=0,"",M1550-$AX$2)</f>
        <v/>
      </c>
      <c r="AZ1550" s="66">
        <f>IF(AND(W1550="",AY1550&gt;0,AY1550&lt;15),1,0)</f>
        <v/>
      </c>
      <c r="BA1550" s="24">
        <f>IF(AND(W1550="",AY1550&gt;0,AY1550&lt;15),T1550,"")</f>
        <v/>
      </c>
      <c r="BB1550" s="87">
        <f>IF(R1550&lt;Q1550,"X","")</f>
        <v/>
      </c>
      <c r="BC1550" s="190" t="inlineStr">
        <is>
          <t>NO</t>
        </is>
      </c>
      <c r="BD1550" s="191" t="inlineStr">
        <is>
          <t>SI</t>
        </is>
      </c>
    </row>
    <row r="1551" ht="15" customHeight="1" s="162">
      <c r="A1551" s="7" t="n">
        <v>1550</v>
      </c>
      <c r="B1551" t="inlineStr">
        <is>
          <t>1246790030000</t>
        </is>
      </c>
      <c r="C1551" t="inlineStr">
        <is>
          <t>KIT CONTROL ON/OFF REMOTO PARO FORZADO</t>
        </is>
      </c>
      <c r="D1551" t="inlineStr">
        <is>
          <t>1800115921</t>
        </is>
      </c>
      <c r="E1551" t="inlineStr">
        <is>
          <t>80</t>
        </is>
      </c>
      <c r="F1551" s="163" t="n">
        <v>45617</v>
      </c>
      <c r="G1551" t="inlineStr"/>
      <c r="H1551" t="inlineStr">
        <is>
          <t>4200587505</t>
        </is>
      </c>
      <c r="I1551" t="inlineStr">
        <is>
          <t>30</t>
        </is>
      </c>
      <c r="J1551" s="163" t="n">
        <v>45623</v>
      </c>
      <c r="K1551" s="163" t="n">
        <v>45623</v>
      </c>
      <c r="L1551" t="inlineStr"/>
      <c r="M1551" s="163" t="n">
        <v>45632</v>
      </c>
      <c r="N1551" s="164" t="n">
        <v>40</v>
      </c>
      <c r="O1551" s="164" t="n">
        <v>8</v>
      </c>
      <c r="P1551" t="inlineStr">
        <is>
          <t>Liberado</t>
        </is>
      </c>
      <c r="Q1551" s="165" t="n">
        <v>2</v>
      </c>
      <c r="R1551" s="165" t="n">
        <v>2</v>
      </c>
      <c r="S1551" s="165" t="n">
        <v>4</v>
      </c>
      <c r="T1551" s="165" t="n">
        <v>0</v>
      </c>
      <c r="U1551" s="166" t="n">
        <v>2</v>
      </c>
      <c r="V1551" s="166" t="n">
        <v>2</v>
      </c>
      <c r="W1551" t="inlineStr">
        <is>
          <t>X</t>
        </is>
      </c>
      <c r="X1551" t="inlineStr">
        <is>
          <t>0.00</t>
        </is>
      </c>
      <c r="Y1551" t="inlineStr"/>
      <c r="Z1551" t="inlineStr">
        <is>
          <t>YNTEGRA SERV.INTEGRALES, S.L.</t>
        </is>
      </c>
      <c r="AA1551" t="inlineStr">
        <is>
          <t>DAIKIN</t>
        </is>
      </c>
      <c r="AB1551" t="inlineStr">
        <is>
          <t>EKRORO</t>
        </is>
      </c>
      <c r="AC1551" t="inlineStr"/>
      <c r="AD1551" s="164" t="n">
        <v>1</v>
      </c>
      <c r="AE1551" s="185" t="n">
        <v>1</v>
      </c>
      <c r="AG1551" s="167" t="inlineStr">
        <is>
          <t>7218|JA2582_1001</t>
        </is>
      </c>
      <c r="AH1551" s="47">
        <f>IF(M1551=0,"-",M1551-J1551)</f>
        <v/>
      </c>
      <c r="AI1551" s="46">
        <f>IF(AND(S1551=0,M1551&gt;0,L1551=0),IF(AH1551&gt;=120,"VERY HIGH",IF(AH1551&gt;=90,"HIGH",IF(AH1551&gt;=60,"MEDIUM",IF(AH1551&lt;60,"LOW")))),"-")</f>
        <v/>
      </c>
      <c r="AJ1551" s="12" t="n"/>
      <c r="AK1551" s="53">
        <f>IF(AND(W1551="X",M1551&lt;=$AJ$2),"YES","")</f>
        <v/>
      </c>
      <c r="AL1551" s="54">
        <f>IF(AND(W1551="X",M1551&lt;=$AJ$2),S1551,"")</f>
        <v/>
      </c>
      <c r="AM1551" s="35" t="n"/>
      <c r="AN1551" s="35">
        <f>IF(AND(W1551="X",M1551&gt;$AJ$2),S1551,"")</f>
        <v/>
      </c>
      <c r="AO1551" s="35">
        <f>IF(AND(W1551="",M1551&gt;0,$AJ$2&gt;M1551,L1551=""),1,0)</f>
        <v/>
      </c>
      <c r="AP1551" s="35">
        <f>IF(AND(AK1551="YES",W1551="X"),"X","")</f>
        <v/>
      </c>
      <c r="AQ1551" s="55">
        <f>IF(AP1551="X",100%,0%)</f>
        <v/>
      </c>
      <c r="AR1551" s="25">
        <f>IF(AND(T1551&gt;0,L1551=""),H1551,"")</f>
        <v/>
      </c>
      <c r="AS1551" s="25">
        <f>IF(AND(D1551&gt;0,H1551=0,G1551=""),1,"")</f>
        <v/>
      </c>
      <c r="AT1551" s="25">
        <f>IF(G1551="BLOQ",1,"")</f>
        <v/>
      </c>
      <c r="AU1551" s="25">
        <f>IF(L1551="BLOQ",1,"")</f>
        <v/>
      </c>
      <c r="AV1551" s="25">
        <f>MONTH(F1551)</f>
        <v/>
      </c>
      <c r="AW1551" s="65">
        <f>IF(AP1551="",100%,0%)</f>
        <v/>
      </c>
      <c r="AX1551" s="56" t="n"/>
      <c r="AY1551" s="24">
        <f>IF(M1551=0,"",M1551-$AX$2)</f>
        <v/>
      </c>
      <c r="AZ1551" s="66">
        <f>IF(AND(W1551="",AY1551&gt;0,AY1551&lt;15),1,0)</f>
        <v/>
      </c>
      <c r="BA1551" s="24">
        <f>IF(AND(W1551="",AY1551&gt;0,AY1551&lt;15),T1551,"")</f>
        <v/>
      </c>
      <c r="BB1551" s="87">
        <f>IF(R1551&lt;Q1551,"X","")</f>
        <v/>
      </c>
      <c r="BC1551" s="190" t="inlineStr">
        <is>
          <t>NO</t>
        </is>
      </c>
      <c r="BD1551" s="191" t="inlineStr">
        <is>
          <t>SI</t>
        </is>
      </c>
    </row>
    <row r="1552" ht="15" customHeight="1" s="162">
      <c r="A1552" s="7" t="n">
        <v>1551</v>
      </c>
      <c r="B1552" t="inlineStr">
        <is>
          <t>1501215010001</t>
        </is>
      </c>
      <c r="C1552" t="inlineStr">
        <is>
          <t>TOR ALO CRUC M5X10 INOX DIN7985/ISO7045</t>
        </is>
      </c>
      <c r="D1552" t="inlineStr">
        <is>
          <t>1800115922</t>
        </is>
      </c>
      <c r="E1552" t="inlineStr">
        <is>
          <t>10</t>
        </is>
      </c>
      <c r="F1552" s="163" t="n">
        <v>45617</v>
      </c>
      <c r="G1552" t="inlineStr"/>
      <c r="H1552" t="inlineStr">
        <is>
          <t>4200594703</t>
        </is>
      </c>
      <c r="I1552" t="inlineStr">
        <is>
          <t>30</t>
        </is>
      </c>
      <c r="J1552" s="163" t="n">
        <v>45684</v>
      </c>
      <c r="K1552" s="163" t="n">
        <v>45684</v>
      </c>
      <c r="L1552" t="inlineStr"/>
      <c r="M1552" s="163" t="n">
        <v>45695</v>
      </c>
      <c r="N1552" s="164" t="n">
        <v>60</v>
      </c>
      <c r="O1552" s="164" t="n">
        <v>8</v>
      </c>
      <c r="P1552" t="inlineStr">
        <is>
          <t>Liberado</t>
        </is>
      </c>
      <c r="Q1552" s="165" t="n">
        <v>200</v>
      </c>
      <c r="R1552" s="165" t="n">
        <v>200</v>
      </c>
      <c r="S1552" s="165" t="n">
        <v>200</v>
      </c>
      <c r="T1552" s="165" t="n">
        <v>0</v>
      </c>
      <c r="U1552" s="166" t="n">
        <v>200</v>
      </c>
      <c r="V1552" s="166" t="n">
        <v>0</v>
      </c>
      <c r="W1552" t="inlineStr">
        <is>
          <t>X</t>
        </is>
      </c>
      <c r="X1552" t="inlineStr">
        <is>
          <t>0.00</t>
        </is>
      </c>
      <c r="Y1552" t="inlineStr"/>
      <c r="Z1552" t="inlineStr">
        <is>
          <t>ALMACENES DELCA, S.A.</t>
        </is>
      </c>
      <c r="AA1552" t="inlineStr">
        <is>
          <t>DIN</t>
        </is>
      </c>
      <c r="AB1552" t="inlineStr">
        <is>
          <t>DIN7985-M5X10-A2-70-H</t>
        </is>
      </c>
      <c r="AC1552" t="inlineStr"/>
      <c r="AD1552" s="164" t="n">
        <v>0</v>
      </c>
      <c r="AE1552" s="185" t="n">
        <v>0</v>
      </c>
      <c r="AG1552" s="167" t="inlineStr">
        <is>
          <t>7218|JA2583_1001</t>
        </is>
      </c>
      <c r="AH1552" s="47">
        <f>IF(M1552=0,"-",M1552-J1552)</f>
        <v/>
      </c>
      <c r="AI1552" s="46">
        <f>IF(AND(S1552=0,M1552&gt;0,L1552=0),IF(AH1552&gt;=120,"VERY HIGH",IF(AH1552&gt;=90,"HIGH",IF(AH1552&gt;=60,"MEDIUM",IF(AH1552&lt;60,"LOW")))),"-")</f>
        <v/>
      </c>
      <c r="AJ1552" s="12" t="n"/>
      <c r="AK1552" s="53">
        <f>IF(AND(W1552="X",M1552&lt;=$AJ$2),"YES","")</f>
        <v/>
      </c>
      <c r="AL1552" s="54">
        <f>IF(AND(W1552="X",M1552&lt;=$AJ$2),S1552,"")</f>
        <v/>
      </c>
      <c r="AM1552" s="35" t="n"/>
      <c r="AN1552" s="35">
        <f>IF(AND(W1552="X",M1552&gt;$AJ$2),S1552,"")</f>
        <v/>
      </c>
      <c r="AO1552" s="35">
        <f>IF(AND(W1552="",M1552&gt;0,$AJ$2&gt;M1552,L1552=""),1,0)</f>
        <v/>
      </c>
      <c r="AP1552" s="35">
        <f>IF(AND(AK1552="YES",W1552="X"),"X","")</f>
        <v/>
      </c>
      <c r="AQ1552" s="55">
        <f>IF(AP1552="X",100%,0%)</f>
        <v/>
      </c>
      <c r="AR1552" s="25">
        <f>IF(AND(T1552&gt;0,L1552=""),H1552,"")</f>
        <v/>
      </c>
      <c r="AS1552" s="25">
        <f>IF(AND(D1552&gt;0,H1552=0,G1552=""),1,"")</f>
        <v/>
      </c>
      <c r="AT1552" s="25">
        <f>IF(G1552="BLOQ",1,"")</f>
        <v/>
      </c>
      <c r="AU1552" s="25">
        <f>IF(L1552="BLOQ",1,"")</f>
        <v/>
      </c>
      <c r="AV1552" s="25">
        <f>MONTH(F1552)</f>
        <v/>
      </c>
      <c r="AW1552" s="65">
        <f>IF(AP1552="",100%,0%)</f>
        <v/>
      </c>
      <c r="AX1552" s="56" t="n"/>
      <c r="AY1552" s="24">
        <f>IF(M1552=0,"",M1552-$AX$2)</f>
        <v/>
      </c>
      <c r="AZ1552" s="66">
        <f>IF(AND(W1552="",AY1552&gt;0,AY1552&lt;15),1,0)</f>
        <v/>
      </c>
      <c r="BA1552" s="24">
        <f>IF(AND(W1552="",AY1552&gt;0,AY1552&lt;15),T1552,"")</f>
        <v/>
      </c>
      <c r="BB1552" s="87">
        <f>IF(R1552&lt;Q1552,"X","")</f>
        <v/>
      </c>
      <c r="BC1552" s="190" t="inlineStr">
        <is>
          <t>NO</t>
        </is>
      </c>
      <c r="BD1552" s="191" t="inlineStr">
        <is>
          <t>SI</t>
        </is>
      </c>
    </row>
    <row r="1553" ht="15" customHeight="1" s="162">
      <c r="A1553" s="7" t="n">
        <v>1552</v>
      </c>
      <c r="B1553" t="inlineStr">
        <is>
          <t>1709906180000</t>
        </is>
      </c>
      <c r="C1553" t="inlineStr">
        <is>
          <t>TUERCA ENJAULAD M6 P/ESP 0,8-2,5MM 50PCS</t>
        </is>
      </c>
      <c r="D1553" t="inlineStr">
        <is>
          <t>1800115922</t>
        </is>
      </c>
      <c r="E1553" t="inlineStr">
        <is>
          <t>20</t>
        </is>
      </c>
      <c r="F1553" s="163" t="n">
        <v>45617</v>
      </c>
      <c r="G1553" t="inlineStr"/>
      <c r="H1553" t="inlineStr">
        <is>
          <t>4200596342</t>
        </is>
      </c>
      <c r="I1553" t="inlineStr">
        <is>
          <t>10</t>
        </is>
      </c>
      <c r="J1553" s="163" t="n">
        <v>45692</v>
      </c>
      <c r="K1553" s="163" t="n">
        <v>45694</v>
      </c>
      <c r="L1553" t="inlineStr"/>
      <c r="M1553" s="163" t="n">
        <v>45700</v>
      </c>
      <c r="N1553" s="164" t="n">
        <v>40</v>
      </c>
      <c r="O1553" s="164" t="n">
        <v>8</v>
      </c>
      <c r="P1553" t="inlineStr">
        <is>
          <t>Liberado</t>
        </is>
      </c>
      <c r="Q1553" s="166" t="n">
        <v>5</v>
      </c>
      <c r="R1553" s="166" t="n">
        <v>5</v>
      </c>
      <c r="S1553" s="166" t="n">
        <v>5</v>
      </c>
      <c r="T1553" s="166" t="n">
        <v>0</v>
      </c>
      <c r="U1553" s="166" t="n">
        <v>5</v>
      </c>
      <c r="V1553" s="166" t="n">
        <v>0</v>
      </c>
      <c r="W1553" t="inlineStr">
        <is>
          <t>X</t>
        </is>
      </c>
      <c r="X1553" t="inlineStr">
        <is>
          <t>0.00</t>
        </is>
      </c>
      <c r="Y1553" t="inlineStr"/>
      <c r="Z1553" t="inlineStr">
        <is>
          <t>RITTAL, S.A</t>
        </is>
      </c>
      <c r="AA1553" t="inlineStr">
        <is>
          <t>RITTAL</t>
        </is>
      </c>
      <c r="AB1553" t="inlineStr">
        <is>
          <t>2094.200</t>
        </is>
      </c>
      <c r="AC1553" t="inlineStr"/>
      <c r="AD1553" s="164" t="n">
        <v>0</v>
      </c>
      <c r="AE1553" s="185" t="n">
        <v>0</v>
      </c>
      <c r="AG1553" s="167" t="inlineStr">
        <is>
          <t>7218|JA2583_1001</t>
        </is>
      </c>
      <c r="AH1553" s="47">
        <f>IF(M1553=0,"-",M1553-J1553)</f>
        <v/>
      </c>
      <c r="AI1553" s="46">
        <f>IF(AND(S1553=0,M1553&gt;0,L1553=0),IF(AH1553&gt;=120,"VERY HIGH",IF(AH1553&gt;=90,"HIGH",IF(AH1553&gt;=60,"MEDIUM",IF(AH1553&lt;60,"LOW")))),"-")</f>
        <v/>
      </c>
      <c r="AJ1553" s="12" t="n"/>
      <c r="AK1553" s="53">
        <f>IF(AND(W1553="X",M1553&lt;=$AJ$2),"YES","")</f>
        <v/>
      </c>
      <c r="AL1553" s="54">
        <f>IF(AND(W1553="X",M1553&lt;=$AJ$2),S1553,"")</f>
        <v/>
      </c>
      <c r="AM1553" s="35" t="n"/>
      <c r="AN1553" s="35">
        <f>IF(AND(W1553="X",M1553&gt;$AJ$2),S1553,"")</f>
        <v/>
      </c>
      <c r="AO1553" s="35">
        <f>IF(AND(W1553="",M1553&gt;0,$AJ$2&gt;M1553,L1553=""),1,0)</f>
        <v/>
      </c>
      <c r="AP1553" s="35">
        <f>IF(AND(AK1553="YES",W1553="X"),"X","")</f>
        <v/>
      </c>
      <c r="AQ1553" s="55">
        <f>IF(AP1553="X",100%,0%)</f>
        <v/>
      </c>
      <c r="AR1553" s="25">
        <f>IF(AND(T1553&gt;0,L1553=""),H1553,"")</f>
        <v/>
      </c>
      <c r="AS1553" s="25">
        <f>IF(AND(D1553&gt;0,H1553=0,G1553=""),1,"")</f>
        <v/>
      </c>
      <c r="AT1553" s="25">
        <f>IF(G1553="BLOQ",1,"")</f>
        <v/>
      </c>
      <c r="AU1553" s="25">
        <f>IF(L1553="BLOQ",1,"")</f>
        <v/>
      </c>
      <c r="AV1553" s="25">
        <f>MONTH(F1553)</f>
        <v/>
      </c>
      <c r="AW1553" s="65">
        <f>IF(AP1553="",100%,0%)</f>
        <v/>
      </c>
      <c r="AX1553" s="56" t="n"/>
      <c r="AY1553" s="24">
        <f>IF(M1553=0,"",M1553-$AX$2)</f>
        <v/>
      </c>
      <c r="AZ1553" s="66">
        <f>IF(AND(W1553="",AY1553&gt;0,AY1553&lt;15),1,0)</f>
        <v/>
      </c>
      <c r="BA1553" s="24">
        <f>IF(AND(W1553="",AY1553&gt;0,AY1553&lt;15),T1553,"")</f>
        <v/>
      </c>
      <c r="BB1553" s="87">
        <f>IF(R1553&lt;Q1553,"X","")</f>
        <v/>
      </c>
      <c r="BC1553" s="190" t="inlineStr">
        <is>
          <t>NO</t>
        </is>
      </c>
      <c r="BD1553" s="191" t="inlineStr">
        <is>
          <t>SI</t>
        </is>
      </c>
    </row>
    <row r="1554" ht="15" customHeight="1" s="162">
      <c r="A1554" s="7" t="n">
        <v>1553</v>
      </c>
      <c r="B1554" t="inlineStr">
        <is>
          <t>1216500240400</t>
        </is>
      </c>
      <c r="C1554" t="inlineStr">
        <is>
          <t>CNC AUDIO 2H 1.5-4MM2 QUICKLOCK SPEAKON</t>
        </is>
      </c>
      <c r="D1554" t="inlineStr">
        <is>
          <t>1800115923</t>
        </is>
      </c>
      <c r="E1554" t="inlineStr">
        <is>
          <t>10</t>
        </is>
      </c>
      <c r="F1554" s="163" t="n">
        <v>45617</v>
      </c>
      <c r="G1554" t="inlineStr"/>
      <c r="H1554" t="inlineStr">
        <is>
          <t>4200598539</t>
        </is>
      </c>
      <c r="I1554" t="inlineStr">
        <is>
          <t>10</t>
        </is>
      </c>
      <c r="J1554" s="163" t="n">
        <v>45706</v>
      </c>
      <c r="K1554" s="163" t="n">
        <v>45712</v>
      </c>
      <c r="L1554" t="inlineStr"/>
      <c r="M1554" s="163" t="n">
        <v>45728</v>
      </c>
      <c r="N1554" s="164" t="n">
        <v>85</v>
      </c>
      <c r="O1554" s="164" t="n">
        <v>8</v>
      </c>
      <c r="P1554" t="inlineStr">
        <is>
          <t>Liberado</t>
        </is>
      </c>
      <c r="Q1554" s="165" t="n">
        <v>2</v>
      </c>
      <c r="R1554" s="165" t="n">
        <v>8</v>
      </c>
      <c r="S1554" s="165" t="n">
        <v>8</v>
      </c>
      <c r="T1554" s="165" t="n">
        <v>0</v>
      </c>
      <c r="U1554" s="166" t="n">
        <v>8</v>
      </c>
      <c r="V1554" s="166" t="n">
        <v>0</v>
      </c>
      <c r="W1554" t="inlineStr">
        <is>
          <t>X</t>
        </is>
      </c>
      <c r="X1554" t="inlineStr">
        <is>
          <t>0.00</t>
        </is>
      </c>
      <c r="Y1554" t="inlineStr"/>
      <c r="Z1554" t="inlineStr">
        <is>
          <t>AMALFI TRADING, INC</t>
        </is>
      </c>
      <c r="AA1554" t="inlineStr">
        <is>
          <t>NEUTRIK</t>
        </is>
      </c>
      <c r="AB1554" t="inlineStr">
        <is>
          <t>NL2FX</t>
        </is>
      </c>
      <c r="AC1554" t="inlineStr"/>
      <c r="AD1554" s="164" t="n">
        <v>0</v>
      </c>
      <c r="AE1554" s="185" t="n">
        <v>0</v>
      </c>
      <c r="AG1554" s="167" t="inlineStr">
        <is>
          <t>7218|JA2584_1001</t>
        </is>
      </c>
      <c r="AH1554" s="47">
        <f>IF(M1554=0,"-",M1554-J1554)</f>
        <v/>
      </c>
      <c r="AI1554" s="46">
        <f>IF(AND(S1554=0,M1554&gt;0,L1554=0),IF(AH1554&gt;=120,"VERY HIGH",IF(AH1554&gt;=90,"HIGH",IF(AH1554&gt;=60,"MEDIUM",IF(AH1554&lt;60,"LOW")))),"-")</f>
        <v/>
      </c>
      <c r="AJ1554" s="12" t="n"/>
      <c r="AK1554" s="53">
        <f>IF(AND(W1554="X",M1554&lt;=$AJ$2),"YES","")</f>
        <v/>
      </c>
      <c r="AL1554" s="54">
        <f>IF(AND(W1554="X",M1554&lt;=$AJ$2),S1554,"")</f>
        <v/>
      </c>
      <c r="AM1554" s="35" t="n"/>
      <c r="AN1554" s="35">
        <f>IF(AND(W1554="X",M1554&gt;$AJ$2),S1554,"")</f>
        <v/>
      </c>
      <c r="AO1554" s="35">
        <f>IF(AND(W1554="",M1554&gt;0,$AJ$2&gt;M1554,L1554=""),1,0)</f>
        <v/>
      </c>
      <c r="AP1554" s="35">
        <f>IF(AND(AK1554="YES",W1554="X"),"X","")</f>
        <v/>
      </c>
      <c r="AQ1554" s="55">
        <f>IF(AP1554="X",100%,0%)</f>
        <v/>
      </c>
      <c r="AR1554" s="25">
        <f>IF(AND(T1554&gt;0,L1554=""),H1554,"")</f>
        <v/>
      </c>
      <c r="AS1554" s="25">
        <f>IF(AND(D1554&gt;0,H1554=0,G1554=""),1,"")</f>
        <v/>
      </c>
      <c r="AT1554" s="25">
        <f>IF(G1554="BLOQ",1,"")</f>
        <v/>
      </c>
      <c r="AU1554" s="25">
        <f>IF(L1554="BLOQ",1,"")</f>
        <v/>
      </c>
      <c r="AV1554" s="25">
        <f>MONTH(F1554)</f>
        <v/>
      </c>
      <c r="AW1554" s="65">
        <f>IF(AP1554="",100%,0%)</f>
        <v/>
      </c>
      <c r="AX1554" s="56" t="n"/>
      <c r="AY1554" s="24">
        <f>IF(M1554=0,"",M1554-$AX$2)</f>
        <v/>
      </c>
      <c r="AZ1554" s="66">
        <f>IF(AND(W1554="",AY1554&gt;0,AY1554&lt;15),1,0)</f>
        <v/>
      </c>
      <c r="BA1554" s="24">
        <f>IF(AND(W1554="",AY1554&gt;0,AY1554&lt;15),T1554,"")</f>
        <v/>
      </c>
      <c r="BB1554" s="87">
        <f>IF(R1554&lt;Q1554,"X","")</f>
        <v/>
      </c>
      <c r="BC1554" s="190" t="inlineStr">
        <is>
          <t>NO</t>
        </is>
      </c>
      <c r="BD1554" s="191" t="inlineStr">
        <is>
          <t>SI</t>
        </is>
      </c>
    </row>
    <row r="1555" ht="15" customHeight="1" s="162">
      <c r="A1555" s="7" t="n">
        <v>1554</v>
      </c>
      <c r="B1555" t="inlineStr">
        <is>
          <t>1250200530300</t>
        </is>
      </c>
      <c r="C1555" t="inlineStr">
        <is>
          <t>AMPLIF AUDIO 4CH 4X75W/4R 4X50W/8R 300W</t>
        </is>
      </c>
      <c r="D1555" t="inlineStr">
        <is>
          <t>1800115923</t>
        </is>
      </c>
      <c r="E1555" t="inlineStr">
        <is>
          <t>20</t>
        </is>
      </c>
      <c r="F1555" s="163" t="n">
        <v>45617</v>
      </c>
      <c r="G1555" t="inlineStr"/>
      <c r="H1555" t="inlineStr">
        <is>
          <t>4200588053</t>
        </is>
      </c>
      <c r="I1555" t="inlineStr">
        <is>
          <t>10</t>
        </is>
      </c>
      <c r="J1555" s="163" t="n">
        <v>45625</v>
      </c>
      <c r="K1555" s="163" t="n">
        <v>45625</v>
      </c>
      <c r="L1555" t="inlineStr"/>
      <c r="M1555" s="163" t="n">
        <v>45656</v>
      </c>
      <c r="N1555" s="164" t="n">
        <v>30</v>
      </c>
      <c r="O1555" s="164" t="n">
        <v>8</v>
      </c>
      <c r="P1555" t="inlineStr">
        <is>
          <t>Liberado</t>
        </is>
      </c>
      <c r="Q1555" s="166" t="n">
        <v>1</v>
      </c>
      <c r="R1555" s="166" t="n">
        <v>1</v>
      </c>
      <c r="S1555" s="166" t="n">
        <v>1</v>
      </c>
      <c r="T1555" s="166" t="n">
        <v>0</v>
      </c>
      <c r="U1555" s="166" t="n">
        <v>1</v>
      </c>
      <c r="V1555" s="166" t="n">
        <v>0</v>
      </c>
      <c r="W1555" t="inlineStr">
        <is>
          <t>X</t>
        </is>
      </c>
      <c r="X1555" t="inlineStr">
        <is>
          <t>0.00</t>
        </is>
      </c>
      <c r="Y1555" t="inlineStr"/>
      <c r="Z1555" t="inlineStr">
        <is>
          <t>INFORMATICA CALCULO Y TECNICA, S.A.</t>
        </is>
      </c>
      <c r="AA1555" t="inlineStr">
        <is>
          <t>BEHRINGER SPEZIELLE</t>
        </is>
      </c>
      <c r="AB1555" t="inlineStr">
        <is>
          <t>EPQ304</t>
        </is>
      </c>
      <c r="AC1555" t="inlineStr"/>
      <c r="AD1555" s="164" t="n">
        <v>1</v>
      </c>
      <c r="AE1555" s="185" t="n">
        <v>1</v>
      </c>
      <c r="AG1555" s="167" t="inlineStr">
        <is>
          <t>7218|JA2584_1001</t>
        </is>
      </c>
      <c r="AH1555" s="47">
        <f>IF(M1555=0,"-",M1555-J1555)</f>
        <v/>
      </c>
      <c r="AI1555" s="46">
        <f>IF(AND(S1555=0,M1555&gt;0,L1555=0),IF(AH1555&gt;=120,"VERY HIGH",IF(AH1555&gt;=90,"HIGH",IF(AH1555&gt;=60,"MEDIUM",IF(AH1555&lt;60,"LOW")))),"-")</f>
        <v/>
      </c>
      <c r="AJ1555" s="12" t="n"/>
      <c r="AK1555" s="53">
        <f>IF(AND(W1555="X",M1555&lt;=$AJ$2),"YES","")</f>
        <v/>
      </c>
      <c r="AL1555" s="54">
        <f>IF(AND(W1555="X",M1555&lt;=$AJ$2),S1555,"")</f>
        <v/>
      </c>
      <c r="AM1555" s="35" t="n"/>
      <c r="AN1555" s="35">
        <f>IF(AND(W1555="X",M1555&gt;$AJ$2),S1555,"")</f>
        <v/>
      </c>
      <c r="AO1555" s="35">
        <f>IF(AND(W1555="",M1555&gt;0,$AJ$2&gt;M1555,L1555=""),1,0)</f>
        <v/>
      </c>
      <c r="AP1555" s="35">
        <f>IF(AND(AK1555="YES",W1555="X"),"X","")</f>
        <v/>
      </c>
      <c r="AQ1555" s="55">
        <f>IF(AP1555="X",100%,0%)</f>
        <v/>
      </c>
      <c r="AR1555" s="25">
        <f>IF(AND(T1555&gt;0,L1555=""),H1555,"")</f>
        <v/>
      </c>
      <c r="AS1555" s="25">
        <f>IF(AND(D1555&gt;0,H1555=0,G1555=""),1,"")</f>
        <v/>
      </c>
      <c r="AT1555" s="25">
        <f>IF(G1555="BLOQ",1,"")</f>
        <v/>
      </c>
      <c r="AU1555" s="25">
        <f>IF(L1555="BLOQ",1,"")</f>
        <v/>
      </c>
      <c r="AV1555" s="25">
        <f>MONTH(F1555)</f>
        <v/>
      </c>
      <c r="AW1555" s="65">
        <f>IF(AP1555="",100%,0%)</f>
        <v/>
      </c>
      <c r="AX1555" s="56" t="n"/>
      <c r="AY1555" s="24">
        <f>IF(M1555=0,"",M1555-$AX$2)</f>
        <v/>
      </c>
      <c r="AZ1555" s="66">
        <f>IF(AND(W1555="",AY1555&gt;0,AY1555&lt;15),1,0)</f>
        <v/>
      </c>
      <c r="BA1555" s="24">
        <f>IF(AND(W1555="",AY1555&gt;0,AY1555&lt;15),T1555,"")</f>
        <v/>
      </c>
      <c r="BB1555" s="87">
        <f>IF(R1555&lt;Q1555,"X","")</f>
        <v/>
      </c>
      <c r="BC1555" s="190" t="inlineStr">
        <is>
          <t>NO</t>
        </is>
      </c>
      <c r="BD1555" s="191" t="inlineStr">
        <is>
          <t>SI</t>
        </is>
      </c>
    </row>
    <row r="1556" ht="15" customHeight="1" s="162">
      <c r="A1556" s="7" t="n">
        <v>1555</v>
      </c>
      <c r="B1556" t="inlineStr">
        <is>
          <t>1263011021400</t>
        </is>
      </c>
      <c r="C1556" t="inlineStr">
        <is>
          <t>F.A. VE=230VAC VS=15VDC 1.6A 25W TIPO-C</t>
        </is>
      </c>
      <c r="D1556" t="inlineStr">
        <is>
          <t>1800115923</t>
        </is>
      </c>
      <c r="E1556" t="inlineStr">
        <is>
          <t>30</t>
        </is>
      </c>
      <c r="F1556" s="163" t="n">
        <v>45617</v>
      </c>
      <c r="G1556" t="inlineStr"/>
      <c r="H1556" t="inlineStr">
        <is>
          <t>4200594157</t>
        </is>
      </c>
      <c r="I1556" t="inlineStr">
        <is>
          <t>10</t>
        </is>
      </c>
      <c r="J1556" s="163" t="n">
        <v>45679</v>
      </c>
      <c r="K1556" s="163" t="n">
        <v>45684</v>
      </c>
      <c r="L1556" t="inlineStr"/>
      <c r="M1556" s="163" t="n">
        <v>45626</v>
      </c>
      <c r="N1556" s="164" t="n">
        <v>40</v>
      </c>
      <c r="O1556" s="164" t="n">
        <v>8</v>
      </c>
      <c r="P1556" t="inlineStr">
        <is>
          <t>Liberado</t>
        </is>
      </c>
      <c r="Q1556" s="166" t="n">
        <v>1</v>
      </c>
      <c r="R1556" s="166" t="n">
        <v>2</v>
      </c>
      <c r="S1556" s="166" t="n">
        <v>2</v>
      </c>
      <c r="T1556" s="166" t="n">
        <v>0</v>
      </c>
      <c r="U1556" s="166" t="n">
        <v>2</v>
      </c>
      <c r="V1556" s="166" t="n">
        <v>0</v>
      </c>
      <c r="W1556" t="inlineStr">
        <is>
          <t>X</t>
        </is>
      </c>
      <c r="X1556" t="inlineStr">
        <is>
          <t>0.00</t>
        </is>
      </c>
      <c r="Y1556" t="inlineStr"/>
      <c r="Z1556" t="inlineStr">
        <is>
          <t>INFORMATICA CALCULO Y TECNICA, S.A.</t>
        </is>
      </c>
      <c r="AA1556" t="inlineStr">
        <is>
          <t>ALPHA ELETTRONICA</t>
        </is>
      </c>
      <c r="AB1556" t="inlineStr">
        <is>
          <t>SW25-415-60</t>
        </is>
      </c>
      <c r="AC1556" t="inlineStr"/>
      <c r="AD1556" s="164" t="n">
        <v>0</v>
      </c>
      <c r="AE1556" s="185" t="n">
        <v>0</v>
      </c>
      <c r="AG1556" s="167" t="inlineStr">
        <is>
          <t>7218|JA2584_1001</t>
        </is>
      </c>
      <c r="AH1556" s="47">
        <f>IF(M1556=0,"-",M1556-J1556)</f>
        <v/>
      </c>
      <c r="AI1556" s="46">
        <f>IF(AND(S1556=0,M1556&gt;0,L1556=0),IF(AH1556&gt;=120,"VERY HIGH",IF(AH1556&gt;=90,"HIGH",IF(AH1556&gt;=60,"MEDIUM",IF(AH1556&lt;60,"LOW")))),"-")</f>
        <v/>
      </c>
      <c r="AJ1556" s="12" t="n"/>
      <c r="AK1556" s="53">
        <f>IF(AND(W1556="X",M1556&lt;=$AJ$2),"YES","")</f>
        <v/>
      </c>
      <c r="AL1556" s="54">
        <f>IF(AND(W1556="X",M1556&lt;=$AJ$2),S1556,"")</f>
        <v/>
      </c>
      <c r="AM1556" s="35" t="n"/>
      <c r="AN1556" s="35">
        <f>IF(AND(W1556="X",M1556&gt;$AJ$2),S1556,"")</f>
        <v/>
      </c>
      <c r="AO1556" s="35">
        <f>IF(AND(W1556="",M1556&gt;0,$AJ$2&gt;M1556,L1556=""),1,0)</f>
        <v/>
      </c>
      <c r="AP1556" s="35">
        <f>IF(AND(AK1556="YES",W1556="X"),"X","")</f>
        <v/>
      </c>
      <c r="AQ1556" s="55">
        <f>IF(AP1556="X",100%,0%)</f>
        <v/>
      </c>
      <c r="AR1556" s="25">
        <f>IF(AND(T1556&gt;0,L1556=""),H1556,"")</f>
        <v/>
      </c>
      <c r="AS1556" s="25">
        <f>IF(AND(D1556&gt;0,H1556=0,G1556=""),1,"")</f>
        <v/>
      </c>
      <c r="AT1556" s="25">
        <f>IF(G1556="BLOQ",1,"")</f>
        <v/>
      </c>
      <c r="AU1556" s="25">
        <f>IF(L1556="BLOQ",1,"")</f>
        <v/>
      </c>
      <c r="AV1556" s="25">
        <f>MONTH(F1556)</f>
        <v/>
      </c>
      <c r="AW1556" s="65">
        <f>IF(AP1556="",100%,0%)</f>
        <v/>
      </c>
      <c r="AX1556" s="56" t="n"/>
      <c r="AY1556" s="24">
        <f>IF(M1556=0,"",M1556-$AX$2)</f>
        <v/>
      </c>
      <c r="AZ1556" s="66">
        <f>IF(AND(W1556="",AY1556&gt;0,AY1556&lt;15),1,0)</f>
        <v/>
      </c>
      <c r="BA1556" s="24">
        <f>IF(AND(W1556="",AY1556&gt;0,AY1556&lt;15),T1556,"")</f>
        <v/>
      </c>
      <c r="BB1556" s="87">
        <f>IF(R1556&lt;Q1556,"X","")</f>
        <v/>
      </c>
      <c r="BC1556" s="190" t="inlineStr">
        <is>
          <t>NO</t>
        </is>
      </c>
      <c r="BD1556" s="191" t="inlineStr">
        <is>
          <t>SI</t>
        </is>
      </c>
    </row>
    <row r="1557" ht="15" customHeight="1" s="162">
      <c r="A1557" s="7" t="n">
        <v>1556</v>
      </c>
      <c r="B1557" t="inlineStr">
        <is>
          <t>1263011021400</t>
        </is>
      </c>
      <c r="C1557" t="inlineStr">
        <is>
          <t>F.A. VE=230VAC VS=15VDC 1.6A 25W TIPO-C</t>
        </is>
      </c>
      <c r="D1557" t="inlineStr">
        <is>
          <t>1800115923</t>
        </is>
      </c>
      <c r="E1557" t="inlineStr">
        <is>
          <t>30</t>
        </is>
      </c>
      <c r="F1557" s="163" t="n">
        <v>45617</v>
      </c>
      <c r="G1557" t="inlineStr"/>
      <c r="H1557" t="inlineStr">
        <is>
          <t>4200587632</t>
        </is>
      </c>
      <c r="I1557" t="inlineStr">
        <is>
          <t>10</t>
        </is>
      </c>
      <c r="J1557" s="163" t="n">
        <v>45623</v>
      </c>
      <c r="K1557" s="163" t="n">
        <v>45624</v>
      </c>
      <c r="L1557" t="inlineStr">
        <is>
          <t>BORR</t>
        </is>
      </c>
      <c r="M1557" s="163" t="n">
        <v>45660</v>
      </c>
      <c r="N1557" s="164" t="n">
        <v>40</v>
      </c>
      <c r="O1557" s="164" t="n">
        <v>8</v>
      </c>
      <c r="P1557" t="inlineStr"/>
      <c r="Q1557" s="165" t="n">
        <v>1</v>
      </c>
      <c r="R1557" s="165" t="n">
        <v>1</v>
      </c>
      <c r="S1557" s="165" t="n">
        <v>0</v>
      </c>
      <c r="T1557" s="165" t="n">
        <v>1</v>
      </c>
      <c r="U1557" s="166" t="n">
        <v>0</v>
      </c>
      <c r="V1557" s="166" t="n">
        <v>0</v>
      </c>
      <c r="W1557" t="inlineStr"/>
      <c r="X1557" t="inlineStr">
        <is>
          <t>47.50</t>
        </is>
      </c>
      <c r="Y1557" t="inlineStr"/>
      <c r="Z1557" t="inlineStr">
        <is>
          <t>(AEMSA)ALMACENES ELECTRICOS MADRILE</t>
        </is>
      </c>
      <c r="AA1557" t="inlineStr">
        <is>
          <t>ALPHA ELETTRONICA</t>
        </is>
      </c>
      <c r="AB1557" t="inlineStr">
        <is>
          <t>SW25-415-60</t>
        </is>
      </c>
      <c r="AC1557" t="inlineStr"/>
      <c r="AD1557" s="164" t="n">
        <v>0</v>
      </c>
      <c r="AE1557" s="185" t="n">
        <v>0</v>
      </c>
      <c r="AG1557" s="167" t="inlineStr">
        <is>
          <t>7218|JA2584_1001</t>
        </is>
      </c>
      <c r="AH1557" s="47">
        <f>IF(M1557=0,"-",M1557-J1557)</f>
        <v/>
      </c>
      <c r="AI1557" s="46">
        <f>IF(AND(S1557=0,M1557&gt;0,L1557=0),IF(AH1557&gt;=120,"VERY HIGH",IF(AH1557&gt;=90,"HIGH",IF(AH1557&gt;=60,"MEDIUM",IF(AH1557&lt;60,"LOW")))),"-")</f>
        <v/>
      </c>
      <c r="AJ1557" s="12" t="n"/>
      <c r="AK1557" s="53">
        <f>IF(AND(W1557="X",M1557&lt;=$AJ$2),"YES","")</f>
        <v/>
      </c>
      <c r="AL1557" s="54">
        <f>IF(AND(W1557="X",M1557&lt;=$AJ$2),S1557,"")</f>
        <v/>
      </c>
      <c r="AM1557" s="35" t="n"/>
      <c r="AN1557" s="35">
        <f>IF(AND(W1557="X",M1557&gt;$AJ$2),S1557,"")</f>
        <v/>
      </c>
      <c r="AO1557" s="35">
        <f>IF(AND(W1557="",M1557&gt;0,$AJ$2&gt;M1557,L1557=""),1,0)</f>
        <v/>
      </c>
      <c r="AP1557" s="35">
        <f>IF(AND(AK1557="YES",W1557="X"),"X","")</f>
        <v/>
      </c>
      <c r="AQ1557" s="55">
        <f>IF(AP1557="X",100%,0%)</f>
        <v/>
      </c>
      <c r="AR1557" s="25">
        <f>IF(AND(T1557&gt;0,L1557=""),H1557,"")</f>
        <v/>
      </c>
      <c r="AS1557" s="25">
        <f>IF(AND(D1557&gt;0,H1557=0,G1557=""),1,"")</f>
        <v/>
      </c>
      <c r="AT1557" s="25">
        <f>IF(G1557="BLOQ",1,"")</f>
        <v/>
      </c>
      <c r="AU1557" s="25">
        <f>IF(L1557="BLOQ",1,"")</f>
        <v/>
      </c>
      <c r="AV1557" s="25">
        <f>MONTH(F1557)</f>
        <v/>
      </c>
      <c r="AW1557" s="65">
        <f>IF(AP1557="",100%,0%)</f>
        <v/>
      </c>
      <c r="AX1557" s="56" t="n"/>
      <c r="AY1557" s="24">
        <f>IF(M1557=0,"",M1557-$AX$2)</f>
        <v/>
      </c>
      <c r="AZ1557" s="66">
        <f>IF(AND(W1557="",AY1557&gt;0,AY1557&lt;15),1,0)</f>
        <v/>
      </c>
      <c r="BA1557" s="24">
        <f>IF(AND(W1557="",AY1557&gt;0,AY1557&lt;15),T1557,"")</f>
        <v/>
      </c>
      <c r="BB1557" s="87">
        <f>IF(R1557&lt;Q1557,"X","")</f>
        <v/>
      </c>
      <c r="BC1557" s="190" t="inlineStr">
        <is>
          <t>NO</t>
        </is>
      </c>
      <c r="BD1557" s="191" t="inlineStr">
        <is>
          <t>SI</t>
        </is>
      </c>
    </row>
    <row r="1558" ht="15" customHeight="1" s="162">
      <c r="A1558" s="7" t="n">
        <v>1557</v>
      </c>
      <c r="B1558" t="inlineStr">
        <is>
          <t>1229500280014</t>
        </is>
      </c>
      <c r="C1558" t="inlineStr">
        <is>
          <t>CBL EQ USB 2.0-C M/M RECT PVC NEGRO L=4M</t>
        </is>
      </c>
      <c r="D1558" t="inlineStr">
        <is>
          <t>1800115924</t>
        </is>
      </c>
      <c r="E1558" t="inlineStr">
        <is>
          <t>10</t>
        </is>
      </c>
      <c r="F1558" s="163" t="n">
        <v>45617</v>
      </c>
      <c r="G1558" t="inlineStr"/>
      <c r="H1558" t="inlineStr">
        <is>
          <t>4200588386</t>
        </is>
      </c>
      <c r="I1558" t="inlineStr">
        <is>
          <t>310</t>
        </is>
      </c>
      <c r="J1558" s="163" t="n">
        <v>45629</v>
      </c>
      <c r="K1558" s="163" t="n">
        <v>45930</v>
      </c>
      <c r="L1558" t="inlineStr"/>
      <c r="M1558" s="163" t="n">
        <v>45636</v>
      </c>
      <c r="N1558" s="164" t="n">
        <v>40</v>
      </c>
      <c r="O1558" s="164" t="n">
        <v>8</v>
      </c>
      <c r="P1558" t="inlineStr">
        <is>
          <t>Liberado</t>
        </is>
      </c>
      <c r="Q1558" s="165" t="n">
        <v>1</v>
      </c>
      <c r="R1558" s="165" t="n">
        <v>1</v>
      </c>
      <c r="S1558" s="165" t="n">
        <v>1</v>
      </c>
      <c r="T1558" s="165" t="n">
        <v>0</v>
      </c>
      <c r="U1558" s="166" t="n">
        <v>1</v>
      </c>
      <c r="V1558" s="166" t="n">
        <v>0</v>
      </c>
      <c r="W1558" t="inlineStr">
        <is>
          <t>X</t>
        </is>
      </c>
      <c r="X1558" t="inlineStr">
        <is>
          <t>0.00</t>
        </is>
      </c>
      <c r="Y1558" t="inlineStr"/>
      <c r="Z1558" t="inlineStr">
        <is>
          <t>TELKRON, S.A.</t>
        </is>
      </c>
      <c r="AA1558" t="inlineStr">
        <is>
          <t>STARTECH.COM LTD</t>
        </is>
      </c>
      <c r="AB1558" t="inlineStr">
        <is>
          <t>USB2C5C4M</t>
        </is>
      </c>
      <c r="AC1558" t="inlineStr"/>
      <c r="AD1558" s="164" t="n">
        <v>0</v>
      </c>
      <c r="AE1558" s="185" t="n">
        <v>0</v>
      </c>
      <c r="AG1558" s="167" t="inlineStr">
        <is>
          <t>7218|JA2585_1001</t>
        </is>
      </c>
      <c r="AH1558" s="47">
        <f>IF(M1558=0,"-",M1558-J1558)</f>
        <v/>
      </c>
      <c r="AI1558" s="46">
        <f>IF(AND(S1558=0,M1558&gt;0,L1558=0),IF(AH1558&gt;=120,"VERY HIGH",IF(AH1558&gt;=90,"HIGH",IF(AH1558&gt;=60,"MEDIUM",IF(AH1558&lt;60,"LOW")))),"-")</f>
        <v/>
      </c>
      <c r="AJ1558" s="12" t="n"/>
      <c r="AK1558" s="53">
        <f>IF(AND(W1558="X",M1558&lt;=$AJ$2),"YES","")</f>
        <v/>
      </c>
      <c r="AL1558" s="54">
        <f>IF(AND(W1558="X",M1558&lt;=$AJ$2),S1558,"")</f>
        <v/>
      </c>
      <c r="AM1558" s="35" t="n"/>
      <c r="AN1558" s="35">
        <f>IF(AND(W1558="X",M1558&gt;$AJ$2),S1558,"")</f>
        <v/>
      </c>
      <c r="AO1558" s="35">
        <f>IF(AND(W1558="",M1558&gt;0,$AJ$2&gt;M1558,L1558=""),1,0)</f>
        <v/>
      </c>
      <c r="AP1558" s="35">
        <f>IF(AND(AK1558="YES",W1558="X"),"X","")</f>
        <v/>
      </c>
      <c r="AQ1558" s="55">
        <f>IF(AP1558="X",100%,0%)</f>
        <v/>
      </c>
      <c r="AR1558" s="25">
        <f>IF(AND(T1558&gt;0,L1558=""),H1558,"")</f>
        <v/>
      </c>
      <c r="AS1558" s="25">
        <f>IF(AND(D1558&gt;0,H1558=0,G1558=""),1,"")</f>
        <v/>
      </c>
      <c r="AT1558" s="25">
        <f>IF(G1558="BLOQ",1,"")</f>
        <v/>
      </c>
      <c r="AU1558" s="25">
        <f>IF(L1558="BLOQ",1,"")</f>
        <v/>
      </c>
      <c r="AV1558" s="25">
        <f>MONTH(F1558)</f>
        <v/>
      </c>
      <c r="AW1558" s="65">
        <f>IF(AP1558="",100%,0%)</f>
        <v/>
      </c>
      <c r="AX1558" s="56" t="n"/>
      <c r="AY1558" s="24">
        <f>IF(M1558=0,"",M1558-$AX$2)</f>
        <v/>
      </c>
      <c r="AZ1558" s="66">
        <f>IF(AND(W1558="",AY1558&gt;0,AY1558&lt;15),1,0)</f>
        <v/>
      </c>
      <c r="BA1558" s="24">
        <f>IF(AND(W1558="",AY1558&gt;0,AY1558&lt;15),T1558,"")</f>
        <v/>
      </c>
      <c r="BB1558" s="87">
        <f>IF(R1558&lt;Q1558,"X","")</f>
        <v/>
      </c>
      <c r="BC1558" s="190" t="inlineStr">
        <is>
          <t>NO</t>
        </is>
      </c>
      <c r="BD1558" s="191" t="inlineStr">
        <is>
          <t>SI</t>
        </is>
      </c>
    </row>
    <row r="1559" ht="15" customHeight="1" s="162">
      <c r="A1559" s="7" t="n">
        <v>1558</v>
      </c>
      <c r="B1559" t="inlineStr">
        <is>
          <t>1229591600803</t>
        </is>
      </c>
      <c r="C1559" t="inlineStr">
        <is>
          <t>CBL EQ PC CAT6A F/UTP RJ45 LSZH VER L=3M</t>
        </is>
      </c>
      <c r="D1559" t="inlineStr">
        <is>
          <t>1800115924</t>
        </is>
      </c>
      <c r="E1559" t="inlineStr">
        <is>
          <t>20</t>
        </is>
      </c>
      <c r="F1559" s="163" t="n">
        <v>45617</v>
      </c>
      <c r="G1559" t="inlineStr"/>
      <c r="H1559" t="inlineStr">
        <is>
          <t>4200590815</t>
        </is>
      </c>
      <c r="I1559" t="inlineStr">
        <is>
          <t>10</t>
        </is>
      </c>
      <c r="J1559" s="163" t="n">
        <v>45644</v>
      </c>
      <c r="K1559" s="163" t="n">
        <v>45644</v>
      </c>
      <c r="L1559" t="inlineStr"/>
      <c r="M1559" s="163" t="n">
        <v>45657</v>
      </c>
      <c r="N1559" s="164" t="n">
        <v>30</v>
      </c>
      <c r="O1559" s="164" t="n">
        <v>8</v>
      </c>
      <c r="P1559" t="inlineStr">
        <is>
          <t>Liberado</t>
        </is>
      </c>
      <c r="Q1559" s="165" t="n">
        <v>2</v>
      </c>
      <c r="R1559" s="165" t="n">
        <v>2</v>
      </c>
      <c r="S1559" s="165" t="n">
        <v>2</v>
      </c>
      <c r="T1559" s="165" t="n">
        <v>0</v>
      </c>
      <c r="U1559" s="166" t="n">
        <v>2</v>
      </c>
      <c r="V1559" s="166" t="n">
        <v>0</v>
      </c>
      <c r="W1559" t="inlineStr">
        <is>
          <t>X</t>
        </is>
      </c>
      <c r="X1559" t="inlineStr">
        <is>
          <t>0.00</t>
        </is>
      </c>
      <c r="Y1559" t="inlineStr"/>
      <c r="Z1559" t="inlineStr">
        <is>
          <t>CUBITEL,S.L</t>
        </is>
      </c>
      <c r="AA1559" t="inlineStr">
        <is>
          <t>CUBITEL</t>
        </is>
      </c>
      <c r="AB1559" t="inlineStr">
        <is>
          <t>LAT-CAT6AF-VD-3</t>
        </is>
      </c>
      <c r="AC1559" t="inlineStr"/>
      <c r="AD1559" s="164" t="n">
        <v>0</v>
      </c>
      <c r="AE1559" s="185" t="n">
        <v>0</v>
      </c>
      <c r="AG1559" s="167" t="inlineStr">
        <is>
          <t>7218|JA2585_1001</t>
        </is>
      </c>
      <c r="AH1559" s="47">
        <f>IF(M1559=0,"-",M1559-J1559)</f>
        <v/>
      </c>
      <c r="AI1559" s="46">
        <f>IF(AND(S1559=0,M1559&gt;0,L1559=0),IF(AH1559&gt;=120,"VERY HIGH",IF(AH1559&gt;=90,"HIGH",IF(AH1559&gt;=60,"MEDIUM",IF(AH1559&lt;60,"LOW")))),"-")</f>
        <v/>
      </c>
      <c r="AJ1559" s="12" t="n"/>
      <c r="AK1559" s="53">
        <f>IF(AND(W1559="X",M1559&lt;=$AJ$2),"YES","")</f>
        <v/>
      </c>
      <c r="AL1559" s="54">
        <f>IF(AND(W1559="X",M1559&lt;=$AJ$2),S1559,"")</f>
        <v/>
      </c>
      <c r="AM1559" s="35" t="n"/>
      <c r="AN1559" s="35">
        <f>IF(AND(W1559="X",M1559&gt;$AJ$2),S1559,"")</f>
        <v/>
      </c>
      <c r="AO1559" s="35">
        <f>IF(AND(W1559="",M1559&gt;0,$AJ$2&gt;M1559,L1559=""),1,0)</f>
        <v/>
      </c>
      <c r="AP1559" s="35">
        <f>IF(AND(AK1559="YES",W1559="X"),"X","")</f>
        <v/>
      </c>
      <c r="AQ1559" s="55">
        <f>IF(AP1559="X",100%,0%)</f>
        <v/>
      </c>
      <c r="AR1559" s="25">
        <f>IF(AND(T1559&gt;0,L1559=""),H1559,"")</f>
        <v/>
      </c>
      <c r="AS1559" s="25">
        <f>IF(AND(D1559&gt;0,H1559=0,G1559=""),1,"")</f>
        <v/>
      </c>
      <c r="AT1559" s="25">
        <f>IF(G1559="BLOQ",1,"")</f>
        <v/>
      </c>
      <c r="AU1559" s="25">
        <f>IF(L1559="BLOQ",1,"")</f>
        <v/>
      </c>
      <c r="AV1559" s="25">
        <f>MONTH(F1559)</f>
        <v/>
      </c>
      <c r="AW1559" s="65">
        <f>IF(AP1559="",100%,0%)</f>
        <v/>
      </c>
      <c r="AX1559" s="56" t="n"/>
      <c r="AY1559" s="24">
        <f>IF(M1559=0,"",M1559-$AX$2)</f>
        <v/>
      </c>
      <c r="AZ1559" s="66">
        <f>IF(AND(W1559="",AY1559&gt;0,AY1559&lt;15),1,0)</f>
        <v/>
      </c>
      <c r="BA1559" s="24">
        <f>IF(AND(W1559="",AY1559&gt;0,AY1559&lt;15),T1559,"")</f>
        <v/>
      </c>
      <c r="BB1559" s="87">
        <f>IF(R1559&lt;Q1559,"X","")</f>
        <v/>
      </c>
      <c r="BC1559" s="190" t="inlineStr">
        <is>
          <t>NO</t>
        </is>
      </c>
      <c r="BD1559" s="191" t="inlineStr">
        <is>
          <t>SI</t>
        </is>
      </c>
    </row>
    <row r="1560" ht="15" customHeight="1" s="162">
      <c r="A1560" s="7" t="n">
        <v>1559</v>
      </c>
      <c r="B1560" t="inlineStr">
        <is>
          <t>1229591600903</t>
        </is>
      </c>
      <c r="C1560" t="inlineStr">
        <is>
          <t>CBL EQ PC CAT6A F/UTP RJ45 LSZH NE L=10M</t>
        </is>
      </c>
      <c r="D1560" t="inlineStr">
        <is>
          <t>1800115924</t>
        </is>
      </c>
      <c r="E1560" t="inlineStr">
        <is>
          <t>30</t>
        </is>
      </c>
      <c r="F1560" s="163" t="n">
        <v>45617</v>
      </c>
      <c r="G1560" t="inlineStr"/>
      <c r="H1560" t="inlineStr">
        <is>
          <t>4200590815</t>
        </is>
      </c>
      <c r="I1560" t="inlineStr">
        <is>
          <t>20</t>
        </is>
      </c>
      <c r="J1560" s="163" t="n">
        <v>45644</v>
      </c>
      <c r="K1560" s="163" t="n">
        <v>45644</v>
      </c>
      <c r="L1560" t="inlineStr"/>
      <c r="M1560" s="163" t="n">
        <v>45657</v>
      </c>
      <c r="N1560" s="164" t="n">
        <v>40</v>
      </c>
      <c r="O1560" s="164" t="n">
        <v>8</v>
      </c>
      <c r="P1560" t="inlineStr">
        <is>
          <t>Liberado</t>
        </is>
      </c>
      <c r="Q1560" s="165" t="n">
        <v>2</v>
      </c>
      <c r="R1560" s="165" t="n">
        <v>2</v>
      </c>
      <c r="S1560" s="165" t="n">
        <v>2</v>
      </c>
      <c r="T1560" s="165" t="n">
        <v>0</v>
      </c>
      <c r="U1560" s="166" t="n">
        <v>2</v>
      </c>
      <c r="V1560" s="166" t="n">
        <v>0</v>
      </c>
      <c r="W1560" t="inlineStr">
        <is>
          <t>X</t>
        </is>
      </c>
      <c r="X1560" t="inlineStr">
        <is>
          <t>0.00</t>
        </is>
      </c>
      <c r="Y1560" t="inlineStr"/>
      <c r="Z1560" t="inlineStr">
        <is>
          <t>CUBITEL,S.L</t>
        </is>
      </c>
      <c r="AA1560" t="inlineStr">
        <is>
          <t>CUBITEL</t>
        </is>
      </c>
      <c r="AB1560" t="inlineStr">
        <is>
          <t>LAT-CAT6AF-NG-10</t>
        </is>
      </c>
      <c r="AC1560" t="inlineStr"/>
      <c r="AD1560" s="164" t="n">
        <v>0</v>
      </c>
      <c r="AE1560" s="185" t="n">
        <v>0</v>
      </c>
      <c r="AG1560" s="167" t="inlineStr">
        <is>
          <t>7218|JA2585_1001</t>
        </is>
      </c>
      <c r="AH1560" s="47">
        <f>IF(M1560=0,"-",M1560-J1560)</f>
        <v/>
      </c>
      <c r="AI1560" s="46">
        <f>IF(AND(S1560=0,M1560&gt;0,L1560=0),IF(AH1560&gt;=120,"VERY HIGH",IF(AH1560&gt;=90,"HIGH",IF(AH1560&gt;=60,"MEDIUM",IF(AH1560&lt;60,"LOW")))),"-")</f>
        <v/>
      </c>
      <c r="AJ1560" s="12" t="n"/>
      <c r="AK1560" s="53">
        <f>IF(AND(W1560="X",M1560&lt;=$AJ$2),"YES","")</f>
        <v/>
      </c>
      <c r="AL1560" s="54">
        <f>IF(AND(W1560="X",M1560&lt;=$AJ$2),S1560,"")</f>
        <v/>
      </c>
      <c r="AM1560" s="35" t="n"/>
      <c r="AN1560" s="35">
        <f>IF(AND(W1560="X",M1560&gt;$AJ$2),S1560,"")</f>
        <v/>
      </c>
      <c r="AO1560" s="35">
        <f>IF(AND(W1560="",M1560&gt;0,$AJ$2&gt;M1560,L1560=""),1,0)</f>
        <v/>
      </c>
      <c r="AP1560" s="35">
        <f>IF(AND(AK1560="YES",W1560="X"),"X","")</f>
        <v/>
      </c>
      <c r="AQ1560" s="55">
        <f>IF(AP1560="X",100%,0%)</f>
        <v/>
      </c>
      <c r="AR1560" s="25">
        <f>IF(AND(T1560&gt;0,L1560=""),H1560,"")</f>
        <v/>
      </c>
      <c r="AS1560" s="25">
        <f>IF(AND(D1560&gt;0,H1560=0,G1560=""),1,"")</f>
        <v/>
      </c>
      <c r="AT1560" s="25">
        <f>IF(G1560="BLOQ",1,"")</f>
        <v/>
      </c>
      <c r="AU1560" s="25">
        <f>IF(L1560="BLOQ",1,"")</f>
        <v/>
      </c>
      <c r="AV1560" s="25">
        <f>MONTH(F1560)</f>
        <v/>
      </c>
      <c r="AW1560" s="65">
        <f>IF(AP1560="",100%,0%)</f>
        <v/>
      </c>
      <c r="AX1560" s="56" t="n"/>
      <c r="AY1560" s="24">
        <f>IF(M1560=0,"",M1560-$AX$2)</f>
        <v/>
      </c>
      <c r="AZ1560" s="66">
        <f>IF(AND(W1560="",AY1560&gt;0,AY1560&lt;15),1,0)</f>
        <v/>
      </c>
      <c r="BA1560" s="24">
        <f>IF(AND(W1560="",AY1560&gt;0,AY1560&lt;15),T1560,"")</f>
        <v/>
      </c>
      <c r="BB1560" s="87">
        <f>IF(R1560&lt;Q1560,"X","")</f>
        <v/>
      </c>
      <c r="BC1560" s="190" t="inlineStr">
        <is>
          <t>NO</t>
        </is>
      </c>
      <c r="BD1560" s="191" t="inlineStr">
        <is>
          <t>SI</t>
        </is>
      </c>
    </row>
    <row r="1561" ht="15" customHeight="1" s="162">
      <c r="A1561" s="7" t="n">
        <v>1560</v>
      </c>
      <c r="B1561" t="inlineStr">
        <is>
          <t>3190402940300</t>
        </is>
      </c>
      <c r="C1561" t="inlineStr">
        <is>
          <t>MONITOR IPS 22.5" 1920X1080 HDMI/DP/USB</t>
        </is>
      </c>
      <c r="D1561" t="inlineStr">
        <is>
          <t>1800115925</t>
        </is>
      </c>
      <c r="E1561" t="inlineStr">
        <is>
          <t>10</t>
        </is>
      </c>
      <c r="F1561" s="163" t="n">
        <v>45617</v>
      </c>
      <c r="G1561" t="inlineStr"/>
      <c r="H1561" t="inlineStr">
        <is>
          <t>4200588806</t>
        </is>
      </c>
      <c r="I1561" t="inlineStr">
        <is>
          <t>10</t>
        </is>
      </c>
      <c r="J1561" s="163" t="n">
        <v>45631</v>
      </c>
      <c r="K1561" s="163" t="n">
        <v>45631</v>
      </c>
      <c r="L1561" t="inlineStr"/>
      <c r="M1561" s="163" t="n">
        <v>45671</v>
      </c>
      <c r="N1561" s="164" t="n">
        <v>40</v>
      </c>
      <c r="O1561" s="164" t="n">
        <v>8</v>
      </c>
      <c r="P1561" t="inlineStr">
        <is>
          <t>Liberado</t>
        </is>
      </c>
      <c r="Q1561" s="165" t="n">
        <v>1</v>
      </c>
      <c r="R1561" s="165" t="n">
        <v>1</v>
      </c>
      <c r="S1561" s="165" t="n">
        <v>2</v>
      </c>
      <c r="T1561" s="165" t="n">
        <v>0</v>
      </c>
      <c r="U1561" s="166" t="n">
        <v>1</v>
      </c>
      <c r="V1561" s="166" t="n">
        <v>1</v>
      </c>
      <c r="W1561" t="inlineStr">
        <is>
          <t>X</t>
        </is>
      </c>
      <c r="X1561" t="inlineStr">
        <is>
          <t>0.00</t>
        </is>
      </c>
      <c r="Y1561" t="inlineStr"/>
      <c r="Z1561" t="inlineStr">
        <is>
          <t>DELL COMPUTER, S.A.</t>
        </is>
      </c>
      <c r="AA1561" t="inlineStr">
        <is>
          <t>DELL COMPUTER</t>
        </is>
      </c>
      <c r="AB1561" t="inlineStr">
        <is>
          <t>P2225H</t>
        </is>
      </c>
      <c r="AC1561" t="inlineStr"/>
      <c r="AD1561" s="164" t="n">
        <v>1</v>
      </c>
      <c r="AE1561" s="185" t="n">
        <v>1</v>
      </c>
      <c r="AG1561" s="167" t="inlineStr">
        <is>
          <t>7218|JA2588_1001</t>
        </is>
      </c>
      <c r="AH1561" s="47">
        <f>IF(M1561=0,"-",M1561-J1561)</f>
        <v/>
      </c>
      <c r="AI1561" s="46">
        <f>IF(AND(S1561=0,M1561&gt;0,L1561=0),IF(AH1561&gt;=120,"VERY HIGH",IF(AH1561&gt;=90,"HIGH",IF(AH1561&gt;=60,"MEDIUM",IF(AH1561&lt;60,"LOW")))),"-")</f>
        <v/>
      </c>
      <c r="AJ1561" s="12" t="n"/>
      <c r="AK1561" s="53">
        <f>IF(AND(W1561="X",M1561&lt;=$AJ$2),"YES","")</f>
        <v/>
      </c>
      <c r="AL1561" s="54">
        <f>IF(AND(W1561="X",M1561&lt;=$AJ$2),S1561,"")</f>
        <v/>
      </c>
      <c r="AM1561" s="35" t="n"/>
      <c r="AN1561" s="35">
        <f>IF(AND(W1561="X",M1561&gt;$AJ$2),S1561,"")</f>
        <v/>
      </c>
      <c r="AO1561" s="35">
        <f>IF(AND(W1561="",M1561&gt;0,$AJ$2&gt;M1561,L1561=""),1,0)</f>
        <v/>
      </c>
      <c r="AP1561" s="35">
        <f>IF(AND(AK1561="YES",W1561="X"),"X","")</f>
        <v/>
      </c>
      <c r="AQ1561" s="55">
        <f>IF(AP1561="X",100%,0%)</f>
        <v/>
      </c>
      <c r="AR1561" s="25">
        <f>IF(AND(T1561&gt;0,L1561=""),H1561,"")</f>
        <v/>
      </c>
      <c r="AS1561" s="25">
        <f>IF(AND(D1561&gt;0,H1561=0,G1561=""),1,"")</f>
        <v/>
      </c>
      <c r="AT1561" s="25">
        <f>IF(G1561="BLOQ",1,"")</f>
        <v/>
      </c>
      <c r="AU1561" s="25">
        <f>IF(L1561="BLOQ",1,"")</f>
        <v/>
      </c>
      <c r="AV1561" s="25">
        <f>MONTH(F1561)</f>
        <v/>
      </c>
      <c r="AW1561" s="65">
        <f>IF(AP1561="",100%,0%)</f>
        <v/>
      </c>
      <c r="AX1561" s="56" t="n"/>
      <c r="AY1561" s="24">
        <f>IF(M1561=0,"",M1561-$AX$2)</f>
        <v/>
      </c>
      <c r="AZ1561" s="66">
        <f>IF(AND(W1561="",AY1561&gt;0,AY1561&lt;15),1,0)</f>
        <v/>
      </c>
      <c r="BA1561" s="24">
        <f>IF(AND(W1561="",AY1561&gt;0,AY1561&lt;15),T1561,"")</f>
        <v/>
      </c>
      <c r="BB1561" s="87">
        <f>IF(R1561&lt;Q1561,"X","")</f>
        <v/>
      </c>
      <c r="BC1561" s="191" t="inlineStr">
        <is>
          <t>SI</t>
        </is>
      </c>
      <c r="BD1561" s="191" t="inlineStr">
        <is>
          <t>SI</t>
        </is>
      </c>
    </row>
    <row r="1562" ht="15" customHeight="1" s="162">
      <c r="A1562" s="7" t="n">
        <v>1561</v>
      </c>
      <c r="B1562" t="inlineStr">
        <is>
          <t>1246701141300</t>
        </is>
      </c>
      <c r="C1562" t="inlineStr">
        <is>
          <t>UDAD EXT A/C 1F 220-240V R32/675 DAG125A</t>
        </is>
      </c>
      <c r="D1562" t="inlineStr">
        <is>
          <t>1800115974</t>
        </is>
      </c>
      <c r="E1562" t="inlineStr">
        <is>
          <t>10</t>
        </is>
      </c>
      <c r="F1562" s="163" t="n">
        <v>45620</v>
      </c>
      <c r="G1562" t="inlineStr"/>
      <c r="H1562" t="inlineStr">
        <is>
          <t>4200587505</t>
        </is>
      </c>
      <c r="I1562" t="inlineStr">
        <is>
          <t>40</t>
        </is>
      </c>
      <c r="J1562" s="163" t="n">
        <v>45623</v>
      </c>
      <c r="K1562" s="163" t="n">
        <v>45623</v>
      </c>
      <c r="L1562" t="inlineStr"/>
      <c r="M1562" s="163" t="n">
        <v>45632</v>
      </c>
      <c r="N1562" s="164" t="n">
        <v>40</v>
      </c>
      <c r="O1562" s="164" t="n">
        <v>8</v>
      </c>
      <c r="P1562" t="inlineStr">
        <is>
          <t>Liberado</t>
        </is>
      </c>
      <c r="Q1562" s="165" t="n">
        <v>2</v>
      </c>
      <c r="R1562" s="165" t="n">
        <v>1</v>
      </c>
      <c r="S1562" s="165" t="n">
        <v>2</v>
      </c>
      <c r="T1562" s="165" t="n">
        <v>0</v>
      </c>
      <c r="U1562" s="166" t="n">
        <v>1</v>
      </c>
      <c r="V1562" s="166" t="n">
        <v>1</v>
      </c>
      <c r="W1562" t="inlineStr">
        <is>
          <t>X</t>
        </is>
      </c>
      <c r="X1562" t="inlineStr">
        <is>
          <t>0.00</t>
        </is>
      </c>
      <c r="Y1562" t="inlineStr"/>
      <c r="Z1562" t="inlineStr">
        <is>
          <t>YNTEGRA SERV.INTEGRALES, S.L.</t>
        </is>
      </c>
      <c r="AA1562" t="inlineStr">
        <is>
          <t>DAIKIN</t>
        </is>
      </c>
      <c r="AB1562" t="inlineStr">
        <is>
          <t>RZAG125NV1</t>
        </is>
      </c>
      <c r="AC1562" t="inlineStr">
        <is>
          <t>X</t>
        </is>
      </c>
      <c r="AD1562" s="164" t="n">
        <v>0</v>
      </c>
      <c r="AE1562" s="185" t="n">
        <v>0</v>
      </c>
      <c r="AG1562" s="167" t="inlineStr">
        <is>
          <t>7218|JA2582_1001</t>
        </is>
      </c>
      <c r="AH1562" s="47">
        <f>IF(M1562=0,"-",M1562-J1562)</f>
        <v/>
      </c>
      <c r="AI1562" s="46">
        <f>IF(AND(S1562=0,M1562&gt;0,L1562=0),IF(AH1562&gt;=120,"VERY HIGH",IF(AH1562&gt;=90,"HIGH",IF(AH1562&gt;=60,"MEDIUM",IF(AH1562&lt;60,"LOW")))),"-")</f>
        <v/>
      </c>
      <c r="AJ1562" s="12" t="n"/>
      <c r="AK1562" s="53">
        <f>IF(AND(W1562="X",M1562&lt;=$AJ$2),"YES","")</f>
        <v/>
      </c>
      <c r="AL1562" s="54">
        <f>IF(AND(W1562="X",M1562&lt;=$AJ$2),S1562,"")</f>
        <v/>
      </c>
      <c r="AM1562" s="35" t="n"/>
      <c r="AN1562" s="35">
        <f>IF(AND(W1562="X",M1562&gt;$AJ$2),S1562,"")</f>
        <v/>
      </c>
      <c r="AO1562" s="35">
        <f>IF(AND(W1562="",M1562&gt;0,$AJ$2&gt;M1562,L1562=""),1,0)</f>
        <v/>
      </c>
      <c r="AP1562" s="35">
        <f>IF(AND(AK1562="YES",W1562="X"),"X","")</f>
        <v/>
      </c>
      <c r="AQ1562" s="55">
        <f>IF(AP1562="X",100%,0%)</f>
        <v/>
      </c>
      <c r="AR1562" s="25">
        <f>IF(AND(T1562&gt;0,L1562=""),H1562,"")</f>
        <v/>
      </c>
      <c r="AS1562" s="25">
        <f>IF(AND(D1562&gt;0,H1562=0,G1562=""),1,"")</f>
        <v/>
      </c>
      <c r="AT1562" s="25">
        <f>IF(G1562="BLOQ",1,"")</f>
        <v/>
      </c>
      <c r="AU1562" s="25">
        <f>IF(L1562="BLOQ",1,"")</f>
        <v/>
      </c>
      <c r="AV1562" s="25">
        <f>MONTH(F1562)</f>
        <v/>
      </c>
      <c r="AW1562" s="65">
        <f>IF(AP1562="",100%,0%)</f>
        <v/>
      </c>
      <c r="AX1562" s="56" t="n"/>
      <c r="AY1562" s="24">
        <f>IF(M1562=0,"",M1562-$AX$2)</f>
        <v/>
      </c>
      <c r="AZ1562" s="66">
        <f>IF(AND(W1562="",AY1562&gt;0,AY1562&lt;15),1,0)</f>
        <v/>
      </c>
      <c r="BA1562" s="24">
        <f>IF(AND(W1562="",AY1562&gt;0,AY1562&lt;15),T1562,"")</f>
        <v/>
      </c>
      <c r="BB1562" s="87">
        <f>IF(R1562&lt;Q1562,"X","")</f>
        <v/>
      </c>
      <c r="BC1562" s="190" t="inlineStr">
        <is>
          <t>NO</t>
        </is>
      </c>
      <c r="BD1562" s="191" t="inlineStr">
        <is>
          <t>SI</t>
        </is>
      </c>
    </row>
    <row r="1563" ht="15" customHeight="1" s="162">
      <c r="A1563" s="7" t="n">
        <v>1562</v>
      </c>
      <c r="B1563" t="inlineStr">
        <is>
          <t>1246701141400</t>
        </is>
      </c>
      <c r="C1563" t="inlineStr">
        <is>
          <t>UDAD INT A/C 12.1/13.5KW R32 DAG125A</t>
        </is>
      </c>
      <c r="D1563" t="inlineStr">
        <is>
          <t>1800115974</t>
        </is>
      </c>
      <c r="E1563" t="inlineStr">
        <is>
          <t>20</t>
        </is>
      </c>
      <c r="F1563" s="163" t="n">
        <v>45620</v>
      </c>
      <c r="G1563" t="inlineStr"/>
      <c r="H1563" t="inlineStr">
        <is>
          <t>4200587505</t>
        </is>
      </c>
      <c r="I1563" t="inlineStr">
        <is>
          <t>50</t>
        </is>
      </c>
      <c r="J1563" s="163" t="n">
        <v>45623</v>
      </c>
      <c r="K1563" s="163" t="n">
        <v>45623</v>
      </c>
      <c r="L1563" t="inlineStr"/>
      <c r="M1563" s="163" t="n">
        <v>45632</v>
      </c>
      <c r="N1563" s="164" t="n">
        <v>40</v>
      </c>
      <c r="O1563" s="164" t="n">
        <v>8</v>
      </c>
      <c r="P1563" t="inlineStr">
        <is>
          <t>Liberado</t>
        </is>
      </c>
      <c r="Q1563" s="165" t="n">
        <v>2</v>
      </c>
      <c r="R1563" s="165" t="n">
        <v>1</v>
      </c>
      <c r="S1563" s="165" t="n">
        <v>2</v>
      </c>
      <c r="T1563" s="165" t="n">
        <v>0</v>
      </c>
      <c r="U1563" s="166" t="n">
        <v>1</v>
      </c>
      <c r="V1563" s="166" t="n">
        <v>1</v>
      </c>
      <c r="W1563" t="inlineStr">
        <is>
          <t>X</t>
        </is>
      </c>
      <c r="X1563" t="inlineStr">
        <is>
          <t>0.00</t>
        </is>
      </c>
      <c r="Y1563" t="inlineStr"/>
      <c r="Z1563" t="inlineStr">
        <is>
          <t>YNTEGRA SERV.INTEGRALES, S.L.</t>
        </is>
      </c>
      <c r="AA1563" t="inlineStr">
        <is>
          <t>DAIKIN</t>
        </is>
      </c>
      <c r="AB1563" t="inlineStr">
        <is>
          <t>FDA125A</t>
        </is>
      </c>
      <c r="AC1563" t="inlineStr">
        <is>
          <t>X</t>
        </is>
      </c>
      <c r="AD1563" s="164" t="n">
        <v>0</v>
      </c>
      <c r="AE1563" s="185" t="n">
        <v>0</v>
      </c>
      <c r="AG1563" s="167" t="inlineStr">
        <is>
          <t>7218|JA2582_1001</t>
        </is>
      </c>
      <c r="AH1563" s="47">
        <f>IF(M1563=0,"-",M1563-J1563)</f>
        <v/>
      </c>
      <c r="AI1563" s="46">
        <f>IF(AND(S1563=0,M1563&gt;0,L1563=0),IF(AH1563&gt;=120,"VERY HIGH",IF(AH1563&gt;=90,"HIGH",IF(AH1563&gt;=60,"MEDIUM",IF(AH1563&lt;60,"LOW")))),"-")</f>
        <v/>
      </c>
      <c r="AJ1563" s="12" t="n"/>
      <c r="AK1563" s="53">
        <f>IF(AND(W1563="X",M1563&lt;=$AJ$2),"YES","")</f>
        <v/>
      </c>
      <c r="AL1563" s="54">
        <f>IF(AND(W1563="X",M1563&lt;=$AJ$2),S1563,"")</f>
        <v/>
      </c>
      <c r="AM1563" s="35" t="n"/>
      <c r="AN1563" s="35">
        <f>IF(AND(W1563="X",M1563&gt;$AJ$2),S1563,"")</f>
        <v/>
      </c>
      <c r="AO1563" s="35">
        <f>IF(AND(W1563="",M1563&gt;0,$AJ$2&gt;M1563,L1563=""),1,0)</f>
        <v/>
      </c>
      <c r="AP1563" s="35">
        <f>IF(AND(AK1563="YES",W1563="X"),"X","")</f>
        <v/>
      </c>
      <c r="AQ1563" s="55">
        <f>IF(AP1563="X",100%,0%)</f>
        <v/>
      </c>
      <c r="AR1563" s="25">
        <f>IF(AND(T1563&gt;0,L1563=""),H1563,"")</f>
        <v/>
      </c>
      <c r="AS1563" s="25">
        <f>IF(AND(D1563&gt;0,H1563=0,G1563=""),1,"")</f>
        <v/>
      </c>
      <c r="AT1563" s="25">
        <f>IF(G1563="BLOQ",1,"")</f>
        <v/>
      </c>
      <c r="AU1563" s="25">
        <f>IF(L1563="BLOQ",1,"")</f>
        <v/>
      </c>
      <c r="AV1563" s="25">
        <f>MONTH(F1563)</f>
        <v/>
      </c>
      <c r="AW1563" s="65">
        <f>IF(AP1563="",100%,0%)</f>
        <v/>
      </c>
      <c r="AX1563" s="56" t="n"/>
      <c r="AY1563" s="24">
        <f>IF(M1563=0,"",M1563-$AX$2)</f>
        <v/>
      </c>
      <c r="AZ1563" s="66">
        <f>IF(AND(W1563="",AY1563&gt;0,AY1563&lt;15),1,0)</f>
        <v/>
      </c>
      <c r="BA1563" s="24">
        <f>IF(AND(W1563="",AY1563&gt;0,AY1563&lt;15),T1563,"")</f>
        <v/>
      </c>
      <c r="BB1563" s="87">
        <f>IF(R1563&lt;Q1563,"X","")</f>
        <v/>
      </c>
      <c r="BC1563" s="190" t="inlineStr">
        <is>
          <t>NO</t>
        </is>
      </c>
      <c r="BD1563" s="191" t="inlineStr">
        <is>
          <t>SI</t>
        </is>
      </c>
    </row>
    <row r="1564" ht="15" customHeight="1" s="162">
      <c r="A1564" s="7" t="n">
        <v>1563</v>
      </c>
      <c r="B1564" t="inlineStr">
        <is>
          <t>1246701141500</t>
        </is>
      </c>
      <c r="C1564" t="inlineStr">
        <is>
          <t>UDAD EXT A/C 3F 15.9A R32 DA200A</t>
        </is>
      </c>
      <c r="D1564" t="inlineStr">
        <is>
          <t>1800115974</t>
        </is>
      </c>
      <c r="E1564" t="inlineStr">
        <is>
          <t>30</t>
        </is>
      </c>
      <c r="F1564" s="163" t="n">
        <v>45620</v>
      </c>
      <c r="G1564" t="inlineStr"/>
      <c r="H1564" t="inlineStr">
        <is>
          <t>4200587505</t>
        </is>
      </c>
      <c r="I1564" t="inlineStr">
        <is>
          <t>60</t>
        </is>
      </c>
      <c r="J1564" s="163" t="n">
        <v>45623</v>
      </c>
      <c r="K1564" s="163" t="n">
        <v>45623</v>
      </c>
      <c r="L1564" t="inlineStr"/>
      <c r="M1564" s="163" t="n">
        <v>45632</v>
      </c>
      <c r="N1564" s="164" t="n">
        <v>40</v>
      </c>
      <c r="O1564" s="164" t="n">
        <v>8</v>
      </c>
      <c r="P1564" t="inlineStr">
        <is>
          <t>Liberado</t>
        </is>
      </c>
      <c r="Q1564" s="165" t="n">
        <v>1</v>
      </c>
      <c r="R1564" s="165" t="n">
        <v>1</v>
      </c>
      <c r="S1564" s="165" t="n">
        <v>2</v>
      </c>
      <c r="T1564" s="165" t="n">
        <v>0</v>
      </c>
      <c r="U1564" s="166" t="n">
        <v>1</v>
      </c>
      <c r="V1564" s="166" t="n">
        <v>1</v>
      </c>
      <c r="W1564" t="inlineStr">
        <is>
          <t>X</t>
        </is>
      </c>
      <c r="X1564" t="inlineStr">
        <is>
          <t>0.00</t>
        </is>
      </c>
      <c r="Y1564" t="inlineStr"/>
      <c r="Z1564" t="inlineStr">
        <is>
          <t>YNTEGRA SERV.INTEGRALES, S.L.</t>
        </is>
      </c>
      <c r="AA1564" t="inlineStr">
        <is>
          <t>DAIKIN</t>
        </is>
      </c>
      <c r="AB1564" t="inlineStr">
        <is>
          <t>RZA200D</t>
        </is>
      </c>
      <c r="AC1564" t="inlineStr"/>
      <c r="AD1564" s="164" t="n">
        <v>0</v>
      </c>
      <c r="AE1564" s="185" t="n">
        <v>0</v>
      </c>
      <c r="AG1564" s="167" t="inlineStr">
        <is>
          <t>7218|JA2582_1001</t>
        </is>
      </c>
      <c r="AH1564" s="47">
        <f>IF(M1564=0,"-",M1564-J1564)</f>
        <v/>
      </c>
      <c r="AI1564" s="46">
        <f>IF(AND(S1564=0,M1564&gt;0,L1564=0),IF(AH1564&gt;=120,"VERY HIGH",IF(AH1564&gt;=90,"HIGH",IF(AH1564&gt;=60,"MEDIUM",IF(AH1564&lt;60,"LOW")))),"-")</f>
        <v/>
      </c>
      <c r="AJ1564" s="12" t="n"/>
      <c r="AK1564" s="53">
        <f>IF(AND(W1564="X",M1564&lt;=$AJ$2),"YES","")</f>
        <v/>
      </c>
      <c r="AL1564" s="54">
        <f>IF(AND(W1564="X",M1564&lt;=$AJ$2),S1564,"")</f>
        <v/>
      </c>
      <c r="AM1564" s="35" t="n"/>
      <c r="AN1564" s="35">
        <f>IF(AND(W1564="X",M1564&gt;$AJ$2),S1564,"")</f>
        <v/>
      </c>
      <c r="AO1564" s="35">
        <f>IF(AND(W1564="",M1564&gt;0,$AJ$2&gt;M1564,L1564=""),1,0)</f>
        <v/>
      </c>
      <c r="AP1564" s="35">
        <f>IF(AND(AK1564="YES",W1564="X"),"X","")</f>
        <v/>
      </c>
      <c r="AQ1564" s="55">
        <f>IF(AP1564="X",100%,0%)</f>
        <v/>
      </c>
      <c r="AR1564" s="25">
        <f>IF(AND(T1564&gt;0,L1564=""),H1564,"")</f>
        <v/>
      </c>
      <c r="AS1564" s="25">
        <f>IF(AND(D1564&gt;0,H1564=0,G1564=""),1,"")</f>
        <v/>
      </c>
      <c r="AT1564" s="25">
        <f>IF(G1564="BLOQ",1,"")</f>
        <v/>
      </c>
      <c r="AU1564" s="25">
        <f>IF(L1564="BLOQ",1,"")</f>
        <v/>
      </c>
      <c r="AV1564" s="25">
        <f>MONTH(F1564)</f>
        <v/>
      </c>
      <c r="AW1564" s="65">
        <f>IF(AP1564="",100%,0%)</f>
        <v/>
      </c>
      <c r="AX1564" s="56" t="n"/>
      <c r="AY1564" s="24">
        <f>IF(M1564=0,"",M1564-$AX$2)</f>
        <v/>
      </c>
      <c r="AZ1564" s="66">
        <f>IF(AND(W1564="",AY1564&gt;0,AY1564&lt;15),1,0)</f>
        <v/>
      </c>
      <c r="BA1564" s="24">
        <f>IF(AND(W1564="",AY1564&gt;0,AY1564&lt;15),T1564,"")</f>
        <v/>
      </c>
      <c r="BB1564" s="87">
        <f>IF(R1564&lt;Q1564,"X","")</f>
        <v/>
      </c>
      <c r="BC1564" s="190" t="inlineStr">
        <is>
          <t>NO</t>
        </is>
      </c>
      <c r="BD1564" s="191" t="inlineStr">
        <is>
          <t>SI</t>
        </is>
      </c>
    </row>
    <row r="1565" ht="15" customHeight="1" s="162">
      <c r="A1565" s="7" t="n">
        <v>1564</v>
      </c>
      <c r="B1565" t="inlineStr">
        <is>
          <t>1246701141600</t>
        </is>
      </c>
      <c r="C1565" t="inlineStr">
        <is>
          <t>UDAD INT A/C 19/22.4KW R32 DA200A</t>
        </is>
      </c>
      <c r="D1565" t="inlineStr">
        <is>
          <t>1800115974</t>
        </is>
      </c>
      <c r="E1565" t="inlineStr">
        <is>
          <t>40</t>
        </is>
      </c>
      <c r="F1565" s="163" t="n">
        <v>45620</v>
      </c>
      <c r="G1565" t="inlineStr"/>
      <c r="H1565" t="inlineStr">
        <is>
          <t>4200587505</t>
        </is>
      </c>
      <c r="I1565" t="inlineStr">
        <is>
          <t>70</t>
        </is>
      </c>
      <c r="J1565" s="163" t="n">
        <v>45623</v>
      </c>
      <c r="K1565" s="163" t="n">
        <v>45623</v>
      </c>
      <c r="L1565" t="inlineStr"/>
      <c r="M1565" s="163" t="n">
        <v>45632</v>
      </c>
      <c r="N1565" s="164" t="n">
        <v>40</v>
      </c>
      <c r="O1565" s="164" t="n">
        <v>8</v>
      </c>
      <c r="P1565" t="inlineStr">
        <is>
          <t>Liberado</t>
        </is>
      </c>
      <c r="Q1565" s="165" t="n">
        <v>1</v>
      </c>
      <c r="R1565" s="165" t="n">
        <v>1</v>
      </c>
      <c r="S1565" s="165" t="n">
        <v>2</v>
      </c>
      <c r="T1565" s="165" t="n">
        <v>0</v>
      </c>
      <c r="U1565" s="166" t="n">
        <v>1</v>
      </c>
      <c r="V1565" s="166" t="n">
        <v>1</v>
      </c>
      <c r="W1565" t="inlineStr">
        <is>
          <t>X</t>
        </is>
      </c>
      <c r="X1565" t="inlineStr">
        <is>
          <t>0.00</t>
        </is>
      </c>
      <c r="Y1565" t="inlineStr"/>
      <c r="Z1565" t="inlineStr">
        <is>
          <t>YNTEGRA SERV.INTEGRALES, S.L.</t>
        </is>
      </c>
      <c r="AA1565" t="inlineStr">
        <is>
          <t>DAIKIN</t>
        </is>
      </c>
      <c r="AB1565" t="inlineStr">
        <is>
          <t>FDA200A</t>
        </is>
      </c>
      <c r="AC1565" t="inlineStr"/>
      <c r="AD1565" s="164" t="n">
        <v>0</v>
      </c>
      <c r="AE1565" s="185" t="n">
        <v>0</v>
      </c>
      <c r="AG1565" s="167" t="inlineStr">
        <is>
          <t>7218|JA2582_1001</t>
        </is>
      </c>
      <c r="AH1565" s="47">
        <f>IF(M1565=0,"-",M1565-J1565)</f>
        <v/>
      </c>
      <c r="AI1565" s="46">
        <f>IF(AND(S1565=0,M1565&gt;0,L1565=0),IF(AH1565&gt;=120,"VERY HIGH",IF(AH1565&gt;=90,"HIGH",IF(AH1565&gt;=60,"MEDIUM",IF(AH1565&lt;60,"LOW")))),"-")</f>
        <v/>
      </c>
      <c r="AJ1565" s="12" t="n"/>
      <c r="AK1565" s="53">
        <f>IF(AND(W1565="X",M1565&lt;=$AJ$2),"YES","")</f>
        <v/>
      </c>
      <c r="AL1565" s="54">
        <f>IF(AND(W1565="X",M1565&lt;=$AJ$2),S1565,"")</f>
        <v/>
      </c>
      <c r="AM1565" s="35" t="n"/>
      <c r="AN1565" s="35">
        <f>IF(AND(W1565="X",M1565&gt;$AJ$2),S1565,"")</f>
        <v/>
      </c>
      <c r="AO1565" s="35">
        <f>IF(AND(W1565="",M1565&gt;0,$AJ$2&gt;M1565,L1565=""),1,0)</f>
        <v/>
      </c>
      <c r="AP1565" s="35">
        <f>IF(AND(AK1565="YES",W1565="X"),"X","")</f>
        <v/>
      </c>
      <c r="AQ1565" s="55">
        <f>IF(AP1565="X",100%,0%)</f>
        <v/>
      </c>
      <c r="AR1565" s="25">
        <f>IF(AND(T1565&gt;0,L1565=""),H1565,"")</f>
        <v/>
      </c>
      <c r="AS1565" s="25">
        <f>IF(AND(D1565&gt;0,H1565=0,G1565=""),1,"")</f>
        <v/>
      </c>
      <c r="AT1565" s="25">
        <f>IF(G1565="BLOQ",1,"")</f>
        <v/>
      </c>
      <c r="AU1565" s="25">
        <f>IF(L1565="BLOQ",1,"")</f>
        <v/>
      </c>
      <c r="AV1565" s="25">
        <f>MONTH(F1565)</f>
        <v/>
      </c>
      <c r="AW1565" s="65">
        <f>IF(AP1565="",100%,0%)</f>
        <v/>
      </c>
      <c r="AX1565" s="56" t="n"/>
      <c r="AY1565" s="24">
        <f>IF(M1565=0,"",M1565-$AX$2)</f>
        <v/>
      </c>
      <c r="AZ1565" s="66">
        <f>IF(AND(W1565="",AY1565&gt;0,AY1565&lt;15),1,0)</f>
        <v/>
      </c>
      <c r="BA1565" s="24">
        <f>IF(AND(W1565="",AY1565&gt;0,AY1565&lt;15),T1565,"")</f>
        <v/>
      </c>
      <c r="BB1565" s="87">
        <f>IF(R1565&lt;Q1565,"X","")</f>
        <v/>
      </c>
      <c r="BC1565" s="190" t="inlineStr">
        <is>
          <t>NO</t>
        </is>
      </c>
      <c r="BD1565" s="191" t="inlineStr">
        <is>
          <t>SI</t>
        </is>
      </c>
    </row>
    <row r="1566" ht="15" customHeight="1" s="162">
      <c r="A1566" s="7" t="n">
        <v>1565</v>
      </c>
      <c r="B1566" t="inlineStr">
        <is>
          <t>1216500321701</t>
        </is>
      </c>
      <c r="C1566" t="inlineStr">
        <is>
          <t>CNC JACK 6.35MM 3H RECPT RECT PANEL SOLD</t>
        </is>
      </c>
      <c r="D1566" t="inlineStr">
        <is>
          <t>1800115975</t>
        </is>
      </c>
      <c r="E1566" t="inlineStr">
        <is>
          <t>10</t>
        </is>
      </c>
      <c r="F1566" s="163" t="n">
        <v>45620</v>
      </c>
      <c r="G1566" t="inlineStr"/>
      <c r="H1566" t="inlineStr">
        <is>
          <t>4200587560</t>
        </is>
      </c>
      <c r="I1566" t="inlineStr">
        <is>
          <t>50</t>
        </is>
      </c>
      <c r="J1566" s="163" t="n">
        <v>45623</v>
      </c>
      <c r="K1566" s="163" t="n">
        <v>45629</v>
      </c>
      <c r="L1566" t="inlineStr"/>
      <c r="M1566" s="163" t="n">
        <v>45632</v>
      </c>
      <c r="N1566" s="164" t="n">
        <v>40</v>
      </c>
      <c r="O1566" s="164" t="n">
        <v>8</v>
      </c>
      <c r="P1566" t="inlineStr">
        <is>
          <t>Liberado</t>
        </is>
      </c>
      <c r="Q1566" s="165" t="n">
        <v>2</v>
      </c>
      <c r="R1566" s="165" t="n">
        <v>2</v>
      </c>
      <c r="S1566" s="165" t="n">
        <v>2</v>
      </c>
      <c r="T1566" s="165" t="n">
        <v>0</v>
      </c>
      <c r="U1566" s="166" t="n">
        <v>2</v>
      </c>
      <c r="V1566" s="166" t="n">
        <v>0</v>
      </c>
      <c r="W1566" t="inlineStr">
        <is>
          <t>X</t>
        </is>
      </c>
      <c r="X1566" t="inlineStr">
        <is>
          <t>0.00</t>
        </is>
      </c>
      <c r="Y1566" t="inlineStr"/>
      <c r="Z1566" t="inlineStr">
        <is>
          <t>FARNELL COMPONENTS, S.L.</t>
        </is>
      </c>
      <c r="AA1566" t="inlineStr">
        <is>
          <t>LUMBERG CONNECT GMBH</t>
        </is>
      </c>
      <c r="AB1566" t="inlineStr">
        <is>
          <t>KLB 3</t>
        </is>
      </c>
      <c r="AC1566" t="inlineStr"/>
      <c r="AD1566" s="164" t="n">
        <v>0</v>
      </c>
      <c r="AE1566" s="185" t="n">
        <v>0</v>
      </c>
      <c r="AG1566" s="167" t="inlineStr">
        <is>
          <t>7218|JA2584_1001</t>
        </is>
      </c>
      <c r="AH1566" s="47">
        <f>IF(M1566=0,"-",M1566-J1566)</f>
        <v/>
      </c>
      <c r="AI1566" s="46">
        <f>IF(AND(S1566=0,M1566&gt;0,L1566=0),IF(AH1566&gt;=120,"VERY HIGH",IF(AH1566&gt;=90,"HIGH",IF(AH1566&gt;=60,"MEDIUM",IF(AH1566&lt;60,"LOW")))),"-")</f>
        <v/>
      </c>
      <c r="AJ1566" s="12" t="n"/>
      <c r="AK1566" s="53">
        <f>IF(AND(W1566="X",M1566&lt;=$AJ$2),"YES","")</f>
        <v/>
      </c>
      <c r="AL1566" s="54">
        <f>IF(AND(W1566="X",M1566&lt;=$AJ$2),S1566,"")</f>
        <v/>
      </c>
      <c r="AM1566" s="35" t="n"/>
      <c r="AN1566" s="35">
        <f>IF(AND(W1566="X",M1566&gt;$AJ$2),S1566,"")</f>
        <v/>
      </c>
      <c r="AO1566" s="35">
        <f>IF(AND(W1566="",M1566&gt;0,$AJ$2&gt;M1566,L1566=""),1,0)</f>
        <v/>
      </c>
      <c r="AP1566" s="35">
        <f>IF(AND(AK1566="YES",W1566="X"),"X","")</f>
        <v/>
      </c>
      <c r="AQ1566" s="55">
        <f>IF(AP1566="X",100%,0%)</f>
        <v/>
      </c>
      <c r="AR1566" s="25">
        <f>IF(AND(T1566&gt;0,L1566=""),H1566,"")</f>
        <v/>
      </c>
      <c r="AS1566" s="25">
        <f>IF(AND(D1566&gt;0,H1566=0,G1566=""),1,"")</f>
        <v/>
      </c>
      <c r="AT1566" s="25">
        <f>IF(G1566="BLOQ",1,"")</f>
        <v/>
      </c>
      <c r="AU1566" s="25">
        <f>IF(L1566="BLOQ",1,"")</f>
        <v/>
      </c>
      <c r="AV1566" s="25">
        <f>MONTH(F1566)</f>
        <v/>
      </c>
      <c r="AW1566" s="65">
        <f>IF(AP1566="",100%,0%)</f>
        <v/>
      </c>
      <c r="AX1566" s="56" t="n"/>
      <c r="AY1566" s="24">
        <f>IF(M1566=0,"",M1566-$AX$2)</f>
        <v/>
      </c>
      <c r="AZ1566" s="66">
        <f>IF(AND(W1566="",AY1566&gt;0,AY1566&lt;15),1,0)</f>
        <v/>
      </c>
      <c r="BA1566" s="24">
        <f>IF(AND(W1566="",AY1566&gt;0,AY1566&lt;15),T1566,"")</f>
        <v/>
      </c>
      <c r="BB1566" s="87">
        <f>IF(R1566&lt;Q1566,"X","")</f>
        <v/>
      </c>
      <c r="BC1566" s="190" t="inlineStr">
        <is>
          <t>NO</t>
        </is>
      </c>
      <c r="BD1566" s="191" t="inlineStr">
        <is>
          <t>SI</t>
        </is>
      </c>
    </row>
    <row r="1567" ht="15" customHeight="1" s="162">
      <c r="A1567" s="7" t="n">
        <v>1566</v>
      </c>
      <c r="B1567" t="inlineStr">
        <is>
          <t>1220112502800</t>
        </is>
      </c>
      <c r="C1567" t="inlineStr">
        <is>
          <t>CBL FLEX 1X0.05MM2 600V ETFE GRI SPEC55A</t>
        </is>
      </c>
      <c r="D1567" t="inlineStr">
        <is>
          <t>1800116190</t>
        </is>
      </c>
      <c r="E1567" t="inlineStr">
        <is>
          <t>10</t>
        </is>
      </c>
      <c r="F1567" s="163" t="n">
        <v>45622</v>
      </c>
      <c r="G1567" t="inlineStr"/>
      <c r="H1567" t="inlineStr">
        <is>
          <t>4200592835</t>
        </is>
      </c>
      <c r="I1567" t="inlineStr">
        <is>
          <t>40</t>
        </is>
      </c>
      <c r="J1567" s="163" t="n">
        <v>45671</v>
      </c>
      <c r="K1567" s="163" t="n">
        <v>45671</v>
      </c>
      <c r="L1567" t="inlineStr"/>
      <c r="M1567" s="163" t="n">
        <v>45688</v>
      </c>
      <c r="N1567" s="164" t="n">
        <v>40</v>
      </c>
      <c r="O1567" s="164" t="n">
        <v>8</v>
      </c>
      <c r="P1567" t="inlineStr">
        <is>
          <t>Liberado</t>
        </is>
      </c>
      <c r="Q1567" s="165" t="n">
        <v>20</v>
      </c>
      <c r="R1567" s="165" t="n">
        <v>20</v>
      </c>
      <c r="S1567" s="165" t="n">
        <v>20</v>
      </c>
      <c r="T1567" s="165" t="n">
        <v>0</v>
      </c>
      <c r="U1567" s="166" t="n">
        <v>20</v>
      </c>
      <c r="V1567" s="166" t="n">
        <v>0</v>
      </c>
      <c r="W1567" t="inlineStr">
        <is>
          <t>X</t>
        </is>
      </c>
      <c r="X1567" t="inlineStr">
        <is>
          <t>0.00</t>
        </is>
      </c>
      <c r="Y1567" t="inlineStr"/>
      <c r="Z1567" t="inlineStr">
        <is>
          <t>TCX MICRO, S.L.U</t>
        </is>
      </c>
      <c r="AA1567" t="inlineStr">
        <is>
          <t>TE CONNECTIVITY</t>
        </is>
      </c>
      <c r="AB1567" t="inlineStr">
        <is>
          <t>55A9002-30-8</t>
        </is>
      </c>
      <c r="AC1567" t="inlineStr"/>
      <c r="AD1567" s="164" t="n">
        <v>0</v>
      </c>
      <c r="AE1567" s="185" t="n">
        <v>0</v>
      </c>
      <c r="AG1567" s="167" t="inlineStr">
        <is>
          <t>7218|JA2582_1001</t>
        </is>
      </c>
      <c r="AH1567" s="47">
        <f>IF(M1567=0,"-",M1567-J1567)</f>
        <v/>
      </c>
      <c r="AI1567" s="46">
        <f>IF(AND(S1567=0,M1567&gt;0,L1567=0),IF(AH1567&gt;=120,"VERY HIGH",IF(AH1567&gt;=90,"HIGH",IF(AH1567&gt;=60,"MEDIUM",IF(AH1567&lt;60,"LOW")))),"-")</f>
        <v/>
      </c>
      <c r="AJ1567" s="12" t="n"/>
      <c r="AK1567" s="53">
        <f>IF(AND(W1567="X",M1567&lt;=$AJ$2),"YES","")</f>
        <v/>
      </c>
      <c r="AL1567" s="54">
        <f>IF(AND(W1567="X",M1567&lt;=$AJ$2),S1567,"")</f>
        <v/>
      </c>
      <c r="AM1567" s="35" t="n"/>
      <c r="AN1567" s="35">
        <f>IF(AND(W1567="X",M1567&gt;$AJ$2),S1567,"")</f>
        <v/>
      </c>
      <c r="AO1567" s="35">
        <f>IF(AND(W1567="",M1567&gt;0,$AJ$2&gt;M1567,L1567=""),1,0)</f>
        <v/>
      </c>
      <c r="AP1567" s="35">
        <f>IF(AND(AK1567="YES",W1567="X"),"X","")</f>
        <v/>
      </c>
      <c r="AQ1567" s="55">
        <f>IF(AP1567="X",100%,0%)</f>
        <v/>
      </c>
      <c r="AR1567" s="25">
        <f>IF(AND(T1567&gt;0,L1567=""),H1567,"")</f>
        <v/>
      </c>
      <c r="AS1567" s="25">
        <f>IF(AND(D1567&gt;0,H1567=0,G1567=""),1,"")</f>
        <v/>
      </c>
      <c r="AT1567" s="25">
        <f>IF(G1567="BLOQ",1,"")</f>
        <v/>
      </c>
      <c r="AU1567" s="25">
        <f>IF(L1567="BLOQ",1,"")</f>
        <v/>
      </c>
      <c r="AV1567" s="25">
        <f>MONTH(F1567)</f>
        <v/>
      </c>
      <c r="AW1567" s="65">
        <f>IF(AP1567="",100%,0%)</f>
        <v/>
      </c>
      <c r="AX1567" s="56" t="n"/>
      <c r="AY1567" s="24">
        <f>IF(M1567=0,"",M1567-$AX$2)</f>
        <v/>
      </c>
      <c r="AZ1567" s="66">
        <f>IF(AND(W1567="",AY1567&gt;0,AY1567&lt;15),1,0)</f>
        <v/>
      </c>
      <c r="BA1567" s="24">
        <f>IF(AND(W1567="",AY1567&gt;0,AY1567&lt;15),T1567,"")</f>
        <v/>
      </c>
      <c r="BB1567" s="87">
        <f>IF(R1567&lt;Q1567,"X","")</f>
        <v/>
      </c>
      <c r="BC1567" s="190" t="inlineStr">
        <is>
          <t>NO</t>
        </is>
      </c>
      <c r="BD1567" s="191" t="inlineStr">
        <is>
          <t>SI</t>
        </is>
      </c>
    </row>
    <row r="1568" ht="15" customHeight="1" s="162">
      <c r="A1568" s="7" t="n">
        <v>1567</v>
      </c>
      <c r="B1568" t="inlineStr">
        <is>
          <t>1351500460000</t>
        </is>
      </c>
      <c r="C1568" t="inlineStr">
        <is>
          <t>MOD ETHERNET GIGABIT 2P NUC LID</t>
        </is>
      </c>
      <c r="D1568" t="inlineStr">
        <is>
          <t>1800116191</t>
        </is>
      </c>
      <c r="E1568" t="inlineStr">
        <is>
          <t>10</t>
        </is>
      </c>
      <c r="F1568" s="163" t="n">
        <v>45622</v>
      </c>
      <c r="G1568" t="inlineStr"/>
      <c r="H1568" t="inlineStr">
        <is>
          <t>4200590025</t>
        </is>
      </c>
      <c r="I1568" t="inlineStr">
        <is>
          <t>10</t>
        </is>
      </c>
      <c r="J1568" s="163" t="n">
        <v>45639</v>
      </c>
      <c r="K1568" s="163" t="n">
        <v>45639</v>
      </c>
      <c r="L1568" t="inlineStr"/>
      <c r="M1568" s="163" t="n">
        <v>45667</v>
      </c>
      <c r="N1568" s="164" t="n">
        <v>40</v>
      </c>
      <c r="O1568" s="164" t="n">
        <v>8</v>
      </c>
      <c r="P1568" t="inlineStr">
        <is>
          <t>Liberado</t>
        </is>
      </c>
      <c r="Q1568" s="165" t="n">
        <v>1</v>
      </c>
      <c r="R1568" s="165" t="n">
        <v>1</v>
      </c>
      <c r="S1568" s="165" t="n">
        <v>1</v>
      </c>
      <c r="T1568" s="165" t="n">
        <v>0</v>
      </c>
      <c r="U1568" s="166" t="n">
        <v>1</v>
      </c>
      <c r="V1568" s="166" t="n">
        <v>0</v>
      </c>
      <c r="W1568" t="inlineStr">
        <is>
          <t>X</t>
        </is>
      </c>
      <c r="X1568" t="inlineStr">
        <is>
          <t>0.00</t>
        </is>
      </c>
      <c r="Y1568" t="inlineStr"/>
      <c r="Z1568" t="inlineStr">
        <is>
          <t>CARTRONIC MEMORY, S.A.</t>
        </is>
      </c>
      <c r="AA1568" t="inlineStr">
        <is>
          <t>ELECTRONIC PRODUCT SOLUTIONS</t>
        </is>
      </c>
      <c r="AB1568" t="inlineStr">
        <is>
          <t>GR-LID-1971</t>
        </is>
      </c>
      <c r="AC1568" t="inlineStr"/>
      <c r="AD1568" s="164" t="n">
        <v>0</v>
      </c>
      <c r="AE1568" s="185" t="n">
        <v>0</v>
      </c>
      <c r="AG1568" s="167" t="inlineStr">
        <is>
          <t>7218|JA2583_1001</t>
        </is>
      </c>
      <c r="AH1568" s="47">
        <f>IF(M1568=0,"-",M1568-J1568)</f>
        <v/>
      </c>
      <c r="AI1568" s="46">
        <f>IF(AND(S1568=0,M1568&gt;0,L1568=0),IF(AH1568&gt;=120,"VERY HIGH",IF(AH1568&gt;=90,"HIGH",IF(AH1568&gt;=60,"MEDIUM",IF(AH1568&lt;60,"LOW")))),"-")</f>
        <v/>
      </c>
      <c r="AJ1568" s="12" t="n"/>
      <c r="AK1568" s="53">
        <f>IF(AND(W1568="X",M1568&lt;=$AJ$2),"YES","")</f>
        <v/>
      </c>
      <c r="AL1568" s="54">
        <f>IF(AND(W1568="X",M1568&lt;=$AJ$2),S1568,"")</f>
        <v/>
      </c>
      <c r="AM1568" s="35" t="n"/>
      <c r="AN1568" s="35">
        <f>IF(AND(W1568="X",M1568&gt;$AJ$2),S1568,"")</f>
        <v/>
      </c>
      <c r="AO1568" s="35">
        <f>IF(AND(W1568="",M1568&gt;0,$AJ$2&gt;M1568,L1568=""),1,0)</f>
        <v/>
      </c>
      <c r="AP1568" s="35">
        <f>IF(AND(AK1568="YES",W1568="X"),"X","")</f>
        <v/>
      </c>
      <c r="AQ1568" s="55">
        <f>IF(AP1568="X",100%,0%)</f>
        <v/>
      </c>
      <c r="AR1568" s="25">
        <f>IF(AND(T1568&gt;0,L1568=""),H1568,"")</f>
        <v/>
      </c>
      <c r="AS1568" s="25">
        <f>IF(AND(D1568&gt;0,H1568=0,G1568=""),1,"")</f>
        <v/>
      </c>
      <c r="AT1568" s="25">
        <f>IF(G1568="BLOQ",1,"")</f>
        <v/>
      </c>
      <c r="AU1568" s="25">
        <f>IF(L1568="BLOQ",1,"")</f>
        <v/>
      </c>
      <c r="AV1568" s="25">
        <f>MONTH(F1568)</f>
        <v/>
      </c>
      <c r="AW1568" s="65">
        <f>IF(AP1568="",100%,0%)</f>
        <v/>
      </c>
      <c r="AX1568" s="56" t="n"/>
      <c r="AY1568" s="24">
        <f>IF(M1568=0,"",M1568-$AX$2)</f>
        <v/>
      </c>
      <c r="AZ1568" s="66">
        <f>IF(AND(W1568="",AY1568&gt;0,AY1568&lt;15),1,0)</f>
        <v/>
      </c>
      <c r="BA1568" s="24">
        <f>IF(AND(W1568="",AY1568&gt;0,AY1568&lt;15),T1568,"")</f>
        <v/>
      </c>
      <c r="BB1568" s="87">
        <f>IF(R1568&lt;Q1568,"X","")</f>
        <v/>
      </c>
      <c r="BC1568" s="190" t="inlineStr">
        <is>
          <t>NO</t>
        </is>
      </c>
      <c r="BD1568" s="191" t="inlineStr">
        <is>
          <t>SI</t>
        </is>
      </c>
    </row>
    <row r="1569" ht="15" customHeight="1" s="162">
      <c r="A1569" s="7" t="n">
        <v>1568</v>
      </c>
      <c r="B1569" t="inlineStr">
        <is>
          <t>1390700480200</t>
        </is>
      </c>
      <c r="C1569" t="inlineStr">
        <is>
          <t>BRAKE PRESSURE INDICATOR</t>
        </is>
      </c>
      <c r="D1569" t="inlineStr">
        <is>
          <t>1800116698</t>
        </is>
      </c>
      <c r="E1569" t="inlineStr">
        <is>
          <t>10</t>
        </is>
      </c>
      <c r="F1569" s="163" t="n">
        <v>45631</v>
      </c>
      <c r="G1569" t="inlineStr"/>
      <c r="H1569" t="inlineStr">
        <is>
          <t>4200589302</t>
        </is>
      </c>
      <c r="I1569" t="inlineStr">
        <is>
          <t>10</t>
        </is>
      </c>
      <c r="J1569" s="163" t="n">
        <v>45636</v>
      </c>
      <c r="K1569" s="163" t="n">
        <v>45637</v>
      </c>
      <c r="L1569" t="inlineStr"/>
      <c r="M1569" s="163" t="n">
        <v>45672</v>
      </c>
      <c r="N1569" s="164" t="n">
        <v>86</v>
      </c>
      <c r="O1569" s="164" t="n">
        <v>8</v>
      </c>
      <c r="P1569" t="inlineStr">
        <is>
          <t>Liberado</t>
        </is>
      </c>
      <c r="Q1569" s="165" t="n">
        <v>1</v>
      </c>
      <c r="R1569" s="165" t="n">
        <v>1</v>
      </c>
      <c r="S1569" s="165" t="n">
        <v>1</v>
      </c>
      <c r="T1569" s="165" t="n">
        <v>0</v>
      </c>
      <c r="U1569" s="166" t="n">
        <v>1</v>
      </c>
      <c r="V1569" s="166" t="n">
        <v>0</v>
      </c>
      <c r="W1569" t="inlineStr">
        <is>
          <t>X</t>
        </is>
      </c>
      <c r="X1569" t="inlineStr">
        <is>
          <t>0.00</t>
        </is>
      </c>
      <c r="Y1569" t="inlineStr"/>
      <c r="Z1569" t="inlineStr">
        <is>
          <t>EUROPAVIA ESPAÑA S.A.</t>
        </is>
      </c>
      <c r="AA1569" t="inlineStr">
        <is>
          <t>THALES</t>
        </is>
      </c>
      <c r="AB1569" t="inlineStr">
        <is>
          <t>64882-206-1</t>
        </is>
      </c>
      <c r="AC1569" t="inlineStr"/>
      <c r="AD1569" s="164" t="n">
        <v>0</v>
      </c>
      <c r="AE1569" s="185" t="n">
        <v>0</v>
      </c>
      <c r="AG1569" s="167" t="inlineStr">
        <is>
          <t>7218|JA2582_1001</t>
        </is>
      </c>
      <c r="AH1569" s="47">
        <f>IF(M1569=0,"-",M1569-J1569)</f>
        <v/>
      </c>
      <c r="AI1569" s="46">
        <f>IF(AND(S1569=0,M1569&gt;0,L1569=0),IF(AH1569&gt;=120,"VERY HIGH",IF(AH1569&gt;=90,"HIGH",IF(AH1569&gt;=60,"MEDIUM",IF(AH1569&lt;60,"LOW")))),"-")</f>
        <v/>
      </c>
      <c r="AJ1569" s="12" t="n"/>
      <c r="AK1569" s="53">
        <f>IF(AND(W1569="X",M1569&lt;=$AJ$2),"YES","")</f>
        <v/>
      </c>
      <c r="AL1569" s="54">
        <f>IF(AND(W1569="X",M1569&lt;=$AJ$2),S1569,"")</f>
        <v/>
      </c>
      <c r="AM1569" s="35" t="n"/>
      <c r="AN1569" s="35">
        <f>IF(AND(W1569="X",M1569&gt;$AJ$2),S1569,"")</f>
        <v/>
      </c>
      <c r="AO1569" s="35">
        <f>IF(AND(W1569="",M1569&gt;0,$AJ$2&gt;M1569,L1569=""),1,0)</f>
        <v/>
      </c>
      <c r="AP1569" s="35">
        <f>IF(AND(AK1569="YES",W1569="X"),"X","")</f>
        <v/>
      </c>
      <c r="AQ1569" s="55">
        <f>IF(AP1569="X",100%,0%)</f>
        <v/>
      </c>
      <c r="AR1569" s="25">
        <f>IF(AND(T1569&gt;0,L1569=""),H1569,"")</f>
        <v/>
      </c>
      <c r="AS1569" s="25">
        <f>IF(AND(D1569&gt;0,H1569=0,G1569=""),1,"")</f>
        <v/>
      </c>
      <c r="AT1569" s="25">
        <f>IF(G1569="BLOQ",1,"")</f>
        <v/>
      </c>
      <c r="AU1569" s="25">
        <f>IF(L1569="BLOQ",1,"")</f>
        <v/>
      </c>
      <c r="AV1569" s="25">
        <f>MONTH(F1569)</f>
        <v/>
      </c>
      <c r="AW1569" s="65">
        <f>IF(AP1569="",100%,0%)</f>
        <v/>
      </c>
      <c r="AX1569" s="56" t="n"/>
      <c r="AY1569" s="24">
        <f>IF(M1569=0,"",M1569-$AX$2)</f>
        <v/>
      </c>
      <c r="AZ1569" s="66">
        <f>IF(AND(W1569="",AY1569&gt;0,AY1569&lt;15),1,0)</f>
        <v/>
      </c>
      <c r="BA1569" s="24">
        <f>IF(AND(W1569="",AY1569&gt;0,AY1569&lt;15),T1569,"")</f>
        <v/>
      </c>
      <c r="BB1569" s="87">
        <f>IF(R1569&lt;Q1569,"X","")</f>
        <v/>
      </c>
      <c r="BC1569" s="191" t="inlineStr">
        <is>
          <t>SI</t>
        </is>
      </c>
      <c r="BD1569" s="191" t="inlineStr">
        <is>
          <t>SI</t>
        </is>
      </c>
    </row>
    <row r="1570" ht="15" customHeight="1" s="162">
      <c r="A1570" s="7" t="n">
        <v>1569</v>
      </c>
      <c r="B1570" t="inlineStr">
        <is>
          <t>1209990010000</t>
        </is>
      </c>
      <c r="C1570" t="inlineStr">
        <is>
          <t>PIN PARA CONECTOR SUB-D M 20-24AWG</t>
        </is>
      </c>
      <c r="D1570" t="inlineStr">
        <is>
          <t>1800116882</t>
        </is>
      </c>
      <c r="E1570" t="inlineStr">
        <is>
          <t>10</t>
        </is>
      </c>
      <c r="F1570" s="163" t="n">
        <v>45636</v>
      </c>
      <c r="G1570" t="inlineStr"/>
      <c r="H1570" t="inlineStr">
        <is>
          <t>4200590885</t>
        </is>
      </c>
      <c r="I1570" t="inlineStr">
        <is>
          <t>170</t>
        </is>
      </c>
      <c r="J1570" s="163" t="n">
        <v>45644</v>
      </c>
      <c r="K1570" s="163" t="n">
        <v>45645</v>
      </c>
      <c r="L1570" t="inlineStr"/>
      <c r="M1570" s="163" t="n">
        <v>45681</v>
      </c>
      <c r="N1570" s="164" t="n">
        <v>52</v>
      </c>
      <c r="O1570" s="164" t="n">
        <v>8</v>
      </c>
      <c r="P1570" t="inlineStr">
        <is>
          <t>Liberado</t>
        </is>
      </c>
      <c r="Q1570" s="165" t="n">
        <v>200</v>
      </c>
      <c r="R1570" s="165" t="n">
        <v>200</v>
      </c>
      <c r="S1570" s="165" t="n">
        <v>200</v>
      </c>
      <c r="T1570" s="165" t="n">
        <v>0</v>
      </c>
      <c r="U1570" s="166" t="n">
        <v>200</v>
      </c>
      <c r="V1570" s="166" t="n">
        <v>0</v>
      </c>
      <c r="W1570" t="inlineStr">
        <is>
          <t>X</t>
        </is>
      </c>
      <c r="X1570" t="inlineStr">
        <is>
          <t>0.00</t>
        </is>
      </c>
      <c r="Y1570" t="inlineStr"/>
      <c r="Z1570" t="inlineStr">
        <is>
          <t>MOUSER ELECTRONICS, INC.</t>
        </is>
      </c>
      <c r="AA1570" t="inlineStr">
        <is>
          <t>AMPHENOL CORP</t>
        </is>
      </c>
      <c r="AB1570" t="inlineStr">
        <is>
          <t>17-RRD1M11-400</t>
        </is>
      </c>
      <c r="AC1570" t="inlineStr"/>
      <c r="AD1570" s="164" t="n">
        <v>2</v>
      </c>
      <c r="AE1570" s="185" t="n">
        <v>1</v>
      </c>
      <c r="AG1570" s="167" t="inlineStr">
        <is>
          <t>7218|JA2582_1001</t>
        </is>
      </c>
      <c r="AH1570" s="47">
        <f>IF(M1570=0,"-",M1570-J1570)</f>
        <v/>
      </c>
      <c r="AI1570" s="46">
        <f>IF(AND(S1570=0,M1570&gt;0,L1570=0),IF(AH1570&gt;=120,"VERY HIGH",IF(AH1570&gt;=90,"HIGH",IF(AH1570&gt;=60,"MEDIUM",IF(AH1570&lt;60,"LOW")))),"-")</f>
        <v/>
      </c>
      <c r="AJ1570" s="12" t="n"/>
      <c r="AK1570" s="53">
        <f>IF(AND(W1570="X",M1570&lt;=$AJ$2),"YES","")</f>
        <v/>
      </c>
      <c r="AL1570" s="54">
        <f>IF(AND(W1570="X",M1570&lt;=$AJ$2),S1570,"")</f>
        <v/>
      </c>
      <c r="AM1570" s="35" t="n"/>
      <c r="AN1570" s="35">
        <f>IF(AND(W1570="X",M1570&gt;$AJ$2),S1570,"")</f>
        <v/>
      </c>
      <c r="AO1570" s="35">
        <f>IF(AND(W1570="",M1570&gt;0,$AJ$2&gt;M1570,L1570=""),1,0)</f>
        <v/>
      </c>
      <c r="AP1570" s="35">
        <f>IF(AND(AK1570="YES",W1570="X"),"X","")</f>
        <v/>
      </c>
      <c r="AQ1570" s="55">
        <f>IF(AP1570="X",100%,0%)</f>
        <v/>
      </c>
      <c r="AR1570" s="25">
        <f>IF(AND(T1570&gt;0,L1570=""),H1570,"")</f>
        <v/>
      </c>
      <c r="AS1570" s="25">
        <f>IF(AND(D1570&gt;0,H1570=0,G1570=""),1,"")</f>
        <v/>
      </c>
      <c r="AT1570" s="25">
        <f>IF(G1570="BLOQ",1,"")</f>
        <v/>
      </c>
      <c r="AU1570" s="25">
        <f>IF(L1570="BLOQ",1,"")</f>
        <v/>
      </c>
      <c r="AV1570" s="25">
        <f>MONTH(F1570)</f>
        <v/>
      </c>
      <c r="AW1570" s="65">
        <f>IF(AP1570="",100%,0%)</f>
        <v/>
      </c>
      <c r="AX1570" s="56" t="n"/>
      <c r="AY1570" s="24">
        <f>IF(M1570=0,"",M1570-$AX$2)</f>
        <v/>
      </c>
      <c r="AZ1570" s="66">
        <f>IF(AND(W1570="",AY1570&gt;0,AY1570&lt;15),1,0)</f>
        <v/>
      </c>
      <c r="BA1570" s="24">
        <f>IF(AND(W1570="",AY1570&gt;0,AY1570&lt;15),T1570,"")</f>
        <v/>
      </c>
      <c r="BB1570" s="87">
        <f>IF(R1570&lt;Q1570,"X","")</f>
        <v/>
      </c>
      <c r="BC1570" s="190" t="inlineStr">
        <is>
          <t>NO</t>
        </is>
      </c>
      <c r="BD1570" s="191" t="inlineStr">
        <is>
          <t>SI</t>
        </is>
      </c>
    </row>
    <row r="1571" ht="15" customHeight="1" s="162">
      <c r="A1571" s="7" t="n">
        <v>1570</v>
      </c>
      <c r="B1571" t="inlineStr">
        <is>
          <t>1210300938000</t>
        </is>
      </c>
      <c r="C1571" t="inlineStr">
        <is>
          <t>CNC HOUSING RECEPT 9H 3,68MM CRIMP NYLON</t>
        </is>
      </c>
      <c r="D1571" t="inlineStr">
        <is>
          <t>1800116882</t>
        </is>
      </c>
      <c r="E1571" t="inlineStr">
        <is>
          <t>20</t>
        </is>
      </c>
      <c r="F1571" s="163" t="n">
        <v>45636</v>
      </c>
      <c r="G1571" t="inlineStr"/>
      <c r="H1571" t="inlineStr">
        <is>
          <t>4200592303</t>
        </is>
      </c>
      <c r="I1571" t="inlineStr">
        <is>
          <t>100</t>
        </is>
      </c>
      <c r="J1571" s="163" t="n">
        <v>45665</v>
      </c>
      <c r="K1571" s="163" t="n">
        <v>45665</v>
      </c>
      <c r="L1571" t="inlineStr"/>
      <c r="M1571" s="163" t="n">
        <v>45677</v>
      </c>
      <c r="N1571" s="164" t="n">
        <v>30</v>
      </c>
      <c r="O1571" s="164" t="n">
        <v>8</v>
      </c>
      <c r="P1571" t="inlineStr">
        <is>
          <t>Liberado</t>
        </is>
      </c>
      <c r="Q1571" s="165" t="n">
        <v>10</v>
      </c>
      <c r="R1571" s="165" t="n">
        <v>10</v>
      </c>
      <c r="S1571" s="165" t="n">
        <v>10</v>
      </c>
      <c r="T1571" s="165" t="n">
        <v>0</v>
      </c>
      <c r="U1571" s="166" t="n">
        <v>10</v>
      </c>
      <c r="V1571" s="166" t="n">
        <v>0</v>
      </c>
      <c r="W1571" t="inlineStr">
        <is>
          <t>X</t>
        </is>
      </c>
      <c r="X1571" t="inlineStr">
        <is>
          <t>0.00</t>
        </is>
      </c>
      <c r="Y1571" t="inlineStr"/>
      <c r="Z1571" t="inlineStr">
        <is>
          <t>TELKRON, S.A.</t>
        </is>
      </c>
      <c r="AA1571" t="inlineStr">
        <is>
          <t>MOLEX</t>
        </is>
      </c>
      <c r="AB1571" t="inlineStr">
        <is>
          <t>03-06-1092</t>
        </is>
      </c>
      <c r="AC1571" t="inlineStr"/>
      <c r="AD1571" s="164" t="n">
        <v>0</v>
      </c>
      <c r="AE1571" s="185" t="n">
        <v>0</v>
      </c>
      <c r="AG1571" s="167" t="inlineStr">
        <is>
          <t>7218|JA2582_1001</t>
        </is>
      </c>
      <c r="AH1571" s="47">
        <f>IF(M1571=0,"-",M1571-J1571)</f>
        <v/>
      </c>
      <c r="AI1571" s="46">
        <f>IF(AND(S1571=0,M1571&gt;0,L1571=0),IF(AH1571&gt;=120,"VERY HIGH",IF(AH1571&gt;=90,"HIGH",IF(AH1571&gt;=60,"MEDIUM",IF(AH1571&lt;60,"LOW")))),"-")</f>
        <v/>
      </c>
      <c r="AJ1571" s="12" t="n"/>
      <c r="AK1571" s="53">
        <f>IF(AND(W1571="X",M1571&lt;=$AJ$2),"YES","")</f>
        <v/>
      </c>
      <c r="AL1571" s="54">
        <f>IF(AND(W1571="X",M1571&lt;=$AJ$2),S1571,"")</f>
        <v/>
      </c>
      <c r="AM1571" s="35" t="n"/>
      <c r="AN1571" s="35">
        <f>IF(AND(W1571="X",M1571&gt;$AJ$2),S1571,"")</f>
        <v/>
      </c>
      <c r="AO1571" s="35">
        <f>IF(AND(W1571="",M1571&gt;0,$AJ$2&gt;M1571,L1571=""),1,0)</f>
        <v/>
      </c>
      <c r="AP1571" s="35">
        <f>IF(AND(AK1571="YES",W1571="X"),"X","")</f>
        <v/>
      </c>
      <c r="AQ1571" s="55">
        <f>IF(AP1571="X",100%,0%)</f>
        <v/>
      </c>
      <c r="AR1571" s="25">
        <f>IF(AND(T1571&gt;0,L1571=""),H1571,"")</f>
        <v/>
      </c>
      <c r="AS1571" s="25">
        <f>IF(AND(D1571&gt;0,H1571=0,G1571=""),1,"")</f>
        <v/>
      </c>
      <c r="AT1571" s="25">
        <f>IF(G1571="BLOQ",1,"")</f>
        <v/>
      </c>
      <c r="AU1571" s="25">
        <f>IF(L1571="BLOQ",1,"")</f>
        <v/>
      </c>
      <c r="AV1571" s="25">
        <f>MONTH(F1571)</f>
        <v/>
      </c>
      <c r="AW1571" s="65">
        <f>IF(AP1571="",100%,0%)</f>
        <v/>
      </c>
      <c r="AX1571" s="56" t="n"/>
      <c r="AY1571" s="24">
        <f>IF(M1571=0,"",M1571-$AX$2)</f>
        <v/>
      </c>
      <c r="AZ1571" s="66">
        <f>IF(AND(W1571="",AY1571&gt;0,AY1571&lt;15),1,0)</f>
        <v/>
      </c>
      <c r="BA1571" s="24">
        <f>IF(AND(W1571="",AY1571&gt;0,AY1571&lt;15),T1571,"")</f>
        <v/>
      </c>
      <c r="BB1571" s="87">
        <f>IF(R1571&lt;Q1571,"X","")</f>
        <v/>
      </c>
      <c r="BC1571" s="190" t="inlineStr">
        <is>
          <t>NO</t>
        </is>
      </c>
      <c r="BD1571" s="191" t="inlineStr">
        <is>
          <t>SI</t>
        </is>
      </c>
    </row>
    <row r="1572" ht="15" customHeight="1" s="162">
      <c r="A1572" s="7" t="n">
        <v>1571</v>
      </c>
      <c r="B1572" t="inlineStr">
        <is>
          <t>1219990010100</t>
        </is>
      </c>
      <c r="C1572" t="inlineStr">
        <is>
          <t>PIN H CNC SUB-D AWG20-24</t>
        </is>
      </c>
      <c r="D1572" t="inlineStr">
        <is>
          <t>1800116882</t>
        </is>
      </c>
      <c r="E1572" t="inlineStr">
        <is>
          <t>30</t>
        </is>
      </c>
      <c r="F1572" s="163" t="n">
        <v>45636</v>
      </c>
      <c r="G1572" t="inlineStr"/>
      <c r="H1572" t="inlineStr">
        <is>
          <t>4200590885</t>
        </is>
      </c>
      <c r="I1572" t="inlineStr">
        <is>
          <t>210</t>
        </is>
      </c>
      <c r="J1572" s="163" t="n">
        <v>45644</v>
      </c>
      <c r="K1572" s="163" t="n">
        <v>45645</v>
      </c>
      <c r="L1572" t="inlineStr"/>
      <c r="M1572" s="163" t="n">
        <v>45681</v>
      </c>
      <c r="N1572" s="164" t="n">
        <v>66</v>
      </c>
      <c r="O1572" s="164" t="n">
        <v>8</v>
      </c>
      <c r="P1572" t="inlineStr">
        <is>
          <t>Liberado</t>
        </is>
      </c>
      <c r="Q1572" s="165" t="n">
        <v>200</v>
      </c>
      <c r="R1572" s="165" t="n">
        <v>200</v>
      </c>
      <c r="S1572" s="165" t="n">
        <v>200</v>
      </c>
      <c r="T1572" s="165" t="n">
        <v>0</v>
      </c>
      <c r="U1572" s="166" t="n">
        <v>200</v>
      </c>
      <c r="V1572" s="166" t="n">
        <v>0</v>
      </c>
      <c r="W1572" t="inlineStr">
        <is>
          <t>X</t>
        </is>
      </c>
      <c r="X1572" t="inlineStr">
        <is>
          <t>0.00</t>
        </is>
      </c>
      <c r="Y1572" t="inlineStr"/>
      <c r="Z1572" t="inlineStr">
        <is>
          <t>MOUSER ELECTRONICS, INC.</t>
        </is>
      </c>
      <c r="AA1572" t="inlineStr">
        <is>
          <t>AMPHENOL CORP</t>
        </is>
      </c>
      <c r="AB1572" t="inlineStr">
        <is>
          <t>17-RRD1F 11-400</t>
        </is>
      </c>
      <c r="AC1572" t="inlineStr"/>
      <c r="AD1572" s="164" t="n">
        <v>1</v>
      </c>
      <c r="AE1572" s="185" t="n">
        <v>0</v>
      </c>
      <c r="AG1572" s="167" t="inlineStr">
        <is>
          <t>7218|JA2582_1001</t>
        </is>
      </c>
      <c r="AH1572" s="47">
        <f>IF(M1572=0,"-",M1572-J1572)</f>
        <v/>
      </c>
      <c r="AI1572" s="46">
        <f>IF(AND(S1572=0,M1572&gt;0,L1572=0),IF(AH1572&gt;=120,"VERY HIGH",IF(AH1572&gt;=90,"HIGH",IF(AH1572&gt;=60,"MEDIUM",IF(AH1572&lt;60,"LOW")))),"-")</f>
        <v/>
      </c>
      <c r="AJ1572" s="12" t="n"/>
      <c r="AK1572" s="53">
        <f>IF(AND(W1572="X",M1572&lt;=$AJ$2),"YES","")</f>
        <v/>
      </c>
      <c r="AL1572" s="54">
        <f>IF(AND(W1572="X",M1572&lt;=$AJ$2),S1572,"")</f>
        <v/>
      </c>
      <c r="AM1572" s="35" t="n"/>
      <c r="AN1572" s="35">
        <f>IF(AND(W1572="X",M1572&gt;$AJ$2),S1572,"")</f>
        <v/>
      </c>
      <c r="AO1572" s="35">
        <f>IF(AND(W1572="",M1572&gt;0,$AJ$2&gt;M1572,L1572=""),1,0)</f>
        <v/>
      </c>
      <c r="AP1572" s="35">
        <f>IF(AND(AK1572="YES",W1572="X"),"X","")</f>
        <v/>
      </c>
      <c r="AQ1572" s="55">
        <f>IF(AP1572="X",100%,0%)</f>
        <v/>
      </c>
      <c r="AR1572" s="25">
        <f>IF(AND(T1572&gt;0,L1572=""),H1572,"")</f>
        <v/>
      </c>
      <c r="AS1572" s="25">
        <f>IF(AND(D1572&gt;0,H1572=0,G1572=""),1,"")</f>
        <v/>
      </c>
      <c r="AT1572" s="25">
        <f>IF(G1572="BLOQ",1,"")</f>
        <v/>
      </c>
      <c r="AU1572" s="25">
        <f>IF(L1572="BLOQ",1,"")</f>
        <v/>
      </c>
      <c r="AV1572" s="25">
        <f>MONTH(F1572)</f>
        <v/>
      </c>
      <c r="AW1572" s="65">
        <f>IF(AP1572="",100%,0%)</f>
        <v/>
      </c>
      <c r="AX1572" s="56" t="n"/>
      <c r="AY1572" s="24">
        <f>IF(M1572=0,"",M1572-$AX$2)</f>
        <v/>
      </c>
      <c r="AZ1572" s="66">
        <f>IF(AND(W1572="",AY1572&gt;0,AY1572&lt;15),1,0)</f>
        <v/>
      </c>
      <c r="BA1572" s="24">
        <f>IF(AND(W1572="",AY1572&gt;0,AY1572&lt;15),T1572,"")</f>
        <v/>
      </c>
      <c r="BB1572" s="87">
        <f>IF(R1572&lt;Q1572,"X","")</f>
        <v/>
      </c>
      <c r="BC1572" s="190" t="inlineStr">
        <is>
          <t>NO</t>
        </is>
      </c>
      <c r="BD1572" s="191" t="inlineStr">
        <is>
          <t>SI</t>
        </is>
      </c>
    </row>
    <row r="1573" ht="15" customHeight="1" s="162">
      <c r="A1573" s="7" t="n">
        <v>1572</v>
      </c>
      <c r="B1573" t="inlineStr">
        <is>
          <t>1141009210100</t>
        </is>
      </c>
      <c r="C1573" t="inlineStr">
        <is>
          <t>LUMINARIA LED 15BLANC+1ROJO 10-3VDC F-4M</t>
        </is>
      </c>
      <c r="D1573" t="inlineStr">
        <is>
          <t>1800116883</t>
        </is>
      </c>
      <c r="E1573" t="inlineStr">
        <is>
          <t>10</t>
        </is>
      </c>
      <c r="F1573" s="163" t="n">
        <v>45636</v>
      </c>
      <c r="G1573" t="inlineStr"/>
      <c r="H1573" t="inlineStr">
        <is>
          <t>4200590489</t>
        </is>
      </c>
      <c r="I1573" t="inlineStr">
        <is>
          <t>30</t>
        </is>
      </c>
      <c r="J1573" s="163" t="n">
        <v>45643</v>
      </c>
      <c r="K1573" s="163" t="n">
        <v>45643</v>
      </c>
      <c r="L1573" t="inlineStr"/>
      <c r="M1573" s="163" t="n">
        <v>45646</v>
      </c>
      <c r="N1573" s="164" t="n">
        <v>40</v>
      </c>
      <c r="O1573" s="164" t="n">
        <v>8</v>
      </c>
      <c r="P1573" t="inlineStr">
        <is>
          <t>Liberado</t>
        </is>
      </c>
      <c r="Q1573" s="165" t="n">
        <v>1</v>
      </c>
      <c r="R1573" s="165" t="n">
        <v>1</v>
      </c>
      <c r="S1573" s="165" t="n">
        <v>1</v>
      </c>
      <c r="T1573" s="165" t="n">
        <v>0</v>
      </c>
      <c r="U1573" s="166" t="n">
        <v>1</v>
      </c>
      <c r="V1573" s="166" t="n">
        <v>0</v>
      </c>
      <c r="W1573" t="inlineStr">
        <is>
          <t>X</t>
        </is>
      </c>
      <c r="X1573" t="inlineStr">
        <is>
          <t>0.00</t>
        </is>
      </c>
      <c r="Y1573" t="inlineStr"/>
      <c r="Z1573" t="inlineStr">
        <is>
          <t>TCX MICRO, S.L.U</t>
        </is>
      </c>
      <c r="AA1573" t="inlineStr">
        <is>
          <t>FRENSCH GMBH</t>
        </is>
      </c>
      <c r="AB1573" t="inlineStr">
        <is>
          <t>6267</t>
        </is>
      </c>
      <c r="AC1573" t="inlineStr"/>
      <c r="AD1573" s="164" t="n">
        <v>0</v>
      </c>
      <c r="AE1573" s="185" t="n">
        <v>0</v>
      </c>
      <c r="AG1573" s="167" t="inlineStr">
        <is>
          <t>7218|JA2583_1001</t>
        </is>
      </c>
      <c r="AH1573" s="47">
        <f>IF(M1573=0,"-",M1573-J1573)</f>
        <v/>
      </c>
      <c r="AI1573" s="46">
        <f>IF(AND(S1573=0,M1573&gt;0,L1573=0),IF(AH1573&gt;=120,"VERY HIGH",IF(AH1573&gt;=90,"HIGH",IF(AH1573&gt;=60,"MEDIUM",IF(AH1573&lt;60,"LOW")))),"-")</f>
        <v/>
      </c>
      <c r="AJ1573" s="12" t="n"/>
      <c r="AK1573" s="53">
        <f>IF(AND(W1573="X",M1573&lt;=$AJ$2),"YES","")</f>
        <v/>
      </c>
      <c r="AL1573" s="54">
        <f>IF(AND(W1573="X",M1573&lt;=$AJ$2),S1573,"")</f>
        <v/>
      </c>
      <c r="AM1573" s="35" t="n"/>
      <c r="AN1573" s="35">
        <f>IF(AND(W1573="X",M1573&gt;$AJ$2),S1573,"")</f>
        <v/>
      </c>
      <c r="AO1573" s="35">
        <f>IF(AND(W1573="",M1573&gt;0,$AJ$2&gt;M1573,L1573=""),1,0)</f>
        <v/>
      </c>
      <c r="AP1573" s="35">
        <f>IF(AND(AK1573="YES",W1573="X"),"X","")</f>
        <v/>
      </c>
      <c r="AQ1573" s="55">
        <f>IF(AP1573="X",100%,0%)</f>
        <v/>
      </c>
      <c r="AR1573" s="25">
        <f>IF(AND(T1573&gt;0,L1573=""),H1573,"")</f>
        <v/>
      </c>
      <c r="AS1573" s="25">
        <f>IF(AND(D1573&gt;0,H1573=0,G1573=""),1,"")</f>
        <v/>
      </c>
      <c r="AT1573" s="25">
        <f>IF(G1573="BLOQ",1,"")</f>
        <v/>
      </c>
      <c r="AU1573" s="25">
        <f>IF(L1573="BLOQ",1,"")</f>
        <v/>
      </c>
      <c r="AV1573" s="25">
        <f>MONTH(F1573)</f>
        <v/>
      </c>
      <c r="AW1573" s="65">
        <f>IF(AP1573="",100%,0%)</f>
        <v/>
      </c>
      <c r="AX1573" s="56" t="n"/>
      <c r="AY1573" s="24">
        <f>IF(M1573=0,"",M1573-$AX$2)</f>
        <v/>
      </c>
      <c r="AZ1573" s="66">
        <f>IF(AND(W1573="",AY1573&gt;0,AY1573&lt;15),1,0)</f>
        <v/>
      </c>
      <c r="BA1573" s="24">
        <f>IF(AND(W1573="",AY1573&gt;0,AY1573&lt;15),T1573,"")</f>
        <v/>
      </c>
      <c r="BB1573" s="87">
        <f>IF(R1573&lt;Q1573,"X","")</f>
        <v/>
      </c>
      <c r="BC1573" s="191" t="inlineStr">
        <is>
          <t>SI</t>
        </is>
      </c>
      <c r="BD1573" s="191" t="inlineStr">
        <is>
          <t>SI</t>
        </is>
      </c>
    </row>
    <row r="1574" ht="15" customHeight="1" s="162">
      <c r="A1574" s="7" t="n">
        <v>1573</v>
      </c>
      <c r="B1574" t="inlineStr">
        <is>
          <t>1229508280005</t>
        </is>
      </c>
      <c r="C1574" t="inlineStr">
        <is>
          <t>CBL EQ UTP RJ45-M/M 50FT NEGRO CAT6 LSZH</t>
        </is>
      </c>
      <c r="D1574" t="inlineStr">
        <is>
          <t>1800116884</t>
        </is>
      </c>
      <c r="E1574" t="inlineStr">
        <is>
          <t>10</t>
        </is>
      </c>
      <c r="F1574" s="163" t="n">
        <v>45636</v>
      </c>
      <c r="G1574" t="inlineStr"/>
      <c r="H1574" t="inlineStr">
        <is>
          <t>4200594997</t>
        </is>
      </c>
      <c r="I1574" t="inlineStr">
        <is>
          <t>20</t>
        </is>
      </c>
      <c r="J1574" s="163" t="n">
        <v>45685</v>
      </c>
      <c r="K1574" s="163" t="n">
        <v>45688</v>
      </c>
      <c r="L1574" t="inlineStr"/>
      <c r="M1574" s="163" t="n">
        <v>45716</v>
      </c>
      <c r="N1574" s="164" t="n">
        <v>55</v>
      </c>
      <c r="O1574" s="164" t="n">
        <v>8</v>
      </c>
      <c r="P1574" t="inlineStr">
        <is>
          <t>Liberado</t>
        </is>
      </c>
      <c r="Q1574" s="165" t="n">
        <v>8</v>
      </c>
      <c r="R1574" s="165" t="n">
        <v>8</v>
      </c>
      <c r="S1574" s="165" t="n">
        <v>8</v>
      </c>
      <c r="T1574" s="165" t="n">
        <v>0</v>
      </c>
      <c r="U1574" s="166" t="n">
        <v>8</v>
      </c>
      <c r="V1574" s="166" t="n">
        <v>0</v>
      </c>
      <c r="W1574" t="inlineStr">
        <is>
          <t>X</t>
        </is>
      </c>
      <c r="X1574" t="inlineStr">
        <is>
          <t>0.00</t>
        </is>
      </c>
      <c r="Y1574" t="inlineStr"/>
      <c r="Z1574" t="inlineStr">
        <is>
          <t>OMNIAELECTRONICS, S.L.</t>
        </is>
      </c>
      <c r="AA1574" t="inlineStr">
        <is>
          <t>PACTECH</t>
        </is>
      </c>
      <c r="AB1574" t="inlineStr">
        <is>
          <t>MM-C6K-50-28LSZH-F</t>
        </is>
      </c>
      <c r="AC1574" t="inlineStr"/>
      <c r="AD1574" s="164" t="n">
        <v>0</v>
      </c>
      <c r="AE1574" s="185" t="n">
        <v>0</v>
      </c>
      <c r="AG1574" s="167" t="inlineStr">
        <is>
          <t>7218|JA2585_1001</t>
        </is>
      </c>
      <c r="AH1574" s="47">
        <f>IF(M1574=0,"-",M1574-J1574)</f>
        <v/>
      </c>
      <c r="AI1574" s="46">
        <f>IF(AND(S1574=0,M1574&gt;0,L1574=0),IF(AH1574&gt;=120,"VERY HIGH",IF(AH1574&gt;=90,"HIGH",IF(AH1574&gt;=60,"MEDIUM",IF(AH1574&lt;60,"LOW")))),"-")</f>
        <v/>
      </c>
      <c r="AJ1574" s="12" t="n"/>
      <c r="AK1574" s="53">
        <f>IF(AND(W1574="X",M1574&lt;=$AJ$2),"YES","")</f>
        <v/>
      </c>
      <c r="AL1574" s="54">
        <f>IF(AND(W1574="X",M1574&lt;=$AJ$2),S1574,"")</f>
        <v/>
      </c>
      <c r="AM1574" s="35" t="n"/>
      <c r="AN1574" s="35">
        <f>IF(AND(W1574="X",M1574&gt;$AJ$2),S1574,"")</f>
        <v/>
      </c>
      <c r="AO1574" s="35">
        <f>IF(AND(W1574="",M1574&gt;0,$AJ$2&gt;M1574,L1574=""),1,0)</f>
        <v/>
      </c>
      <c r="AP1574" s="35">
        <f>IF(AND(AK1574="YES",W1574="X"),"X","")</f>
        <v/>
      </c>
      <c r="AQ1574" s="55">
        <f>IF(AP1574="X",100%,0%)</f>
        <v/>
      </c>
      <c r="AR1574" s="25">
        <f>IF(AND(T1574&gt;0,L1574=""),H1574,"")</f>
        <v/>
      </c>
      <c r="AS1574" s="25">
        <f>IF(AND(D1574&gt;0,H1574=0,G1574=""),1,"")</f>
        <v/>
      </c>
      <c r="AT1574" s="25">
        <f>IF(G1574="BLOQ",1,"")</f>
        <v/>
      </c>
      <c r="AU1574" s="25">
        <f>IF(L1574="BLOQ",1,"")</f>
        <v/>
      </c>
      <c r="AV1574" s="25">
        <f>MONTH(F1574)</f>
        <v/>
      </c>
      <c r="AW1574" s="65">
        <f>IF(AP1574="",100%,0%)</f>
        <v/>
      </c>
      <c r="AX1574" s="56" t="n"/>
      <c r="AY1574" s="24">
        <f>IF(M1574=0,"",M1574-$AX$2)</f>
        <v/>
      </c>
      <c r="AZ1574" s="66">
        <f>IF(AND(W1574="",AY1574&gt;0,AY1574&lt;15),1,0)</f>
        <v/>
      </c>
      <c r="BA1574" s="24">
        <f>IF(AND(W1574="",AY1574&gt;0,AY1574&lt;15),T1574,"")</f>
        <v/>
      </c>
      <c r="BB1574" s="87">
        <f>IF(R1574&lt;Q1574,"X","")</f>
        <v/>
      </c>
      <c r="BC1574" s="190" t="inlineStr">
        <is>
          <t>NO</t>
        </is>
      </c>
      <c r="BD1574" s="191" t="inlineStr">
        <is>
          <t>SI</t>
        </is>
      </c>
    </row>
    <row r="1575" ht="15" customHeight="1" s="162">
      <c r="A1575" s="7" t="n">
        <v>1574</v>
      </c>
      <c r="B1575" t="inlineStr">
        <is>
          <t>1390700590501</t>
        </is>
      </c>
      <c r="C1575" t="inlineStr">
        <is>
          <t>SISTEMA EGPWS MKVA 115VAC P/A320/330/340</t>
        </is>
      </c>
      <c r="D1575" t="inlineStr">
        <is>
          <t>1800116903</t>
        </is>
      </c>
      <c r="E1575" t="inlineStr">
        <is>
          <t>10</t>
        </is>
      </c>
      <c r="F1575" s="163" t="n">
        <v>45637</v>
      </c>
      <c r="G1575" t="inlineStr"/>
      <c r="H1575" t="inlineStr">
        <is>
          <t>4200589833</t>
        </is>
      </c>
      <c r="I1575" t="inlineStr">
        <is>
          <t>20</t>
        </is>
      </c>
      <c r="J1575" s="163" t="n">
        <v>45638</v>
      </c>
      <c r="K1575" s="163" t="n">
        <v>45664</v>
      </c>
      <c r="L1575" t="inlineStr"/>
      <c r="M1575" s="163" t="n">
        <v>45664</v>
      </c>
      <c r="N1575" s="164" t="n">
        <v>40</v>
      </c>
      <c r="O1575" s="164" t="n">
        <v>8</v>
      </c>
      <c r="P1575" t="inlineStr">
        <is>
          <t>Liberado</t>
        </is>
      </c>
      <c r="Q1575" s="165" t="n">
        <v>1</v>
      </c>
      <c r="R1575" s="165" t="n">
        <v>1</v>
      </c>
      <c r="S1575" s="165" t="n">
        <v>1</v>
      </c>
      <c r="T1575" s="165" t="n">
        <v>0</v>
      </c>
      <c r="U1575" s="166" t="n">
        <v>1</v>
      </c>
      <c r="V1575" s="166" t="n">
        <v>0</v>
      </c>
      <c r="W1575" t="inlineStr">
        <is>
          <t>X</t>
        </is>
      </c>
      <c r="X1575" t="inlineStr">
        <is>
          <t>0.00</t>
        </is>
      </c>
      <c r="Y1575" t="inlineStr"/>
      <c r="Z1575" t="inlineStr">
        <is>
          <t>Honeywell International SARL</t>
        </is>
      </c>
      <c r="AA1575" t="inlineStr">
        <is>
          <t>HONEYWELL</t>
        </is>
      </c>
      <c r="AB1575" t="inlineStr">
        <is>
          <t>69000942-151</t>
        </is>
      </c>
      <c r="AC1575" t="inlineStr"/>
      <c r="AD1575" s="164" t="n">
        <v>0</v>
      </c>
      <c r="AE1575" s="185" t="n">
        <v>0</v>
      </c>
      <c r="AG1575" s="167" t="inlineStr">
        <is>
          <t>7218|JA2576_1001</t>
        </is>
      </c>
      <c r="AH1575" s="47">
        <f>IF(M1575=0,"-",M1575-J1575)</f>
        <v/>
      </c>
      <c r="AI1575" s="46">
        <f>IF(AND(S1575=0,M1575&gt;0,L1575=0),IF(AH1575&gt;=120,"VERY HIGH",IF(AH1575&gt;=90,"HIGH",IF(AH1575&gt;=60,"MEDIUM",IF(AH1575&lt;60,"LOW")))),"-")</f>
        <v/>
      </c>
      <c r="AJ1575" s="12" t="n"/>
      <c r="AK1575" s="53">
        <f>IF(AND(W1575="X",M1575&lt;=$AJ$2),"YES","")</f>
        <v/>
      </c>
      <c r="AL1575" s="54">
        <f>IF(AND(W1575="X",M1575&lt;=$AJ$2),S1575,"")</f>
        <v/>
      </c>
      <c r="AM1575" s="35" t="n"/>
      <c r="AN1575" s="35">
        <f>IF(AND(W1575="X",M1575&gt;$AJ$2),S1575,"")</f>
        <v/>
      </c>
      <c r="AO1575" s="35">
        <f>IF(AND(W1575="",M1575&gt;0,$AJ$2&gt;M1575,L1575=""),1,0)</f>
        <v/>
      </c>
      <c r="AP1575" s="35">
        <f>IF(AND(AK1575="YES",W1575="X"),"X","")</f>
        <v/>
      </c>
      <c r="AQ1575" s="55">
        <f>IF(AP1575="X",100%,0%)</f>
        <v/>
      </c>
      <c r="AR1575" s="25">
        <f>IF(AND(T1575&gt;0,L1575=""),H1575,"")</f>
        <v/>
      </c>
      <c r="AS1575" s="25">
        <f>IF(AND(D1575&gt;0,H1575=0,G1575=""),1,"")</f>
        <v/>
      </c>
      <c r="AT1575" s="25">
        <f>IF(G1575="BLOQ",1,"")</f>
        <v/>
      </c>
      <c r="AU1575" s="25">
        <f>IF(L1575="BLOQ",1,"")</f>
        <v/>
      </c>
      <c r="AV1575" s="25">
        <f>MONTH(F1575)</f>
        <v/>
      </c>
      <c r="AW1575" s="65">
        <f>IF(AP1575="",100%,0%)</f>
        <v/>
      </c>
      <c r="AX1575" s="56" t="n"/>
      <c r="AY1575" s="24">
        <f>IF(M1575=0,"",M1575-$AX$2)</f>
        <v/>
      </c>
      <c r="AZ1575" s="66">
        <f>IF(AND(W1575="",AY1575&gt;0,AY1575&lt;15),1,0)</f>
        <v/>
      </c>
      <c r="BA1575" s="24">
        <f>IF(AND(W1575="",AY1575&gt;0,AY1575&lt;15),T1575,"")</f>
        <v/>
      </c>
      <c r="BB1575" s="87">
        <f>IF(R1575&lt;Q1575,"X","")</f>
        <v/>
      </c>
      <c r="BC1575" s="190" t="inlineStr">
        <is>
          <t>NO</t>
        </is>
      </c>
      <c r="BD1575" s="191" t="inlineStr">
        <is>
          <t>SI</t>
        </is>
      </c>
    </row>
    <row r="1576" ht="15" customHeight="1" s="162">
      <c r="A1576" s="7" t="n">
        <v>1575</v>
      </c>
      <c r="B1576" t="inlineStr">
        <is>
          <t>3210503440000</t>
        </is>
      </c>
      <c r="C1576" t="inlineStr">
        <is>
          <t>EXTENSOR USB 2.0/CAT5 100MT</t>
        </is>
      </c>
      <c r="D1576" t="inlineStr">
        <is>
          <t>1800117120</t>
        </is>
      </c>
      <c r="E1576" t="inlineStr">
        <is>
          <t>10</t>
        </is>
      </c>
      <c r="F1576" s="163" t="n">
        <v>45639</v>
      </c>
      <c r="G1576" t="inlineStr"/>
      <c r="H1576" t="inlineStr">
        <is>
          <t>4200591593</t>
        </is>
      </c>
      <c r="I1576" t="inlineStr">
        <is>
          <t>10</t>
        </is>
      </c>
      <c r="J1576" s="163" t="n">
        <v>45650</v>
      </c>
      <c r="K1576" s="163" t="n">
        <v>45650</v>
      </c>
      <c r="L1576" t="inlineStr"/>
      <c r="M1576" s="163" t="n">
        <v>45716</v>
      </c>
      <c r="N1576" s="164" t="n">
        <v>40</v>
      </c>
      <c r="O1576" s="164" t="n">
        <v>8</v>
      </c>
      <c r="P1576" t="inlineStr">
        <is>
          <t>Liberado</t>
        </is>
      </c>
      <c r="Q1576" s="165" t="n">
        <v>4</v>
      </c>
      <c r="R1576" s="165" t="n">
        <v>4</v>
      </c>
      <c r="S1576" s="165" t="n">
        <v>4</v>
      </c>
      <c r="T1576" s="165" t="n">
        <v>0</v>
      </c>
      <c r="U1576" s="166" t="n">
        <v>4</v>
      </c>
      <c r="V1576" s="166" t="n">
        <v>0</v>
      </c>
      <c r="W1576" t="inlineStr">
        <is>
          <t>X</t>
        </is>
      </c>
      <c r="X1576" t="inlineStr">
        <is>
          <t>0.00</t>
        </is>
      </c>
      <c r="Y1576" t="inlineStr"/>
      <c r="Z1576" t="inlineStr">
        <is>
          <t>CHARMEX INTERNACIONAL S.A.</t>
        </is>
      </c>
      <c r="AA1576" t="inlineStr">
        <is>
          <t>GEFEN INC</t>
        </is>
      </c>
      <c r="AB1576" t="inlineStr">
        <is>
          <t>EXT-USB2.0-LR</t>
        </is>
      </c>
      <c r="AC1576" t="inlineStr"/>
      <c r="AD1576" s="164" t="n">
        <v>3</v>
      </c>
      <c r="AE1576" s="185" t="n">
        <v>0</v>
      </c>
      <c r="AG1576" s="167" t="inlineStr">
        <is>
          <t>7218|JA2587_1001</t>
        </is>
      </c>
      <c r="AH1576" s="47">
        <f>IF(M1576=0,"-",M1576-J1576)</f>
        <v/>
      </c>
      <c r="AI1576" s="46">
        <f>IF(AND(S1576=0,M1576&gt;0,L1576=0),IF(AH1576&gt;=120,"VERY HIGH",IF(AH1576&gt;=90,"HIGH",IF(AH1576&gt;=60,"MEDIUM",IF(AH1576&lt;60,"LOW")))),"-")</f>
        <v/>
      </c>
      <c r="AJ1576" s="12" t="n"/>
      <c r="AK1576" s="53">
        <f>IF(AND(W1576="X",M1576&lt;=$AJ$2),"YES","")</f>
        <v/>
      </c>
      <c r="AL1576" s="54">
        <f>IF(AND(W1576="X",M1576&lt;=$AJ$2),S1576,"")</f>
        <v/>
      </c>
      <c r="AM1576" s="35" t="n"/>
      <c r="AN1576" s="35">
        <f>IF(AND(W1576="X",M1576&gt;$AJ$2),S1576,"")</f>
        <v/>
      </c>
      <c r="AO1576" s="35">
        <f>IF(AND(W1576="",M1576&gt;0,$AJ$2&gt;M1576,L1576=""),1,0)</f>
        <v/>
      </c>
      <c r="AP1576" s="35">
        <f>IF(AND(AK1576="YES",W1576="X"),"X","")</f>
        <v/>
      </c>
      <c r="AQ1576" s="55">
        <f>IF(AP1576="X",100%,0%)</f>
        <v/>
      </c>
      <c r="AR1576" s="25">
        <f>IF(AND(T1576&gt;0,L1576=""),H1576,"")</f>
        <v/>
      </c>
      <c r="AS1576" s="25">
        <f>IF(AND(D1576&gt;0,H1576=0,G1576=""),1,"")</f>
        <v/>
      </c>
      <c r="AT1576" s="25">
        <f>IF(G1576="BLOQ",1,"")</f>
        <v/>
      </c>
      <c r="AU1576" s="25">
        <f>IF(L1576="BLOQ",1,"")</f>
        <v/>
      </c>
      <c r="AV1576" s="25">
        <f>MONTH(F1576)</f>
        <v/>
      </c>
      <c r="AW1576" s="65">
        <f>IF(AP1576="",100%,0%)</f>
        <v/>
      </c>
      <c r="AX1576" s="56" t="n"/>
      <c r="AY1576" s="24">
        <f>IF(M1576=0,"",M1576-$AX$2)</f>
        <v/>
      </c>
      <c r="AZ1576" s="66">
        <f>IF(AND(W1576="",AY1576&gt;0,AY1576&lt;15),1,0)</f>
        <v/>
      </c>
      <c r="BA1576" s="24">
        <f>IF(AND(W1576="",AY1576&gt;0,AY1576&lt;15),T1576,"")</f>
        <v/>
      </c>
      <c r="BB1576" s="87">
        <f>IF(R1576&lt;Q1576,"X","")</f>
        <v/>
      </c>
      <c r="BC1576" s="191" t="inlineStr">
        <is>
          <t>SI</t>
        </is>
      </c>
      <c r="BD1576" s="191" t="inlineStr">
        <is>
          <t>SI</t>
        </is>
      </c>
    </row>
    <row r="1577" ht="15" customHeight="1" s="162">
      <c r="A1577" s="7" t="n">
        <v>1576</v>
      </c>
      <c r="B1577" t="inlineStr">
        <is>
          <t>0972881203200</t>
        </is>
      </c>
      <c r="C1577" t="inlineStr">
        <is>
          <t>NUC PLATE SUPPORT</t>
        </is>
      </c>
      <c r="D1577" t="inlineStr">
        <is>
          <t>1800117351</t>
        </is>
      </c>
      <c r="E1577" t="inlineStr">
        <is>
          <t>10</t>
        </is>
      </c>
      <c r="F1577" s="163" t="n">
        <v>45644</v>
      </c>
      <c r="G1577" t="inlineStr"/>
      <c r="H1577" t="inlineStr">
        <is>
          <t>4200594989</t>
        </is>
      </c>
      <c r="I1577" t="inlineStr">
        <is>
          <t>10</t>
        </is>
      </c>
      <c r="J1577" s="163" t="n">
        <v>45685</v>
      </c>
      <c r="K1577" s="163" t="n">
        <v>45686</v>
      </c>
      <c r="L1577" t="inlineStr"/>
      <c r="M1577" s="163" t="n">
        <v>45730</v>
      </c>
      <c r="N1577" s="164" t="n">
        <v>40</v>
      </c>
      <c r="O1577" s="164" t="n">
        <v>8</v>
      </c>
      <c r="P1577" t="inlineStr">
        <is>
          <t>Liberado</t>
        </is>
      </c>
      <c r="Q1577" s="165" t="n">
        <v>1</v>
      </c>
      <c r="R1577" s="165" t="n">
        <v>1</v>
      </c>
      <c r="S1577" s="165" t="n">
        <v>1</v>
      </c>
      <c r="T1577" s="165" t="n">
        <v>0</v>
      </c>
      <c r="U1577" s="166" t="n">
        <v>1</v>
      </c>
      <c r="V1577" s="166" t="n">
        <v>0</v>
      </c>
      <c r="W1577" t="inlineStr">
        <is>
          <t>X</t>
        </is>
      </c>
      <c r="X1577" t="inlineStr">
        <is>
          <t>0.00</t>
        </is>
      </c>
      <c r="Y1577" t="inlineStr"/>
      <c r="Z1577" t="inlineStr">
        <is>
          <t>PUNZOMET S.L.</t>
        </is>
      </c>
      <c r="AA1577" t="inlineStr">
        <is>
          <t>INDRA SISTEMAS S.A.</t>
        </is>
      </c>
      <c r="AB1577" t="inlineStr">
        <is>
          <t>0972881203200</t>
        </is>
      </c>
      <c r="AC1577" t="inlineStr"/>
      <c r="AD1577" s="164" t="n">
        <v>0</v>
      </c>
      <c r="AE1577" s="185" t="n">
        <v>0</v>
      </c>
      <c r="AG1577" s="167" t="inlineStr">
        <is>
          <t>7218|JA2583_1001</t>
        </is>
      </c>
      <c r="AH1577" s="47">
        <f>IF(M1577=0,"-",M1577-J1577)</f>
        <v/>
      </c>
      <c r="AI1577" s="46">
        <f>IF(AND(S1577=0,M1577&gt;0,L1577=0),IF(AH1577&gt;=120,"VERY HIGH",IF(AH1577&gt;=90,"HIGH",IF(AH1577&gt;=60,"MEDIUM",IF(AH1577&lt;60,"LOW")))),"-")</f>
        <v/>
      </c>
      <c r="AJ1577" s="12" t="n"/>
      <c r="AK1577" s="53">
        <f>IF(AND(W1577="X",M1577&lt;=$AJ$2),"YES","")</f>
        <v/>
      </c>
      <c r="AL1577" s="54">
        <f>IF(AND(W1577="X",M1577&lt;=$AJ$2),S1577,"")</f>
        <v/>
      </c>
      <c r="AM1577" s="35" t="n"/>
      <c r="AN1577" s="35">
        <f>IF(AND(W1577="X",M1577&gt;$AJ$2),S1577,"")</f>
        <v/>
      </c>
      <c r="AO1577" s="35">
        <f>IF(AND(W1577="",M1577&gt;0,$AJ$2&gt;M1577,L1577=""),1,0)</f>
        <v/>
      </c>
      <c r="AP1577" s="35">
        <f>IF(AND(AK1577="YES",W1577="X"),"X","")</f>
        <v/>
      </c>
      <c r="AQ1577" s="55">
        <f>IF(AP1577="X",100%,0%)</f>
        <v/>
      </c>
      <c r="AR1577" s="25">
        <f>IF(AND(T1577&gt;0,L1577=""),H1577,"")</f>
        <v/>
      </c>
      <c r="AS1577" s="25">
        <f>IF(AND(D1577&gt;0,H1577=0,G1577=""),1,"")</f>
        <v/>
      </c>
      <c r="AT1577" s="25">
        <f>IF(G1577="BLOQ",1,"")</f>
        <v/>
      </c>
      <c r="AU1577" s="25">
        <f>IF(L1577="BLOQ",1,"")</f>
        <v/>
      </c>
      <c r="AV1577" s="25">
        <f>MONTH(F1577)</f>
        <v/>
      </c>
      <c r="AW1577" s="65">
        <f>IF(AP1577="",100%,0%)</f>
        <v/>
      </c>
      <c r="AX1577" s="56" t="n"/>
      <c r="AY1577" s="24">
        <f>IF(M1577=0,"",M1577-$AX$2)</f>
        <v/>
      </c>
      <c r="AZ1577" s="66">
        <f>IF(AND(W1577="",AY1577&gt;0,AY1577&lt;15),1,0)</f>
        <v/>
      </c>
      <c r="BA1577" s="24">
        <f>IF(AND(W1577="",AY1577&gt;0,AY1577&lt;15),T1577,"")</f>
        <v/>
      </c>
      <c r="BB1577" s="87">
        <f>IF(R1577&lt;Q1577,"X","")</f>
        <v/>
      </c>
      <c r="BC1577" s="191" t="inlineStr">
        <is>
          <t>SI</t>
        </is>
      </c>
      <c r="BD1577" s="191" t="inlineStr">
        <is>
          <t>SI</t>
        </is>
      </c>
    </row>
    <row r="1578" ht="15" customHeight="1" s="162">
      <c r="A1578" s="7" t="n">
        <v>1577</v>
      </c>
      <c r="B1578" t="inlineStr">
        <is>
          <t>7884000010000</t>
        </is>
      </c>
      <c r="C1578" t="inlineStr">
        <is>
          <t>EXTINTOR CO2 2KG 34B 3,01L 116X485MM</t>
        </is>
      </c>
      <c r="D1578" t="inlineStr">
        <is>
          <t>1800117501</t>
        </is>
      </c>
      <c r="E1578" t="inlineStr">
        <is>
          <t>10</t>
        </is>
      </c>
      <c r="F1578" s="163" t="n">
        <v>45645</v>
      </c>
      <c r="G1578" t="inlineStr"/>
      <c r="H1578" t="inlineStr">
        <is>
          <t>4200592939</t>
        </is>
      </c>
      <c r="I1578" t="inlineStr">
        <is>
          <t>10</t>
        </is>
      </c>
      <c r="J1578" s="163" t="n">
        <v>45671</v>
      </c>
      <c r="K1578" s="163" t="n">
        <v>45671</v>
      </c>
      <c r="L1578" t="inlineStr"/>
      <c r="M1578" s="163" t="n">
        <v>45699</v>
      </c>
      <c r="N1578" s="164" t="n">
        <v>30</v>
      </c>
      <c r="O1578" s="164" t="n">
        <v>8</v>
      </c>
      <c r="P1578" t="inlineStr">
        <is>
          <t>Liberado</t>
        </is>
      </c>
      <c r="Q1578" s="165" t="n">
        <v>1</v>
      </c>
      <c r="R1578" s="165" t="n">
        <v>1</v>
      </c>
      <c r="S1578" s="165" t="n">
        <v>1</v>
      </c>
      <c r="T1578" s="165" t="n">
        <v>0</v>
      </c>
      <c r="U1578" s="166" t="n">
        <v>0</v>
      </c>
      <c r="V1578" s="166" t="n">
        <v>0</v>
      </c>
      <c r="W1578" t="inlineStr">
        <is>
          <t>X</t>
        </is>
      </c>
      <c r="X1578" t="inlineStr">
        <is>
          <t>0.00</t>
        </is>
      </c>
      <c r="Y1578" t="inlineStr"/>
      <c r="Z1578" t="inlineStr">
        <is>
          <t>IBERCOIN INGENIEROS, S.L.</t>
        </is>
      </c>
      <c r="AA1578" t="inlineStr">
        <is>
          <t>EXTINTORES FAEX, S.L.</t>
        </is>
      </c>
      <c r="AB1578" t="inlineStr">
        <is>
          <t>CO2-2 AF</t>
        </is>
      </c>
      <c r="AC1578" t="inlineStr"/>
      <c r="AD1578" s="164" t="n">
        <v>1</v>
      </c>
      <c r="AE1578" s="185" t="n">
        <v>0</v>
      </c>
      <c r="AG1578" s="167" t="inlineStr">
        <is>
          <t>7218|JA2582_1001</t>
        </is>
      </c>
      <c r="AH1578" s="47">
        <f>IF(M1578=0,"-",M1578-J1578)</f>
        <v/>
      </c>
      <c r="AI1578" s="46">
        <f>IF(AND(S1578=0,M1578&gt;0,L1578=0),IF(AH1578&gt;=120,"VERY HIGH",IF(AH1578&gt;=90,"HIGH",IF(AH1578&gt;=60,"MEDIUM",IF(AH1578&lt;60,"LOW")))),"-")</f>
        <v/>
      </c>
      <c r="AJ1578" s="12" t="n"/>
      <c r="AK1578" s="53">
        <f>IF(AND(W1578="X",M1578&lt;=$AJ$2),"YES","")</f>
        <v/>
      </c>
      <c r="AL1578" s="54">
        <f>IF(AND(W1578="X",M1578&lt;=$AJ$2),S1578,"")</f>
        <v/>
      </c>
      <c r="AM1578" s="35" t="n"/>
      <c r="AN1578" s="35">
        <f>IF(AND(W1578="X",M1578&gt;$AJ$2),S1578,"")</f>
        <v/>
      </c>
      <c r="AO1578" s="35">
        <f>IF(AND(W1578="",M1578&gt;0,$AJ$2&gt;M1578,L1578=""),1,0)</f>
        <v/>
      </c>
      <c r="AP1578" s="35">
        <f>IF(AND(AK1578="YES",W1578="X"),"X","")</f>
        <v/>
      </c>
      <c r="AQ1578" s="55">
        <f>IF(AP1578="X",100%,0%)</f>
        <v/>
      </c>
      <c r="AR1578" s="25">
        <f>IF(AND(T1578&gt;0,L1578=""),H1578,"")</f>
        <v/>
      </c>
      <c r="AS1578" s="25">
        <f>IF(AND(D1578&gt;0,H1578=0,G1578=""),1,"")</f>
        <v/>
      </c>
      <c r="AT1578" s="25">
        <f>IF(G1578="BLOQ",1,"")</f>
        <v/>
      </c>
      <c r="AU1578" s="25">
        <f>IF(L1578="BLOQ",1,"")</f>
        <v/>
      </c>
      <c r="AV1578" s="25">
        <f>MONTH(F1578)</f>
        <v/>
      </c>
      <c r="AW1578" s="65">
        <f>IF(AP1578="",100%,0%)</f>
        <v/>
      </c>
      <c r="AX1578" s="56" t="n"/>
      <c r="AY1578" s="24">
        <f>IF(M1578=0,"",M1578-$AX$2)</f>
        <v/>
      </c>
      <c r="AZ1578" s="66">
        <f>IF(AND(W1578="",AY1578&gt;0,AY1578&lt;15),1,0)</f>
        <v/>
      </c>
      <c r="BA1578" s="24">
        <f>IF(AND(W1578="",AY1578&gt;0,AY1578&lt;15),T1578,"")</f>
        <v/>
      </c>
      <c r="BB1578" s="87">
        <f>IF(R1578&lt;Q1578,"X","")</f>
        <v/>
      </c>
      <c r="BC1578" s="191" t="inlineStr">
        <is>
          <t>SI</t>
        </is>
      </c>
      <c r="BD1578" s="191" t="inlineStr">
        <is>
          <t>SI</t>
        </is>
      </c>
    </row>
    <row r="1579" ht="15" customHeight="1" s="162">
      <c r="A1579" s="7" t="n">
        <v>1578</v>
      </c>
      <c r="B1579" t="inlineStr">
        <is>
          <t>1229508280003</t>
        </is>
      </c>
      <c r="C1579" t="inlineStr">
        <is>
          <t>CBL EQ UTP RJ45-M/M 20FT NEGRO CAT6 LSZH</t>
        </is>
      </c>
      <c r="D1579" t="inlineStr">
        <is>
          <t>1800117638</t>
        </is>
      </c>
      <c r="E1579" t="inlineStr">
        <is>
          <t>10</t>
        </is>
      </c>
      <c r="F1579" s="163" t="n">
        <v>45665</v>
      </c>
      <c r="G1579" t="inlineStr"/>
      <c r="H1579" t="inlineStr">
        <is>
          <t>4200592966</t>
        </is>
      </c>
      <c r="I1579" t="inlineStr">
        <is>
          <t>30</t>
        </is>
      </c>
      <c r="J1579" s="163" t="n">
        <v>45671</v>
      </c>
      <c r="K1579" s="163" t="n">
        <v>45674</v>
      </c>
      <c r="L1579" t="inlineStr"/>
      <c r="M1579" s="163" t="n">
        <v>45688</v>
      </c>
      <c r="N1579" s="164" t="n">
        <v>45</v>
      </c>
      <c r="O1579" s="164" t="n">
        <v>8</v>
      </c>
      <c r="P1579" t="inlineStr">
        <is>
          <t>Liberado</t>
        </is>
      </c>
      <c r="Q1579" s="165" t="n">
        <v>1</v>
      </c>
      <c r="R1579" s="165" t="n">
        <v>1</v>
      </c>
      <c r="S1579" s="165" t="n">
        <v>1</v>
      </c>
      <c r="T1579" s="165" t="n">
        <v>0</v>
      </c>
      <c r="U1579" s="166" t="n">
        <v>1</v>
      </c>
      <c r="V1579" s="166" t="n">
        <v>0</v>
      </c>
      <c r="W1579" t="inlineStr">
        <is>
          <t>X</t>
        </is>
      </c>
      <c r="X1579" t="inlineStr">
        <is>
          <t>0.00</t>
        </is>
      </c>
      <c r="Y1579" t="inlineStr"/>
      <c r="Z1579" t="inlineStr">
        <is>
          <t>INFORMATICA CALCULO Y TECNICA, S.A.</t>
        </is>
      </c>
      <c r="AA1579" t="inlineStr">
        <is>
          <t>PACTECH</t>
        </is>
      </c>
      <c r="AB1579" t="inlineStr">
        <is>
          <t>MM-C6K-20-28LSZH-F</t>
        </is>
      </c>
      <c r="AC1579" t="inlineStr"/>
      <c r="AD1579" s="164" t="n">
        <v>0</v>
      </c>
      <c r="AE1579" s="185" t="n">
        <v>0</v>
      </c>
      <c r="AG1579" s="167" t="inlineStr">
        <is>
          <t>7218|JA2585_1001</t>
        </is>
      </c>
      <c r="AH1579" s="47">
        <f>IF(M1579=0,"-",M1579-J1579)</f>
        <v/>
      </c>
      <c r="AI1579" s="46">
        <f>IF(AND(S1579=0,M1579&gt;0,L1579=0),IF(AH1579&gt;=120,"VERY HIGH",IF(AH1579&gt;=90,"HIGH",IF(AH1579&gt;=60,"MEDIUM",IF(AH1579&lt;60,"LOW")))),"-")</f>
        <v/>
      </c>
      <c r="AJ1579" s="12" t="n"/>
      <c r="AK1579" s="53">
        <f>IF(AND(W1579="X",M1579&lt;=$AJ$2),"YES","")</f>
        <v/>
      </c>
      <c r="AL1579" s="54">
        <f>IF(AND(W1579="X",M1579&lt;=$AJ$2),S1579,"")</f>
        <v/>
      </c>
      <c r="AM1579" s="35" t="n"/>
      <c r="AN1579" s="35">
        <f>IF(AND(W1579="X",M1579&gt;$AJ$2),S1579,"")</f>
        <v/>
      </c>
      <c r="AO1579" s="35">
        <f>IF(AND(W1579="",M1579&gt;0,$AJ$2&gt;M1579,L1579=""),1,0)</f>
        <v/>
      </c>
      <c r="AP1579" s="35">
        <f>IF(AND(AK1579="YES",W1579="X"),"X","")</f>
        <v/>
      </c>
      <c r="AQ1579" s="55">
        <f>IF(AP1579="X",100%,0%)</f>
        <v/>
      </c>
      <c r="AR1579" s="25">
        <f>IF(AND(T1579&gt;0,L1579=""),H1579,"")</f>
        <v/>
      </c>
      <c r="AS1579" s="25">
        <f>IF(AND(D1579&gt;0,H1579=0,G1579=""),1,"")</f>
        <v/>
      </c>
      <c r="AT1579" s="25">
        <f>IF(G1579="BLOQ",1,"")</f>
        <v/>
      </c>
      <c r="AU1579" s="25">
        <f>IF(L1579="BLOQ",1,"")</f>
        <v/>
      </c>
      <c r="AV1579" s="25">
        <f>MONTH(F1579)</f>
        <v/>
      </c>
      <c r="AW1579" s="65">
        <f>IF(AP1579="",100%,0%)</f>
        <v/>
      </c>
      <c r="AX1579" s="56" t="n"/>
      <c r="AY1579" s="24">
        <f>IF(M1579=0,"",M1579-$AX$2)</f>
        <v/>
      </c>
      <c r="AZ1579" s="66">
        <f>IF(AND(W1579="",AY1579&gt;0,AY1579&lt;15),1,0)</f>
        <v/>
      </c>
      <c r="BA1579" s="24">
        <f>IF(AND(W1579="",AY1579&gt;0,AY1579&lt;15),T1579,"")</f>
        <v/>
      </c>
      <c r="BB1579" s="87">
        <f>IF(R1579&lt;Q1579,"X","")</f>
        <v/>
      </c>
      <c r="BC1579" s="190" t="inlineStr">
        <is>
          <t>NO</t>
        </is>
      </c>
      <c r="BD1579" s="191" t="inlineStr">
        <is>
          <t>SI</t>
        </is>
      </c>
    </row>
    <row r="1580" ht="15" customHeight="1" s="162">
      <c r="A1580" s="7" t="n">
        <v>1579</v>
      </c>
      <c r="B1580" t="inlineStr">
        <is>
          <t>1229508280004</t>
        </is>
      </c>
      <c r="C1580" t="inlineStr">
        <is>
          <t>CBL EQ UTP RJ45-M/M 35FT NEGRO CAT6 LSZH</t>
        </is>
      </c>
      <c r="D1580" t="inlineStr">
        <is>
          <t>1800117638</t>
        </is>
      </c>
      <c r="E1580" t="inlineStr">
        <is>
          <t>20</t>
        </is>
      </c>
      <c r="F1580" s="163" t="n">
        <v>45665</v>
      </c>
      <c r="G1580" t="inlineStr"/>
      <c r="H1580" t="inlineStr">
        <is>
          <t>4200592966</t>
        </is>
      </c>
      <c r="I1580" t="inlineStr">
        <is>
          <t>40</t>
        </is>
      </c>
      <c r="J1580" s="163" t="n">
        <v>45671</v>
      </c>
      <c r="K1580" s="163" t="n">
        <v>45674</v>
      </c>
      <c r="L1580" t="inlineStr"/>
      <c r="M1580" s="163" t="n">
        <v>45688</v>
      </c>
      <c r="N1580" s="164" t="n">
        <v>30</v>
      </c>
      <c r="O1580" s="164" t="n">
        <v>8</v>
      </c>
      <c r="P1580" t="inlineStr">
        <is>
          <t>Liberado</t>
        </is>
      </c>
      <c r="Q1580" s="165" t="n">
        <v>2</v>
      </c>
      <c r="R1580" s="165" t="n">
        <v>2</v>
      </c>
      <c r="S1580" s="165" t="n">
        <v>2</v>
      </c>
      <c r="T1580" s="165" t="n">
        <v>0</v>
      </c>
      <c r="U1580" s="166" t="n">
        <v>2</v>
      </c>
      <c r="V1580" s="166" t="n">
        <v>0</v>
      </c>
      <c r="W1580" t="inlineStr">
        <is>
          <t>X</t>
        </is>
      </c>
      <c r="X1580" t="inlineStr">
        <is>
          <t>0.00</t>
        </is>
      </c>
      <c r="Y1580" t="inlineStr"/>
      <c r="Z1580" t="inlineStr">
        <is>
          <t>INFORMATICA CALCULO Y TECNICA, S.A.</t>
        </is>
      </c>
      <c r="AA1580" t="inlineStr">
        <is>
          <t>PACTECH</t>
        </is>
      </c>
      <c r="AB1580" t="inlineStr">
        <is>
          <t>MM-C6K-35-28LSZH-F</t>
        </is>
      </c>
      <c r="AC1580" t="inlineStr"/>
      <c r="AD1580" s="164" t="n">
        <v>0</v>
      </c>
      <c r="AE1580" s="185" t="n">
        <v>0</v>
      </c>
      <c r="AG1580" s="167" t="inlineStr">
        <is>
          <t>7218|JA2585_1001</t>
        </is>
      </c>
      <c r="AH1580" s="47">
        <f>IF(M1580=0,"-",M1580-J1580)</f>
        <v/>
      </c>
      <c r="AI1580" s="46">
        <f>IF(AND(S1580=0,M1580&gt;0,L1580=0),IF(AH1580&gt;=120,"VERY HIGH",IF(AH1580&gt;=90,"HIGH",IF(AH1580&gt;=60,"MEDIUM",IF(AH1580&lt;60,"LOW")))),"-")</f>
        <v/>
      </c>
      <c r="AJ1580" s="12" t="n"/>
      <c r="AK1580" s="53">
        <f>IF(AND(W1580="X",M1580&lt;=$AJ$2),"YES","")</f>
        <v/>
      </c>
      <c r="AL1580" s="54">
        <f>IF(AND(W1580="X",M1580&lt;=$AJ$2),S1580,"")</f>
        <v/>
      </c>
      <c r="AM1580" s="35" t="n"/>
      <c r="AN1580" s="35">
        <f>IF(AND(W1580="X",M1580&gt;$AJ$2),S1580,"")</f>
        <v/>
      </c>
      <c r="AO1580" s="35">
        <f>IF(AND(W1580="",M1580&gt;0,$AJ$2&gt;M1580,L1580=""),1,0)</f>
        <v/>
      </c>
      <c r="AP1580" s="35">
        <f>IF(AND(AK1580="YES",W1580="X"),"X","")</f>
        <v/>
      </c>
      <c r="AQ1580" s="55">
        <f>IF(AP1580="X",100%,0%)</f>
        <v/>
      </c>
      <c r="AR1580" s="25">
        <f>IF(AND(T1580&gt;0,L1580=""),H1580,"")</f>
        <v/>
      </c>
      <c r="AS1580" s="25">
        <f>IF(AND(D1580&gt;0,H1580=0,G1580=""),1,"")</f>
        <v/>
      </c>
      <c r="AT1580" s="25">
        <f>IF(G1580="BLOQ",1,"")</f>
        <v/>
      </c>
      <c r="AU1580" s="25">
        <f>IF(L1580="BLOQ",1,"")</f>
        <v/>
      </c>
      <c r="AV1580" s="25">
        <f>MONTH(F1580)</f>
        <v/>
      </c>
      <c r="AW1580" s="65">
        <f>IF(AP1580="",100%,0%)</f>
        <v/>
      </c>
      <c r="AX1580" s="56" t="n"/>
      <c r="AY1580" s="24">
        <f>IF(M1580=0,"",M1580-$AX$2)</f>
        <v/>
      </c>
      <c r="AZ1580" s="66">
        <f>IF(AND(W1580="",AY1580&gt;0,AY1580&lt;15),1,0)</f>
        <v/>
      </c>
      <c r="BA1580" s="24">
        <f>IF(AND(W1580="",AY1580&gt;0,AY1580&lt;15),T1580,"")</f>
        <v/>
      </c>
      <c r="BB1580" s="87">
        <f>IF(R1580&lt;Q1580,"X","")</f>
        <v/>
      </c>
      <c r="BC1580" s="190" t="inlineStr">
        <is>
          <t>NO</t>
        </is>
      </c>
      <c r="BD1580" s="191" t="inlineStr">
        <is>
          <t>SI</t>
        </is>
      </c>
    </row>
    <row r="1581" ht="15" customHeight="1" s="162">
      <c r="A1581" s="7" t="n">
        <v>1580</v>
      </c>
      <c r="B1581" t="inlineStr">
        <is>
          <t>1229508280303</t>
        </is>
      </c>
      <c r="C1581" t="inlineStr">
        <is>
          <t>CBL EQ UTP RJ45-M/M 20FT BLANC CAT6 LSZH</t>
        </is>
      </c>
      <c r="D1581" t="inlineStr">
        <is>
          <t>1800117638</t>
        </is>
      </c>
      <c r="E1581" t="inlineStr">
        <is>
          <t>30</t>
        </is>
      </c>
      <c r="F1581" s="163" t="n">
        <v>45665</v>
      </c>
      <c r="G1581" t="inlineStr"/>
      <c r="H1581" t="inlineStr">
        <is>
          <t>4200592966</t>
        </is>
      </c>
      <c r="I1581" t="inlineStr">
        <is>
          <t>50</t>
        </is>
      </c>
      <c r="J1581" s="163" t="n">
        <v>45671</v>
      </c>
      <c r="K1581" s="163" t="n">
        <v>45674</v>
      </c>
      <c r="L1581" t="inlineStr"/>
      <c r="M1581" s="163" t="n">
        <v>45688</v>
      </c>
      <c r="N1581" s="164" t="n">
        <v>75</v>
      </c>
      <c r="O1581" s="164" t="n">
        <v>8</v>
      </c>
      <c r="P1581" t="inlineStr">
        <is>
          <t>Liberado</t>
        </is>
      </c>
      <c r="Q1581" s="165" t="n">
        <v>2</v>
      </c>
      <c r="R1581" s="165" t="n">
        <v>2</v>
      </c>
      <c r="S1581" s="165" t="n">
        <v>2</v>
      </c>
      <c r="T1581" s="165" t="n">
        <v>0</v>
      </c>
      <c r="U1581" s="166" t="n">
        <v>2</v>
      </c>
      <c r="V1581" s="166" t="n">
        <v>0</v>
      </c>
      <c r="W1581" t="inlineStr">
        <is>
          <t>X</t>
        </is>
      </c>
      <c r="X1581" t="inlineStr">
        <is>
          <t>0.00</t>
        </is>
      </c>
      <c r="Y1581" t="inlineStr"/>
      <c r="Z1581" t="inlineStr">
        <is>
          <t>INFORMATICA CALCULO Y TECNICA, S.A.</t>
        </is>
      </c>
      <c r="AA1581" t="inlineStr">
        <is>
          <t>PACTECH</t>
        </is>
      </c>
      <c r="AB1581" t="inlineStr">
        <is>
          <t>MM-C6W-20-28LSZH-F</t>
        </is>
      </c>
      <c r="AC1581" t="inlineStr"/>
      <c r="AD1581" s="164" t="n">
        <v>0</v>
      </c>
      <c r="AE1581" s="185" t="n">
        <v>0</v>
      </c>
      <c r="AG1581" s="167" t="inlineStr">
        <is>
          <t>7218|JA2585_1001</t>
        </is>
      </c>
      <c r="AH1581" s="47">
        <f>IF(M1581=0,"-",M1581-J1581)</f>
        <v/>
      </c>
      <c r="AI1581" s="46">
        <f>IF(AND(S1581=0,M1581&gt;0,L1581=0),IF(AH1581&gt;=120,"VERY HIGH",IF(AH1581&gt;=90,"HIGH",IF(AH1581&gt;=60,"MEDIUM",IF(AH1581&lt;60,"LOW")))),"-")</f>
        <v/>
      </c>
      <c r="AJ1581" s="12" t="n"/>
      <c r="AK1581" s="53">
        <f>IF(AND(W1581="X",M1581&lt;=$AJ$2),"YES","")</f>
        <v/>
      </c>
      <c r="AL1581" s="54">
        <f>IF(AND(W1581="X",M1581&lt;=$AJ$2),S1581,"")</f>
        <v/>
      </c>
      <c r="AM1581" s="35" t="n"/>
      <c r="AN1581" s="35">
        <f>IF(AND(W1581="X",M1581&gt;$AJ$2),S1581,"")</f>
        <v/>
      </c>
      <c r="AO1581" s="35">
        <f>IF(AND(W1581="",M1581&gt;0,$AJ$2&gt;M1581,L1581=""),1,0)</f>
        <v/>
      </c>
      <c r="AP1581" s="35">
        <f>IF(AND(AK1581="YES",W1581="X"),"X","")</f>
        <v/>
      </c>
      <c r="AQ1581" s="55">
        <f>IF(AP1581="X",100%,0%)</f>
        <v/>
      </c>
      <c r="AR1581" s="25">
        <f>IF(AND(T1581&gt;0,L1581=""),H1581,"")</f>
        <v/>
      </c>
      <c r="AS1581" s="25">
        <f>IF(AND(D1581&gt;0,H1581=0,G1581=""),1,"")</f>
        <v/>
      </c>
      <c r="AT1581" s="25">
        <f>IF(G1581="BLOQ",1,"")</f>
        <v/>
      </c>
      <c r="AU1581" s="25">
        <f>IF(L1581="BLOQ",1,"")</f>
        <v/>
      </c>
      <c r="AV1581" s="25">
        <f>MONTH(F1581)</f>
        <v/>
      </c>
      <c r="AW1581" s="65">
        <f>IF(AP1581="",100%,0%)</f>
        <v/>
      </c>
      <c r="AX1581" s="56" t="n"/>
      <c r="AY1581" s="24">
        <f>IF(M1581=0,"",M1581-$AX$2)</f>
        <v/>
      </c>
      <c r="AZ1581" s="66">
        <f>IF(AND(W1581="",AY1581&gt;0,AY1581&lt;15),1,0)</f>
        <v/>
      </c>
      <c r="BA1581" s="24">
        <f>IF(AND(W1581="",AY1581&gt;0,AY1581&lt;15),T1581,"")</f>
        <v/>
      </c>
      <c r="BB1581" s="87">
        <f>IF(R1581&lt;Q1581,"X","")</f>
        <v/>
      </c>
      <c r="BC1581" s="190" t="inlineStr">
        <is>
          <t>NO</t>
        </is>
      </c>
      <c r="BD1581" s="191" t="inlineStr">
        <is>
          <t>SI</t>
        </is>
      </c>
    </row>
    <row r="1582" ht="15" customHeight="1" s="162">
      <c r="A1582" s="7" t="n">
        <v>1581</v>
      </c>
      <c r="B1582" t="inlineStr">
        <is>
          <t>1229508280304</t>
        </is>
      </c>
      <c r="C1582" t="inlineStr">
        <is>
          <t>CBL EQ UTP RJ45-M/M 35FT BLANC CAT6 LSZH</t>
        </is>
      </c>
      <c r="D1582" t="inlineStr">
        <is>
          <t>1800117638</t>
        </is>
      </c>
      <c r="E1582" t="inlineStr">
        <is>
          <t>40</t>
        </is>
      </c>
      <c r="F1582" s="163" t="n">
        <v>45665</v>
      </c>
      <c r="G1582" t="inlineStr"/>
      <c r="H1582" t="inlineStr">
        <is>
          <t>4200592966</t>
        </is>
      </c>
      <c r="I1582" t="inlineStr">
        <is>
          <t>60</t>
        </is>
      </c>
      <c r="J1582" s="163" t="n">
        <v>45671</v>
      </c>
      <c r="K1582" s="163" t="n">
        <v>45674</v>
      </c>
      <c r="L1582" t="inlineStr"/>
      <c r="M1582" s="163" t="n">
        <v>45688</v>
      </c>
      <c r="N1582" s="164" t="n">
        <v>105</v>
      </c>
      <c r="O1582" s="164" t="n">
        <v>8</v>
      </c>
      <c r="P1582" t="inlineStr">
        <is>
          <t>Liberado</t>
        </is>
      </c>
      <c r="Q1582" s="165" t="n">
        <v>1</v>
      </c>
      <c r="R1582" s="165" t="n">
        <v>1</v>
      </c>
      <c r="S1582" s="165" t="n">
        <v>1</v>
      </c>
      <c r="T1582" s="165" t="n">
        <v>0</v>
      </c>
      <c r="U1582" s="166" t="n">
        <v>1</v>
      </c>
      <c r="V1582" s="166" t="n">
        <v>0</v>
      </c>
      <c r="W1582" t="inlineStr">
        <is>
          <t>X</t>
        </is>
      </c>
      <c r="X1582" t="inlineStr">
        <is>
          <t>0.00</t>
        </is>
      </c>
      <c r="Y1582" t="inlineStr"/>
      <c r="Z1582" t="inlineStr">
        <is>
          <t>INFORMATICA CALCULO Y TECNICA, S.A.</t>
        </is>
      </c>
      <c r="AA1582" t="inlineStr">
        <is>
          <t>PACTECH</t>
        </is>
      </c>
      <c r="AB1582" t="inlineStr">
        <is>
          <t>MM-C6W-35-28LSZH-F</t>
        </is>
      </c>
      <c r="AC1582" t="inlineStr"/>
      <c r="AD1582" s="164" t="n">
        <v>0</v>
      </c>
      <c r="AE1582" s="185" t="n">
        <v>0</v>
      </c>
      <c r="AG1582" s="167" t="inlineStr">
        <is>
          <t>7218|JA2585_1001</t>
        </is>
      </c>
      <c r="AH1582" s="47">
        <f>IF(M1582=0,"-",M1582-J1582)</f>
        <v/>
      </c>
      <c r="AI1582" s="46">
        <f>IF(AND(S1582=0,M1582&gt;0,L1582=0),IF(AH1582&gt;=120,"VERY HIGH",IF(AH1582&gt;=90,"HIGH",IF(AH1582&gt;=60,"MEDIUM",IF(AH1582&lt;60,"LOW")))),"-")</f>
        <v/>
      </c>
      <c r="AJ1582" s="12" t="n"/>
      <c r="AK1582" s="53">
        <f>IF(AND(W1582="X",M1582&lt;=$AJ$2),"YES","")</f>
        <v/>
      </c>
      <c r="AL1582" s="54">
        <f>IF(AND(W1582="X",M1582&lt;=$AJ$2),S1582,"")</f>
        <v/>
      </c>
      <c r="AM1582" s="35" t="n"/>
      <c r="AN1582" s="35">
        <f>IF(AND(W1582="X",M1582&gt;$AJ$2),S1582,"")</f>
        <v/>
      </c>
      <c r="AO1582" s="35">
        <f>IF(AND(W1582="",M1582&gt;0,$AJ$2&gt;M1582,L1582=""),1,0)</f>
        <v/>
      </c>
      <c r="AP1582" s="35">
        <f>IF(AND(AK1582="YES",W1582="X"),"X","")</f>
        <v/>
      </c>
      <c r="AQ1582" s="55">
        <f>IF(AP1582="X",100%,0%)</f>
        <v/>
      </c>
      <c r="AR1582" s="25">
        <f>IF(AND(T1582&gt;0,L1582=""),H1582,"")</f>
        <v/>
      </c>
      <c r="AS1582" s="25">
        <f>IF(AND(D1582&gt;0,H1582=0,G1582=""),1,"")</f>
        <v/>
      </c>
      <c r="AT1582" s="25">
        <f>IF(G1582="BLOQ",1,"")</f>
        <v/>
      </c>
      <c r="AU1582" s="25">
        <f>IF(L1582="BLOQ",1,"")</f>
        <v/>
      </c>
      <c r="AV1582" s="25">
        <f>MONTH(F1582)</f>
        <v/>
      </c>
      <c r="AW1582" s="65">
        <f>IF(AP1582="",100%,0%)</f>
        <v/>
      </c>
      <c r="AX1582" s="56" t="n"/>
      <c r="AY1582" s="24">
        <f>IF(M1582=0,"",M1582-$AX$2)</f>
        <v/>
      </c>
      <c r="AZ1582" s="66">
        <f>IF(AND(W1582="",AY1582&gt;0,AY1582&lt;15),1,0)</f>
        <v/>
      </c>
      <c r="BA1582" s="24">
        <f>IF(AND(W1582="",AY1582&gt;0,AY1582&lt;15),T1582,"")</f>
        <v/>
      </c>
      <c r="BB1582" s="87">
        <f>IF(R1582&lt;Q1582,"X","")</f>
        <v/>
      </c>
      <c r="BC1582" s="190" t="inlineStr">
        <is>
          <t>NO</t>
        </is>
      </c>
      <c r="BD1582" s="191" t="inlineStr">
        <is>
          <t>SI</t>
        </is>
      </c>
    </row>
    <row r="1583" ht="15" customHeight="1" s="162">
      <c r="A1583" s="7" t="n">
        <v>1582</v>
      </c>
      <c r="B1583" t="inlineStr">
        <is>
          <t>1229508280703</t>
        </is>
      </c>
      <c r="C1583" t="inlineStr">
        <is>
          <t>CBL EQ UTP RJ45-M/M 20FT NARAN CAT6 LSZH</t>
        </is>
      </c>
      <c r="D1583" t="inlineStr">
        <is>
          <t>1800117638</t>
        </is>
      </c>
      <c r="E1583" t="inlineStr">
        <is>
          <t>50</t>
        </is>
      </c>
      <c r="F1583" s="163" t="n">
        <v>45665</v>
      </c>
      <c r="G1583" t="inlineStr"/>
      <c r="H1583" t="inlineStr">
        <is>
          <t>4200592966</t>
        </is>
      </c>
      <c r="I1583" t="inlineStr">
        <is>
          <t>70</t>
        </is>
      </c>
      <c r="J1583" s="163" t="n">
        <v>45671</v>
      </c>
      <c r="K1583" s="163" t="n">
        <v>45674</v>
      </c>
      <c r="L1583" t="inlineStr"/>
      <c r="M1583" s="163" t="n">
        <v>45688</v>
      </c>
      <c r="N1583" s="164" t="n">
        <v>105</v>
      </c>
      <c r="O1583" s="164" t="n">
        <v>8</v>
      </c>
      <c r="P1583" t="inlineStr">
        <is>
          <t>Liberado</t>
        </is>
      </c>
      <c r="Q1583" s="165" t="n">
        <v>7</v>
      </c>
      <c r="R1583" s="165" t="n">
        <v>7</v>
      </c>
      <c r="S1583" s="165" t="n">
        <v>7</v>
      </c>
      <c r="T1583" s="165" t="n">
        <v>0</v>
      </c>
      <c r="U1583" s="166" t="n">
        <v>7</v>
      </c>
      <c r="V1583" s="166" t="n">
        <v>0</v>
      </c>
      <c r="W1583" t="inlineStr">
        <is>
          <t>X</t>
        </is>
      </c>
      <c r="X1583" t="inlineStr">
        <is>
          <t>0.00</t>
        </is>
      </c>
      <c r="Y1583" t="inlineStr"/>
      <c r="Z1583" t="inlineStr">
        <is>
          <t>INFORMATICA CALCULO Y TECNICA, S.A.</t>
        </is>
      </c>
      <c r="AA1583" t="inlineStr">
        <is>
          <t>PACTECH</t>
        </is>
      </c>
      <c r="AB1583" t="inlineStr">
        <is>
          <t>MM-C6O-20-28LSZH-F</t>
        </is>
      </c>
      <c r="AC1583" t="inlineStr"/>
      <c r="AD1583" s="164" t="n">
        <v>0</v>
      </c>
      <c r="AE1583" s="185" t="n">
        <v>0</v>
      </c>
      <c r="AG1583" s="167" t="inlineStr">
        <is>
          <t>7218|JA2585_1001</t>
        </is>
      </c>
      <c r="AH1583" s="47">
        <f>IF(M1583=0,"-",M1583-J1583)</f>
        <v/>
      </c>
      <c r="AI1583" s="46">
        <f>IF(AND(S1583=0,M1583&gt;0,L1583=0),IF(AH1583&gt;=120,"VERY HIGH",IF(AH1583&gt;=90,"HIGH",IF(AH1583&gt;=60,"MEDIUM",IF(AH1583&lt;60,"LOW")))),"-")</f>
        <v/>
      </c>
      <c r="AJ1583" s="12" t="n"/>
      <c r="AK1583" s="53">
        <f>IF(AND(W1583="X",M1583&lt;=$AJ$2),"YES","")</f>
        <v/>
      </c>
      <c r="AL1583" s="54">
        <f>IF(AND(W1583="X",M1583&lt;=$AJ$2),S1583,"")</f>
        <v/>
      </c>
      <c r="AM1583" s="35" t="n"/>
      <c r="AN1583" s="35">
        <f>IF(AND(W1583="X",M1583&gt;$AJ$2),S1583,"")</f>
        <v/>
      </c>
      <c r="AO1583" s="35">
        <f>IF(AND(W1583="",M1583&gt;0,$AJ$2&gt;M1583,L1583=""),1,0)</f>
        <v/>
      </c>
      <c r="AP1583" s="35">
        <f>IF(AND(AK1583="YES",W1583="X"),"X","")</f>
        <v/>
      </c>
      <c r="AQ1583" s="55">
        <f>IF(AP1583="X",100%,0%)</f>
        <v/>
      </c>
      <c r="AR1583" s="25">
        <f>IF(AND(T1583&gt;0,L1583=""),H1583,"")</f>
        <v/>
      </c>
      <c r="AS1583" s="25">
        <f>IF(AND(D1583&gt;0,H1583=0,G1583=""),1,"")</f>
        <v/>
      </c>
      <c r="AT1583" s="25">
        <f>IF(G1583="BLOQ",1,"")</f>
        <v/>
      </c>
      <c r="AU1583" s="25">
        <f>IF(L1583="BLOQ",1,"")</f>
        <v/>
      </c>
      <c r="AV1583" s="25">
        <f>MONTH(F1583)</f>
        <v/>
      </c>
      <c r="AW1583" s="65">
        <f>IF(AP1583="",100%,0%)</f>
        <v/>
      </c>
      <c r="AX1583" s="56" t="n"/>
      <c r="AY1583" s="24">
        <f>IF(M1583=0,"",M1583-$AX$2)</f>
        <v/>
      </c>
      <c r="AZ1583" s="66">
        <f>IF(AND(W1583="",AY1583&gt;0,AY1583&lt;15),1,0)</f>
        <v/>
      </c>
      <c r="BA1583" s="24">
        <f>IF(AND(W1583="",AY1583&gt;0,AY1583&lt;15),T1583,"")</f>
        <v/>
      </c>
      <c r="BB1583" s="87">
        <f>IF(R1583&lt;Q1583,"X","")</f>
        <v/>
      </c>
      <c r="BC1583" s="190" t="inlineStr">
        <is>
          <t>NO</t>
        </is>
      </c>
      <c r="BD1583" s="191" t="inlineStr">
        <is>
          <t>SI</t>
        </is>
      </c>
    </row>
    <row r="1584" ht="15" customHeight="1" s="162">
      <c r="A1584" s="7" t="n">
        <v>1583</v>
      </c>
      <c r="B1584" t="inlineStr">
        <is>
          <t>1390704694600</t>
        </is>
      </c>
      <c r="C1584" t="inlineStr">
        <is>
          <t>PANEL PUERTA CRT</t>
        </is>
      </c>
      <c r="D1584" t="inlineStr">
        <is>
          <t>1800117645</t>
        </is>
      </c>
      <c r="E1584" t="inlineStr">
        <is>
          <t>10</t>
        </is>
      </c>
      <c r="F1584" s="163" t="n">
        <v>45665</v>
      </c>
      <c r="G1584" t="inlineStr"/>
      <c r="H1584" t="inlineStr">
        <is>
          <t>4200593050</t>
        </is>
      </c>
      <c r="I1584" t="inlineStr">
        <is>
          <t>10</t>
        </is>
      </c>
      <c r="J1584" s="163" t="n">
        <v>45672</v>
      </c>
      <c r="K1584" s="163" t="n">
        <v>45674</v>
      </c>
      <c r="L1584" t="inlineStr"/>
      <c r="M1584" s="163" t="n">
        <v>45725</v>
      </c>
      <c r="N1584" s="164" t="n">
        <v>40</v>
      </c>
      <c r="O1584" s="164" t="n">
        <v>8</v>
      </c>
      <c r="P1584" t="inlineStr">
        <is>
          <t>Liberado</t>
        </is>
      </c>
      <c r="Q1584" s="165" t="n">
        <v>1</v>
      </c>
      <c r="R1584" s="165" t="n">
        <v>1</v>
      </c>
      <c r="S1584" s="165" t="n">
        <v>1</v>
      </c>
      <c r="T1584" s="165" t="n">
        <v>0</v>
      </c>
      <c r="U1584" s="166" t="n">
        <v>1</v>
      </c>
      <c r="V1584" s="166" t="n">
        <v>0</v>
      </c>
      <c r="W1584" t="inlineStr">
        <is>
          <t>X</t>
        </is>
      </c>
      <c r="X1584" t="inlineStr">
        <is>
          <t>0.00</t>
        </is>
      </c>
      <c r="Y1584" t="inlineStr"/>
      <c r="Z1584" t="inlineStr">
        <is>
          <t>SUMINISTROS, FRESADOS Y GRABADOS</t>
        </is>
      </c>
      <c r="AA1584" t="inlineStr">
        <is>
          <t>GRABYSUR</t>
        </is>
      </c>
      <c r="AB1584" t="inlineStr">
        <is>
          <t>GR-PNL27802</t>
        </is>
      </c>
      <c r="AC1584" t="inlineStr"/>
      <c r="AD1584" s="164" t="n">
        <v>1</v>
      </c>
      <c r="AE1584" s="185" t="n">
        <v>1</v>
      </c>
      <c r="AG1584" s="167" t="inlineStr">
        <is>
          <t>7218|JA2583_1001</t>
        </is>
      </c>
      <c r="AH1584" s="47">
        <f>IF(M1584=0,"-",M1584-J1584)</f>
        <v/>
      </c>
      <c r="AI1584" s="46">
        <f>IF(AND(S1584=0,M1584&gt;0,L1584=0),IF(AH1584&gt;=120,"VERY HIGH",IF(AH1584&gt;=90,"HIGH",IF(AH1584&gt;=60,"MEDIUM",IF(AH1584&lt;60,"LOW")))),"-")</f>
        <v/>
      </c>
      <c r="AJ1584" s="12" t="n"/>
      <c r="AK1584" s="53">
        <f>IF(AND(W1584="X",M1584&lt;=$AJ$2),"YES","")</f>
        <v/>
      </c>
      <c r="AL1584" s="54">
        <f>IF(AND(W1584="X",M1584&lt;=$AJ$2),S1584,"")</f>
        <v/>
      </c>
      <c r="AM1584" s="35" t="n"/>
      <c r="AN1584" s="35">
        <f>IF(AND(W1584="X",M1584&gt;$AJ$2),S1584,"")</f>
        <v/>
      </c>
      <c r="AO1584" s="35">
        <f>IF(AND(W1584="",M1584&gt;0,$AJ$2&gt;M1584,L1584=""),1,0)</f>
        <v/>
      </c>
      <c r="AP1584" s="35">
        <f>IF(AND(AK1584="YES",W1584="X"),"X","")</f>
        <v/>
      </c>
      <c r="AQ1584" s="55">
        <f>IF(AP1584="X",100%,0%)</f>
        <v/>
      </c>
      <c r="AR1584" s="25">
        <f>IF(AND(T1584&gt;0,L1584=""),H1584,"")</f>
        <v/>
      </c>
      <c r="AS1584" s="25">
        <f>IF(AND(D1584&gt;0,H1584=0,G1584=""),1,"")</f>
        <v/>
      </c>
      <c r="AT1584" s="25">
        <f>IF(G1584="BLOQ",1,"")</f>
        <v/>
      </c>
      <c r="AU1584" s="25">
        <f>IF(L1584="BLOQ",1,"")</f>
        <v/>
      </c>
      <c r="AV1584" s="25">
        <f>MONTH(F1584)</f>
        <v/>
      </c>
      <c r="AW1584" s="65">
        <f>IF(AP1584="",100%,0%)</f>
        <v/>
      </c>
      <c r="AX1584" s="56" t="n"/>
      <c r="AY1584" s="24">
        <f>IF(M1584=0,"",M1584-$AX$2)</f>
        <v/>
      </c>
      <c r="AZ1584" s="66">
        <f>IF(AND(W1584="",AY1584&gt;0,AY1584&lt;15),1,0)</f>
        <v/>
      </c>
      <c r="BA1584" s="24">
        <f>IF(AND(W1584="",AY1584&gt;0,AY1584&lt;15),T1584,"")</f>
        <v/>
      </c>
      <c r="BB1584" s="87">
        <f>IF(R1584&lt;Q1584,"X","")</f>
        <v/>
      </c>
      <c r="BC1584" s="190" t="inlineStr">
        <is>
          <t>NO</t>
        </is>
      </c>
      <c r="BD1584" s="191" t="inlineStr">
        <is>
          <t>SI</t>
        </is>
      </c>
    </row>
    <row r="1585" ht="15" customHeight="1" s="162">
      <c r="A1585" s="7" t="n">
        <v>1584</v>
      </c>
      <c r="B1585" t="inlineStr">
        <is>
          <t>1230123802000.LO</t>
        </is>
      </c>
      <c r="C1585" t="inlineStr">
        <is>
          <t>TUBO SILICONA TRANSLUC DI=0,8 GROS=0,4MM</t>
        </is>
      </c>
      <c r="D1585" t="inlineStr">
        <is>
          <t>1800117646</t>
        </is>
      </c>
      <c r="E1585" t="inlineStr">
        <is>
          <t>10</t>
        </is>
      </c>
      <c r="F1585" s="163" t="n">
        <v>45665</v>
      </c>
      <c r="G1585" t="inlineStr"/>
      <c r="H1585" t="inlineStr">
        <is>
          <t>4200594689</t>
        </is>
      </c>
      <c r="I1585" t="inlineStr">
        <is>
          <t>10</t>
        </is>
      </c>
      <c r="J1585" s="163" t="n">
        <v>45684</v>
      </c>
      <c r="K1585" s="163" t="inlineStr"/>
      <c r="L1585" t="inlineStr">
        <is>
          <t>BORR</t>
        </is>
      </c>
      <c r="M1585" s="163" t="n">
        <v>45708</v>
      </c>
      <c r="N1585" s="164" t="n">
        <v>40</v>
      </c>
      <c r="O1585" s="164" t="n">
        <v>8</v>
      </c>
      <c r="P1585" t="inlineStr"/>
      <c r="Q1585" s="166" t="n">
        <v>100</v>
      </c>
      <c r="R1585" s="166" t="n">
        <v>300</v>
      </c>
      <c r="S1585" s="166" t="n">
        <v>0</v>
      </c>
      <c r="T1585" s="166" t="n">
        <v>300</v>
      </c>
      <c r="U1585" s="166" t="n">
        <v>0</v>
      </c>
      <c r="V1585" s="166" t="n">
        <v>0</v>
      </c>
      <c r="W1585" t="inlineStr"/>
      <c r="X1585" t="inlineStr">
        <is>
          <t>363.00</t>
        </is>
      </c>
      <c r="Y1585" t="inlineStr"/>
      <c r="Z1585" t="inlineStr">
        <is>
          <t>INFORMATICA CALCULO Y TECNICA, S.A.</t>
        </is>
      </c>
      <c r="AA1585" t="inlineStr">
        <is>
          <t>MEREFSA</t>
        </is>
      </c>
      <c r="AB1585" t="inlineStr">
        <is>
          <t>TSTR600080040</t>
        </is>
      </c>
      <c r="AC1585" t="inlineStr"/>
      <c r="AD1585" s="164" t="n">
        <v>0</v>
      </c>
      <c r="AE1585" s="185" t="n">
        <v>0</v>
      </c>
      <c r="AG1585" s="167" t="inlineStr">
        <is>
          <t>7218|JA2582_1001</t>
        </is>
      </c>
      <c r="AH1585" s="47">
        <f>IF(M1585=0,"-",M1585-J1585)</f>
        <v/>
      </c>
      <c r="AI1585" s="46">
        <f>IF(AND(S1585=0,M1585&gt;0,L1585=0),IF(AH1585&gt;=120,"VERY HIGH",IF(AH1585&gt;=90,"HIGH",IF(AH1585&gt;=60,"MEDIUM",IF(AH1585&lt;60,"LOW")))),"-")</f>
        <v/>
      </c>
      <c r="AJ1585" s="12" t="n"/>
      <c r="AK1585" s="53">
        <f>IF(AND(W1585="X",M1585&lt;=$AJ$2),"YES","")</f>
        <v/>
      </c>
      <c r="AL1585" s="54">
        <f>IF(AND(W1585="X",M1585&lt;=$AJ$2),S1585,"")</f>
        <v/>
      </c>
      <c r="AM1585" s="35" t="n"/>
      <c r="AN1585" s="35">
        <f>IF(AND(W1585="X",M1585&gt;$AJ$2),S1585,"")</f>
        <v/>
      </c>
      <c r="AO1585" s="35">
        <f>IF(AND(W1585="",M1585&gt;0,$AJ$2&gt;M1585,L1585=""),1,0)</f>
        <v/>
      </c>
      <c r="AP1585" s="35">
        <f>IF(AND(AK1585="YES",W1585="X"),"X","")</f>
        <v/>
      </c>
      <c r="AQ1585" s="55">
        <f>IF(AP1585="X",100%,0%)</f>
        <v/>
      </c>
      <c r="AR1585" s="25">
        <f>IF(AND(T1585&gt;0,L1585=""),H1585,"")</f>
        <v/>
      </c>
      <c r="AS1585" s="25">
        <f>IF(AND(D1585&gt;0,H1585=0,G1585=""),1,"")</f>
        <v/>
      </c>
      <c r="AT1585" s="25">
        <f>IF(G1585="BLOQ",1,"")</f>
        <v/>
      </c>
      <c r="AU1585" s="25">
        <f>IF(L1585="BLOQ",1,"")</f>
        <v/>
      </c>
      <c r="AV1585" s="25">
        <f>MONTH(F1585)</f>
        <v/>
      </c>
      <c r="AW1585" s="65">
        <f>IF(AP1585="",100%,0%)</f>
        <v/>
      </c>
      <c r="AX1585" s="56" t="n"/>
      <c r="AY1585" s="24">
        <f>IF(M1585=0,"",M1585-$AX$2)</f>
        <v/>
      </c>
      <c r="AZ1585" s="66">
        <f>IF(AND(W1585="",AY1585&gt;0,AY1585&lt;15),1,0)</f>
        <v/>
      </c>
      <c r="BA1585" s="24">
        <f>IF(AND(W1585="",AY1585&gt;0,AY1585&lt;15),T1585,"")</f>
        <v/>
      </c>
      <c r="BB1585" s="87">
        <f>IF(R1585&lt;Q1585,"X","")</f>
        <v/>
      </c>
      <c r="BC1585" s="190" t="inlineStr">
        <is>
          <t>NO</t>
        </is>
      </c>
      <c r="BD1585" s="191" t="inlineStr">
        <is>
          <t>SI</t>
        </is>
      </c>
    </row>
    <row r="1586" ht="15" customHeight="1" s="162">
      <c r="A1586" s="7" t="n">
        <v>1585</v>
      </c>
      <c r="B1586" t="inlineStr">
        <is>
          <t>1230123802000.LO</t>
        </is>
      </c>
      <c r="C1586" t="inlineStr">
        <is>
          <t>TUBO SILICONA TRANSLUC DI=0,8 GROS=0,4MM</t>
        </is>
      </c>
      <c r="D1586" t="inlineStr">
        <is>
          <t>1800117646</t>
        </is>
      </c>
      <c r="E1586" t="inlineStr">
        <is>
          <t>10</t>
        </is>
      </c>
      <c r="F1586" s="163" t="n">
        <v>45665</v>
      </c>
      <c r="G1586" t="inlineStr"/>
      <c r="H1586" t="inlineStr">
        <is>
          <t>4200596822</t>
        </is>
      </c>
      <c r="I1586" t="inlineStr">
        <is>
          <t>10</t>
        </is>
      </c>
      <c r="J1586" s="163" t="n">
        <v>45695</v>
      </c>
      <c r="K1586" s="163" t="n">
        <v>45698</v>
      </c>
      <c r="L1586" t="inlineStr"/>
      <c r="M1586" s="163" t="n">
        <v>45723</v>
      </c>
      <c r="N1586" s="164" t="n">
        <v>40</v>
      </c>
      <c r="O1586" s="164" t="n">
        <v>8</v>
      </c>
      <c r="P1586" t="inlineStr">
        <is>
          <t>Liberado</t>
        </is>
      </c>
      <c r="Q1586" s="165" t="n">
        <v>100</v>
      </c>
      <c r="R1586" s="165" t="n">
        <v>300</v>
      </c>
      <c r="S1586" s="165" t="n">
        <v>300</v>
      </c>
      <c r="T1586" s="165" t="n">
        <v>0</v>
      </c>
      <c r="U1586" s="166" t="n">
        <v>0</v>
      </c>
      <c r="V1586" s="166" t="n">
        <v>0</v>
      </c>
      <c r="W1586" t="inlineStr">
        <is>
          <t>X</t>
        </is>
      </c>
      <c r="X1586" t="inlineStr">
        <is>
          <t>0.00</t>
        </is>
      </c>
      <c r="Y1586" t="inlineStr"/>
      <c r="Z1586" t="inlineStr">
        <is>
          <t>INFORMATICA CALCULO Y TECNICA, S.A.</t>
        </is>
      </c>
      <c r="AA1586" t="inlineStr">
        <is>
          <t>MEREFSA</t>
        </is>
      </c>
      <c r="AB1586" t="inlineStr">
        <is>
          <t>TSTR600080040</t>
        </is>
      </c>
      <c r="AC1586" t="inlineStr"/>
      <c r="AD1586" s="164" t="n">
        <v>0</v>
      </c>
      <c r="AE1586" s="185" t="n">
        <v>0</v>
      </c>
      <c r="AG1586" s="167" t="inlineStr">
        <is>
          <t>7218|JA2582_1001</t>
        </is>
      </c>
      <c r="AH1586" s="47">
        <f>IF(M1586=0,"-",M1586-J1586)</f>
        <v/>
      </c>
      <c r="AI1586" s="46">
        <f>IF(AND(S1586=0,M1586&gt;0,L1586=0),IF(AH1586&gt;=120,"VERY HIGH",IF(AH1586&gt;=90,"HIGH",IF(AH1586&gt;=60,"MEDIUM",IF(AH1586&lt;60,"LOW")))),"-")</f>
        <v/>
      </c>
      <c r="AJ1586" s="12" t="n"/>
      <c r="AK1586" s="53">
        <f>IF(AND(W1586="X",M1586&lt;=$AJ$2),"YES","")</f>
        <v/>
      </c>
      <c r="AL1586" s="54">
        <f>IF(AND(W1586="X",M1586&lt;=$AJ$2),S1586,"")</f>
        <v/>
      </c>
      <c r="AM1586" s="35" t="n"/>
      <c r="AN1586" s="35">
        <f>IF(AND(W1586="X",M1586&gt;$AJ$2),S1586,"")</f>
        <v/>
      </c>
      <c r="AO1586" s="35">
        <f>IF(AND(W1586="",M1586&gt;0,$AJ$2&gt;M1586,L1586=""),1,0)</f>
        <v/>
      </c>
      <c r="AP1586" s="35">
        <f>IF(AND(AK1586="YES",W1586="X"),"X","")</f>
        <v/>
      </c>
      <c r="AQ1586" s="55">
        <f>IF(AP1586="X",100%,0%)</f>
        <v/>
      </c>
      <c r="AR1586" s="25">
        <f>IF(AND(T1586&gt;0,L1586=""),H1586,"")</f>
        <v/>
      </c>
      <c r="AS1586" s="25">
        <f>IF(AND(D1586&gt;0,H1586=0,G1586=""),1,"")</f>
        <v/>
      </c>
      <c r="AT1586" s="25">
        <f>IF(G1586="BLOQ",1,"")</f>
        <v/>
      </c>
      <c r="AU1586" s="25">
        <f>IF(L1586="BLOQ",1,"")</f>
        <v/>
      </c>
      <c r="AV1586" s="25">
        <f>MONTH(F1586)</f>
        <v/>
      </c>
      <c r="AW1586" s="65">
        <f>IF(AP1586="",100%,0%)</f>
        <v/>
      </c>
      <c r="AX1586" s="56" t="n"/>
      <c r="AY1586" s="24">
        <f>IF(M1586=0,"",M1586-$AX$2)</f>
        <v/>
      </c>
      <c r="AZ1586" s="66">
        <f>IF(AND(W1586="",AY1586&gt;0,AY1586&lt;15),1,0)</f>
        <v/>
      </c>
      <c r="BA1586" s="24">
        <f>IF(AND(W1586="",AY1586&gt;0,AY1586&lt;15),T1586,"")</f>
        <v/>
      </c>
      <c r="BB1586" s="87">
        <f>IF(R1586&lt;Q1586,"X","")</f>
        <v/>
      </c>
      <c r="BC1586" s="190" t="inlineStr">
        <is>
          <t>NO</t>
        </is>
      </c>
      <c r="BD1586" s="191" t="inlineStr">
        <is>
          <t>SI</t>
        </is>
      </c>
    </row>
    <row r="1587" ht="15" customHeight="1" s="162">
      <c r="A1587" s="7" t="n">
        <v>1586</v>
      </c>
      <c r="B1587" t="inlineStr">
        <is>
          <t>3190403160000</t>
        </is>
      </c>
      <c r="C1587" t="inlineStr">
        <is>
          <t>MONITOR 27" LCD IPS QHD 2560X1440 240HZ</t>
        </is>
      </c>
      <c r="D1587" t="inlineStr">
        <is>
          <t>1800118608</t>
        </is>
      </c>
      <c r="E1587" t="inlineStr">
        <is>
          <t>10</t>
        </is>
      </c>
      <c r="F1587" s="163" t="n">
        <v>45684</v>
      </c>
      <c r="G1587" t="inlineStr"/>
      <c r="H1587" t="inlineStr">
        <is>
          <t>4200595584</t>
        </is>
      </c>
      <c r="I1587" t="inlineStr">
        <is>
          <t>10</t>
        </is>
      </c>
      <c r="J1587" s="163" t="n">
        <v>45687</v>
      </c>
      <c r="K1587" s="163" t="n">
        <v>45687</v>
      </c>
      <c r="L1587" t="inlineStr"/>
      <c r="M1587" s="163" t="n">
        <v>45714</v>
      </c>
      <c r="N1587" s="164" t="n">
        <v>40</v>
      </c>
      <c r="O1587" s="164" t="n">
        <v>8</v>
      </c>
      <c r="P1587" t="inlineStr">
        <is>
          <t>Liberado</t>
        </is>
      </c>
      <c r="Q1587" s="165" t="n">
        <v>2</v>
      </c>
      <c r="R1587" s="165" t="n">
        <v>2</v>
      </c>
      <c r="S1587" s="165" t="n">
        <v>4</v>
      </c>
      <c r="T1587" s="165" t="n">
        <v>0</v>
      </c>
      <c r="U1587" s="166" t="n">
        <v>0</v>
      </c>
      <c r="V1587" s="166" t="n">
        <v>2</v>
      </c>
      <c r="W1587" t="inlineStr">
        <is>
          <t>X</t>
        </is>
      </c>
      <c r="X1587" t="inlineStr">
        <is>
          <t>0.00</t>
        </is>
      </c>
      <c r="Y1587" t="inlineStr"/>
      <c r="Z1587" t="inlineStr">
        <is>
          <t>DELL COMPUTER, S.A.</t>
        </is>
      </c>
      <c r="AA1587" t="inlineStr">
        <is>
          <t>DELL COMPUTER</t>
        </is>
      </c>
      <c r="AB1587" t="inlineStr">
        <is>
          <t>AW2723DF</t>
        </is>
      </c>
      <c r="AC1587" t="inlineStr"/>
      <c r="AD1587" s="164" t="n">
        <v>1</v>
      </c>
      <c r="AE1587" s="185" t="n">
        <v>1</v>
      </c>
      <c r="AG1587" s="167" t="inlineStr">
        <is>
          <t>7218|JA2588_1001</t>
        </is>
      </c>
      <c r="AH1587" s="47">
        <f>IF(M1587=0,"-",M1587-J1587)</f>
        <v/>
      </c>
      <c r="AI1587" s="46">
        <f>IF(AND(S1587=0,M1587&gt;0,L1587=0),IF(AH1587&gt;=120,"VERY HIGH",IF(AH1587&gt;=90,"HIGH",IF(AH1587&gt;=60,"MEDIUM",IF(AH1587&lt;60,"LOW")))),"-")</f>
        <v/>
      </c>
      <c r="AJ1587" s="12" t="n"/>
      <c r="AK1587" s="53">
        <f>IF(AND(W1587="X",M1587&lt;=$AJ$2),"YES","")</f>
        <v/>
      </c>
      <c r="AL1587" s="54">
        <f>IF(AND(W1587="X",M1587&lt;=$AJ$2),S1587,"")</f>
        <v/>
      </c>
      <c r="AM1587" s="35" t="n"/>
      <c r="AN1587" s="35">
        <f>IF(AND(W1587="X",M1587&gt;$AJ$2),S1587,"")</f>
        <v/>
      </c>
      <c r="AO1587" s="35">
        <f>IF(AND(W1587="",M1587&gt;0,$AJ$2&gt;M1587,L1587=""),1,0)</f>
        <v/>
      </c>
      <c r="AP1587" s="35">
        <f>IF(AND(AK1587="YES",W1587="X"),"X","")</f>
        <v/>
      </c>
      <c r="AQ1587" s="55">
        <f>IF(AP1587="X",100%,0%)</f>
        <v/>
      </c>
      <c r="AR1587" s="25">
        <f>IF(AND(T1587&gt;0,L1587=""),H1587,"")</f>
        <v/>
      </c>
      <c r="AS1587" s="25">
        <f>IF(AND(D1587&gt;0,H1587=0,G1587=""),1,"")</f>
        <v/>
      </c>
      <c r="AT1587" s="25">
        <f>IF(G1587="BLOQ",1,"")</f>
        <v/>
      </c>
      <c r="AU1587" s="25">
        <f>IF(L1587="BLOQ",1,"")</f>
        <v/>
      </c>
      <c r="AV1587" s="25">
        <f>MONTH(F1587)</f>
        <v/>
      </c>
      <c r="AW1587" s="65">
        <f>IF(AP1587="",100%,0%)</f>
        <v/>
      </c>
      <c r="AX1587" s="56" t="n"/>
      <c r="AY1587" s="24">
        <f>IF(M1587=0,"",M1587-$AX$2)</f>
        <v/>
      </c>
      <c r="AZ1587" s="66">
        <f>IF(AND(W1587="",AY1587&gt;0,AY1587&lt;15),1,0)</f>
        <v/>
      </c>
      <c r="BA1587" s="24">
        <f>IF(AND(W1587="",AY1587&gt;0,AY1587&lt;15),T1587,"")</f>
        <v/>
      </c>
      <c r="BB1587" s="87">
        <f>IF(R1587&lt;Q1587,"X","")</f>
        <v/>
      </c>
      <c r="BC1587" s="191" t="inlineStr">
        <is>
          <t>SI</t>
        </is>
      </c>
      <c r="BD1587" s="191" t="inlineStr">
        <is>
          <t>SI</t>
        </is>
      </c>
    </row>
    <row r="1588" ht="15" customHeight="1" s="162">
      <c r="A1588" s="7" t="n">
        <v>1587</v>
      </c>
      <c r="B1588" t="inlineStr">
        <is>
          <t>1202091000002</t>
        </is>
      </c>
      <c r="C1588" t="inlineStr">
        <is>
          <t>CARCASA P/CNC SUB-D #15 METALICA ROHS</t>
        </is>
      </c>
      <c r="D1588" t="inlineStr">
        <is>
          <t>1800118661</t>
        </is>
      </c>
      <c r="E1588" t="inlineStr">
        <is>
          <t>10</t>
        </is>
      </c>
      <c r="F1588" s="163" t="n">
        <v>45684</v>
      </c>
      <c r="G1588" t="inlineStr"/>
      <c r="H1588" t="inlineStr">
        <is>
          <t>4200595475</t>
        </is>
      </c>
      <c r="I1588" t="inlineStr">
        <is>
          <t>80</t>
        </is>
      </c>
      <c r="J1588" s="163" t="n">
        <v>45687</v>
      </c>
      <c r="K1588" s="163" t="n">
        <v>45688</v>
      </c>
      <c r="L1588" t="inlineStr"/>
      <c r="M1588" s="163" t="n">
        <v>45703</v>
      </c>
      <c r="N1588" s="164" t="n">
        <v>80</v>
      </c>
      <c r="O1588" s="164" t="n">
        <v>8</v>
      </c>
      <c r="P1588" t="inlineStr">
        <is>
          <t>Liberado</t>
        </is>
      </c>
      <c r="Q1588" s="166" t="n">
        <v>1</v>
      </c>
      <c r="R1588" s="166" t="n">
        <v>1</v>
      </c>
      <c r="S1588" s="166" t="n">
        <v>1</v>
      </c>
      <c r="T1588" s="166" t="n">
        <v>0</v>
      </c>
      <c r="U1588" s="166" t="n">
        <v>1</v>
      </c>
      <c r="V1588" s="166" t="n">
        <v>0</v>
      </c>
      <c r="W1588" t="inlineStr">
        <is>
          <t>X</t>
        </is>
      </c>
      <c r="X1588" t="inlineStr">
        <is>
          <t>0.00</t>
        </is>
      </c>
      <c r="Y1588" t="inlineStr"/>
      <c r="Z1588" t="inlineStr">
        <is>
          <t>SUMINISTROS CONECTORES PROF.,SA.</t>
        </is>
      </c>
      <c r="AA1588" t="inlineStr">
        <is>
          <t>AMPHENOL AEROSPACE</t>
        </is>
      </c>
      <c r="AB1588" t="inlineStr">
        <is>
          <t>8655MH1501LF</t>
        </is>
      </c>
      <c r="AC1588" t="inlineStr"/>
      <c r="AD1588" s="164" t="n">
        <v>0</v>
      </c>
      <c r="AE1588" s="185" t="n">
        <v>0</v>
      </c>
      <c r="AG1588" s="167" t="inlineStr">
        <is>
          <t>7218|JA2582_1001</t>
        </is>
      </c>
      <c r="AH1588" s="47">
        <f>IF(M1588=0,"-",M1588-J1588)</f>
        <v/>
      </c>
      <c r="AI1588" s="46">
        <f>IF(AND(S1588=0,M1588&gt;0,L1588=0),IF(AH1588&gt;=120,"VERY HIGH",IF(AH1588&gt;=90,"HIGH",IF(AH1588&gt;=60,"MEDIUM",IF(AH1588&lt;60,"LOW")))),"-")</f>
        <v/>
      </c>
      <c r="AJ1588" s="12" t="n"/>
      <c r="AK1588" s="53">
        <f>IF(AND(W1588="X",M1588&lt;=$AJ$2),"YES","")</f>
        <v/>
      </c>
      <c r="AL1588" s="54">
        <f>IF(AND(W1588="X",M1588&lt;=$AJ$2),S1588,"")</f>
        <v/>
      </c>
      <c r="AM1588" s="35" t="n"/>
      <c r="AN1588" s="35">
        <f>IF(AND(W1588="X",M1588&gt;$AJ$2),S1588,"")</f>
        <v/>
      </c>
      <c r="AO1588" s="35">
        <f>IF(AND(W1588="",M1588&gt;0,$AJ$2&gt;M1588,L1588=""),1,0)</f>
        <v/>
      </c>
      <c r="AP1588" s="35">
        <f>IF(AND(AK1588="YES",W1588="X"),"X","")</f>
        <v/>
      </c>
      <c r="AQ1588" s="55">
        <f>IF(AP1588="X",100%,0%)</f>
        <v/>
      </c>
      <c r="AR1588" s="25">
        <f>IF(AND(T1588&gt;0,L1588=""),H1588,"")</f>
        <v/>
      </c>
      <c r="AS1588" s="25">
        <f>IF(AND(D1588&gt;0,H1588=0,G1588=""),1,"")</f>
        <v/>
      </c>
      <c r="AT1588" s="25">
        <f>IF(G1588="BLOQ",1,"")</f>
        <v/>
      </c>
      <c r="AU1588" s="25">
        <f>IF(L1588="BLOQ",1,"")</f>
        <v/>
      </c>
      <c r="AV1588" s="25">
        <f>MONTH(F1588)</f>
        <v/>
      </c>
      <c r="AW1588" s="65">
        <f>IF(AP1588="",100%,0%)</f>
        <v/>
      </c>
      <c r="AX1588" s="56" t="n"/>
      <c r="AY1588" s="24">
        <f>IF(M1588=0,"",M1588-$AX$2)</f>
        <v/>
      </c>
      <c r="AZ1588" s="66">
        <f>IF(AND(W1588="",AY1588&gt;0,AY1588&lt;15),1,0)</f>
        <v/>
      </c>
      <c r="BA1588" s="24">
        <f>IF(AND(W1588="",AY1588&gt;0,AY1588&lt;15),T1588,"")</f>
        <v/>
      </c>
      <c r="BB1588" s="87">
        <f>IF(R1588&lt;Q1588,"X","")</f>
        <v/>
      </c>
      <c r="BC1588" s="190" t="inlineStr">
        <is>
          <t>NO</t>
        </is>
      </c>
      <c r="BD1588" s="191" t="inlineStr">
        <is>
          <t>SI</t>
        </is>
      </c>
    </row>
    <row r="1589" ht="15" customHeight="1" s="162">
      <c r="A1589" s="7" t="n">
        <v>1588</v>
      </c>
      <c r="B1589" t="inlineStr">
        <is>
          <t>1222700240801.LO</t>
        </is>
      </c>
      <c r="C1589" t="inlineStr">
        <is>
          <t>CBL PARES TWIST 4X2  CAT5E UTP AWG24 PVC</t>
        </is>
      </c>
      <c r="D1589" t="inlineStr">
        <is>
          <t>1800119186</t>
        </is>
      </c>
      <c r="E1589" t="inlineStr">
        <is>
          <t>30</t>
        </is>
      </c>
      <c r="F1589" s="163" t="n">
        <v>45694</v>
      </c>
      <c r="G1589" t="inlineStr"/>
      <c r="H1589" t="inlineStr">
        <is>
          <t>4200597215</t>
        </is>
      </c>
      <c r="I1589" t="inlineStr">
        <is>
          <t>60</t>
        </is>
      </c>
      <c r="J1589" s="163" t="n">
        <v>45699</v>
      </c>
      <c r="K1589" s="163" t="n">
        <v>45700</v>
      </c>
      <c r="L1589" t="inlineStr"/>
      <c r="M1589" s="163" t="n">
        <v>45708</v>
      </c>
      <c r="N1589" s="164" t="n">
        <v>40</v>
      </c>
      <c r="O1589" s="164" t="n">
        <v>8</v>
      </c>
      <c r="P1589" t="inlineStr">
        <is>
          <t>Liberado</t>
        </is>
      </c>
      <c r="Q1589" s="165" t="n">
        <v>4.5</v>
      </c>
      <c r="R1589" s="165" t="n">
        <v>100</v>
      </c>
      <c r="S1589" s="165" t="n">
        <v>100</v>
      </c>
      <c r="T1589" s="165" t="n">
        <v>0</v>
      </c>
      <c r="U1589" s="166" t="n">
        <v>100</v>
      </c>
      <c r="V1589" s="166" t="n">
        <v>0</v>
      </c>
      <c r="W1589" t="inlineStr">
        <is>
          <t>X</t>
        </is>
      </c>
      <c r="X1589" t="inlineStr">
        <is>
          <t>0.00</t>
        </is>
      </c>
      <c r="Y1589" t="inlineStr"/>
      <c r="Z1589" t="inlineStr">
        <is>
          <t>SUMINISTROS CONECTORES PROF.,SA.</t>
        </is>
      </c>
      <c r="AA1589" t="inlineStr">
        <is>
          <t>ARISTON</t>
        </is>
      </c>
      <c r="AB1589" t="inlineStr">
        <is>
          <t>NI 1002</t>
        </is>
      </c>
      <c r="AC1589" t="inlineStr"/>
      <c r="AD1589" s="164" t="n">
        <v>0</v>
      </c>
      <c r="AE1589" s="185" t="n">
        <v>0</v>
      </c>
      <c r="AG1589" s="167" t="inlineStr">
        <is>
          <t>7218|JA2590_1001</t>
        </is>
      </c>
      <c r="AH1589" s="47">
        <f>IF(M1589=0,"-",M1589-J1589)</f>
        <v/>
      </c>
      <c r="AI1589" s="46">
        <f>IF(AND(S1589=0,M1589&gt;0,L1589=0),IF(AH1589&gt;=120,"VERY HIGH",IF(AH1589&gt;=90,"HIGH",IF(AH1589&gt;=60,"MEDIUM",IF(AH1589&lt;60,"LOW")))),"-")</f>
        <v/>
      </c>
      <c r="AJ1589" s="12" t="n"/>
      <c r="AK1589" s="53">
        <f>IF(AND(W1589="X",M1589&lt;=$AJ$2),"YES","")</f>
        <v/>
      </c>
      <c r="AL1589" s="54">
        <f>IF(AND(W1589="X",M1589&lt;=$AJ$2),S1589,"")</f>
        <v/>
      </c>
      <c r="AM1589" s="35" t="n"/>
      <c r="AN1589" s="35">
        <f>IF(AND(W1589="X",M1589&gt;$AJ$2),S1589,"")</f>
        <v/>
      </c>
      <c r="AO1589" s="35">
        <f>IF(AND(W1589="",M1589&gt;0,$AJ$2&gt;M1589,L1589=""),1,0)</f>
        <v/>
      </c>
      <c r="AP1589" s="35">
        <f>IF(AND(AK1589="YES",W1589="X"),"X","")</f>
        <v/>
      </c>
      <c r="AQ1589" s="55">
        <f>IF(AP1589="X",100%,0%)</f>
        <v/>
      </c>
      <c r="AR1589" s="25">
        <f>IF(AND(T1589&gt;0,L1589=""),H1589,"")</f>
        <v/>
      </c>
      <c r="AS1589" s="25">
        <f>IF(AND(D1589&gt;0,H1589=0,G1589=""),1,"")</f>
        <v/>
      </c>
      <c r="AT1589" s="25">
        <f>IF(G1589="BLOQ",1,"")</f>
        <v/>
      </c>
      <c r="AU1589" s="25">
        <f>IF(L1589="BLOQ",1,"")</f>
        <v/>
      </c>
      <c r="AV1589" s="25">
        <f>MONTH(F1589)</f>
        <v/>
      </c>
      <c r="AW1589" s="65">
        <f>IF(AP1589="",100%,0%)</f>
        <v/>
      </c>
      <c r="AX1589" s="56" t="n"/>
      <c r="AY1589" s="24">
        <f>IF(M1589=0,"",M1589-$AX$2)</f>
        <v/>
      </c>
      <c r="AZ1589" s="66">
        <f>IF(AND(W1589="",AY1589&gt;0,AY1589&lt;15),1,0)</f>
        <v/>
      </c>
      <c r="BA1589" s="24">
        <f>IF(AND(W1589="",AY1589&gt;0,AY1589&lt;15),T1589,"")</f>
        <v/>
      </c>
      <c r="BB1589" s="87">
        <f>IF(R1589&lt;Q1589,"X","")</f>
        <v/>
      </c>
      <c r="BC1589" s="190" t="inlineStr">
        <is>
          <t>NO</t>
        </is>
      </c>
      <c r="BD1589" s="191" t="inlineStr">
        <is>
          <t>SI</t>
        </is>
      </c>
    </row>
    <row r="1590" ht="15" customHeight="1" s="162">
      <c r="A1590" s="7" t="n">
        <v>1589</v>
      </c>
      <c r="B1590" t="inlineStr">
        <is>
          <t>1589908780000</t>
        </is>
      </c>
      <c r="C1590" t="inlineStr">
        <is>
          <t>TAPON OBTURADOR 14.5MM POLIAMIDA-6.6 NEG</t>
        </is>
      </c>
      <c r="D1590" t="inlineStr">
        <is>
          <t>1800119425</t>
        </is>
      </c>
      <c r="E1590" t="inlineStr">
        <is>
          <t>10</t>
        </is>
      </c>
      <c r="F1590" s="163" t="n">
        <v>45698</v>
      </c>
      <c r="G1590" t="inlineStr"/>
      <c r="H1590" t="inlineStr">
        <is>
          <t>4200599844</t>
        </is>
      </c>
      <c r="I1590" t="inlineStr">
        <is>
          <t>10</t>
        </is>
      </c>
      <c r="J1590" s="163" t="n">
        <v>45714</v>
      </c>
      <c r="K1590" s="163" t="n">
        <v>45714</v>
      </c>
      <c r="L1590" t="inlineStr"/>
      <c r="M1590" s="163" t="n">
        <v>45720</v>
      </c>
      <c r="N1590" s="164" t="n">
        <v>40</v>
      </c>
      <c r="O1590" s="164" t="n">
        <v>8</v>
      </c>
      <c r="P1590" t="inlineStr">
        <is>
          <t>Liberado</t>
        </is>
      </c>
      <c r="Q1590" s="165" t="n">
        <v>2</v>
      </c>
      <c r="R1590" s="165" t="n">
        <v>2</v>
      </c>
      <c r="S1590" s="165" t="n">
        <v>2</v>
      </c>
      <c r="T1590" s="165" t="n">
        <v>0</v>
      </c>
      <c r="U1590" s="166" t="n">
        <v>2</v>
      </c>
      <c r="V1590" s="166" t="n">
        <v>0</v>
      </c>
      <c r="W1590" t="inlineStr">
        <is>
          <t>X</t>
        </is>
      </c>
      <c r="X1590" t="inlineStr">
        <is>
          <t>0.00</t>
        </is>
      </c>
      <c r="Y1590" t="inlineStr"/>
      <c r="Z1590" t="inlineStr">
        <is>
          <t>FARNELL COMPONENTS, S.L.</t>
        </is>
      </c>
      <c r="AA1590" t="inlineStr">
        <is>
          <t>TR FASTENINGS</t>
        </is>
      </c>
      <c r="AB1590" t="inlineStr">
        <is>
          <t>RP0000383456</t>
        </is>
      </c>
      <c r="AC1590" t="inlineStr"/>
      <c r="AD1590" s="164" t="n">
        <v>0</v>
      </c>
      <c r="AE1590" s="185" t="n">
        <v>0</v>
      </c>
      <c r="AG1590" s="167" t="inlineStr">
        <is>
          <t>7218|JA2582_1001</t>
        </is>
      </c>
      <c r="AH1590" s="47">
        <f>IF(M1590=0,"-",M1590-J1590)</f>
        <v/>
      </c>
      <c r="AI1590" s="46">
        <f>IF(AND(S1590=0,M1590&gt;0,L1590=0),IF(AH1590&gt;=120,"VERY HIGH",IF(AH1590&gt;=90,"HIGH",IF(AH1590&gt;=60,"MEDIUM",IF(AH1590&lt;60,"LOW")))),"-")</f>
        <v/>
      </c>
      <c r="AJ1590" s="12" t="n"/>
      <c r="AK1590" s="53">
        <f>IF(AND(W1590="X",M1590&lt;=$AJ$2),"YES","")</f>
        <v/>
      </c>
      <c r="AL1590" s="54">
        <f>IF(AND(W1590="X",M1590&lt;=$AJ$2),S1590,"")</f>
        <v/>
      </c>
      <c r="AM1590" s="35" t="n"/>
      <c r="AN1590" s="35">
        <f>IF(AND(W1590="X",M1590&gt;$AJ$2),S1590,"")</f>
        <v/>
      </c>
      <c r="AO1590" s="35">
        <f>IF(AND(W1590="",M1590&gt;0,$AJ$2&gt;M1590,L1590=""),1,0)</f>
        <v/>
      </c>
      <c r="AP1590" s="35">
        <f>IF(AND(AK1590="YES",W1590="X"),"X","")</f>
        <v/>
      </c>
      <c r="AQ1590" s="55">
        <f>IF(AP1590="X",100%,0%)</f>
        <v/>
      </c>
      <c r="AR1590" s="25">
        <f>IF(AND(T1590&gt;0,L1590=""),H1590,"")</f>
        <v/>
      </c>
      <c r="AS1590" s="25">
        <f>IF(AND(D1590&gt;0,H1590=0,G1590=""),1,"")</f>
        <v/>
      </c>
      <c r="AT1590" s="25">
        <f>IF(G1590="BLOQ",1,"")</f>
        <v/>
      </c>
      <c r="AU1590" s="25">
        <f>IF(L1590="BLOQ",1,"")</f>
        <v/>
      </c>
      <c r="AV1590" s="25">
        <f>MONTH(F1590)</f>
        <v/>
      </c>
      <c r="AW1590" s="65">
        <f>IF(AP1590="",100%,0%)</f>
        <v/>
      </c>
      <c r="AX1590" s="56" t="n"/>
      <c r="AY1590" s="24">
        <f>IF(M1590=0,"",M1590-$AX$2)</f>
        <v/>
      </c>
      <c r="AZ1590" s="66">
        <f>IF(AND(W1590="",AY1590&gt;0,AY1590&lt;15),1,0)</f>
        <v/>
      </c>
      <c r="BA1590" s="24">
        <f>IF(AND(W1590="",AY1590&gt;0,AY1590&lt;15),T1590,"")</f>
        <v/>
      </c>
      <c r="BB1590" s="87">
        <f>IF(R1590&lt;Q1590,"X","")</f>
        <v/>
      </c>
      <c r="BC1590" s="190" t="inlineStr">
        <is>
          <t>NO</t>
        </is>
      </c>
      <c r="BD1590" s="191" t="inlineStr">
        <is>
          <t>SI</t>
        </is>
      </c>
    </row>
    <row r="1591" ht="15" customHeight="1" s="162">
      <c r="A1591" s="7" t="n">
        <v>1590</v>
      </c>
      <c r="B1591" t="inlineStr">
        <is>
          <t>1220115701000</t>
        </is>
      </c>
      <c r="C1591" t="inlineStr">
        <is>
          <t>CBL FLEX 1X70MM2 H07Z1-K 450/700V NEG R</t>
        </is>
      </c>
      <c r="D1591" t="inlineStr">
        <is>
          <t>1800120450</t>
        </is>
      </c>
      <c r="E1591" t="inlineStr">
        <is>
          <t>10</t>
        </is>
      </c>
      <c r="F1591" s="163" t="n">
        <v>45712</v>
      </c>
      <c r="G1591" t="inlineStr"/>
      <c r="H1591" t="inlineStr">
        <is>
          <t>4200601578</t>
        </is>
      </c>
      <c r="I1591" t="inlineStr">
        <is>
          <t>10</t>
        </is>
      </c>
      <c r="J1591" s="163" t="n">
        <v>45726</v>
      </c>
      <c r="K1591" s="163" t="n">
        <v>45727</v>
      </c>
      <c r="L1591" t="inlineStr"/>
      <c r="M1591" s="163" t="n">
        <v>45731</v>
      </c>
      <c r="N1591" s="164" t="n">
        <v>85</v>
      </c>
      <c r="O1591" s="164" t="n">
        <v>8</v>
      </c>
      <c r="P1591" t="inlineStr">
        <is>
          <t>Liberado</t>
        </is>
      </c>
      <c r="Q1591" s="165" t="n">
        <v>20</v>
      </c>
      <c r="R1591" s="165" t="n">
        <v>20</v>
      </c>
      <c r="S1591" s="165" t="n">
        <v>20</v>
      </c>
      <c r="T1591" s="165" t="n">
        <v>0</v>
      </c>
      <c r="U1591" s="166" t="n">
        <v>20</v>
      </c>
      <c r="V1591" s="166" t="n">
        <v>0</v>
      </c>
      <c r="W1591" t="inlineStr">
        <is>
          <t>X</t>
        </is>
      </c>
      <c r="X1591" t="inlineStr">
        <is>
          <t>0.00</t>
        </is>
      </c>
      <c r="Y1591" t="inlineStr"/>
      <c r="Z1591" t="inlineStr">
        <is>
          <t>LUJISA, S.A.</t>
        </is>
      </c>
      <c r="AA1591" t="inlineStr">
        <is>
          <t>MIGUELEZ</t>
        </is>
      </c>
      <c r="AB1591" t="inlineStr">
        <is>
          <t>84109-NEGRO</t>
        </is>
      </c>
      <c r="AC1591" t="inlineStr"/>
      <c r="AD1591" s="164" t="n">
        <v>0</v>
      </c>
      <c r="AE1591" s="185" t="n">
        <v>0</v>
      </c>
      <c r="AG1591" s="167" t="inlineStr">
        <is>
          <t>7218|JA2582_1001</t>
        </is>
      </c>
      <c r="AH1591" s="47">
        <f>IF(M1591=0,"-",M1591-J1591)</f>
        <v/>
      </c>
      <c r="AI1591" s="46">
        <f>IF(AND(S1591=0,M1591&gt;0,L1591=0),IF(AH1591&gt;=120,"VERY HIGH",IF(AH1591&gt;=90,"HIGH",IF(AH1591&gt;=60,"MEDIUM",IF(AH1591&lt;60,"LOW")))),"-")</f>
        <v/>
      </c>
      <c r="AJ1591" s="12" t="n"/>
      <c r="AK1591" s="53">
        <f>IF(AND(W1591="X",M1591&lt;=$AJ$2),"YES","")</f>
        <v/>
      </c>
      <c r="AL1591" s="54">
        <f>IF(AND(W1591="X",M1591&lt;=$AJ$2),S1591,"")</f>
        <v/>
      </c>
      <c r="AM1591" s="35" t="n"/>
      <c r="AN1591" s="35">
        <f>IF(AND(W1591="X",M1591&gt;$AJ$2),S1591,"")</f>
        <v/>
      </c>
      <c r="AO1591" s="35">
        <f>IF(AND(W1591="",M1591&gt;0,$AJ$2&gt;M1591,L1591=""),1,0)</f>
        <v/>
      </c>
      <c r="AP1591" s="35">
        <f>IF(AND(AK1591="YES",W1591="X"),"X","")</f>
        <v/>
      </c>
      <c r="AQ1591" s="55">
        <f>IF(AP1591="X",100%,0%)</f>
        <v/>
      </c>
      <c r="AR1591" s="25">
        <f>IF(AND(T1591&gt;0,L1591=""),H1591,"")</f>
        <v/>
      </c>
      <c r="AS1591" s="25">
        <f>IF(AND(D1591&gt;0,H1591=0,G1591=""),1,"")</f>
        <v/>
      </c>
      <c r="AT1591" s="25">
        <f>IF(G1591="BLOQ",1,"")</f>
        <v/>
      </c>
      <c r="AU1591" s="25">
        <f>IF(L1591="BLOQ",1,"")</f>
        <v/>
      </c>
      <c r="AV1591" s="25">
        <f>MONTH(F1591)</f>
        <v/>
      </c>
      <c r="AW1591" s="65">
        <f>IF(AP1591="",100%,0%)</f>
        <v/>
      </c>
      <c r="AX1591" s="56" t="n"/>
      <c r="AY1591" s="24">
        <f>IF(M1591=0,"",M1591-$AX$2)</f>
        <v/>
      </c>
      <c r="AZ1591" s="66">
        <f>IF(AND(W1591="",AY1591&gt;0,AY1591&lt;15),1,0)</f>
        <v/>
      </c>
      <c r="BA1591" s="24">
        <f>IF(AND(W1591="",AY1591&gt;0,AY1591&lt;15),T1591,"")</f>
        <v/>
      </c>
      <c r="BB1591" s="87">
        <f>IF(R1591&lt;Q1591,"X","")</f>
        <v/>
      </c>
      <c r="BC1591" s="190" t="inlineStr">
        <is>
          <t>NO</t>
        </is>
      </c>
      <c r="BD1591" s="191" t="inlineStr">
        <is>
          <t>SI</t>
        </is>
      </c>
    </row>
    <row r="1592" ht="15" customHeight="1" s="162">
      <c r="A1592" s="7" t="n">
        <v>1591</v>
      </c>
      <c r="B1592" t="inlineStr">
        <is>
          <t>1220115702600</t>
        </is>
      </c>
      <c r="C1592" t="inlineStr">
        <is>
          <t>CBL FLEX 1X70MM2 450/750V AZUL H07ZK 90C</t>
        </is>
      </c>
      <c r="D1592" t="inlineStr">
        <is>
          <t>1800120450</t>
        </is>
      </c>
      <c r="E1592" t="inlineStr">
        <is>
          <t>20</t>
        </is>
      </c>
      <c r="F1592" s="163" t="n">
        <v>45712</v>
      </c>
      <c r="G1592" t="inlineStr"/>
      <c r="H1592" t="inlineStr">
        <is>
          <t>4200601560</t>
        </is>
      </c>
      <c r="I1592" t="inlineStr">
        <is>
          <t>10</t>
        </is>
      </c>
      <c r="J1592" s="163" t="n">
        <v>45725</v>
      </c>
      <c r="K1592" s="163" t="n">
        <v>45725</v>
      </c>
      <c r="L1592" t="inlineStr"/>
      <c r="M1592" s="163" t="n">
        <v>45985</v>
      </c>
      <c r="N1592" s="164" t="n">
        <v>85</v>
      </c>
      <c r="O1592" s="164" t="n">
        <v>8</v>
      </c>
      <c r="P1592" t="inlineStr">
        <is>
          <t>Liberado</t>
        </is>
      </c>
      <c r="Q1592" s="165" t="n">
        <v>20</v>
      </c>
      <c r="R1592" s="165" t="n">
        <v>20</v>
      </c>
      <c r="S1592" s="165" t="n">
        <v>0</v>
      </c>
      <c r="T1592" s="165" t="n">
        <v>20</v>
      </c>
      <c r="U1592" s="166" t="n">
        <v>0</v>
      </c>
      <c r="V1592" s="166" t="n">
        <v>0</v>
      </c>
      <c r="W1592" t="inlineStr"/>
      <c r="X1592" t="inlineStr">
        <is>
          <t>578.00</t>
        </is>
      </c>
      <c r="Y1592" t="inlineStr"/>
      <c r="Z1592" t="inlineStr">
        <is>
          <t>Technipol Suministros, S.L.</t>
        </is>
      </c>
      <c r="AA1592" t="inlineStr">
        <is>
          <t>LAPP KABEL</t>
        </is>
      </c>
      <c r="AB1592" t="inlineStr">
        <is>
          <t>4727021</t>
        </is>
      </c>
      <c r="AC1592" t="inlineStr"/>
      <c r="AD1592" s="164" t="n">
        <v>2</v>
      </c>
      <c r="AE1592" s="185" t="n">
        <v>0</v>
      </c>
      <c r="AG1592" s="167" t="inlineStr">
        <is>
          <t>7218|JA2582_1001</t>
        </is>
      </c>
      <c r="AH1592" s="47">
        <f>IF(M1592=0,"-",M1592-J1592)</f>
        <v/>
      </c>
      <c r="AI1592" s="46">
        <f>IF(AND(S1592=0,M1592&gt;0,L1592=0),IF(AH1592&gt;=120,"VERY HIGH",IF(AH1592&gt;=90,"HIGH",IF(AH1592&gt;=60,"MEDIUM",IF(AH1592&lt;60,"LOW")))),"-")</f>
        <v/>
      </c>
      <c r="AJ1592" s="12" t="n"/>
      <c r="AK1592" s="53">
        <f>IF(AND(W1592="X",M1592&lt;=$AJ$2),"YES","")</f>
        <v/>
      </c>
      <c r="AL1592" s="54">
        <f>IF(AND(W1592="X",M1592&lt;=$AJ$2),S1592,"")</f>
        <v/>
      </c>
      <c r="AM1592" s="35" t="n"/>
      <c r="AN1592" s="35">
        <f>IF(AND(W1592="X",M1592&gt;$AJ$2),S1592,"")</f>
        <v/>
      </c>
      <c r="AO1592" s="35">
        <f>IF(AND(W1592="",M1592&gt;0,$AJ$2&gt;M1592,L1592=""),1,0)</f>
        <v/>
      </c>
      <c r="AP1592" s="35">
        <f>IF(AND(AK1592="YES",W1592="X"),"X","")</f>
        <v/>
      </c>
      <c r="AQ1592" s="55">
        <f>IF(AP1592="X",100%,0%)</f>
        <v/>
      </c>
      <c r="AR1592" s="25">
        <f>IF(AND(T1592&gt;0,L1592=""),H1592,"")</f>
        <v/>
      </c>
      <c r="AS1592" s="25">
        <f>IF(AND(D1592&gt;0,H1592=0,G1592=""),1,"")</f>
        <v/>
      </c>
      <c r="AT1592" s="25">
        <f>IF(G1592="BLOQ",1,"")</f>
        <v/>
      </c>
      <c r="AU1592" s="25">
        <f>IF(L1592="BLOQ",1,"")</f>
        <v/>
      </c>
      <c r="AV1592" s="25">
        <f>MONTH(F1592)</f>
        <v/>
      </c>
      <c r="AW1592" s="65">
        <f>IF(AP1592="",100%,0%)</f>
        <v/>
      </c>
      <c r="AX1592" s="56" t="n"/>
      <c r="AY1592" s="24">
        <f>IF(M1592=0,"",M1592-$AX$2)</f>
        <v/>
      </c>
      <c r="AZ1592" s="66">
        <f>IF(AND(W1592="",AY1592&gt;0,AY1592&lt;15),1,0)</f>
        <v/>
      </c>
      <c r="BA1592" s="24">
        <f>IF(AND(W1592="",AY1592&gt;0,AY1592&lt;15),T1592,"")</f>
        <v/>
      </c>
      <c r="BB1592" s="87">
        <f>IF(R1592&lt;Q1592,"X","")</f>
        <v/>
      </c>
      <c r="BC1592" s="190" t="inlineStr">
        <is>
          <t>NO</t>
        </is>
      </c>
      <c r="BD1592" s="191" t="inlineStr">
        <is>
          <t>SI</t>
        </is>
      </c>
    </row>
    <row r="1593" ht="15" customHeight="1" s="162">
      <c r="A1593" s="7" t="n">
        <v>1592</v>
      </c>
      <c r="B1593" t="inlineStr">
        <is>
          <t>1237790900000</t>
        </is>
      </c>
      <c r="C1593" t="inlineStr">
        <is>
          <t>TERM REDONDO REFORZ 70 D=8</t>
        </is>
      </c>
      <c r="D1593" t="inlineStr">
        <is>
          <t>1800120450</t>
        </is>
      </c>
      <c r="E1593" t="inlineStr">
        <is>
          <t>30</t>
        </is>
      </c>
      <c r="F1593" s="163" t="n">
        <v>45712</v>
      </c>
      <c r="G1593" t="inlineStr"/>
      <c r="H1593" t="inlineStr">
        <is>
          <t>4200600909</t>
        </is>
      </c>
      <c r="I1593" t="inlineStr">
        <is>
          <t>180</t>
        </is>
      </c>
      <c r="J1593" s="163" t="n">
        <v>45721</v>
      </c>
      <c r="K1593" s="163" t="n">
        <v>45758</v>
      </c>
      <c r="L1593" t="inlineStr"/>
      <c r="M1593" s="163" t="n">
        <v>45731</v>
      </c>
      <c r="N1593" s="164" t="n">
        <v>30</v>
      </c>
      <c r="O1593" s="164" t="n">
        <v>8</v>
      </c>
      <c r="P1593" t="inlineStr">
        <is>
          <t>Liberado</t>
        </is>
      </c>
      <c r="Q1593" s="165" t="n">
        <v>50</v>
      </c>
      <c r="R1593" s="165" t="n">
        <v>50</v>
      </c>
      <c r="S1593" s="165" t="n">
        <v>50</v>
      </c>
      <c r="T1593" s="165" t="n">
        <v>0</v>
      </c>
      <c r="U1593" s="166" t="n">
        <v>0</v>
      </c>
      <c r="V1593" s="166" t="n">
        <v>0</v>
      </c>
      <c r="W1593" t="inlineStr">
        <is>
          <t>X</t>
        </is>
      </c>
      <c r="X1593" t="inlineStr">
        <is>
          <t>0.00</t>
        </is>
      </c>
      <c r="Y1593" t="inlineStr"/>
      <c r="Z1593" t="inlineStr">
        <is>
          <t>(AEMSA)ALMACENES ELECTRICOS MADRILE</t>
        </is>
      </c>
      <c r="AA1593" t="inlineStr">
        <is>
          <t>CEMBRE</t>
        </is>
      </c>
      <c r="AB1593" t="inlineStr">
        <is>
          <t>A14-M8</t>
        </is>
      </c>
      <c r="AC1593" t="inlineStr"/>
      <c r="AD1593" s="164" t="n">
        <v>0</v>
      </c>
      <c r="AE1593" s="185" t="n">
        <v>0</v>
      </c>
      <c r="AG1593" s="167" t="inlineStr">
        <is>
          <t>7218|JA2582_1001</t>
        </is>
      </c>
      <c r="AH1593" s="47">
        <f>IF(M1593=0,"-",M1593-J1593)</f>
        <v/>
      </c>
      <c r="AI1593" s="46">
        <f>IF(AND(S1593=0,M1593&gt;0,L1593=0),IF(AH1593&gt;=120,"VERY HIGH",IF(AH1593&gt;=90,"HIGH",IF(AH1593&gt;=60,"MEDIUM",IF(AH1593&lt;60,"LOW")))),"-")</f>
        <v/>
      </c>
      <c r="AJ1593" s="12" t="n"/>
      <c r="AK1593" s="53">
        <f>IF(AND(W1593="X",M1593&lt;=$AJ$2),"YES","")</f>
        <v/>
      </c>
      <c r="AL1593" s="54">
        <f>IF(AND(W1593="X",M1593&lt;=$AJ$2),S1593,"")</f>
        <v/>
      </c>
      <c r="AM1593" s="35" t="n"/>
      <c r="AN1593" s="35">
        <f>IF(AND(W1593="X",M1593&gt;$AJ$2),S1593,"")</f>
        <v/>
      </c>
      <c r="AO1593" s="35">
        <f>IF(AND(W1593="",M1593&gt;0,$AJ$2&gt;M1593,L1593=""),1,0)</f>
        <v/>
      </c>
      <c r="AP1593" s="35">
        <f>IF(AND(AK1593="YES",W1593="X"),"X","")</f>
        <v/>
      </c>
      <c r="AQ1593" s="55">
        <f>IF(AP1593="X",100%,0%)</f>
        <v/>
      </c>
      <c r="AR1593" s="25">
        <f>IF(AND(T1593&gt;0,L1593=""),H1593,"")</f>
        <v/>
      </c>
      <c r="AS1593" s="25">
        <f>IF(AND(D1593&gt;0,H1593=0,G1593=""),1,"")</f>
        <v/>
      </c>
      <c r="AT1593" s="25">
        <f>IF(G1593="BLOQ",1,"")</f>
        <v/>
      </c>
      <c r="AU1593" s="25">
        <f>IF(L1593="BLOQ",1,"")</f>
        <v/>
      </c>
      <c r="AV1593" s="25">
        <f>MONTH(F1593)</f>
        <v/>
      </c>
      <c r="AW1593" s="65">
        <f>IF(AP1593="",100%,0%)</f>
        <v/>
      </c>
      <c r="AX1593" s="56" t="n"/>
      <c r="AY1593" s="24">
        <f>IF(M1593=0,"",M1593-$AX$2)</f>
        <v/>
      </c>
      <c r="AZ1593" s="66">
        <f>IF(AND(W1593="",AY1593&gt;0,AY1593&lt;15),1,0)</f>
        <v/>
      </c>
      <c r="BA1593" s="24">
        <f>IF(AND(W1593="",AY1593&gt;0,AY1593&lt;15),T1593,"")</f>
        <v/>
      </c>
      <c r="BB1593" s="87">
        <f>IF(R1593&lt;Q1593,"X","")</f>
        <v/>
      </c>
      <c r="BC1593" s="190" t="inlineStr">
        <is>
          <t>NO</t>
        </is>
      </c>
      <c r="BD1593" s="191" t="inlineStr">
        <is>
          <t>SI</t>
        </is>
      </c>
    </row>
    <row r="1594" ht="15" customHeight="1" s="162">
      <c r="A1594" s="7" t="n">
        <v>1593</v>
      </c>
      <c r="B1594" t="inlineStr">
        <is>
          <t>1237790902100</t>
        </is>
      </c>
      <c r="C1594" t="inlineStr">
        <is>
          <t>TERM REDONDO CRIMP 70MM2 D=10</t>
        </is>
      </c>
      <c r="D1594" t="inlineStr">
        <is>
          <t>1800120450</t>
        </is>
      </c>
      <c r="E1594" t="inlineStr">
        <is>
          <t>40</t>
        </is>
      </c>
      <c r="F1594" s="163" t="n">
        <v>45712</v>
      </c>
      <c r="G1594" t="inlineStr"/>
      <c r="H1594" t="inlineStr">
        <is>
          <t>4200600909</t>
        </is>
      </c>
      <c r="I1594" t="inlineStr">
        <is>
          <t>190</t>
        </is>
      </c>
      <c r="J1594" s="163" t="n">
        <v>45721</v>
      </c>
      <c r="K1594" s="163" t="n">
        <v>45758</v>
      </c>
      <c r="L1594" t="inlineStr"/>
      <c r="M1594" s="163" t="n">
        <v>45731</v>
      </c>
      <c r="N1594" s="164" t="n">
        <v>30</v>
      </c>
      <c r="O1594" s="164" t="n">
        <v>8</v>
      </c>
      <c r="P1594" t="inlineStr">
        <is>
          <t>Liberado</t>
        </is>
      </c>
      <c r="Q1594" s="165" t="n">
        <v>50</v>
      </c>
      <c r="R1594" s="165" t="n">
        <v>50</v>
      </c>
      <c r="S1594" s="165" t="n">
        <v>50</v>
      </c>
      <c r="T1594" s="165" t="n">
        <v>0</v>
      </c>
      <c r="U1594" s="166" t="n">
        <v>0</v>
      </c>
      <c r="V1594" s="166" t="n">
        <v>0</v>
      </c>
      <c r="W1594" t="inlineStr">
        <is>
          <t>X</t>
        </is>
      </c>
      <c r="X1594" t="inlineStr">
        <is>
          <t>0.00</t>
        </is>
      </c>
      <c r="Y1594" t="inlineStr"/>
      <c r="Z1594" t="inlineStr">
        <is>
          <t>(AEMSA)ALMACENES ELECTRICOS MADRILE</t>
        </is>
      </c>
      <c r="AA1594" t="inlineStr">
        <is>
          <t>CEMBRE</t>
        </is>
      </c>
      <c r="AB1594" t="inlineStr">
        <is>
          <t>A14-M10</t>
        </is>
      </c>
      <c r="AC1594" t="inlineStr"/>
      <c r="AD1594" s="164" t="n">
        <v>0</v>
      </c>
      <c r="AE1594" s="185" t="n">
        <v>0</v>
      </c>
      <c r="AG1594" s="167" t="inlineStr">
        <is>
          <t>7218|JA2582_1001</t>
        </is>
      </c>
      <c r="AH1594" s="47">
        <f>IF(M1594=0,"-",M1594-J1594)</f>
        <v/>
      </c>
      <c r="AI1594" s="46">
        <f>IF(AND(S1594=0,M1594&gt;0,L1594=0),IF(AH1594&gt;=120,"VERY HIGH",IF(AH1594&gt;=90,"HIGH",IF(AH1594&gt;=60,"MEDIUM",IF(AH1594&lt;60,"LOW")))),"-")</f>
        <v/>
      </c>
      <c r="AJ1594" s="12" t="n"/>
      <c r="AK1594" s="53">
        <f>IF(AND(W1594="X",M1594&lt;=$AJ$2),"YES","")</f>
        <v/>
      </c>
      <c r="AL1594" s="54">
        <f>IF(AND(W1594="X",M1594&lt;=$AJ$2),S1594,"")</f>
        <v/>
      </c>
      <c r="AM1594" s="35" t="n"/>
      <c r="AN1594" s="35">
        <f>IF(AND(W1594="X",M1594&gt;$AJ$2),S1594,"")</f>
        <v/>
      </c>
      <c r="AO1594" s="35">
        <f>IF(AND(W1594="",M1594&gt;0,$AJ$2&gt;M1594,L1594=""),1,0)</f>
        <v/>
      </c>
      <c r="AP1594" s="35">
        <f>IF(AND(AK1594="YES",W1594="X"),"X","")</f>
        <v/>
      </c>
      <c r="AQ1594" s="55">
        <f>IF(AP1594="X",100%,0%)</f>
        <v/>
      </c>
      <c r="AR1594" s="25">
        <f>IF(AND(T1594&gt;0,L1594=""),H1594,"")</f>
        <v/>
      </c>
      <c r="AS1594" s="25">
        <f>IF(AND(D1594&gt;0,H1594=0,G1594=""),1,"")</f>
        <v/>
      </c>
      <c r="AT1594" s="25">
        <f>IF(G1594="BLOQ",1,"")</f>
        <v/>
      </c>
      <c r="AU1594" s="25">
        <f>IF(L1594="BLOQ",1,"")</f>
        <v/>
      </c>
      <c r="AV1594" s="25">
        <f>MONTH(F1594)</f>
        <v/>
      </c>
      <c r="AW1594" s="65">
        <f>IF(AP1594="",100%,0%)</f>
        <v/>
      </c>
      <c r="AX1594" s="56" t="n"/>
      <c r="AY1594" s="24">
        <f>IF(M1594=0,"",M1594-$AX$2)</f>
        <v/>
      </c>
      <c r="AZ1594" s="66">
        <f>IF(AND(W1594="",AY1594&gt;0,AY1594&lt;15),1,0)</f>
        <v/>
      </c>
      <c r="BA1594" s="24">
        <f>IF(AND(W1594="",AY1594&gt;0,AY1594&lt;15),T1594,"")</f>
        <v/>
      </c>
      <c r="BB1594" s="87">
        <f>IF(R1594&lt;Q1594,"X","")</f>
        <v/>
      </c>
      <c r="BC1594" s="190" t="inlineStr">
        <is>
          <t>NO</t>
        </is>
      </c>
      <c r="BD1594" s="191" t="inlineStr">
        <is>
          <t>SI</t>
        </is>
      </c>
    </row>
    <row r="1595" ht="15" customHeight="1" s="162">
      <c r="A1595" s="7" t="n">
        <v>1594</v>
      </c>
      <c r="B1595" t="inlineStr">
        <is>
          <t>1229599576000</t>
        </is>
      </c>
      <c r="C1595" t="inlineStr">
        <is>
          <t>CBL EQ P/MOD SERV INTERFACE KVM</t>
        </is>
      </c>
      <c r="D1595" t="inlineStr">
        <is>
          <t>1800120452</t>
        </is>
      </c>
      <c r="E1595" t="inlineStr">
        <is>
          <t>10</t>
        </is>
      </c>
      <c r="F1595" s="163" t="n">
        <v>45712</v>
      </c>
      <c r="G1595" t="inlineStr"/>
      <c r="H1595" t="inlineStr">
        <is>
          <t>4200600284</t>
        </is>
      </c>
      <c r="I1595" t="inlineStr">
        <is>
          <t>20</t>
        </is>
      </c>
      <c r="J1595" s="163" t="n">
        <v>45716</v>
      </c>
      <c r="K1595" s="163" t="n">
        <v>45716</v>
      </c>
      <c r="L1595" t="inlineStr"/>
      <c r="M1595" s="163" t="n">
        <v>45731</v>
      </c>
      <c r="N1595" s="164" t="n">
        <v>135</v>
      </c>
      <c r="O1595" s="164" t="n">
        <v>8</v>
      </c>
      <c r="P1595" t="inlineStr">
        <is>
          <t>Liberado</t>
        </is>
      </c>
      <c r="Q1595" s="165" t="n">
        <v>2</v>
      </c>
      <c r="R1595" s="165" t="n">
        <v>2</v>
      </c>
      <c r="S1595" s="165" t="n">
        <v>2</v>
      </c>
      <c r="T1595" s="165" t="n">
        <v>0</v>
      </c>
      <c r="U1595" s="166" t="n">
        <v>2</v>
      </c>
      <c r="V1595" s="166" t="n">
        <v>0</v>
      </c>
      <c r="W1595" t="inlineStr">
        <is>
          <t>X</t>
        </is>
      </c>
      <c r="X1595" t="inlineStr">
        <is>
          <t>0.00</t>
        </is>
      </c>
      <c r="Y1595" t="inlineStr"/>
      <c r="Z1595" t="inlineStr">
        <is>
          <t>ICOMPPLUS ELECTRONICS S.L</t>
        </is>
      </c>
      <c r="AA1595" t="inlineStr">
        <is>
          <t>DELL COMPUTER</t>
        </is>
      </c>
      <c r="AB1595" t="inlineStr">
        <is>
          <t>DMPUIQ-VMCHS-G01</t>
        </is>
      </c>
      <c r="AC1595" t="inlineStr"/>
      <c r="AD1595" s="164" t="n">
        <v>0</v>
      </c>
      <c r="AE1595" s="185" t="n">
        <v>0</v>
      </c>
      <c r="AG1595" s="167" t="inlineStr">
        <is>
          <t>7218|JA2585_1001</t>
        </is>
      </c>
      <c r="AH1595" s="47">
        <f>IF(M1595=0,"-",M1595-J1595)</f>
        <v/>
      </c>
      <c r="AI1595" s="46">
        <f>IF(AND(S1595=0,M1595&gt;0,L1595=0),IF(AH1595&gt;=120,"VERY HIGH",IF(AH1595&gt;=90,"HIGH",IF(AH1595&gt;=60,"MEDIUM",IF(AH1595&lt;60,"LOW")))),"-")</f>
        <v/>
      </c>
      <c r="AJ1595" s="12" t="n"/>
      <c r="AK1595" s="53">
        <f>IF(AND(W1595="X",M1595&lt;=$AJ$2),"YES","")</f>
        <v/>
      </c>
      <c r="AL1595" s="54">
        <f>IF(AND(W1595="X",M1595&lt;=$AJ$2),S1595,"")</f>
        <v/>
      </c>
      <c r="AM1595" s="35" t="n"/>
      <c r="AN1595" s="35">
        <f>IF(AND(W1595="X",M1595&gt;$AJ$2),S1595,"")</f>
        <v/>
      </c>
      <c r="AO1595" s="35">
        <f>IF(AND(W1595="",M1595&gt;0,$AJ$2&gt;M1595,L1595=""),1,0)</f>
        <v/>
      </c>
      <c r="AP1595" s="35">
        <f>IF(AND(AK1595="YES",W1595="X"),"X","")</f>
        <v/>
      </c>
      <c r="AQ1595" s="55">
        <f>IF(AP1595="X",100%,0%)</f>
        <v/>
      </c>
      <c r="AR1595" s="25">
        <f>IF(AND(T1595&gt;0,L1595=""),H1595,"")</f>
        <v/>
      </c>
      <c r="AS1595" s="25">
        <f>IF(AND(D1595&gt;0,H1595=0,G1595=""),1,"")</f>
        <v/>
      </c>
      <c r="AT1595" s="25">
        <f>IF(G1595="BLOQ",1,"")</f>
        <v/>
      </c>
      <c r="AU1595" s="25">
        <f>IF(L1595="BLOQ",1,"")</f>
        <v/>
      </c>
      <c r="AV1595" s="25">
        <f>MONTH(F1595)</f>
        <v/>
      </c>
      <c r="AW1595" s="65">
        <f>IF(AP1595="",100%,0%)</f>
        <v/>
      </c>
      <c r="AX1595" s="56" t="n"/>
      <c r="AY1595" s="24">
        <f>IF(M1595=0,"",M1595-$AX$2)</f>
        <v/>
      </c>
      <c r="AZ1595" s="66">
        <f>IF(AND(W1595="",AY1595&gt;0,AY1595&lt;15),1,0)</f>
        <v/>
      </c>
      <c r="BA1595" s="24">
        <f>IF(AND(W1595="",AY1595&gt;0,AY1595&lt;15),T1595,"")</f>
        <v/>
      </c>
      <c r="BB1595" s="87">
        <f>IF(R1595&lt;Q1595,"X","")</f>
        <v/>
      </c>
      <c r="BC1595" s="191" t="inlineStr">
        <is>
          <t>SI</t>
        </is>
      </c>
      <c r="BD1595" s="191" t="inlineStr">
        <is>
          <t>SI</t>
        </is>
      </c>
    </row>
    <row r="1596" ht="15" customHeight="1" s="162">
      <c r="A1596" s="7" t="n">
        <v>1595</v>
      </c>
      <c r="B1596" t="inlineStr">
        <is>
          <t>3170408510000</t>
        </is>
      </c>
      <c r="C1596" t="inlineStr">
        <is>
          <t>MOD ETH I350-T4 4P 10/100/1000MBPS 1GB N</t>
        </is>
      </c>
      <c r="D1596" t="inlineStr">
        <is>
          <t>1800120452</t>
        </is>
      </c>
      <c r="E1596" t="inlineStr">
        <is>
          <t>20</t>
        </is>
      </c>
      <c r="F1596" s="163" t="n">
        <v>45712</v>
      </c>
      <c r="G1596" t="inlineStr"/>
      <c r="H1596" t="inlineStr">
        <is>
          <t>4200601405</t>
        </is>
      </c>
      <c r="I1596" t="inlineStr">
        <is>
          <t>10</t>
        </is>
      </c>
      <c r="J1596" s="163" t="n">
        <v>45723</v>
      </c>
      <c r="K1596" s="163" t="n">
        <v>45723</v>
      </c>
      <c r="L1596" t="inlineStr"/>
      <c r="M1596" s="163" t="n">
        <v>45744</v>
      </c>
      <c r="N1596" s="164" t="n">
        <v>40</v>
      </c>
      <c r="O1596" s="164" t="n">
        <v>8</v>
      </c>
      <c r="P1596" t="inlineStr">
        <is>
          <t>Liberado</t>
        </is>
      </c>
      <c r="Q1596" s="165" t="n">
        <v>14</v>
      </c>
      <c r="R1596" s="165" t="n">
        <v>14</v>
      </c>
      <c r="S1596" s="165" t="n">
        <v>14</v>
      </c>
      <c r="T1596" s="165" t="n">
        <v>0</v>
      </c>
      <c r="U1596" s="166" t="n">
        <v>0</v>
      </c>
      <c r="V1596" s="166" t="n">
        <v>0</v>
      </c>
      <c r="W1596" t="inlineStr">
        <is>
          <t>X</t>
        </is>
      </c>
      <c r="X1596" t="inlineStr">
        <is>
          <t>0.00</t>
        </is>
      </c>
      <c r="Y1596" t="inlineStr"/>
      <c r="Z1596" t="inlineStr">
        <is>
          <t>HP PRINTING AND COMPUTING SOLUTIONS</t>
        </is>
      </c>
      <c r="AA1596" t="inlineStr">
        <is>
          <t>HEWLETT PACKARD</t>
        </is>
      </c>
      <c r="AB1596" t="inlineStr">
        <is>
          <t>W8X25AA</t>
        </is>
      </c>
      <c r="AC1596" t="inlineStr"/>
      <c r="AD1596" s="164" t="n">
        <v>0</v>
      </c>
      <c r="AE1596" s="185" t="n">
        <v>0</v>
      </c>
      <c r="AG1596" s="167" t="inlineStr">
        <is>
          <t>7218|JA2585_1001</t>
        </is>
      </c>
      <c r="AH1596" s="47">
        <f>IF(M1596=0,"-",M1596-J1596)</f>
        <v/>
      </c>
      <c r="AI1596" s="46">
        <f>IF(AND(S1596=0,M1596&gt;0,L1596=0),IF(AH1596&gt;=120,"VERY HIGH",IF(AH1596&gt;=90,"HIGH",IF(AH1596&gt;=60,"MEDIUM",IF(AH1596&lt;60,"LOW")))),"-")</f>
        <v/>
      </c>
      <c r="AJ1596" s="12" t="n"/>
      <c r="AK1596" s="53">
        <f>IF(AND(W1596="X",M1596&lt;=$AJ$2),"YES","")</f>
        <v/>
      </c>
      <c r="AL1596" s="54">
        <f>IF(AND(W1596="X",M1596&lt;=$AJ$2),S1596,"")</f>
        <v/>
      </c>
      <c r="AM1596" s="35" t="n"/>
      <c r="AN1596" s="35">
        <f>IF(AND(W1596="X",M1596&gt;$AJ$2),S1596,"")</f>
        <v/>
      </c>
      <c r="AO1596" s="35">
        <f>IF(AND(W1596="",M1596&gt;0,$AJ$2&gt;M1596,L1596=""),1,0)</f>
        <v/>
      </c>
      <c r="AP1596" s="35">
        <f>IF(AND(AK1596="YES",W1596="X"),"X","")</f>
        <v/>
      </c>
      <c r="AQ1596" s="55">
        <f>IF(AP1596="X",100%,0%)</f>
        <v/>
      </c>
      <c r="AR1596" s="25">
        <f>IF(AND(T1596&gt;0,L1596=""),H1596,"")</f>
        <v/>
      </c>
      <c r="AS1596" s="25">
        <f>IF(AND(D1596&gt;0,H1596=0,G1596=""),1,"")</f>
        <v/>
      </c>
      <c r="AT1596" s="25">
        <f>IF(G1596="BLOQ",1,"")</f>
        <v/>
      </c>
      <c r="AU1596" s="25">
        <f>IF(L1596="BLOQ",1,"")</f>
        <v/>
      </c>
      <c r="AV1596" s="25">
        <f>MONTH(F1596)</f>
        <v/>
      </c>
      <c r="AW1596" s="65">
        <f>IF(AP1596="",100%,0%)</f>
        <v/>
      </c>
      <c r="AX1596" s="56" t="n"/>
      <c r="AY1596" s="24">
        <f>IF(M1596=0,"",M1596-$AX$2)</f>
        <v/>
      </c>
      <c r="AZ1596" s="66">
        <f>IF(AND(W1596="",AY1596&gt;0,AY1596&lt;15),1,0)</f>
        <v/>
      </c>
      <c r="BA1596" s="24">
        <f>IF(AND(W1596="",AY1596&gt;0,AY1596&lt;15),T1596,"")</f>
        <v/>
      </c>
      <c r="BB1596" s="87">
        <f>IF(R1596&lt;Q1596,"X","")</f>
        <v/>
      </c>
      <c r="BC1596" s="191" t="inlineStr">
        <is>
          <t>SI</t>
        </is>
      </c>
      <c r="BD1596" s="191" t="inlineStr">
        <is>
          <t>SI</t>
        </is>
      </c>
    </row>
    <row r="1597" ht="15" customHeight="1" s="162">
      <c r="A1597" s="7" t="n">
        <v>1596</v>
      </c>
      <c r="B1597" t="inlineStr">
        <is>
          <t>3170302221301</t>
        </is>
      </c>
      <c r="C1597" t="inlineStr">
        <is>
          <t>ROUTER INALAM AX3000 3GBPS WIFI6 DUAL</t>
        </is>
      </c>
      <c r="D1597" t="inlineStr">
        <is>
          <t>1800120548</t>
        </is>
      </c>
      <c r="E1597" t="inlineStr">
        <is>
          <t>10</t>
        </is>
      </c>
      <c r="F1597" s="163" t="n">
        <v>45713</v>
      </c>
      <c r="G1597" t="inlineStr"/>
      <c r="H1597" t="inlineStr">
        <is>
          <t>4200601510</t>
        </is>
      </c>
      <c r="I1597" t="inlineStr">
        <is>
          <t>10</t>
        </is>
      </c>
      <c r="J1597" s="163" t="n">
        <v>45723</v>
      </c>
      <c r="K1597" s="163" t="n">
        <v>45725</v>
      </c>
      <c r="L1597" t="inlineStr"/>
      <c r="M1597" s="163" t="n">
        <v>45743</v>
      </c>
      <c r="N1597" s="164" t="n">
        <v>40</v>
      </c>
      <c r="O1597" s="164" t="n">
        <v>8</v>
      </c>
      <c r="P1597" t="inlineStr">
        <is>
          <t>Liberado</t>
        </is>
      </c>
      <c r="Q1597" s="165" t="n">
        <v>1</v>
      </c>
      <c r="R1597" s="165" t="n">
        <v>1</v>
      </c>
      <c r="S1597" s="165" t="n">
        <v>1</v>
      </c>
      <c r="T1597" s="165" t="n">
        <v>0</v>
      </c>
      <c r="U1597" s="166" t="n">
        <v>1</v>
      </c>
      <c r="V1597" s="166" t="n">
        <v>0</v>
      </c>
      <c r="W1597" t="inlineStr">
        <is>
          <t>X</t>
        </is>
      </c>
      <c r="X1597" t="inlineStr">
        <is>
          <t>0.00</t>
        </is>
      </c>
      <c r="Y1597" t="inlineStr"/>
      <c r="Z1597" t="inlineStr">
        <is>
          <t>INFORMATICA CALCULO Y TECNICA, S.A.</t>
        </is>
      </c>
      <c r="AA1597" t="inlineStr">
        <is>
          <t>TP-LINK TECHNOLOGIES</t>
        </is>
      </c>
      <c r="AB1597" t="inlineStr">
        <is>
          <t>ARCHER AX58</t>
        </is>
      </c>
      <c r="AC1597" t="inlineStr"/>
      <c r="AD1597" s="164" t="n">
        <v>2</v>
      </c>
      <c r="AE1597" s="185" t="n">
        <v>2</v>
      </c>
      <c r="AG1597" s="167" t="inlineStr">
        <is>
          <t>7218|JA2582_1001</t>
        </is>
      </c>
      <c r="AH1597" s="47">
        <f>IF(M1597=0,"-",M1597-J1597)</f>
        <v/>
      </c>
      <c r="AI1597" s="46">
        <f>IF(AND(S1597=0,M1597&gt;0,L1597=0),IF(AH1597&gt;=120,"VERY HIGH",IF(AH1597&gt;=90,"HIGH",IF(AH1597&gt;=60,"MEDIUM",IF(AH1597&lt;60,"LOW")))),"-")</f>
        <v/>
      </c>
      <c r="AJ1597" s="12" t="n"/>
      <c r="AK1597" s="53">
        <f>IF(AND(W1597="X",M1597&lt;=$AJ$2),"YES","")</f>
        <v/>
      </c>
      <c r="AL1597" s="54">
        <f>IF(AND(W1597="X",M1597&lt;=$AJ$2),S1597,"")</f>
        <v/>
      </c>
      <c r="AM1597" s="35" t="n"/>
      <c r="AN1597" s="35">
        <f>IF(AND(W1597="X",M1597&gt;$AJ$2),S1597,"")</f>
        <v/>
      </c>
      <c r="AO1597" s="35">
        <f>IF(AND(W1597="",M1597&gt;0,$AJ$2&gt;M1597,L1597=""),1,0)</f>
        <v/>
      </c>
      <c r="AP1597" s="35">
        <f>IF(AND(AK1597="YES",W1597="X"),"X","")</f>
        <v/>
      </c>
      <c r="AQ1597" s="55">
        <f>IF(AP1597="X",100%,0%)</f>
        <v/>
      </c>
      <c r="AR1597" s="25">
        <f>IF(AND(T1597&gt;0,L1597=""),H1597,"")</f>
        <v/>
      </c>
      <c r="AS1597" s="25">
        <f>IF(AND(D1597&gt;0,H1597=0,G1597=""),1,"")</f>
        <v/>
      </c>
      <c r="AT1597" s="25">
        <f>IF(G1597="BLOQ",1,"")</f>
        <v/>
      </c>
      <c r="AU1597" s="25">
        <f>IF(L1597="BLOQ",1,"")</f>
        <v/>
      </c>
      <c r="AV1597" s="25">
        <f>MONTH(F1597)</f>
        <v/>
      </c>
      <c r="AW1597" s="65">
        <f>IF(AP1597="",100%,0%)</f>
        <v/>
      </c>
      <c r="AX1597" s="56" t="n"/>
      <c r="AY1597" s="24">
        <f>IF(M1597=0,"",M1597-$AX$2)</f>
        <v/>
      </c>
      <c r="AZ1597" s="66">
        <f>IF(AND(W1597="",AY1597&gt;0,AY1597&lt;15),1,0)</f>
        <v/>
      </c>
      <c r="BA1597" s="24">
        <f>IF(AND(W1597="",AY1597&gt;0,AY1597&lt;15),T1597,"")</f>
        <v/>
      </c>
      <c r="BB1597" s="87">
        <f>IF(R1597&lt;Q1597,"X","")</f>
        <v/>
      </c>
      <c r="BC1597" s="190" t="inlineStr">
        <is>
          <t>NO</t>
        </is>
      </c>
      <c r="BD1597" s="191" t="inlineStr">
        <is>
          <t>SI</t>
        </is>
      </c>
    </row>
    <row r="1598" ht="15" customHeight="1" s="162">
      <c r="A1598" s="7" t="n">
        <v>1597</v>
      </c>
      <c r="B1598" t="inlineStr">
        <is>
          <t>0973585293900</t>
        </is>
      </c>
      <c r="C1598" t="inlineStr">
        <is>
          <t>THEODOLITE SUPPORT A320</t>
        </is>
      </c>
      <c r="D1598" t="inlineStr">
        <is>
          <t>1800120551</t>
        </is>
      </c>
      <c r="E1598" t="inlineStr">
        <is>
          <t>10</t>
        </is>
      </c>
      <c r="F1598" s="163" t="n">
        <v>45713</v>
      </c>
      <c r="G1598" t="inlineStr"/>
      <c r="H1598" t="inlineStr">
        <is>
          <t>4200600615</t>
        </is>
      </c>
      <c r="I1598" t="inlineStr">
        <is>
          <t>10</t>
        </is>
      </c>
      <c r="J1598" s="163" t="n">
        <v>45719</v>
      </c>
      <c r="K1598" s="163" t="n">
        <v>45720</v>
      </c>
      <c r="L1598" t="inlineStr"/>
      <c r="M1598" s="163" t="n">
        <v>45762</v>
      </c>
      <c r="N1598" s="164" t="n">
        <v>40</v>
      </c>
      <c r="O1598" s="164" t="n">
        <v>8</v>
      </c>
      <c r="P1598" t="inlineStr">
        <is>
          <t>Liberado</t>
        </is>
      </c>
      <c r="Q1598" s="165" t="n">
        <v>1</v>
      </c>
      <c r="R1598" s="165" t="n">
        <v>1</v>
      </c>
      <c r="S1598" s="165" t="n">
        <v>1</v>
      </c>
      <c r="T1598" s="165" t="n">
        <v>0</v>
      </c>
      <c r="U1598" s="166" t="n">
        <v>1</v>
      </c>
      <c r="V1598" s="166" t="n">
        <v>0</v>
      </c>
      <c r="W1598" t="inlineStr">
        <is>
          <t>X</t>
        </is>
      </c>
      <c r="X1598" t="inlineStr">
        <is>
          <t>0.00</t>
        </is>
      </c>
      <c r="Y1598" t="inlineStr"/>
      <c r="Z1598" t="inlineStr">
        <is>
          <t>TALLERES XUQUER, SL</t>
        </is>
      </c>
      <c r="AA1598" t="inlineStr">
        <is>
          <t>INDRA SISTEMAS S.A.</t>
        </is>
      </c>
      <c r="AB1598" t="inlineStr">
        <is>
          <t>0973585293900</t>
        </is>
      </c>
      <c r="AC1598" t="inlineStr"/>
      <c r="AD1598" s="164" t="n">
        <v>0</v>
      </c>
      <c r="AE1598" s="185" t="n">
        <v>0</v>
      </c>
      <c r="AG1598" s="167" t="inlineStr">
        <is>
          <t>7218|JA2590_1001</t>
        </is>
      </c>
      <c r="AH1598" s="47">
        <f>IF(M1598=0,"-",M1598-J1598)</f>
        <v/>
      </c>
      <c r="AI1598" s="46">
        <f>IF(AND(S1598=0,M1598&gt;0,L1598=0),IF(AH1598&gt;=120,"VERY HIGH",IF(AH1598&gt;=90,"HIGH",IF(AH1598&gt;=60,"MEDIUM",IF(AH1598&lt;60,"LOW")))),"-")</f>
        <v/>
      </c>
      <c r="AJ1598" s="12" t="n"/>
      <c r="AK1598" s="53">
        <f>IF(AND(W1598="X",M1598&lt;=$AJ$2),"YES","")</f>
        <v/>
      </c>
      <c r="AL1598" s="54">
        <f>IF(AND(W1598="X",M1598&lt;=$AJ$2),S1598,"")</f>
        <v/>
      </c>
      <c r="AM1598" s="35" t="n"/>
      <c r="AN1598" s="35">
        <f>IF(AND(W1598="X",M1598&gt;$AJ$2),S1598,"")</f>
        <v/>
      </c>
      <c r="AO1598" s="35">
        <f>IF(AND(W1598="",M1598&gt;0,$AJ$2&gt;M1598,L1598=""),1,0)</f>
        <v/>
      </c>
      <c r="AP1598" s="35">
        <f>IF(AND(AK1598="YES",W1598="X"),"X","")</f>
        <v/>
      </c>
      <c r="AQ1598" s="55">
        <f>IF(AP1598="X",100%,0%)</f>
        <v/>
      </c>
      <c r="AR1598" s="25">
        <f>IF(AND(T1598&gt;0,L1598=""),H1598,"")</f>
        <v/>
      </c>
      <c r="AS1598" s="25">
        <f>IF(AND(D1598&gt;0,H1598=0,G1598=""),1,"")</f>
        <v/>
      </c>
      <c r="AT1598" s="25">
        <f>IF(G1598="BLOQ",1,"")</f>
        <v/>
      </c>
      <c r="AU1598" s="25">
        <f>IF(L1598="BLOQ",1,"")</f>
        <v/>
      </c>
      <c r="AV1598" s="25">
        <f>MONTH(F1598)</f>
        <v/>
      </c>
      <c r="AW1598" s="65">
        <f>IF(AP1598="",100%,0%)</f>
        <v/>
      </c>
      <c r="AX1598" s="56" t="n"/>
      <c r="AY1598" s="24">
        <f>IF(M1598=0,"",M1598-$AX$2)</f>
        <v/>
      </c>
      <c r="AZ1598" s="66">
        <f>IF(AND(W1598="",AY1598&gt;0,AY1598&lt;15),1,0)</f>
        <v/>
      </c>
      <c r="BA1598" s="24">
        <f>IF(AND(W1598="",AY1598&gt;0,AY1598&lt;15),T1598,"")</f>
        <v/>
      </c>
      <c r="BB1598" s="87">
        <f>IF(R1598&lt;Q1598,"X","")</f>
        <v/>
      </c>
      <c r="BC1598" s="190" t="inlineStr">
        <is>
          <t>NO</t>
        </is>
      </c>
      <c r="BD1598" s="191" t="inlineStr">
        <is>
          <t>SI</t>
        </is>
      </c>
    </row>
    <row r="1599" ht="15" customHeight="1" s="162">
      <c r="A1599" s="7" t="n">
        <v>1598</v>
      </c>
      <c r="B1599" t="inlineStr">
        <is>
          <t>0973585296700</t>
        </is>
      </c>
      <c r="C1599" t="inlineStr">
        <is>
          <t>OPTICAL FILTER #1</t>
        </is>
      </c>
      <c r="D1599" t="inlineStr">
        <is>
          <t>1800120813</t>
        </is>
      </c>
      <c r="E1599" t="inlineStr">
        <is>
          <t>10</t>
        </is>
      </c>
      <c r="F1599" s="163" t="n">
        <v>45719</v>
      </c>
      <c r="G1599" t="inlineStr"/>
      <c r="H1599" t="inlineStr">
        <is>
          <t>4200602935</t>
        </is>
      </c>
      <c r="I1599" t="inlineStr">
        <is>
          <t>10</t>
        </is>
      </c>
      <c r="J1599" s="163" t="n">
        <v>45734</v>
      </c>
      <c r="K1599" s="163" t="n">
        <v>45734</v>
      </c>
      <c r="L1599" t="inlineStr"/>
      <c r="M1599" s="163" t="n">
        <v>45866</v>
      </c>
      <c r="N1599" s="164" t="n">
        <v>40</v>
      </c>
      <c r="O1599" s="164" t="n">
        <v>8</v>
      </c>
      <c r="P1599" t="inlineStr">
        <is>
          <t>Liberado</t>
        </is>
      </c>
      <c r="Q1599" s="165" t="n">
        <v>1</v>
      </c>
      <c r="R1599" s="165" t="n">
        <v>1</v>
      </c>
      <c r="S1599" s="165" t="n">
        <v>1</v>
      </c>
      <c r="T1599" s="165" t="n">
        <v>0</v>
      </c>
      <c r="U1599" s="166" t="n">
        <v>1</v>
      </c>
      <c r="V1599" s="166" t="n">
        <v>0</v>
      </c>
      <c r="W1599" t="inlineStr">
        <is>
          <t>X</t>
        </is>
      </c>
      <c r="X1599" t="inlineStr">
        <is>
          <t>0.00</t>
        </is>
      </c>
      <c r="Y1599" t="inlineStr"/>
      <c r="Z1599" t="inlineStr">
        <is>
          <t>PROTELECT TRANSFORMADOS,S.A.L.</t>
        </is>
      </c>
      <c r="AA1599" t="inlineStr">
        <is>
          <t>INDRA SISTEMAS S.A.</t>
        </is>
      </c>
      <c r="AB1599" t="inlineStr">
        <is>
          <t>0973585296700</t>
        </is>
      </c>
      <c r="AC1599" t="inlineStr"/>
      <c r="AD1599" s="164" t="n">
        <v>0</v>
      </c>
      <c r="AE1599" s="185" t="n">
        <v>0</v>
      </c>
      <c r="AG1599" s="167" t="inlineStr">
        <is>
          <t>7218|JA2590_1001</t>
        </is>
      </c>
      <c r="AH1599" s="47">
        <f>IF(M1599=0,"-",M1599-J1599)</f>
        <v/>
      </c>
      <c r="AI1599" s="46">
        <f>IF(AND(S1599=0,M1599&gt;0,L1599=0),IF(AH1599&gt;=120,"VERY HIGH",IF(AH1599&gt;=90,"HIGH",IF(AH1599&gt;=60,"MEDIUM",IF(AH1599&lt;60,"LOW")))),"-")</f>
        <v/>
      </c>
      <c r="AJ1599" s="12" t="n"/>
      <c r="AK1599" s="53">
        <f>IF(AND(W1599="X",M1599&lt;=$AJ$2),"YES","")</f>
        <v/>
      </c>
      <c r="AL1599" s="54">
        <f>IF(AND(W1599="X",M1599&lt;=$AJ$2),S1599,"")</f>
        <v/>
      </c>
      <c r="AM1599" s="35" t="n"/>
      <c r="AN1599" s="35">
        <f>IF(AND(W1599="X",M1599&gt;$AJ$2),S1599,"")</f>
        <v/>
      </c>
      <c r="AO1599" s="35">
        <f>IF(AND(W1599="",M1599&gt;0,$AJ$2&gt;M1599,L1599=""),1,0)</f>
        <v/>
      </c>
      <c r="AP1599" s="35">
        <f>IF(AND(AK1599="YES",W1599="X"),"X","")</f>
        <v/>
      </c>
      <c r="AQ1599" s="55">
        <f>IF(AP1599="X",100%,0%)</f>
        <v/>
      </c>
      <c r="AR1599" s="25">
        <f>IF(AND(T1599&gt;0,L1599=""),H1599,"")</f>
        <v/>
      </c>
      <c r="AS1599" s="25">
        <f>IF(AND(D1599&gt;0,H1599=0,G1599=""),1,"")</f>
        <v/>
      </c>
      <c r="AT1599" s="25">
        <f>IF(G1599="BLOQ",1,"")</f>
        <v/>
      </c>
      <c r="AU1599" s="25">
        <f>IF(L1599="BLOQ",1,"")</f>
        <v/>
      </c>
      <c r="AV1599" s="25">
        <f>MONTH(F1599)</f>
        <v/>
      </c>
      <c r="AW1599" s="65">
        <f>IF(AP1599="",100%,0%)</f>
        <v/>
      </c>
      <c r="AX1599" s="56" t="n"/>
      <c r="AY1599" s="24">
        <f>IF(M1599=0,"",M1599-$AX$2)</f>
        <v/>
      </c>
      <c r="AZ1599" s="66">
        <f>IF(AND(W1599="",AY1599&gt;0,AY1599&lt;15),1,0)</f>
        <v/>
      </c>
      <c r="BA1599" s="24">
        <f>IF(AND(W1599="",AY1599&gt;0,AY1599&lt;15),T1599,"")</f>
        <v/>
      </c>
      <c r="BB1599" s="87">
        <f>IF(R1599&lt;Q1599,"X","")</f>
        <v/>
      </c>
      <c r="BC1599" s="191" t="inlineStr">
        <is>
          <t>SI</t>
        </is>
      </c>
      <c r="BD1599" s="191" t="inlineStr">
        <is>
          <t>SI</t>
        </is>
      </c>
    </row>
    <row r="1600" ht="15" customHeight="1" s="162">
      <c r="A1600" s="7" t="n">
        <v>1599</v>
      </c>
      <c r="B1600" t="inlineStr">
        <is>
          <t>0973585296800</t>
        </is>
      </c>
      <c r="C1600" t="inlineStr">
        <is>
          <t>OPTICAL FILTER #2</t>
        </is>
      </c>
      <c r="D1600" t="inlineStr">
        <is>
          <t>1800120813</t>
        </is>
      </c>
      <c r="E1600" t="inlineStr">
        <is>
          <t>20</t>
        </is>
      </c>
      <c r="F1600" s="163" t="n">
        <v>45719</v>
      </c>
      <c r="G1600" t="inlineStr"/>
      <c r="H1600" t="inlineStr">
        <is>
          <t>4200602935</t>
        </is>
      </c>
      <c r="I1600" t="inlineStr">
        <is>
          <t>20</t>
        </is>
      </c>
      <c r="J1600" s="163" t="n">
        <v>45734</v>
      </c>
      <c r="K1600" s="163" t="n">
        <v>45734</v>
      </c>
      <c r="L1600" t="inlineStr"/>
      <c r="M1600" s="163" t="n">
        <v>45866</v>
      </c>
      <c r="N1600" s="164" t="n">
        <v>40</v>
      </c>
      <c r="O1600" s="164" t="n">
        <v>8</v>
      </c>
      <c r="P1600" t="inlineStr">
        <is>
          <t>Liberado</t>
        </is>
      </c>
      <c r="Q1600" s="165" t="n">
        <v>1</v>
      </c>
      <c r="R1600" s="165" t="n">
        <v>1</v>
      </c>
      <c r="S1600" s="165" t="n">
        <v>1</v>
      </c>
      <c r="T1600" s="165" t="n">
        <v>0</v>
      </c>
      <c r="U1600" s="166" t="n">
        <v>1</v>
      </c>
      <c r="V1600" s="166" t="n">
        <v>0</v>
      </c>
      <c r="W1600" t="inlineStr">
        <is>
          <t>X</t>
        </is>
      </c>
      <c r="X1600" t="inlineStr">
        <is>
          <t>0.00</t>
        </is>
      </c>
      <c r="Y1600" t="inlineStr"/>
      <c r="Z1600" t="inlineStr">
        <is>
          <t>PROTELECT TRANSFORMADOS,S.A.L.</t>
        </is>
      </c>
      <c r="AA1600" t="inlineStr">
        <is>
          <t>INDRA SISTEMAS S.A.</t>
        </is>
      </c>
      <c r="AB1600" t="inlineStr">
        <is>
          <t>0973585296800</t>
        </is>
      </c>
      <c r="AC1600" t="inlineStr"/>
      <c r="AD1600" s="164" t="n">
        <v>0</v>
      </c>
      <c r="AE1600" s="185" t="n">
        <v>0</v>
      </c>
      <c r="AG1600" s="167" t="inlineStr">
        <is>
          <t>7218|JA2590_1001</t>
        </is>
      </c>
      <c r="AH1600" s="47">
        <f>IF(M1600=0,"-",M1600-J1600)</f>
        <v/>
      </c>
      <c r="AI1600" s="46">
        <f>IF(AND(S1600=0,M1600&gt;0,L1600=0),IF(AH1600&gt;=120,"VERY HIGH",IF(AH1600&gt;=90,"HIGH",IF(AH1600&gt;=60,"MEDIUM",IF(AH1600&lt;60,"LOW")))),"-")</f>
        <v/>
      </c>
      <c r="AJ1600" s="12" t="n"/>
      <c r="AK1600" s="53">
        <f>IF(AND(W1600="X",M1600&lt;=$AJ$2),"YES","")</f>
        <v/>
      </c>
      <c r="AL1600" s="54">
        <f>IF(AND(W1600="X",M1600&lt;=$AJ$2),S1600,"")</f>
        <v/>
      </c>
      <c r="AM1600" s="35" t="n"/>
      <c r="AN1600" s="35">
        <f>IF(AND(W1600="X",M1600&gt;$AJ$2),S1600,"")</f>
        <v/>
      </c>
      <c r="AO1600" s="35">
        <f>IF(AND(W1600="",M1600&gt;0,$AJ$2&gt;M1600,L1600=""),1,0)</f>
        <v/>
      </c>
      <c r="AP1600" s="35">
        <f>IF(AND(AK1600="YES",W1600="X"),"X","")</f>
        <v/>
      </c>
      <c r="AQ1600" s="55">
        <f>IF(AP1600="X",100%,0%)</f>
        <v/>
      </c>
      <c r="AR1600" s="25">
        <f>IF(AND(T1600&gt;0,L1600=""),H1600,"")</f>
        <v/>
      </c>
      <c r="AS1600" s="25">
        <f>IF(AND(D1600&gt;0,H1600=0,G1600=""),1,"")</f>
        <v/>
      </c>
      <c r="AT1600" s="25">
        <f>IF(G1600="BLOQ",1,"")</f>
        <v/>
      </c>
      <c r="AU1600" s="25">
        <f>IF(L1600="BLOQ",1,"")</f>
        <v/>
      </c>
      <c r="AV1600" s="25">
        <f>MONTH(F1600)</f>
        <v/>
      </c>
      <c r="AW1600" s="65">
        <f>IF(AP1600="",100%,0%)</f>
        <v/>
      </c>
      <c r="AX1600" s="56" t="n"/>
      <c r="AY1600" s="24">
        <f>IF(M1600=0,"",M1600-$AX$2)</f>
        <v/>
      </c>
      <c r="AZ1600" s="66">
        <f>IF(AND(W1600="",AY1600&gt;0,AY1600&lt;15),1,0)</f>
        <v/>
      </c>
      <c r="BA1600" s="24">
        <f>IF(AND(W1600="",AY1600&gt;0,AY1600&lt;15),T1600,"")</f>
        <v/>
      </c>
      <c r="BB1600" s="87">
        <f>IF(R1600&lt;Q1600,"X","")</f>
        <v/>
      </c>
      <c r="BC1600" s="191" t="inlineStr">
        <is>
          <t>SI</t>
        </is>
      </c>
      <c r="BD1600" s="191" t="inlineStr">
        <is>
          <t>SI</t>
        </is>
      </c>
    </row>
    <row r="1601" ht="15" customHeight="1" s="162">
      <c r="A1601" s="7" t="n">
        <v>1600</v>
      </c>
      <c r="B1601" t="inlineStr">
        <is>
          <t>0973585296900</t>
        </is>
      </c>
      <c r="C1601" t="inlineStr">
        <is>
          <t>OPTICAL FILTER #3</t>
        </is>
      </c>
      <c r="D1601" t="inlineStr">
        <is>
          <t>1800120813</t>
        </is>
      </c>
      <c r="E1601" t="inlineStr">
        <is>
          <t>30</t>
        </is>
      </c>
      <c r="F1601" s="163" t="n">
        <v>45719</v>
      </c>
      <c r="G1601" t="inlineStr"/>
      <c r="H1601" t="inlineStr">
        <is>
          <t>4200602935</t>
        </is>
      </c>
      <c r="I1601" t="inlineStr">
        <is>
          <t>30</t>
        </is>
      </c>
      <c r="J1601" s="163" t="n">
        <v>45734</v>
      </c>
      <c r="K1601" s="163" t="n">
        <v>45734</v>
      </c>
      <c r="L1601" t="inlineStr"/>
      <c r="M1601" s="163" t="n">
        <v>45866</v>
      </c>
      <c r="N1601" s="164" t="n">
        <v>40</v>
      </c>
      <c r="O1601" s="164" t="n">
        <v>8</v>
      </c>
      <c r="P1601" t="inlineStr">
        <is>
          <t>Liberado</t>
        </is>
      </c>
      <c r="Q1601" s="165" t="n">
        <v>1</v>
      </c>
      <c r="R1601" s="165" t="n">
        <v>1</v>
      </c>
      <c r="S1601" s="165" t="n">
        <v>1</v>
      </c>
      <c r="T1601" s="165" t="n">
        <v>0</v>
      </c>
      <c r="U1601" s="166" t="n">
        <v>1</v>
      </c>
      <c r="V1601" s="166" t="n">
        <v>0</v>
      </c>
      <c r="W1601" t="inlineStr">
        <is>
          <t>X</t>
        </is>
      </c>
      <c r="X1601" t="inlineStr">
        <is>
          <t>0.00</t>
        </is>
      </c>
      <c r="Y1601" t="inlineStr"/>
      <c r="Z1601" t="inlineStr">
        <is>
          <t>PROTELECT TRANSFORMADOS,S.A.L.</t>
        </is>
      </c>
      <c r="AA1601" t="inlineStr">
        <is>
          <t>INDRA SISTEMAS S.A.</t>
        </is>
      </c>
      <c r="AB1601" t="inlineStr">
        <is>
          <t>0973585296900</t>
        </is>
      </c>
      <c r="AC1601" t="inlineStr"/>
      <c r="AD1601" s="164" t="n">
        <v>0</v>
      </c>
      <c r="AE1601" s="185" t="n">
        <v>0</v>
      </c>
      <c r="AG1601" s="167" t="inlineStr">
        <is>
          <t>7218|JA2590_1001</t>
        </is>
      </c>
      <c r="AH1601" s="47">
        <f>IF(M1601=0,"-",M1601-J1601)</f>
        <v/>
      </c>
      <c r="AI1601" s="46">
        <f>IF(AND(S1601=0,M1601&gt;0,L1601=0),IF(AH1601&gt;=120,"VERY HIGH",IF(AH1601&gt;=90,"HIGH",IF(AH1601&gt;=60,"MEDIUM",IF(AH1601&lt;60,"LOW")))),"-")</f>
        <v/>
      </c>
      <c r="AJ1601" s="12" t="n"/>
      <c r="AK1601" s="53">
        <f>IF(AND(W1601="X",M1601&lt;=$AJ$2),"YES","")</f>
        <v/>
      </c>
      <c r="AL1601" s="54">
        <f>IF(AND(W1601="X",M1601&lt;=$AJ$2),S1601,"")</f>
        <v/>
      </c>
      <c r="AM1601" s="35" t="n"/>
      <c r="AN1601" s="35">
        <f>IF(AND(W1601="X",M1601&gt;$AJ$2),S1601,"")</f>
        <v/>
      </c>
      <c r="AO1601" s="35">
        <f>IF(AND(W1601="",M1601&gt;0,$AJ$2&gt;M1601,L1601=""),1,0)</f>
        <v/>
      </c>
      <c r="AP1601" s="35">
        <f>IF(AND(AK1601="YES",W1601="X"),"X","")</f>
        <v/>
      </c>
      <c r="AQ1601" s="55">
        <f>IF(AP1601="X",100%,0%)</f>
        <v/>
      </c>
      <c r="AR1601" s="25">
        <f>IF(AND(T1601&gt;0,L1601=""),H1601,"")</f>
        <v/>
      </c>
      <c r="AS1601" s="25">
        <f>IF(AND(D1601&gt;0,H1601=0,G1601=""),1,"")</f>
        <v/>
      </c>
      <c r="AT1601" s="25">
        <f>IF(G1601="BLOQ",1,"")</f>
        <v/>
      </c>
      <c r="AU1601" s="25">
        <f>IF(L1601="BLOQ",1,"")</f>
        <v/>
      </c>
      <c r="AV1601" s="25">
        <f>MONTH(F1601)</f>
        <v/>
      </c>
      <c r="AW1601" s="65">
        <f>IF(AP1601="",100%,0%)</f>
        <v/>
      </c>
      <c r="AX1601" s="56" t="n"/>
      <c r="AY1601" s="24">
        <f>IF(M1601=0,"",M1601-$AX$2)</f>
        <v/>
      </c>
      <c r="AZ1601" s="66">
        <f>IF(AND(W1601="",AY1601&gt;0,AY1601&lt;15),1,0)</f>
        <v/>
      </c>
      <c r="BA1601" s="24">
        <f>IF(AND(W1601="",AY1601&gt;0,AY1601&lt;15),T1601,"")</f>
        <v/>
      </c>
      <c r="BB1601" s="87">
        <f>IF(R1601&lt;Q1601,"X","")</f>
        <v/>
      </c>
      <c r="BC1601" s="191" t="inlineStr">
        <is>
          <t>SI</t>
        </is>
      </c>
      <c r="BD1601" s="191" t="inlineStr">
        <is>
          <t>SI</t>
        </is>
      </c>
    </row>
    <row r="1602" ht="15" customHeight="1" s="162">
      <c r="A1602" s="7" t="n">
        <v>1601</v>
      </c>
      <c r="B1602" t="inlineStr">
        <is>
          <t>1229508280004</t>
        </is>
      </c>
      <c r="C1602" t="inlineStr">
        <is>
          <t>CBL EQ UTP RJ45-M/M 35FT NEGRO CAT6 LSZH</t>
        </is>
      </c>
      <c r="D1602" t="inlineStr">
        <is>
          <t>1800120814</t>
        </is>
      </c>
      <c r="E1602" t="inlineStr">
        <is>
          <t>10</t>
        </is>
      </c>
      <c r="F1602" s="163" t="n">
        <v>45719</v>
      </c>
      <c r="G1602" t="inlineStr"/>
      <c r="H1602" t="inlineStr">
        <is>
          <t>4200602335</t>
        </is>
      </c>
      <c r="I1602" t="inlineStr">
        <is>
          <t>20</t>
        </is>
      </c>
      <c r="J1602" s="163" t="n">
        <v>45729</v>
      </c>
      <c r="K1602" s="163" t="n">
        <v>45798</v>
      </c>
      <c r="L1602" t="inlineStr"/>
      <c r="M1602" s="163" t="n">
        <v>45743</v>
      </c>
      <c r="N1602" s="164" t="n">
        <v>30</v>
      </c>
      <c r="O1602" s="164" t="n">
        <v>8</v>
      </c>
      <c r="P1602" t="inlineStr">
        <is>
          <t>Liberado</t>
        </is>
      </c>
      <c r="Q1602" s="165" t="n">
        <v>3</v>
      </c>
      <c r="R1602" s="165" t="n">
        <v>3</v>
      </c>
      <c r="S1602" s="165" t="n">
        <v>3</v>
      </c>
      <c r="T1602" s="165" t="n">
        <v>0</v>
      </c>
      <c r="U1602" s="166" t="n">
        <v>3</v>
      </c>
      <c r="V1602" s="166" t="n">
        <v>0</v>
      </c>
      <c r="W1602" t="inlineStr">
        <is>
          <t>X</t>
        </is>
      </c>
      <c r="X1602" t="inlineStr">
        <is>
          <t>0.00</t>
        </is>
      </c>
      <c r="Y1602" t="inlineStr"/>
      <c r="Z1602" t="inlineStr">
        <is>
          <t>OMNIAELECTRONICS, S.L.</t>
        </is>
      </c>
      <c r="AA1602" t="inlineStr">
        <is>
          <t>PACTECH</t>
        </is>
      </c>
      <c r="AB1602" t="inlineStr">
        <is>
          <t>MM-C6K-35-28LSZH-F</t>
        </is>
      </c>
      <c r="AC1602" t="inlineStr"/>
      <c r="AD1602" s="164" t="n">
        <v>0</v>
      </c>
      <c r="AE1602" s="185" t="n">
        <v>0</v>
      </c>
      <c r="AG1602" s="167" t="inlineStr">
        <is>
          <t>7218|JA2585_1001</t>
        </is>
      </c>
      <c r="AH1602" s="47">
        <f>IF(M1602=0,"-",M1602-J1602)</f>
        <v/>
      </c>
      <c r="AI1602" s="46">
        <f>IF(AND(S1602=0,M1602&gt;0,L1602=0),IF(AH1602&gt;=120,"VERY HIGH",IF(AH1602&gt;=90,"HIGH",IF(AH1602&gt;=60,"MEDIUM",IF(AH1602&lt;60,"LOW")))),"-")</f>
        <v/>
      </c>
      <c r="AJ1602" s="12" t="n"/>
      <c r="AK1602" s="53">
        <f>IF(AND(W1602="X",M1602&lt;=$AJ$2),"YES","")</f>
        <v/>
      </c>
      <c r="AL1602" s="54">
        <f>IF(AND(W1602="X",M1602&lt;=$AJ$2),S1602,"")</f>
        <v/>
      </c>
      <c r="AM1602" s="35" t="n"/>
      <c r="AN1602" s="35">
        <f>IF(AND(W1602="X",M1602&gt;$AJ$2),S1602,"")</f>
        <v/>
      </c>
      <c r="AO1602" s="35">
        <f>IF(AND(W1602="",M1602&gt;0,$AJ$2&gt;M1602,L1602=""),1,0)</f>
        <v/>
      </c>
      <c r="AP1602" s="35">
        <f>IF(AND(AK1602="YES",W1602="X"),"X","")</f>
        <v/>
      </c>
      <c r="AQ1602" s="55">
        <f>IF(AP1602="X",100%,0%)</f>
        <v/>
      </c>
      <c r="AR1602" s="25">
        <f>IF(AND(T1602&gt;0,L1602=""),H1602,"")</f>
        <v/>
      </c>
      <c r="AS1602" s="25">
        <f>IF(AND(D1602&gt;0,H1602=0,G1602=""),1,"")</f>
        <v/>
      </c>
      <c r="AT1602" s="25">
        <f>IF(G1602="BLOQ",1,"")</f>
        <v/>
      </c>
      <c r="AU1602" s="25">
        <f>IF(L1602="BLOQ",1,"")</f>
        <v/>
      </c>
      <c r="AV1602" s="25">
        <f>MONTH(F1602)</f>
        <v/>
      </c>
      <c r="AW1602" s="65">
        <f>IF(AP1602="",100%,0%)</f>
        <v/>
      </c>
      <c r="AX1602" s="56" t="n"/>
      <c r="AY1602" s="24">
        <f>IF(M1602=0,"",M1602-$AX$2)</f>
        <v/>
      </c>
      <c r="AZ1602" s="66">
        <f>IF(AND(W1602="",AY1602&gt;0,AY1602&lt;15),1,0)</f>
        <v/>
      </c>
      <c r="BA1602" s="24">
        <f>IF(AND(W1602="",AY1602&gt;0,AY1602&lt;15),T1602,"")</f>
        <v/>
      </c>
      <c r="BB1602" s="87">
        <f>IF(R1602&lt;Q1602,"X","")</f>
        <v/>
      </c>
      <c r="BC1602" s="190" t="inlineStr">
        <is>
          <t>NO</t>
        </is>
      </c>
      <c r="BD1602" s="191" t="inlineStr">
        <is>
          <t>SI</t>
        </is>
      </c>
    </row>
    <row r="1603" ht="15" customHeight="1" s="162">
      <c r="A1603" s="7" t="n">
        <v>1602</v>
      </c>
      <c r="B1603" t="inlineStr">
        <is>
          <t>1229508280008</t>
        </is>
      </c>
      <c r="C1603" t="inlineStr">
        <is>
          <t>CBL EQ UTP RJ45-M/M 15FT NEGRO CAT6 LSZH</t>
        </is>
      </c>
      <c r="D1603" t="inlineStr">
        <is>
          <t>1800120814</t>
        </is>
      </c>
      <c r="E1603" t="inlineStr">
        <is>
          <t>20</t>
        </is>
      </c>
      <c r="F1603" s="163" t="n">
        <v>45719</v>
      </c>
      <c r="G1603" t="inlineStr"/>
      <c r="H1603" t="inlineStr">
        <is>
          <t>4200602355</t>
        </is>
      </c>
      <c r="I1603" t="inlineStr">
        <is>
          <t>10</t>
        </is>
      </c>
      <c r="J1603" s="163" t="n">
        <v>45729</v>
      </c>
      <c r="K1603" s="163" t="n">
        <v>45730</v>
      </c>
      <c r="L1603" t="inlineStr"/>
      <c r="M1603" s="163" t="n">
        <v>45736</v>
      </c>
      <c r="N1603" s="164" t="n">
        <v>50</v>
      </c>
      <c r="O1603" s="164" t="n">
        <v>8</v>
      </c>
      <c r="P1603" t="inlineStr">
        <is>
          <t>Liberado</t>
        </is>
      </c>
      <c r="Q1603" s="165" t="n">
        <v>5</v>
      </c>
      <c r="R1603" s="165" t="n">
        <v>5</v>
      </c>
      <c r="S1603" s="165" t="n">
        <v>5</v>
      </c>
      <c r="T1603" s="165" t="n">
        <v>0</v>
      </c>
      <c r="U1603" s="166" t="n">
        <v>5</v>
      </c>
      <c r="V1603" s="166" t="n">
        <v>0</v>
      </c>
      <c r="W1603" t="inlineStr">
        <is>
          <t>X</t>
        </is>
      </c>
      <c r="X1603" t="inlineStr">
        <is>
          <t>0.00</t>
        </is>
      </c>
      <c r="Y1603" t="inlineStr"/>
      <c r="Z1603" t="inlineStr">
        <is>
          <t>INFORMATICA CALCULO Y TECNICA, S.A.</t>
        </is>
      </c>
      <c r="AA1603" t="inlineStr">
        <is>
          <t>PACTECH</t>
        </is>
      </c>
      <c r="AB1603" t="inlineStr">
        <is>
          <t>MM-C6K-15-28LSZH-F</t>
        </is>
      </c>
      <c r="AC1603" t="inlineStr"/>
      <c r="AD1603" s="164" t="n">
        <v>0</v>
      </c>
      <c r="AE1603" s="185" t="n">
        <v>0</v>
      </c>
      <c r="AG1603" s="167" t="inlineStr">
        <is>
          <t>7218|JA2585_1001</t>
        </is>
      </c>
      <c r="AH1603" s="47">
        <f>IF(M1603=0,"-",M1603-J1603)</f>
        <v/>
      </c>
      <c r="AI1603" s="46">
        <f>IF(AND(S1603=0,M1603&gt;0,L1603=0),IF(AH1603&gt;=120,"VERY HIGH",IF(AH1603&gt;=90,"HIGH",IF(AH1603&gt;=60,"MEDIUM",IF(AH1603&lt;60,"LOW")))),"-")</f>
        <v/>
      </c>
      <c r="AJ1603" s="12" t="n"/>
      <c r="AK1603" s="53">
        <f>IF(AND(W1603="X",M1603&lt;=$AJ$2),"YES","")</f>
        <v/>
      </c>
      <c r="AL1603" s="54">
        <f>IF(AND(W1603="X",M1603&lt;=$AJ$2),S1603,"")</f>
        <v/>
      </c>
      <c r="AM1603" s="35" t="n"/>
      <c r="AN1603" s="35">
        <f>IF(AND(W1603="X",M1603&gt;$AJ$2),S1603,"")</f>
        <v/>
      </c>
      <c r="AO1603" s="35">
        <f>IF(AND(W1603="",M1603&gt;0,$AJ$2&gt;M1603,L1603=""),1,0)</f>
        <v/>
      </c>
      <c r="AP1603" s="35">
        <f>IF(AND(AK1603="YES",W1603="X"),"X","")</f>
        <v/>
      </c>
      <c r="AQ1603" s="55">
        <f>IF(AP1603="X",100%,0%)</f>
        <v/>
      </c>
      <c r="AR1603" s="25">
        <f>IF(AND(T1603&gt;0,L1603=""),H1603,"")</f>
        <v/>
      </c>
      <c r="AS1603" s="25">
        <f>IF(AND(D1603&gt;0,H1603=0,G1603=""),1,"")</f>
        <v/>
      </c>
      <c r="AT1603" s="25">
        <f>IF(G1603="BLOQ",1,"")</f>
        <v/>
      </c>
      <c r="AU1603" s="25">
        <f>IF(L1603="BLOQ",1,"")</f>
        <v/>
      </c>
      <c r="AV1603" s="25">
        <f>MONTH(F1603)</f>
        <v/>
      </c>
      <c r="AW1603" s="65">
        <f>IF(AP1603="",100%,0%)</f>
        <v/>
      </c>
      <c r="AX1603" s="56" t="n"/>
      <c r="AY1603" s="24">
        <f>IF(M1603=0,"",M1603-$AX$2)</f>
        <v/>
      </c>
      <c r="AZ1603" s="66">
        <f>IF(AND(W1603="",AY1603&gt;0,AY1603&lt;15),1,0)</f>
        <v/>
      </c>
      <c r="BA1603" s="24">
        <f>IF(AND(W1603="",AY1603&gt;0,AY1603&lt;15),T1603,"")</f>
        <v/>
      </c>
      <c r="BB1603" s="87">
        <f>IF(R1603&lt;Q1603,"X","")</f>
        <v/>
      </c>
      <c r="BC1603" s="190" t="inlineStr">
        <is>
          <t>NO</t>
        </is>
      </c>
      <c r="BD1603" s="191" t="inlineStr">
        <is>
          <t>SI</t>
        </is>
      </c>
    </row>
    <row r="1604" ht="15" customHeight="1" s="162">
      <c r="A1604" s="7" t="n">
        <v>1603</v>
      </c>
      <c r="B1604" t="inlineStr">
        <is>
          <t>1229508280202</t>
        </is>
      </c>
      <c r="C1604" t="inlineStr">
        <is>
          <t>CBL EQ UTP RJ45-M/M 10FT VERDE CAT6 LSZH</t>
        </is>
      </c>
      <c r="D1604" t="inlineStr">
        <is>
          <t>1800120814</t>
        </is>
      </c>
      <c r="E1604" t="inlineStr">
        <is>
          <t>30</t>
        </is>
      </c>
      <c r="F1604" s="163" t="n">
        <v>45719</v>
      </c>
      <c r="G1604" t="inlineStr"/>
      <c r="H1604" t="inlineStr">
        <is>
          <t>4200602335</t>
        </is>
      </c>
      <c r="I1604" t="inlineStr">
        <is>
          <t>30</t>
        </is>
      </c>
      <c r="J1604" s="163" t="n">
        <v>45729</v>
      </c>
      <c r="K1604" s="163" t="n">
        <v>45798</v>
      </c>
      <c r="L1604" t="inlineStr"/>
      <c r="M1604" s="163" t="n">
        <v>45743</v>
      </c>
      <c r="N1604" s="164" t="n">
        <v>55</v>
      </c>
      <c r="O1604" s="164" t="n">
        <v>8</v>
      </c>
      <c r="P1604" t="inlineStr">
        <is>
          <t>Liberado</t>
        </is>
      </c>
      <c r="Q1604" s="165" t="n">
        <v>4</v>
      </c>
      <c r="R1604" s="165" t="n">
        <v>4</v>
      </c>
      <c r="S1604" s="165" t="n">
        <v>4</v>
      </c>
      <c r="T1604" s="165" t="n">
        <v>0</v>
      </c>
      <c r="U1604" s="166" t="n">
        <v>4</v>
      </c>
      <c r="V1604" s="166" t="n">
        <v>0</v>
      </c>
      <c r="W1604" t="inlineStr">
        <is>
          <t>X</t>
        </is>
      </c>
      <c r="X1604" t="inlineStr">
        <is>
          <t>0.00</t>
        </is>
      </c>
      <c r="Y1604" t="inlineStr"/>
      <c r="Z1604" t="inlineStr">
        <is>
          <t>OMNIAELECTRONICS, S.L.</t>
        </is>
      </c>
      <c r="AA1604" t="inlineStr">
        <is>
          <t>PACTECH</t>
        </is>
      </c>
      <c r="AB1604" t="inlineStr">
        <is>
          <t>MM-C6N-10-28LSZH-F</t>
        </is>
      </c>
      <c r="AC1604" t="inlineStr"/>
      <c r="AD1604" s="164" t="n">
        <v>0</v>
      </c>
      <c r="AE1604" s="185" t="n">
        <v>0</v>
      </c>
      <c r="AG1604" s="167" t="inlineStr">
        <is>
          <t>7218|JA2585_1001</t>
        </is>
      </c>
      <c r="AH1604" s="47">
        <f>IF(M1604=0,"-",M1604-J1604)</f>
        <v/>
      </c>
      <c r="AI1604" s="46">
        <f>IF(AND(S1604=0,M1604&gt;0,L1604=0),IF(AH1604&gt;=120,"VERY HIGH",IF(AH1604&gt;=90,"HIGH",IF(AH1604&gt;=60,"MEDIUM",IF(AH1604&lt;60,"LOW")))),"-")</f>
        <v/>
      </c>
      <c r="AJ1604" s="12" t="n"/>
      <c r="AK1604" s="53">
        <f>IF(AND(W1604="X",M1604&lt;=$AJ$2),"YES","")</f>
        <v/>
      </c>
      <c r="AL1604" s="54">
        <f>IF(AND(W1604="X",M1604&lt;=$AJ$2),S1604,"")</f>
        <v/>
      </c>
      <c r="AM1604" s="35" t="n"/>
      <c r="AN1604" s="35">
        <f>IF(AND(W1604="X",M1604&gt;$AJ$2),S1604,"")</f>
        <v/>
      </c>
      <c r="AO1604" s="35">
        <f>IF(AND(W1604="",M1604&gt;0,$AJ$2&gt;M1604,L1604=""),1,0)</f>
        <v/>
      </c>
      <c r="AP1604" s="35">
        <f>IF(AND(AK1604="YES",W1604="X"),"X","")</f>
        <v/>
      </c>
      <c r="AQ1604" s="55">
        <f>IF(AP1604="X",100%,0%)</f>
        <v/>
      </c>
      <c r="AR1604" s="25">
        <f>IF(AND(T1604&gt;0,L1604=""),H1604,"")</f>
        <v/>
      </c>
      <c r="AS1604" s="25">
        <f>IF(AND(D1604&gt;0,H1604=0,G1604=""),1,"")</f>
        <v/>
      </c>
      <c r="AT1604" s="25">
        <f>IF(G1604="BLOQ",1,"")</f>
        <v/>
      </c>
      <c r="AU1604" s="25">
        <f>IF(L1604="BLOQ",1,"")</f>
        <v/>
      </c>
      <c r="AV1604" s="25">
        <f>MONTH(F1604)</f>
        <v/>
      </c>
      <c r="AW1604" s="65">
        <f>IF(AP1604="",100%,0%)</f>
        <v/>
      </c>
      <c r="AX1604" s="56" t="n"/>
      <c r="AY1604" s="24">
        <f>IF(M1604=0,"",M1604-$AX$2)</f>
        <v/>
      </c>
      <c r="AZ1604" s="66">
        <f>IF(AND(W1604="",AY1604&gt;0,AY1604&lt;15),1,0)</f>
        <v/>
      </c>
      <c r="BA1604" s="24">
        <f>IF(AND(W1604="",AY1604&gt;0,AY1604&lt;15),T1604,"")</f>
        <v/>
      </c>
      <c r="BB1604" s="87">
        <f>IF(R1604&lt;Q1604,"X","")</f>
        <v/>
      </c>
      <c r="BC1604" s="190" t="inlineStr">
        <is>
          <t>NO</t>
        </is>
      </c>
      <c r="BD1604" s="191" t="inlineStr">
        <is>
          <t>SI</t>
        </is>
      </c>
    </row>
    <row r="1605" ht="15" customHeight="1" s="162">
      <c r="A1605" s="7" t="n">
        <v>1604</v>
      </c>
      <c r="B1605" t="inlineStr">
        <is>
          <t>1229508280302</t>
        </is>
      </c>
      <c r="C1605" t="inlineStr">
        <is>
          <t>CBL EQ UTP RJ45-M/M 10FT BLANC CAT6 LSZH</t>
        </is>
      </c>
      <c r="D1605" t="inlineStr">
        <is>
          <t>1800120814</t>
        </is>
      </c>
      <c r="E1605" t="inlineStr">
        <is>
          <t>40</t>
        </is>
      </c>
      <c r="F1605" s="163" t="n">
        <v>45719</v>
      </c>
      <c r="G1605" t="inlineStr"/>
      <c r="H1605" t="inlineStr">
        <is>
          <t>4200601981</t>
        </is>
      </c>
      <c r="I1605" t="inlineStr">
        <is>
          <t>10</t>
        </is>
      </c>
      <c r="J1605" s="163" t="n">
        <v>45727</v>
      </c>
      <c r="K1605" s="163" t="n">
        <v>45729</v>
      </c>
      <c r="L1605" t="inlineStr"/>
      <c r="M1605" s="163" t="n">
        <v>45736</v>
      </c>
      <c r="N1605" s="164" t="n">
        <v>45</v>
      </c>
      <c r="O1605" s="164" t="n">
        <v>8</v>
      </c>
      <c r="P1605" t="inlineStr">
        <is>
          <t>Liberado</t>
        </is>
      </c>
      <c r="Q1605" s="165" t="n">
        <v>5</v>
      </c>
      <c r="R1605" s="165" t="n">
        <v>5</v>
      </c>
      <c r="S1605" s="165" t="n">
        <v>5</v>
      </c>
      <c r="T1605" s="165" t="n">
        <v>0</v>
      </c>
      <c r="U1605" s="166" t="n">
        <v>5</v>
      </c>
      <c r="V1605" s="166" t="n">
        <v>0</v>
      </c>
      <c r="W1605" t="inlineStr">
        <is>
          <t>X</t>
        </is>
      </c>
      <c r="X1605" t="inlineStr">
        <is>
          <t>0.00</t>
        </is>
      </c>
      <c r="Y1605" t="inlineStr"/>
      <c r="Z1605" t="inlineStr">
        <is>
          <t>INFORMATICA CALCULO Y TECNICA, S.A.</t>
        </is>
      </c>
      <c r="AA1605" t="inlineStr">
        <is>
          <t>PACTECH</t>
        </is>
      </c>
      <c r="AB1605" t="inlineStr">
        <is>
          <t>MM-C6W-10-28LSZH-F</t>
        </is>
      </c>
      <c r="AC1605" t="inlineStr"/>
      <c r="AD1605" s="164" t="n">
        <v>0</v>
      </c>
      <c r="AE1605" s="185" t="n">
        <v>0</v>
      </c>
      <c r="AG1605" s="167" t="inlineStr">
        <is>
          <t>7218|JA2585_1001</t>
        </is>
      </c>
      <c r="AH1605" s="47">
        <f>IF(M1605=0,"-",M1605-J1605)</f>
        <v/>
      </c>
      <c r="AI1605" s="46">
        <f>IF(AND(S1605=0,M1605&gt;0,L1605=0),IF(AH1605&gt;=120,"VERY HIGH",IF(AH1605&gt;=90,"HIGH",IF(AH1605&gt;=60,"MEDIUM",IF(AH1605&lt;60,"LOW")))),"-")</f>
        <v/>
      </c>
      <c r="AJ1605" s="12" t="n"/>
      <c r="AK1605" s="53">
        <f>IF(AND(W1605="X",M1605&lt;=$AJ$2),"YES","")</f>
        <v/>
      </c>
      <c r="AL1605" s="54">
        <f>IF(AND(W1605="X",M1605&lt;=$AJ$2),S1605,"")</f>
        <v/>
      </c>
      <c r="AM1605" s="35" t="n"/>
      <c r="AN1605" s="35">
        <f>IF(AND(W1605="X",M1605&gt;$AJ$2),S1605,"")</f>
        <v/>
      </c>
      <c r="AO1605" s="35">
        <f>IF(AND(W1605="",M1605&gt;0,$AJ$2&gt;M1605,L1605=""),1,0)</f>
        <v/>
      </c>
      <c r="AP1605" s="35">
        <f>IF(AND(AK1605="YES",W1605="X"),"X","")</f>
        <v/>
      </c>
      <c r="AQ1605" s="55">
        <f>IF(AP1605="X",100%,0%)</f>
        <v/>
      </c>
      <c r="AR1605" s="25">
        <f>IF(AND(T1605&gt;0,L1605=""),H1605,"")</f>
        <v/>
      </c>
      <c r="AS1605" s="25">
        <f>IF(AND(D1605&gt;0,H1605=0,G1605=""),1,"")</f>
        <v/>
      </c>
      <c r="AT1605" s="25">
        <f>IF(G1605="BLOQ",1,"")</f>
        <v/>
      </c>
      <c r="AU1605" s="25">
        <f>IF(L1605="BLOQ",1,"")</f>
        <v/>
      </c>
      <c r="AV1605" s="25">
        <f>MONTH(F1605)</f>
        <v/>
      </c>
      <c r="AW1605" s="65">
        <f>IF(AP1605="",100%,0%)</f>
        <v/>
      </c>
      <c r="AX1605" s="56" t="n"/>
      <c r="AY1605" s="24">
        <f>IF(M1605=0,"",M1605-$AX$2)</f>
        <v/>
      </c>
      <c r="AZ1605" s="66">
        <f>IF(AND(W1605="",AY1605&gt;0,AY1605&lt;15),1,0)</f>
        <v/>
      </c>
      <c r="BA1605" s="24">
        <f>IF(AND(W1605="",AY1605&gt;0,AY1605&lt;15),T1605,"")</f>
        <v/>
      </c>
      <c r="BB1605" s="87">
        <f>IF(R1605&lt;Q1605,"X","")</f>
        <v/>
      </c>
      <c r="BC1605" s="190" t="inlineStr">
        <is>
          <t>NO</t>
        </is>
      </c>
      <c r="BD1605" s="191" t="inlineStr">
        <is>
          <t>SI</t>
        </is>
      </c>
    </row>
    <row r="1606" ht="15" customHeight="1" s="162">
      <c r="A1606" s="7" t="n">
        <v>1605</v>
      </c>
      <c r="B1606" t="inlineStr">
        <is>
          <t>1229508280303</t>
        </is>
      </c>
      <c r="C1606" t="inlineStr">
        <is>
          <t>CBL EQ UTP RJ45-M/M 20FT BLANC CAT6 LSZH</t>
        </is>
      </c>
      <c r="D1606" t="inlineStr">
        <is>
          <t>1800120814</t>
        </is>
      </c>
      <c r="E1606" t="inlineStr">
        <is>
          <t>50</t>
        </is>
      </c>
      <c r="F1606" s="163" t="n">
        <v>45719</v>
      </c>
      <c r="G1606" t="inlineStr"/>
      <c r="H1606" t="inlineStr">
        <is>
          <t>4200603611</t>
        </is>
      </c>
      <c r="I1606" t="inlineStr">
        <is>
          <t>10</t>
        </is>
      </c>
      <c r="J1606" s="163" t="n">
        <v>45737</v>
      </c>
      <c r="K1606" s="163" t="n">
        <v>45758</v>
      </c>
      <c r="L1606" t="inlineStr">
        <is>
          <t>BORR</t>
        </is>
      </c>
      <c r="M1606" s="163" t="n">
        <v>45762</v>
      </c>
      <c r="N1606" s="164" t="n">
        <v>75</v>
      </c>
      <c r="O1606" s="164" t="n">
        <v>8</v>
      </c>
      <c r="P1606" t="inlineStr"/>
      <c r="Q1606" s="166" t="n">
        <v>3</v>
      </c>
      <c r="R1606" s="166" t="n">
        <v>3</v>
      </c>
      <c r="S1606" s="166" t="n">
        <v>0</v>
      </c>
      <c r="T1606" s="166" t="n">
        <v>3</v>
      </c>
      <c r="U1606" s="166" t="n">
        <v>0</v>
      </c>
      <c r="V1606" s="166" t="n">
        <v>0</v>
      </c>
      <c r="W1606" t="inlineStr"/>
      <c r="X1606" t="inlineStr">
        <is>
          <t>90.00</t>
        </is>
      </c>
      <c r="Y1606" t="inlineStr"/>
      <c r="Z1606" t="inlineStr">
        <is>
          <t>CARTRONIC MEMORY, S.A.</t>
        </is>
      </c>
      <c r="AA1606" t="inlineStr">
        <is>
          <t>PACTECH</t>
        </is>
      </c>
      <c r="AB1606" t="inlineStr">
        <is>
          <t>MM-C6W-20-28LSZH-F</t>
        </is>
      </c>
      <c r="AC1606" t="inlineStr"/>
      <c r="AD1606" s="164" t="n">
        <v>1</v>
      </c>
      <c r="AE1606" s="185" t="n">
        <v>1</v>
      </c>
      <c r="AG1606" s="167" t="inlineStr">
        <is>
          <t>7218|JA2585_1001</t>
        </is>
      </c>
      <c r="AH1606" s="47">
        <f>IF(M1606=0,"-",M1606-J1606)</f>
        <v/>
      </c>
      <c r="AI1606" s="46">
        <f>IF(AND(S1606=0,M1606&gt;0,L1606=0),IF(AH1606&gt;=120,"VERY HIGH",IF(AH1606&gt;=90,"HIGH",IF(AH1606&gt;=60,"MEDIUM",IF(AH1606&lt;60,"LOW")))),"-")</f>
        <v/>
      </c>
      <c r="AJ1606" s="12" t="n"/>
      <c r="AK1606" s="53">
        <f>IF(AND(W1606="X",M1606&lt;=$AJ$2),"YES","")</f>
        <v/>
      </c>
      <c r="AL1606" s="54">
        <f>IF(AND(W1606="X",M1606&lt;=$AJ$2),S1606,"")</f>
        <v/>
      </c>
      <c r="AM1606" s="35" t="n"/>
      <c r="AN1606" s="35">
        <f>IF(AND(W1606="X",M1606&gt;$AJ$2),S1606,"")</f>
        <v/>
      </c>
      <c r="AO1606" s="35">
        <f>IF(AND(W1606="",M1606&gt;0,$AJ$2&gt;M1606,L1606=""),1,0)</f>
        <v/>
      </c>
      <c r="AP1606" s="35">
        <f>IF(AND(AK1606="YES",W1606="X"),"X","")</f>
        <v/>
      </c>
      <c r="AQ1606" s="55">
        <f>IF(AP1606="X",100%,0%)</f>
        <v/>
      </c>
      <c r="AR1606" s="25">
        <f>IF(AND(T1606&gt;0,L1606=""),H1606,"")</f>
        <v/>
      </c>
      <c r="AS1606" s="25">
        <f>IF(AND(D1606&gt;0,H1606=0,G1606=""),1,"")</f>
        <v/>
      </c>
      <c r="AT1606" s="25">
        <f>IF(G1606="BLOQ",1,"")</f>
        <v/>
      </c>
      <c r="AU1606" s="25">
        <f>IF(L1606="BLOQ",1,"")</f>
        <v/>
      </c>
      <c r="AV1606" s="25">
        <f>MONTH(F1606)</f>
        <v/>
      </c>
      <c r="AW1606" s="65">
        <f>IF(AP1606="",100%,0%)</f>
        <v/>
      </c>
      <c r="AX1606" s="56" t="n"/>
      <c r="AY1606" s="24">
        <f>IF(M1606=0,"",M1606-$AX$2)</f>
        <v/>
      </c>
      <c r="AZ1606" s="66">
        <f>IF(AND(W1606="",AY1606&gt;0,AY1606&lt;15),1,0)</f>
        <v/>
      </c>
      <c r="BA1606" s="24">
        <f>IF(AND(W1606="",AY1606&gt;0,AY1606&lt;15),T1606,"")</f>
        <v/>
      </c>
      <c r="BB1606" s="87">
        <f>IF(R1606&lt;Q1606,"X","")</f>
        <v/>
      </c>
      <c r="BC1606" s="190" t="inlineStr">
        <is>
          <t>NO</t>
        </is>
      </c>
      <c r="BD1606" s="191" t="inlineStr">
        <is>
          <t>SI</t>
        </is>
      </c>
    </row>
    <row r="1607" ht="15" customHeight="1" s="162">
      <c r="A1607" s="7" t="n">
        <v>1606</v>
      </c>
      <c r="B1607" t="inlineStr">
        <is>
          <t>1229508280303</t>
        </is>
      </c>
      <c r="C1607" t="inlineStr">
        <is>
          <t>CBL EQ UTP RJ45-M/M 20FT BLANC CAT6 LSZH</t>
        </is>
      </c>
      <c r="D1607" t="inlineStr">
        <is>
          <t>1800120814</t>
        </is>
      </c>
      <c r="E1607" t="inlineStr">
        <is>
          <t>50</t>
        </is>
      </c>
      <c r="F1607" s="163" t="n">
        <v>45719</v>
      </c>
      <c r="G1607" t="inlineStr"/>
      <c r="H1607" t="inlineStr">
        <is>
          <t>4200615654</t>
        </is>
      </c>
      <c r="I1607" t="inlineStr">
        <is>
          <t>20</t>
        </is>
      </c>
      <c r="J1607" s="163" t="n">
        <v>45821</v>
      </c>
      <c r="K1607" s="163" t="n">
        <v>45821</v>
      </c>
      <c r="L1607" t="inlineStr"/>
      <c r="M1607" s="163" t="n">
        <v>45838</v>
      </c>
      <c r="N1607" s="164" t="n">
        <v>75</v>
      </c>
      <c r="O1607" s="164" t="n">
        <v>8</v>
      </c>
      <c r="P1607" t="inlineStr">
        <is>
          <t>Liberado</t>
        </is>
      </c>
      <c r="Q1607" s="165" t="n">
        <v>3</v>
      </c>
      <c r="R1607" s="165" t="n">
        <v>3</v>
      </c>
      <c r="S1607" s="165" t="n">
        <v>3</v>
      </c>
      <c r="T1607" s="165" t="n">
        <v>0</v>
      </c>
      <c r="U1607" s="166" t="n">
        <v>3</v>
      </c>
      <c r="V1607" s="166" t="n">
        <v>0</v>
      </c>
      <c r="W1607" t="inlineStr">
        <is>
          <t>X</t>
        </is>
      </c>
      <c r="X1607" t="inlineStr">
        <is>
          <t>0.00</t>
        </is>
      </c>
      <c r="Y1607" t="inlineStr"/>
      <c r="Z1607" t="inlineStr">
        <is>
          <t>INFORMATICA CALCULO Y TECNICA, S.A.</t>
        </is>
      </c>
      <c r="AA1607" t="inlineStr">
        <is>
          <t>PACTECH</t>
        </is>
      </c>
      <c r="AB1607" t="inlineStr">
        <is>
          <t>MM-C6W-20-28LSZH-F</t>
        </is>
      </c>
      <c r="AC1607" t="inlineStr"/>
      <c r="AD1607" s="164" t="n">
        <v>0</v>
      </c>
      <c r="AE1607" s="185" t="n">
        <v>0</v>
      </c>
      <c r="AG1607" s="167" t="inlineStr">
        <is>
          <t>7218|JA2585_1001</t>
        </is>
      </c>
      <c r="AH1607" s="47">
        <f>IF(M1607=0,"-",M1607-J1607)</f>
        <v/>
      </c>
      <c r="AI1607" s="46">
        <f>IF(AND(S1607=0,M1607&gt;0,L1607=0),IF(AH1607&gt;=120,"VERY HIGH",IF(AH1607&gt;=90,"HIGH",IF(AH1607&gt;=60,"MEDIUM",IF(AH1607&lt;60,"LOW")))),"-")</f>
        <v/>
      </c>
      <c r="AJ1607" s="12" t="n"/>
      <c r="AK1607" s="53">
        <f>IF(AND(W1607="X",M1607&lt;=$AJ$2),"YES","")</f>
        <v/>
      </c>
      <c r="AL1607" s="54">
        <f>IF(AND(W1607="X",M1607&lt;=$AJ$2),S1607,"")</f>
        <v/>
      </c>
      <c r="AM1607" s="35" t="n"/>
      <c r="AN1607" s="35">
        <f>IF(AND(W1607="X",M1607&gt;$AJ$2),S1607,"")</f>
        <v/>
      </c>
      <c r="AO1607" s="35">
        <f>IF(AND(W1607="",M1607&gt;0,$AJ$2&gt;M1607,L1607=""),1,0)</f>
        <v/>
      </c>
      <c r="AP1607" s="35">
        <f>IF(AND(AK1607="YES",W1607="X"),"X","")</f>
        <v/>
      </c>
      <c r="AQ1607" s="55">
        <f>IF(AP1607="X",100%,0%)</f>
        <v/>
      </c>
      <c r="AR1607" s="25">
        <f>IF(AND(T1607&gt;0,L1607=""),H1607,"")</f>
        <v/>
      </c>
      <c r="AS1607" s="25">
        <f>IF(AND(D1607&gt;0,H1607=0,G1607=""),1,"")</f>
        <v/>
      </c>
      <c r="AT1607" s="25">
        <f>IF(G1607="BLOQ",1,"")</f>
        <v/>
      </c>
      <c r="AU1607" s="25">
        <f>IF(L1607="BLOQ",1,"")</f>
        <v/>
      </c>
      <c r="AV1607" s="25">
        <f>MONTH(F1607)</f>
        <v/>
      </c>
      <c r="AW1607" s="65">
        <f>IF(AP1607="",100%,0%)</f>
        <v/>
      </c>
      <c r="AX1607" s="56" t="n"/>
      <c r="AY1607" s="24">
        <f>IF(M1607=0,"",M1607-$AX$2)</f>
        <v/>
      </c>
      <c r="AZ1607" s="66">
        <f>IF(AND(W1607="",AY1607&gt;0,AY1607&lt;15),1,0)</f>
        <v/>
      </c>
      <c r="BA1607" s="24">
        <f>IF(AND(W1607="",AY1607&gt;0,AY1607&lt;15),T1607,"")</f>
        <v/>
      </c>
      <c r="BB1607" s="87">
        <f>IF(R1607&lt;Q1607,"X","")</f>
        <v/>
      </c>
      <c r="BC1607" s="190" t="inlineStr">
        <is>
          <t>NO</t>
        </is>
      </c>
      <c r="BD1607" s="191" t="inlineStr">
        <is>
          <t>SI</t>
        </is>
      </c>
    </row>
    <row r="1608" ht="15" customHeight="1" s="162">
      <c r="A1608" s="7" t="n">
        <v>1607</v>
      </c>
      <c r="B1608" t="inlineStr">
        <is>
          <t>1229508280304</t>
        </is>
      </c>
      <c r="C1608" t="inlineStr">
        <is>
          <t>CBL EQ UTP RJ45-M/M 35FT BLANC CAT6 LSZH</t>
        </is>
      </c>
      <c r="D1608" t="inlineStr">
        <is>
          <t>1800120814</t>
        </is>
      </c>
      <c r="E1608" t="inlineStr">
        <is>
          <t>60</t>
        </is>
      </c>
      <c r="F1608" s="163" t="n">
        <v>45719</v>
      </c>
      <c r="G1608" t="inlineStr"/>
      <c r="H1608" t="inlineStr">
        <is>
          <t>4200601981</t>
        </is>
      </c>
      <c r="I1608" t="inlineStr">
        <is>
          <t>20</t>
        </is>
      </c>
      <c r="J1608" s="163" t="n">
        <v>45727</v>
      </c>
      <c r="K1608" s="163" t="n">
        <v>45729</v>
      </c>
      <c r="L1608" t="inlineStr"/>
      <c r="M1608" s="163" t="n">
        <v>45736</v>
      </c>
      <c r="N1608" s="164" t="n">
        <v>105</v>
      </c>
      <c r="O1608" s="164" t="n">
        <v>8</v>
      </c>
      <c r="P1608" t="inlineStr">
        <is>
          <t>Liberado</t>
        </is>
      </c>
      <c r="Q1608" s="165" t="n">
        <v>4</v>
      </c>
      <c r="R1608" s="165" t="n">
        <v>4</v>
      </c>
      <c r="S1608" s="165" t="n">
        <v>4</v>
      </c>
      <c r="T1608" s="165" t="n">
        <v>0</v>
      </c>
      <c r="U1608" s="166" t="n">
        <v>4</v>
      </c>
      <c r="V1608" s="166" t="n">
        <v>0</v>
      </c>
      <c r="W1608" t="inlineStr">
        <is>
          <t>X</t>
        </is>
      </c>
      <c r="X1608" t="inlineStr">
        <is>
          <t>0.00</t>
        </is>
      </c>
      <c r="Y1608" t="inlineStr"/>
      <c r="Z1608" t="inlineStr">
        <is>
          <t>INFORMATICA CALCULO Y TECNICA, S.A.</t>
        </is>
      </c>
      <c r="AA1608" t="inlineStr">
        <is>
          <t>PACTECH</t>
        </is>
      </c>
      <c r="AB1608" t="inlineStr">
        <is>
          <t>MM-C6W-35-28LSZH-F</t>
        </is>
      </c>
      <c r="AC1608" t="inlineStr"/>
      <c r="AD1608" s="164" t="n">
        <v>0</v>
      </c>
      <c r="AE1608" s="185" t="n">
        <v>0</v>
      </c>
      <c r="AG1608" s="167" t="inlineStr">
        <is>
          <t>7218|JA2585_1001</t>
        </is>
      </c>
      <c r="AH1608" s="47">
        <f>IF(M1608=0,"-",M1608-J1608)</f>
        <v/>
      </c>
      <c r="AI1608" s="46">
        <f>IF(AND(S1608=0,M1608&gt;0,L1608=0),IF(AH1608&gt;=120,"VERY HIGH",IF(AH1608&gt;=90,"HIGH",IF(AH1608&gt;=60,"MEDIUM",IF(AH1608&lt;60,"LOW")))),"-")</f>
        <v/>
      </c>
      <c r="AJ1608" s="12" t="n"/>
      <c r="AK1608" s="53">
        <f>IF(AND(W1608="X",M1608&lt;=$AJ$2),"YES","")</f>
        <v/>
      </c>
      <c r="AL1608" s="54">
        <f>IF(AND(W1608="X",M1608&lt;=$AJ$2),S1608,"")</f>
        <v/>
      </c>
      <c r="AM1608" s="35" t="n"/>
      <c r="AN1608" s="35">
        <f>IF(AND(W1608="X",M1608&gt;$AJ$2),S1608,"")</f>
        <v/>
      </c>
      <c r="AO1608" s="35">
        <f>IF(AND(W1608="",M1608&gt;0,$AJ$2&gt;M1608,L1608=""),1,0)</f>
        <v/>
      </c>
      <c r="AP1608" s="35">
        <f>IF(AND(AK1608="YES",W1608="X"),"X","")</f>
        <v/>
      </c>
      <c r="AQ1608" s="55">
        <f>IF(AP1608="X",100%,0%)</f>
        <v/>
      </c>
      <c r="AR1608" s="25">
        <f>IF(AND(T1608&gt;0,L1608=""),H1608,"")</f>
        <v/>
      </c>
      <c r="AS1608" s="25">
        <f>IF(AND(D1608&gt;0,H1608=0,G1608=""),1,"")</f>
        <v/>
      </c>
      <c r="AT1608" s="25">
        <f>IF(G1608="BLOQ",1,"")</f>
        <v/>
      </c>
      <c r="AU1608" s="25">
        <f>IF(L1608="BLOQ",1,"")</f>
        <v/>
      </c>
      <c r="AV1608" s="25">
        <f>MONTH(F1608)</f>
        <v/>
      </c>
      <c r="AW1608" s="65">
        <f>IF(AP1608="",100%,0%)</f>
        <v/>
      </c>
      <c r="AX1608" s="56" t="n"/>
      <c r="AY1608" s="24">
        <f>IF(M1608=0,"",M1608-$AX$2)</f>
        <v/>
      </c>
      <c r="AZ1608" s="66">
        <f>IF(AND(W1608="",AY1608&gt;0,AY1608&lt;15),1,0)</f>
        <v/>
      </c>
      <c r="BA1608" s="24">
        <f>IF(AND(W1608="",AY1608&gt;0,AY1608&lt;15),T1608,"")</f>
        <v/>
      </c>
      <c r="BB1608" s="87">
        <f>IF(R1608&lt;Q1608,"X","")</f>
        <v/>
      </c>
      <c r="BC1608" s="190" t="inlineStr">
        <is>
          <t>NO</t>
        </is>
      </c>
      <c r="BD1608" s="191" t="inlineStr">
        <is>
          <t>SI</t>
        </is>
      </c>
    </row>
    <row r="1609" ht="15" customHeight="1" s="162">
      <c r="A1609" s="7" t="n">
        <v>1608</v>
      </c>
      <c r="B1609" t="inlineStr">
        <is>
          <t>1229508280504</t>
        </is>
      </c>
      <c r="C1609" t="inlineStr">
        <is>
          <t>CBL EQ UTP RJ45-M/M 35FT AMAR CAT6 LSZH</t>
        </is>
      </c>
      <c r="D1609" t="inlineStr">
        <is>
          <t>1800120814</t>
        </is>
      </c>
      <c r="E1609" t="inlineStr">
        <is>
          <t>70</t>
        </is>
      </c>
      <c r="F1609" s="163" t="n">
        <v>45719</v>
      </c>
      <c r="G1609" t="inlineStr"/>
      <c r="H1609" t="inlineStr">
        <is>
          <t>4200601981</t>
        </is>
      </c>
      <c r="I1609" t="inlineStr">
        <is>
          <t>30</t>
        </is>
      </c>
      <c r="J1609" s="163" t="n">
        <v>45727</v>
      </c>
      <c r="K1609" s="163" t="n">
        <v>45729</v>
      </c>
      <c r="L1609" t="inlineStr"/>
      <c r="M1609" s="163" t="n">
        <v>45736</v>
      </c>
      <c r="N1609" s="164" t="n">
        <v>60</v>
      </c>
      <c r="O1609" s="164" t="n">
        <v>8</v>
      </c>
      <c r="P1609" t="inlineStr">
        <is>
          <t>Liberado</t>
        </is>
      </c>
      <c r="Q1609" s="165" t="n">
        <v>4</v>
      </c>
      <c r="R1609" s="165" t="n">
        <v>4</v>
      </c>
      <c r="S1609" s="165" t="n">
        <v>4</v>
      </c>
      <c r="T1609" s="165" t="n">
        <v>0</v>
      </c>
      <c r="U1609" s="166" t="n">
        <v>4</v>
      </c>
      <c r="V1609" s="166" t="n">
        <v>0</v>
      </c>
      <c r="W1609" t="inlineStr">
        <is>
          <t>X</t>
        </is>
      </c>
      <c r="X1609" t="inlineStr">
        <is>
          <t>0.00</t>
        </is>
      </c>
      <c r="Y1609" t="inlineStr"/>
      <c r="Z1609" t="inlineStr">
        <is>
          <t>INFORMATICA CALCULO Y TECNICA, S.A.</t>
        </is>
      </c>
      <c r="AA1609" t="inlineStr">
        <is>
          <t>PACTECH</t>
        </is>
      </c>
      <c r="AB1609" t="inlineStr">
        <is>
          <t>MM-C6Y-35-28LSZH-F</t>
        </is>
      </c>
      <c r="AC1609" t="inlineStr"/>
      <c r="AD1609" s="164" t="n">
        <v>0</v>
      </c>
      <c r="AE1609" s="185" t="n">
        <v>0</v>
      </c>
      <c r="AG1609" s="167" t="inlineStr">
        <is>
          <t>7218|JA2585_1001</t>
        </is>
      </c>
      <c r="AH1609" s="47">
        <f>IF(M1609=0,"-",M1609-J1609)</f>
        <v/>
      </c>
      <c r="AI1609" s="46">
        <f>IF(AND(S1609=0,M1609&gt;0,L1609=0),IF(AH1609&gt;=120,"VERY HIGH",IF(AH1609&gt;=90,"HIGH",IF(AH1609&gt;=60,"MEDIUM",IF(AH1609&lt;60,"LOW")))),"-")</f>
        <v/>
      </c>
      <c r="AJ1609" s="12" t="n"/>
      <c r="AK1609" s="53">
        <f>IF(AND(W1609="X",M1609&lt;=$AJ$2),"YES","")</f>
        <v/>
      </c>
      <c r="AL1609" s="54">
        <f>IF(AND(W1609="X",M1609&lt;=$AJ$2),S1609,"")</f>
        <v/>
      </c>
      <c r="AM1609" s="35" t="n"/>
      <c r="AN1609" s="35">
        <f>IF(AND(W1609="X",M1609&gt;$AJ$2),S1609,"")</f>
        <v/>
      </c>
      <c r="AO1609" s="35">
        <f>IF(AND(W1609="",M1609&gt;0,$AJ$2&gt;M1609,L1609=""),1,0)</f>
        <v/>
      </c>
      <c r="AP1609" s="35">
        <f>IF(AND(AK1609="YES",W1609="X"),"X","")</f>
        <v/>
      </c>
      <c r="AQ1609" s="55">
        <f>IF(AP1609="X",100%,0%)</f>
        <v/>
      </c>
      <c r="AR1609" s="25">
        <f>IF(AND(T1609&gt;0,L1609=""),H1609,"")</f>
        <v/>
      </c>
      <c r="AS1609" s="25">
        <f>IF(AND(D1609&gt;0,H1609=0,G1609=""),1,"")</f>
        <v/>
      </c>
      <c r="AT1609" s="25">
        <f>IF(G1609="BLOQ",1,"")</f>
        <v/>
      </c>
      <c r="AU1609" s="25">
        <f>IF(L1609="BLOQ",1,"")</f>
        <v/>
      </c>
      <c r="AV1609" s="25">
        <f>MONTH(F1609)</f>
        <v/>
      </c>
      <c r="AW1609" s="65">
        <f>IF(AP1609="",100%,0%)</f>
        <v/>
      </c>
      <c r="AX1609" s="56" t="n"/>
      <c r="AY1609" s="24">
        <f>IF(M1609=0,"",M1609-$AX$2)</f>
        <v/>
      </c>
      <c r="AZ1609" s="66">
        <f>IF(AND(W1609="",AY1609&gt;0,AY1609&lt;15),1,0)</f>
        <v/>
      </c>
      <c r="BA1609" s="24">
        <f>IF(AND(W1609="",AY1609&gt;0,AY1609&lt;15),T1609,"")</f>
        <v/>
      </c>
      <c r="BB1609" s="87">
        <f>IF(R1609&lt;Q1609,"X","")</f>
        <v/>
      </c>
      <c r="BC1609" s="190" t="inlineStr">
        <is>
          <t>NO</t>
        </is>
      </c>
      <c r="BD1609" s="191" t="inlineStr">
        <is>
          <t>SI</t>
        </is>
      </c>
    </row>
    <row r="1610" ht="15" customHeight="1" s="162">
      <c r="A1610" s="7" t="n">
        <v>1609</v>
      </c>
      <c r="B1610" t="inlineStr">
        <is>
          <t>1229508280704</t>
        </is>
      </c>
      <c r="C1610" t="inlineStr">
        <is>
          <t>CBL EQ UTP RJ45-M/M 35FT NARAN CAT6 LSZH</t>
        </is>
      </c>
      <c r="D1610" t="inlineStr">
        <is>
          <t>1800120814</t>
        </is>
      </c>
      <c r="E1610" t="inlineStr">
        <is>
          <t>80</t>
        </is>
      </c>
      <c r="F1610" s="163" t="n">
        <v>45719</v>
      </c>
      <c r="G1610" t="inlineStr"/>
      <c r="H1610" t="inlineStr">
        <is>
          <t>4200601981</t>
        </is>
      </c>
      <c r="I1610" t="inlineStr">
        <is>
          <t>40</t>
        </is>
      </c>
      <c r="J1610" s="163" t="n">
        <v>45727</v>
      </c>
      <c r="K1610" s="163" t="n">
        <v>45729</v>
      </c>
      <c r="L1610" t="inlineStr"/>
      <c r="M1610" s="163" t="n">
        <v>45736</v>
      </c>
      <c r="N1610" s="164" t="n">
        <v>105</v>
      </c>
      <c r="O1610" s="164" t="n">
        <v>8</v>
      </c>
      <c r="P1610" t="inlineStr">
        <is>
          <t>Liberado</t>
        </is>
      </c>
      <c r="Q1610" s="165" t="n">
        <v>10</v>
      </c>
      <c r="R1610" s="165" t="n">
        <v>10</v>
      </c>
      <c r="S1610" s="165" t="n">
        <v>10</v>
      </c>
      <c r="T1610" s="165" t="n">
        <v>0</v>
      </c>
      <c r="U1610" s="166" t="n">
        <v>10</v>
      </c>
      <c r="V1610" s="166" t="n">
        <v>0</v>
      </c>
      <c r="W1610" t="inlineStr">
        <is>
          <t>X</t>
        </is>
      </c>
      <c r="X1610" t="inlineStr">
        <is>
          <t>0.00</t>
        </is>
      </c>
      <c r="Y1610" t="inlineStr"/>
      <c r="Z1610" t="inlineStr">
        <is>
          <t>INFORMATICA CALCULO Y TECNICA, S.A.</t>
        </is>
      </c>
      <c r="AA1610" t="inlineStr">
        <is>
          <t>PACTECH</t>
        </is>
      </c>
      <c r="AB1610" t="inlineStr">
        <is>
          <t>MM-C6O-35-28LSZH-F</t>
        </is>
      </c>
      <c r="AC1610" t="inlineStr"/>
      <c r="AD1610" s="164" t="n">
        <v>0</v>
      </c>
      <c r="AE1610" s="185" t="n">
        <v>0</v>
      </c>
      <c r="AG1610" s="167" t="inlineStr">
        <is>
          <t>7218|JA2585_1001</t>
        </is>
      </c>
      <c r="AH1610" s="47">
        <f>IF(M1610=0,"-",M1610-J1610)</f>
        <v/>
      </c>
      <c r="AI1610" s="46">
        <f>IF(AND(S1610=0,M1610&gt;0,L1610=0),IF(AH1610&gt;=120,"VERY HIGH",IF(AH1610&gt;=90,"HIGH",IF(AH1610&gt;=60,"MEDIUM",IF(AH1610&lt;60,"LOW")))),"-")</f>
        <v/>
      </c>
      <c r="AJ1610" s="12" t="n"/>
      <c r="AK1610" s="53">
        <f>IF(AND(W1610="X",M1610&lt;=$AJ$2),"YES","")</f>
        <v/>
      </c>
      <c r="AL1610" s="54">
        <f>IF(AND(W1610="X",M1610&lt;=$AJ$2),S1610,"")</f>
        <v/>
      </c>
      <c r="AM1610" s="35" t="n"/>
      <c r="AN1610" s="35">
        <f>IF(AND(W1610="X",M1610&gt;$AJ$2),S1610,"")</f>
        <v/>
      </c>
      <c r="AO1610" s="35">
        <f>IF(AND(W1610="",M1610&gt;0,$AJ$2&gt;M1610,L1610=""),1,0)</f>
        <v/>
      </c>
      <c r="AP1610" s="35">
        <f>IF(AND(AK1610="YES",W1610="X"),"X","")</f>
        <v/>
      </c>
      <c r="AQ1610" s="55">
        <f>IF(AP1610="X",100%,0%)</f>
        <v/>
      </c>
      <c r="AR1610" s="25">
        <f>IF(AND(T1610&gt;0,L1610=""),H1610,"")</f>
        <v/>
      </c>
      <c r="AS1610" s="25">
        <f>IF(AND(D1610&gt;0,H1610=0,G1610=""),1,"")</f>
        <v/>
      </c>
      <c r="AT1610" s="25">
        <f>IF(G1610="BLOQ",1,"")</f>
        <v/>
      </c>
      <c r="AU1610" s="25">
        <f>IF(L1610="BLOQ",1,"")</f>
        <v/>
      </c>
      <c r="AV1610" s="25">
        <f>MONTH(F1610)</f>
        <v/>
      </c>
      <c r="AW1610" s="65">
        <f>IF(AP1610="",100%,0%)</f>
        <v/>
      </c>
      <c r="AX1610" s="56" t="n"/>
      <c r="AY1610" s="24">
        <f>IF(M1610=0,"",M1610-$AX$2)</f>
        <v/>
      </c>
      <c r="AZ1610" s="66">
        <f>IF(AND(W1610="",AY1610&gt;0,AY1610&lt;15),1,0)</f>
        <v/>
      </c>
      <c r="BA1610" s="24">
        <f>IF(AND(W1610="",AY1610&gt;0,AY1610&lt;15),T1610,"")</f>
        <v/>
      </c>
      <c r="BB1610" s="87">
        <f>IF(R1610&lt;Q1610,"X","")</f>
        <v/>
      </c>
      <c r="BC1610" s="190" t="inlineStr">
        <is>
          <t>NO</t>
        </is>
      </c>
      <c r="BD1610" s="191" t="inlineStr">
        <is>
          <t>SI</t>
        </is>
      </c>
    </row>
    <row r="1611" ht="15" customHeight="1" s="162">
      <c r="A1611" s="7" t="n">
        <v>1610</v>
      </c>
      <c r="B1611" t="inlineStr">
        <is>
          <t>3210506270100</t>
        </is>
      </c>
      <c r="C1611" t="inlineStr">
        <is>
          <t>ADAPT ETH USB-C-M/RJ45-H BLANC CBL=145MM</t>
        </is>
      </c>
      <c r="D1611" t="inlineStr">
        <is>
          <t>1800120814</t>
        </is>
      </c>
      <c r="E1611" t="inlineStr">
        <is>
          <t>90</t>
        </is>
      </c>
      <c r="F1611" s="163" t="n">
        <v>45719</v>
      </c>
      <c r="G1611" t="inlineStr"/>
      <c r="H1611" t="inlineStr">
        <is>
          <t>4200601677</t>
        </is>
      </c>
      <c r="I1611" t="inlineStr">
        <is>
          <t>10</t>
        </is>
      </c>
      <c r="J1611" s="163" t="n">
        <v>45726</v>
      </c>
      <c r="K1611" s="163" t="n">
        <v>45726</v>
      </c>
      <c r="L1611" t="inlineStr"/>
      <c r="M1611" s="163" t="n">
        <v>45736</v>
      </c>
      <c r="N1611" s="164" t="n">
        <v>40</v>
      </c>
      <c r="O1611" s="164" t="n">
        <v>8</v>
      </c>
      <c r="P1611" t="inlineStr">
        <is>
          <t>Liberado</t>
        </is>
      </c>
      <c r="Q1611" s="165" t="n">
        <v>1</v>
      </c>
      <c r="R1611" s="165" t="n">
        <v>1</v>
      </c>
      <c r="S1611" s="165" t="n">
        <v>1</v>
      </c>
      <c r="T1611" s="165" t="n">
        <v>0</v>
      </c>
      <c r="U1611" s="166" t="n">
        <v>0</v>
      </c>
      <c r="V1611" s="166" t="n">
        <v>0</v>
      </c>
      <c r="W1611" t="inlineStr">
        <is>
          <t>X</t>
        </is>
      </c>
      <c r="X1611" t="inlineStr">
        <is>
          <t>0.00</t>
        </is>
      </c>
      <c r="Y1611" t="inlineStr"/>
      <c r="Z1611" t="inlineStr">
        <is>
          <t>CARTRONIC MEMORY, S.A.</t>
        </is>
      </c>
      <c r="AA1611" t="inlineStr">
        <is>
          <t>STARTECH.COM LTD</t>
        </is>
      </c>
      <c r="AB1611" t="inlineStr">
        <is>
          <t>US1GC30W</t>
        </is>
      </c>
      <c r="AC1611" t="inlineStr"/>
      <c r="AD1611" s="164" t="n">
        <v>0</v>
      </c>
      <c r="AE1611" s="185" t="n">
        <v>0</v>
      </c>
      <c r="AG1611" s="167" t="inlineStr">
        <is>
          <t>7218|JA2585_1001</t>
        </is>
      </c>
      <c r="AH1611" s="47">
        <f>IF(M1611=0,"-",M1611-J1611)</f>
        <v/>
      </c>
      <c r="AI1611" s="46">
        <f>IF(AND(S1611=0,M1611&gt;0,L1611=0),IF(AH1611&gt;=120,"VERY HIGH",IF(AH1611&gt;=90,"HIGH",IF(AH1611&gt;=60,"MEDIUM",IF(AH1611&lt;60,"LOW")))),"-")</f>
        <v/>
      </c>
      <c r="AJ1611" s="12" t="n"/>
      <c r="AK1611" s="53">
        <f>IF(AND(W1611="X",M1611&lt;=$AJ$2),"YES","")</f>
        <v/>
      </c>
      <c r="AL1611" s="54">
        <f>IF(AND(W1611="X",M1611&lt;=$AJ$2),S1611,"")</f>
        <v/>
      </c>
      <c r="AM1611" s="35" t="n"/>
      <c r="AN1611" s="35">
        <f>IF(AND(W1611="X",M1611&gt;$AJ$2),S1611,"")</f>
        <v/>
      </c>
      <c r="AO1611" s="35">
        <f>IF(AND(W1611="",M1611&gt;0,$AJ$2&gt;M1611,L1611=""),1,0)</f>
        <v/>
      </c>
      <c r="AP1611" s="35">
        <f>IF(AND(AK1611="YES",W1611="X"),"X","")</f>
        <v/>
      </c>
      <c r="AQ1611" s="55">
        <f>IF(AP1611="X",100%,0%)</f>
        <v/>
      </c>
      <c r="AR1611" s="25">
        <f>IF(AND(T1611&gt;0,L1611=""),H1611,"")</f>
        <v/>
      </c>
      <c r="AS1611" s="25">
        <f>IF(AND(D1611&gt;0,H1611=0,G1611=""),1,"")</f>
        <v/>
      </c>
      <c r="AT1611" s="25">
        <f>IF(G1611="BLOQ",1,"")</f>
        <v/>
      </c>
      <c r="AU1611" s="25">
        <f>IF(L1611="BLOQ",1,"")</f>
        <v/>
      </c>
      <c r="AV1611" s="25">
        <f>MONTH(F1611)</f>
        <v/>
      </c>
      <c r="AW1611" s="65">
        <f>IF(AP1611="",100%,0%)</f>
        <v/>
      </c>
      <c r="AX1611" s="56" t="n"/>
      <c r="AY1611" s="24">
        <f>IF(M1611=0,"",M1611-$AX$2)</f>
        <v/>
      </c>
      <c r="AZ1611" s="66">
        <f>IF(AND(W1611="",AY1611&gt;0,AY1611&lt;15),1,0)</f>
        <v/>
      </c>
      <c r="BA1611" s="24">
        <f>IF(AND(W1611="",AY1611&gt;0,AY1611&lt;15),T1611,"")</f>
        <v/>
      </c>
      <c r="BB1611" s="87">
        <f>IF(R1611&lt;Q1611,"X","")</f>
        <v/>
      </c>
      <c r="BC1611" s="190" t="inlineStr">
        <is>
          <t>NO</t>
        </is>
      </c>
      <c r="BD1611" s="191" t="inlineStr">
        <is>
          <t>SI</t>
        </is>
      </c>
    </row>
    <row r="1612" ht="15" customHeight="1" s="162">
      <c r="A1612" s="7" t="n">
        <v>1611</v>
      </c>
      <c r="B1612" t="inlineStr">
        <is>
          <t>7855500040000</t>
        </is>
      </c>
      <c r="C1612" t="inlineStr">
        <is>
          <t>ESCALERA EMERGENCIA NYLON NEGRO L25FT</t>
        </is>
      </c>
      <c r="D1612" t="inlineStr">
        <is>
          <t>1800120814</t>
        </is>
      </c>
      <c r="E1612" t="inlineStr">
        <is>
          <t>100</t>
        </is>
      </c>
      <c r="F1612" s="163" t="n">
        <v>45719</v>
      </c>
      <c r="G1612" t="inlineStr"/>
      <c r="H1612" t="inlineStr">
        <is>
          <t>4200602943</t>
        </is>
      </c>
      <c r="I1612" t="inlineStr">
        <is>
          <t>10</t>
        </is>
      </c>
      <c r="J1612" s="163" t="n">
        <v>45734</v>
      </c>
      <c r="K1612" s="163" t="n">
        <v>45735</v>
      </c>
      <c r="L1612" t="inlineStr"/>
      <c r="M1612" s="163" t="n">
        <v>45744</v>
      </c>
      <c r="N1612" s="164" t="n">
        <v>40</v>
      </c>
      <c r="O1612" s="164" t="n">
        <v>8</v>
      </c>
      <c r="P1612" t="inlineStr">
        <is>
          <t>Liberado</t>
        </is>
      </c>
      <c r="Q1612" s="165" t="n">
        <v>1</v>
      </c>
      <c r="R1612" s="165" t="n">
        <v>1</v>
      </c>
      <c r="S1612" s="165" t="n">
        <v>1</v>
      </c>
      <c r="T1612" s="165" t="n">
        <v>0</v>
      </c>
      <c r="U1612" s="166" t="n">
        <v>0</v>
      </c>
      <c r="V1612" s="166" t="n">
        <v>0</v>
      </c>
      <c r="W1612" t="inlineStr">
        <is>
          <t>X</t>
        </is>
      </c>
      <c r="X1612" t="inlineStr">
        <is>
          <t>0.00</t>
        </is>
      </c>
      <c r="Y1612" t="inlineStr"/>
      <c r="Z1612" t="inlineStr">
        <is>
          <t>INFORMATICA CALCULO Y TECNICA, S.A.</t>
        </is>
      </c>
      <c r="AA1612" t="inlineStr">
        <is>
          <t>ISOP LLC</t>
        </is>
      </c>
      <c r="AB1612" t="inlineStr">
        <is>
          <t>741718808327</t>
        </is>
      </c>
      <c r="AC1612" t="inlineStr"/>
      <c r="AD1612" s="164" t="n">
        <v>0</v>
      </c>
      <c r="AE1612" s="185" t="n">
        <v>0</v>
      </c>
      <c r="AG1612" s="167" t="inlineStr">
        <is>
          <t>7218|JA2585_1001</t>
        </is>
      </c>
      <c r="AH1612" s="47">
        <f>IF(M1612=0,"-",M1612-J1612)</f>
        <v/>
      </c>
      <c r="AI1612" s="46">
        <f>IF(AND(S1612=0,M1612&gt;0,L1612=0),IF(AH1612&gt;=120,"VERY HIGH",IF(AH1612&gt;=90,"HIGH",IF(AH1612&gt;=60,"MEDIUM",IF(AH1612&lt;60,"LOW")))),"-")</f>
        <v/>
      </c>
      <c r="AJ1612" s="12" t="n"/>
      <c r="AK1612" s="53">
        <f>IF(AND(W1612="X",M1612&lt;=$AJ$2),"YES","")</f>
        <v/>
      </c>
      <c r="AL1612" s="54">
        <f>IF(AND(W1612="X",M1612&lt;=$AJ$2),S1612,"")</f>
        <v/>
      </c>
      <c r="AM1612" s="35" t="n"/>
      <c r="AN1612" s="35">
        <f>IF(AND(W1612="X",M1612&gt;$AJ$2),S1612,"")</f>
        <v/>
      </c>
      <c r="AO1612" s="35">
        <f>IF(AND(W1612="",M1612&gt;0,$AJ$2&gt;M1612,L1612=""),1,0)</f>
        <v/>
      </c>
      <c r="AP1612" s="35">
        <f>IF(AND(AK1612="YES",W1612="X"),"X","")</f>
        <v/>
      </c>
      <c r="AQ1612" s="55">
        <f>IF(AP1612="X",100%,0%)</f>
        <v/>
      </c>
      <c r="AR1612" s="25">
        <f>IF(AND(T1612&gt;0,L1612=""),H1612,"")</f>
        <v/>
      </c>
      <c r="AS1612" s="25">
        <f>IF(AND(D1612&gt;0,H1612=0,G1612=""),1,"")</f>
        <v/>
      </c>
      <c r="AT1612" s="25">
        <f>IF(G1612="BLOQ",1,"")</f>
        <v/>
      </c>
      <c r="AU1612" s="25">
        <f>IF(L1612="BLOQ",1,"")</f>
        <v/>
      </c>
      <c r="AV1612" s="25">
        <f>MONTH(F1612)</f>
        <v/>
      </c>
      <c r="AW1612" s="65">
        <f>IF(AP1612="",100%,0%)</f>
        <v/>
      </c>
      <c r="AX1612" s="56" t="n"/>
      <c r="AY1612" s="24">
        <f>IF(M1612=0,"",M1612-$AX$2)</f>
        <v/>
      </c>
      <c r="AZ1612" s="66">
        <f>IF(AND(W1612="",AY1612&gt;0,AY1612&lt;15),1,0)</f>
        <v/>
      </c>
      <c r="BA1612" s="24">
        <f>IF(AND(W1612="",AY1612&gt;0,AY1612&lt;15),T1612,"")</f>
        <v/>
      </c>
      <c r="BB1612" s="87">
        <f>IF(R1612&lt;Q1612,"X","")</f>
        <v/>
      </c>
      <c r="BC1612" s="191" t="inlineStr">
        <is>
          <t>SI</t>
        </is>
      </c>
      <c r="BD1612" s="191" t="inlineStr">
        <is>
          <t>SI</t>
        </is>
      </c>
    </row>
    <row r="1613" ht="15" customHeight="1" s="162">
      <c r="A1613" s="7" t="n">
        <v>1612</v>
      </c>
      <c r="B1613" t="inlineStr">
        <is>
          <t>0973564310200</t>
        </is>
      </c>
      <c r="C1613" t="inlineStr">
        <is>
          <t>SMK BOX CAJA CONEXIONES</t>
        </is>
      </c>
      <c r="D1613" t="inlineStr">
        <is>
          <t>1800121209</t>
        </is>
      </c>
      <c r="E1613" t="inlineStr">
        <is>
          <t>10</t>
        </is>
      </c>
      <c r="F1613" s="163" t="n">
        <v>45722</v>
      </c>
      <c r="G1613" t="inlineStr">
        <is>
          <t>BORR</t>
        </is>
      </c>
      <c r="H1613" t="inlineStr">
        <is>
          <t>4200604020</t>
        </is>
      </c>
      <c r="I1613" t="inlineStr">
        <is>
          <t>10</t>
        </is>
      </c>
      <c r="J1613" s="163" t="n">
        <v>45741</v>
      </c>
      <c r="K1613" s="163" t="n">
        <v>45742</v>
      </c>
      <c r="L1613" t="inlineStr">
        <is>
          <t>BORR</t>
        </is>
      </c>
      <c r="M1613" s="163" t="n">
        <v>45814</v>
      </c>
      <c r="N1613" s="164" t="n">
        <v>40</v>
      </c>
      <c r="O1613" s="164" t="n">
        <v>8</v>
      </c>
      <c r="P1613" t="inlineStr"/>
      <c r="Q1613" s="165" t="n">
        <v>1</v>
      </c>
      <c r="R1613" s="165" t="n">
        <v>1</v>
      </c>
      <c r="S1613" s="165" t="n">
        <v>0</v>
      </c>
      <c r="T1613" s="165" t="n">
        <v>1</v>
      </c>
      <c r="U1613" s="166" t="n">
        <v>0</v>
      </c>
      <c r="V1613" s="166" t="n">
        <v>0</v>
      </c>
      <c r="W1613" t="inlineStr"/>
      <c r="X1613" t="inlineStr">
        <is>
          <t>603.60</t>
        </is>
      </c>
      <c r="Y1613" t="inlineStr"/>
      <c r="Z1613" t="inlineStr">
        <is>
          <t>JOYFE,S.L.</t>
        </is>
      </c>
      <c r="AA1613" t="inlineStr">
        <is>
          <t>INDRA SISTEMAS S.A.</t>
        </is>
      </c>
      <c r="AB1613" t="inlineStr">
        <is>
          <t>0973564310200</t>
        </is>
      </c>
      <c r="AC1613" t="inlineStr"/>
      <c r="AD1613" s="164" t="n">
        <v>0</v>
      </c>
      <c r="AE1613" s="185" t="n">
        <v>0</v>
      </c>
      <c r="AG1613" s="167" t="inlineStr">
        <is>
          <t>7218|JA2583_1001</t>
        </is>
      </c>
      <c r="AH1613" s="47">
        <f>IF(M1613=0,"-",M1613-J1613)</f>
        <v/>
      </c>
      <c r="AI1613" s="46">
        <f>IF(AND(S1613=0,M1613&gt;0,L1613=0),IF(AH1613&gt;=120,"VERY HIGH",IF(AH1613&gt;=90,"HIGH",IF(AH1613&gt;=60,"MEDIUM",IF(AH1613&lt;60,"LOW")))),"-")</f>
        <v/>
      </c>
      <c r="AJ1613" s="12" t="n"/>
      <c r="AK1613" s="53">
        <f>IF(AND(W1613="X",M1613&lt;=$AJ$2),"YES","")</f>
        <v/>
      </c>
      <c r="AL1613" s="54">
        <f>IF(AND(W1613="X",M1613&lt;=$AJ$2),S1613,"")</f>
        <v/>
      </c>
      <c r="AM1613" s="35" t="n"/>
      <c r="AN1613" s="35">
        <f>IF(AND(W1613="X",M1613&gt;$AJ$2),S1613,"")</f>
        <v/>
      </c>
      <c r="AO1613" s="35">
        <f>IF(AND(W1613="",M1613&gt;0,$AJ$2&gt;M1613,L1613=""),1,0)</f>
        <v/>
      </c>
      <c r="AP1613" s="35">
        <f>IF(AND(AK1613="YES",W1613="X"),"X","")</f>
        <v/>
      </c>
      <c r="AQ1613" s="55">
        <f>IF(AP1613="X",100%,0%)</f>
        <v/>
      </c>
      <c r="AR1613" s="25">
        <f>IF(AND(T1613&gt;0,L1613=""),H1613,"")</f>
        <v/>
      </c>
      <c r="AS1613" s="25">
        <f>IF(AND(D1613&gt;0,H1613=0,G1613=""),1,"")</f>
        <v/>
      </c>
      <c r="AT1613" s="25">
        <f>IF(G1613="BLOQ",1,"")</f>
        <v/>
      </c>
      <c r="AU1613" s="25">
        <f>IF(L1613="BLOQ",1,"")</f>
        <v/>
      </c>
      <c r="AV1613" s="25">
        <f>MONTH(F1613)</f>
        <v/>
      </c>
      <c r="AW1613" s="65">
        <f>IF(AP1613="",100%,0%)</f>
        <v/>
      </c>
      <c r="AX1613" s="56" t="n"/>
      <c r="AY1613" s="24">
        <f>IF(M1613=0,"",M1613-$AX$2)</f>
        <v/>
      </c>
      <c r="AZ1613" s="66">
        <f>IF(AND(W1613="",AY1613&gt;0,AY1613&lt;15),1,0)</f>
        <v/>
      </c>
      <c r="BA1613" s="24">
        <f>IF(AND(W1613="",AY1613&gt;0,AY1613&lt;15),T1613,"")</f>
        <v/>
      </c>
      <c r="BB1613" s="87">
        <f>IF(R1613&lt;Q1613,"X","")</f>
        <v/>
      </c>
      <c r="BC1613" s="191" t="inlineStr">
        <is>
          <t>SI</t>
        </is>
      </c>
      <c r="BD1613" s="191" t="inlineStr">
        <is>
          <t>SI</t>
        </is>
      </c>
    </row>
    <row r="1614" ht="15" customHeight="1" s="162">
      <c r="A1614" s="7" t="n">
        <v>1613</v>
      </c>
      <c r="B1614" t="inlineStr">
        <is>
          <t>0973564320200</t>
        </is>
      </c>
      <c r="C1614" t="inlineStr">
        <is>
          <t>SMK PLACA CONEXIONES</t>
        </is>
      </c>
      <c r="D1614" t="inlineStr">
        <is>
          <t>1800121209</t>
        </is>
      </c>
      <c r="E1614" t="inlineStr">
        <is>
          <t>20</t>
        </is>
      </c>
      <c r="F1614" s="163" t="n">
        <v>45722</v>
      </c>
      <c r="G1614" t="inlineStr">
        <is>
          <t>BORR</t>
        </is>
      </c>
      <c r="H1614" t="inlineStr">
        <is>
          <t>4200604020</t>
        </is>
      </c>
      <c r="I1614" t="inlineStr">
        <is>
          <t>20</t>
        </is>
      </c>
      <c r="J1614" s="163" t="n">
        <v>45741</v>
      </c>
      <c r="K1614" s="163" t="n">
        <v>45742</v>
      </c>
      <c r="L1614" t="inlineStr">
        <is>
          <t>BORR</t>
        </is>
      </c>
      <c r="M1614" s="163" t="n">
        <v>45814</v>
      </c>
      <c r="N1614" s="164" t="n">
        <v>40</v>
      </c>
      <c r="O1614" s="164" t="n">
        <v>8</v>
      </c>
      <c r="P1614" t="inlineStr"/>
      <c r="Q1614" s="165" t="n">
        <v>1</v>
      </c>
      <c r="R1614" s="165" t="n">
        <v>1</v>
      </c>
      <c r="S1614" s="165" t="n">
        <v>0</v>
      </c>
      <c r="T1614" s="165" t="n">
        <v>1</v>
      </c>
      <c r="U1614" s="166" t="n">
        <v>0</v>
      </c>
      <c r="V1614" s="166" t="n">
        <v>0</v>
      </c>
      <c r="W1614" t="inlineStr"/>
      <c r="X1614" t="inlineStr">
        <is>
          <t>302.80</t>
        </is>
      </c>
      <c r="Y1614" t="inlineStr"/>
      <c r="Z1614" t="inlineStr">
        <is>
          <t>JOYFE,S.L.</t>
        </is>
      </c>
      <c r="AA1614" t="inlineStr">
        <is>
          <t>INDRA SISTEMAS S.A.</t>
        </is>
      </c>
      <c r="AB1614" t="inlineStr">
        <is>
          <t>0973564320200</t>
        </is>
      </c>
      <c r="AC1614" t="inlineStr"/>
      <c r="AD1614" s="164" t="n">
        <v>0</v>
      </c>
      <c r="AE1614" s="185" t="n">
        <v>0</v>
      </c>
      <c r="AG1614" s="167" t="inlineStr">
        <is>
          <t>7218|JA2583_1001</t>
        </is>
      </c>
      <c r="AH1614" s="47">
        <f>IF(M1614=0,"-",M1614-J1614)</f>
        <v/>
      </c>
      <c r="AI1614" s="46">
        <f>IF(AND(S1614=0,M1614&gt;0,L1614=0),IF(AH1614&gt;=120,"VERY HIGH",IF(AH1614&gt;=90,"HIGH",IF(AH1614&gt;=60,"MEDIUM",IF(AH1614&lt;60,"LOW")))),"-")</f>
        <v/>
      </c>
      <c r="AJ1614" s="12" t="n"/>
      <c r="AK1614" s="53">
        <f>IF(AND(W1614="X",M1614&lt;=$AJ$2),"YES","")</f>
        <v/>
      </c>
      <c r="AL1614" s="54">
        <f>IF(AND(W1614="X",M1614&lt;=$AJ$2),S1614,"")</f>
        <v/>
      </c>
      <c r="AM1614" s="35" t="n"/>
      <c r="AN1614" s="35">
        <f>IF(AND(W1614="X",M1614&gt;$AJ$2),S1614,"")</f>
        <v/>
      </c>
      <c r="AO1614" s="35">
        <f>IF(AND(W1614="",M1614&gt;0,$AJ$2&gt;M1614,L1614=""),1,0)</f>
        <v/>
      </c>
      <c r="AP1614" s="35">
        <f>IF(AND(AK1614="YES",W1614="X"),"X","")</f>
        <v/>
      </c>
      <c r="AQ1614" s="55">
        <f>IF(AP1614="X",100%,0%)</f>
        <v/>
      </c>
      <c r="AR1614" s="25">
        <f>IF(AND(T1614&gt;0,L1614=""),H1614,"")</f>
        <v/>
      </c>
      <c r="AS1614" s="25">
        <f>IF(AND(D1614&gt;0,H1614=0,G1614=""),1,"")</f>
        <v/>
      </c>
      <c r="AT1614" s="25">
        <f>IF(G1614="BLOQ",1,"")</f>
        <v/>
      </c>
      <c r="AU1614" s="25">
        <f>IF(L1614="BLOQ",1,"")</f>
        <v/>
      </c>
      <c r="AV1614" s="25">
        <f>MONTH(F1614)</f>
        <v/>
      </c>
      <c r="AW1614" s="65">
        <f>IF(AP1614="",100%,0%)</f>
        <v/>
      </c>
      <c r="AX1614" s="56" t="n"/>
      <c r="AY1614" s="24">
        <f>IF(M1614=0,"",M1614-$AX$2)</f>
        <v/>
      </c>
      <c r="AZ1614" s="66">
        <f>IF(AND(W1614="",AY1614&gt;0,AY1614&lt;15),1,0)</f>
        <v/>
      </c>
      <c r="BA1614" s="24">
        <f>IF(AND(W1614="",AY1614&gt;0,AY1614&lt;15),T1614,"")</f>
        <v/>
      </c>
      <c r="BB1614" s="87">
        <f>IF(R1614&lt;Q1614,"X","")</f>
        <v/>
      </c>
      <c r="BC1614" s="191" t="inlineStr">
        <is>
          <t>SI</t>
        </is>
      </c>
      <c r="BD1614" s="191" t="inlineStr">
        <is>
          <t>SI</t>
        </is>
      </c>
    </row>
    <row r="1615" ht="15" customHeight="1" s="162">
      <c r="A1615" s="7" t="n">
        <v>1614</v>
      </c>
      <c r="B1615" t="inlineStr">
        <is>
          <t>0973580310200</t>
        </is>
      </c>
      <c r="C1615" t="inlineStr">
        <is>
          <t>CARRIL DIN SMKBOX#1</t>
        </is>
      </c>
      <c r="D1615" t="inlineStr">
        <is>
          <t>1800121209</t>
        </is>
      </c>
      <c r="E1615" t="inlineStr">
        <is>
          <t>30</t>
        </is>
      </c>
      <c r="F1615" s="163" t="n">
        <v>45722</v>
      </c>
      <c r="G1615" t="inlineStr">
        <is>
          <t>BORR</t>
        </is>
      </c>
      <c r="H1615" t="inlineStr">
        <is>
          <t>4200604013</t>
        </is>
      </c>
      <c r="I1615" t="inlineStr">
        <is>
          <t>10</t>
        </is>
      </c>
      <c r="J1615" s="163" t="n">
        <v>45741</v>
      </c>
      <c r="K1615" s="163" t="n">
        <v>45742</v>
      </c>
      <c r="L1615" t="inlineStr">
        <is>
          <t>BORR</t>
        </is>
      </c>
      <c r="M1615" s="163" t="n">
        <v>45849</v>
      </c>
      <c r="N1615" s="164" t="n">
        <v>40</v>
      </c>
      <c r="O1615" s="164" t="n">
        <v>8</v>
      </c>
      <c r="P1615" t="inlineStr"/>
      <c r="Q1615" s="165" t="n">
        <v>1</v>
      </c>
      <c r="R1615" s="165" t="n">
        <v>1</v>
      </c>
      <c r="S1615" s="165" t="n">
        <v>0</v>
      </c>
      <c r="T1615" s="165" t="n">
        <v>1</v>
      </c>
      <c r="U1615" s="166" t="n">
        <v>0</v>
      </c>
      <c r="V1615" s="166" t="n">
        <v>0</v>
      </c>
      <c r="W1615" t="inlineStr"/>
      <c r="X1615" t="inlineStr">
        <is>
          <t>69.70</t>
        </is>
      </c>
      <c r="Y1615" t="inlineStr"/>
      <c r="Z1615" t="inlineStr">
        <is>
          <t>INDUSTRIAS BALMES, S.A.</t>
        </is>
      </c>
      <c r="AA1615" t="inlineStr">
        <is>
          <t>INDRA SISTEMAS S.A.</t>
        </is>
      </c>
      <c r="AB1615" t="inlineStr">
        <is>
          <t>0973580310200</t>
        </is>
      </c>
      <c r="AC1615" t="inlineStr"/>
      <c r="AD1615" s="164" t="n">
        <v>0</v>
      </c>
      <c r="AE1615" s="185" t="n">
        <v>0</v>
      </c>
      <c r="AG1615" s="167" t="inlineStr">
        <is>
          <t>7218|JA2583_1001</t>
        </is>
      </c>
      <c r="AH1615" s="47">
        <f>IF(M1615=0,"-",M1615-J1615)</f>
        <v/>
      </c>
      <c r="AI1615" s="46">
        <f>IF(AND(S1615=0,M1615&gt;0,L1615=0),IF(AH1615&gt;=120,"VERY HIGH",IF(AH1615&gt;=90,"HIGH",IF(AH1615&gt;=60,"MEDIUM",IF(AH1615&lt;60,"LOW")))),"-")</f>
        <v/>
      </c>
      <c r="AJ1615" s="12" t="n"/>
      <c r="AK1615" s="53">
        <f>IF(AND(W1615="X",M1615&lt;=$AJ$2),"YES","")</f>
        <v/>
      </c>
      <c r="AL1615" s="54">
        <f>IF(AND(W1615="X",M1615&lt;=$AJ$2),S1615,"")</f>
        <v/>
      </c>
      <c r="AM1615" s="35" t="n"/>
      <c r="AN1615" s="35">
        <f>IF(AND(W1615="X",M1615&gt;$AJ$2),S1615,"")</f>
        <v/>
      </c>
      <c r="AO1615" s="35">
        <f>IF(AND(W1615="",M1615&gt;0,$AJ$2&gt;M1615,L1615=""),1,0)</f>
        <v/>
      </c>
      <c r="AP1615" s="35">
        <f>IF(AND(AK1615="YES",W1615="X"),"X","")</f>
        <v/>
      </c>
      <c r="AQ1615" s="55">
        <f>IF(AP1615="X",100%,0%)</f>
        <v/>
      </c>
      <c r="AR1615" s="25">
        <f>IF(AND(T1615&gt;0,L1615=""),H1615,"")</f>
        <v/>
      </c>
      <c r="AS1615" s="25">
        <f>IF(AND(D1615&gt;0,H1615=0,G1615=""),1,"")</f>
        <v/>
      </c>
      <c r="AT1615" s="25">
        <f>IF(G1615="BLOQ",1,"")</f>
        <v/>
      </c>
      <c r="AU1615" s="25">
        <f>IF(L1615="BLOQ",1,"")</f>
        <v/>
      </c>
      <c r="AV1615" s="25">
        <f>MONTH(F1615)</f>
        <v/>
      </c>
      <c r="AW1615" s="65">
        <f>IF(AP1615="",100%,0%)</f>
        <v/>
      </c>
      <c r="AX1615" s="56" t="n"/>
      <c r="AY1615" s="24">
        <f>IF(M1615=0,"",M1615-$AX$2)</f>
        <v/>
      </c>
      <c r="AZ1615" s="66">
        <f>IF(AND(W1615="",AY1615&gt;0,AY1615&lt;15),1,0)</f>
        <v/>
      </c>
      <c r="BA1615" s="24">
        <f>IF(AND(W1615="",AY1615&gt;0,AY1615&lt;15),T1615,"")</f>
        <v/>
      </c>
      <c r="BB1615" s="87">
        <f>IF(R1615&lt;Q1615,"X","")</f>
        <v/>
      </c>
      <c r="BC1615" s="191" t="inlineStr">
        <is>
          <t>SI</t>
        </is>
      </c>
      <c r="BD1615" s="191" t="inlineStr">
        <is>
          <t>SI</t>
        </is>
      </c>
    </row>
    <row r="1616" ht="15" customHeight="1" s="162">
      <c r="A1616" s="7" t="n">
        <v>1615</v>
      </c>
      <c r="B1616" t="inlineStr">
        <is>
          <t>0973581310200</t>
        </is>
      </c>
      <c r="C1616" t="inlineStr">
        <is>
          <t>CARRIL DIN SMKBOX#2</t>
        </is>
      </c>
      <c r="D1616" t="inlineStr">
        <is>
          <t>1800121209</t>
        </is>
      </c>
      <c r="E1616" t="inlineStr">
        <is>
          <t>40</t>
        </is>
      </c>
      <c r="F1616" s="163" t="n">
        <v>45722</v>
      </c>
      <c r="G1616" t="inlineStr">
        <is>
          <t>BORR</t>
        </is>
      </c>
      <c r="H1616" t="inlineStr">
        <is>
          <t>4200604013</t>
        </is>
      </c>
      <c r="I1616" t="inlineStr">
        <is>
          <t>20</t>
        </is>
      </c>
      <c r="J1616" s="163" t="n">
        <v>45741</v>
      </c>
      <c r="K1616" s="163" t="n">
        <v>45742</v>
      </c>
      <c r="L1616" t="inlineStr">
        <is>
          <t>BORR</t>
        </is>
      </c>
      <c r="M1616" s="163" t="n">
        <v>45849</v>
      </c>
      <c r="N1616" s="164" t="n">
        <v>40</v>
      </c>
      <c r="O1616" s="164" t="n">
        <v>8</v>
      </c>
      <c r="P1616" t="inlineStr"/>
      <c r="Q1616" s="165" t="n">
        <v>1</v>
      </c>
      <c r="R1616" s="165" t="n">
        <v>1</v>
      </c>
      <c r="S1616" s="165" t="n">
        <v>0</v>
      </c>
      <c r="T1616" s="165" t="n">
        <v>1</v>
      </c>
      <c r="U1616" s="166" t="n">
        <v>0</v>
      </c>
      <c r="V1616" s="166" t="n">
        <v>0</v>
      </c>
      <c r="W1616" t="inlineStr"/>
      <c r="X1616" t="inlineStr">
        <is>
          <t>67.20</t>
        </is>
      </c>
      <c r="Y1616" t="inlineStr"/>
      <c r="Z1616" t="inlineStr">
        <is>
          <t>INDUSTRIAS BALMES, S.A.</t>
        </is>
      </c>
      <c r="AA1616" t="inlineStr">
        <is>
          <t>INDRA SISTEMAS S.A.</t>
        </is>
      </c>
      <c r="AB1616" t="inlineStr">
        <is>
          <t>0973581310200</t>
        </is>
      </c>
      <c r="AC1616" t="inlineStr"/>
      <c r="AD1616" s="164" t="n">
        <v>0</v>
      </c>
      <c r="AE1616" s="185" t="n">
        <v>0</v>
      </c>
      <c r="AG1616" s="167" t="inlineStr">
        <is>
          <t>7218|JA2583_1001</t>
        </is>
      </c>
      <c r="AH1616" s="47">
        <f>IF(M1616=0,"-",M1616-J1616)</f>
        <v/>
      </c>
      <c r="AI1616" s="46">
        <f>IF(AND(S1616=0,M1616&gt;0,L1616=0),IF(AH1616&gt;=120,"VERY HIGH",IF(AH1616&gt;=90,"HIGH",IF(AH1616&gt;=60,"MEDIUM",IF(AH1616&lt;60,"LOW")))),"-")</f>
        <v/>
      </c>
      <c r="AJ1616" s="12" t="n"/>
      <c r="AK1616" s="53">
        <f>IF(AND(W1616="X",M1616&lt;=$AJ$2),"YES","")</f>
        <v/>
      </c>
      <c r="AL1616" s="54">
        <f>IF(AND(W1616="X",M1616&lt;=$AJ$2),S1616,"")</f>
        <v/>
      </c>
      <c r="AM1616" s="35" t="n"/>
      <c r="AN1616" s="35">
        <f>IF(AND(W1616="X",M1616&gt;$AJ$2),S1616,"")</f>
        <v/>
      </c>
      <c r="AO1616" s="35">
        <f>IF(AND(W1616="",M1616&gt;0,$AJ$2&gt;M1616,L1616=""),1,0)</f>
        <v/>
      </c>
      <c r="AP1616" s="35">
        <f>IF(AND(AK1616="YES",W1616="X"),"X","")</f>
        <v/>
      </c>
      <c r="AQ1616" s="55">
        <f>IF(AP1616="X",100%,0%)</f>
        <v/>
      </c>
      <c r="AR1616" s="25">
        <f>IF(AND(T1616&gt;0,L1616=""),H1616,"")</f>
        <v/>
      </c>
      <c r="AS1616" s="25">
        <f>IF(AND(D1616&gt;0,H1616=0,G1616=""),1,"")</f>
        <v/>
      </c>
      <c r="AT1616" s="25">
        <f>IF(G1616="BLOQ",1,"")</f>
        <v/>
      </c>
      <c r="AU1616" s="25">
        <f>IF(L1616="BLOQ",1,"")</f>
        <v/>
      </c>
      <c r="AV1616" s="25">
        <f>MONTH(F1616)</f>
        <v/>
      </c>
      <c r="AW1616" s="65">
        <f>IF(AP1616="",100%,0%)</f>
        <v/>
      </c>
      <c r="AX1616" s="56" t="n"/>
      <c r="AY1616" s="24">
        <f>IF(M1616=0,"",M1616-$AX$2)</f>
        <v/>
      </c>
      <c r="AZ1616" s="66">
        <f>IF(AND(W1616="",AY1616&gt;0,AY1616&lt;15),1,0)</f>
        <v/>
      </c>
      <c r="BA1616" s="24">
        <f>IF(AND(W1616="",AY1616&gt;0,AY1616&lt;15),T1616,"")</f>
        <v/>
      </c>
      <c r="BB1616" s="87">
        <f>IF(R1616&lt;Q1616,"X","")</f>
        <v/>
      </c>
      <c r="BC1616" s="191" t="inlineStr">
        <is>
          <t>SI</t>
        </is>
      </c>
      <c r="BD1616" s="191" t="inlineStr">
        <is>
          <t>SI</t>
        </is>
      </c>
    </row>
    <row r="1617" ht="15" customHeight="1" s="162">
      <c r="A1617" s="7" t="n">
        <v>1616</v>
      </c>
      <c r="B1617" t="inlineStr">
        <is>
          <t>1243602470000</t>
        </is>
      </c>
      <c r="C1617" t="inlineStr">
        <is>
          <t>COMPRESOR EKOM DK50 2V/50S/M C/ACC S/OF</t>
        </is>
      </c>
      <c r="D1617" t="inlineStr">
        <is>
          <t>1800121210</t>
        </is>
      </c>
      <c r="E1617" t="inlineStr">
        <is>
          <t>10</t>
        </is>
      </c>
      <c r="F1617" s="163" t="n">
        <v>45722</v>
      </c>
      <c r="G1617" t="inlineStr"/>
      <c r="H1617" t="inlineStr">
        <is>
          <t>4200602560</t>
        </is>
      </c>
      <c r="I1617" t="inlineStr">
        <is>
          <t>10</t>
        </is>
      </c>
      <c r="J1617" s="163" t="n">
        <v>45730</v>
      </c>
      <c r="K1617" s="163" t="n">
        <v>45861</v>
      </c>
      <c r="L1617" t="inlineStr"/>
      <c r="M1617" s="163" t="n">
        <v>45758</v>
      </c>
      <c r="N1617" s="164" t="n">
        <v>40</v>
      </c>
      <c r="O1617" s="164" t="n">
        <v>8</v>
      </c>
      <c r="P1617" t="inlineStr">
        <is>
          <t>Liberado</t>
        </is>
      </c>
      <c r="Q1617" s="166" t="n">
        <v>1</v>
      </c>
      <c r="R1617" s="166" t="n">
        <v>1</v>
      </c>
      <c r="S1617" s="166" t="n">
        <v>1</v>
      </c>
      <c r="T1617" s="166" t="n">
        <v>0</v>
      </c>
      <c r="U1617" s="166" t="n">
        <v>1</v>
      </c>
      <c r="V1617" s="166" t="n">
        <v>0</v>
      </c>
      <c r="W1617" t="inlineStr">
        <is>
          <t>X</t>
        </is>
      </c>
      <c r="X1617" t="inlineStr">
        <is>
          <t>0.00</t>
        </is>
      </c>
      <c r="Y1617" t="inlineStr"/>
      <c r="Z1617" t="inlineStr">
        <is>
          <t>HIDROHENARES, S.L.</t>
        </is>
      </c>
      <c r="AA1617" t="inlineStr">
        <is>
          <t>HIDROHENARES</t>
        </is>
      </c>
      <c r="AB1617" t="inlineStr">
        <is>
          <t>COMPRESOR EKOM DK50 2V/50S/M/100119</t>
        </is>
      </c>
      <c r="AC1617" t="inlineStr"/>
      <c r="AD1617" s="164" t="n">
        <v>0</v>
      </c>
      <c r="AE1617" s="185" t="n">
        <v>0</v>
      </c>
      <c r="AG1617" s="167" t="inlineStr">
        <is>
          <t>7218|JA2582_1001</t>
        </is>
      </c>
      <c r="AH1617" s="47">
        <f>IF(M1617=0,"-",M1617-J1617)</f>
        <v/>
      </c>
      <c r="AI1617" s="46">
        <f>IF(AND(S1617=0,M1617&gt;0,L1617=0),IF(AH1617&gt;=120,"VERY HIGH",IF(AH1617&gt;=90,"HIGH",IF(AH1617&gt;=60,"MEDIUM",IF(AH1617&lt;60,"LOW")))),"-")</f>
        <v/>
      </c>
      <c r="AJ1617" s="12" t="n"/>
      <c r="AK1617" s="53">
        <f>IF(AND(W1617="X",M1617&lt;=$AJ$2),"YES","")</f>
        <v/>
      </c>
      <c r="AL1617" s="54">
        <f>IF(AND(W1617="X",M1617&lt;=$AJ$2),S1617,"")</f>
        <v/>
      </c>
      <c r="AM1617" s="35" t="n"/>
      <c r="AN1617" s="35">
        <f>IF(AND(W1617="X",M1617&gt;$AJ$2),S1617,"")</f>
        <v/>
      </c>
      <c r="AO1617" s="35">
        <f>IF(AND(W1617="",M1617&gt;0,$AJ$2&gt;M1617,L1617=""),1,0)</f>
        <v/>
      </c>
      <c r="AP1617" s="35">
        <f>IF(AND(AK1617="YES",W1617="X"),"X","")</f>
        <v/>
      </c>
      <c r="AQ1617" s="55">
        <f>IF(AP1617="X",100%,0%)</f>
        <v/>
      </c>
      <c r="AR1617" s="25">
        <f>IF(AND(T1617&gt;0,L1617=""),H1617,"")</f>
        <v/>
      </c>
      <c r="AS1617" s="25">
        <f>IF(AND(D1617&gt;0,H1617=0,G1617=""),1,"")</f>
        <v/>
      </c>
      <c r="AT1617" s="25">
        <f>IF(G1617="BLOQ",1,"")</f>
        <v/>
      </c>
      <c r="AU1617" s="25">
        <f>IF(L1617="BLOQ",1,"")</f>
        <v/>
      </c>
      <c r="AV1617" s="25">
        <f>MONTH(F1617)</f>
        <v/>
      </c>
      <c r="AW1617" s="65">
        <f>IF(AP1617="",100%,0%)</f>
        <v/>
      </c>
      <c r="AX1617" s="56" t="n"/>
      <c r="AY1617" s="24">
        <f>IF(M1617=0,"",M1617-$AX$2)</f>
        <v/>
      </c>
      <c r="AZ1617" s="66">
        <f>IF(AND(W1617="",AY1617&gt;0,AY1617&lt;15),1,0)</f>
        <v/>
      </c>
      <c r="BA1617" s="24">
        <f>IF(AND(W1617="",AY1617&gt;0,AY1617&lt;15),T1617,"")</f>
        <v/>
      </c>
      <c r="BB1617" s="87">
        <f>IF(R1617&lt;Q1617,"X","")</f>
        <v/>
      </c>
      <c r="BC1617" s="190" t="inlineStr">
        <is>
          <t>NO</t>
        </is>
      </c>
      <c r="BD1617" s="191" t="inlineStr">
        <is>
          <t>SI</t>
        </is>
      </c>
    </row>
    <row r="1618" ht="15" customHeight="1" s="162">
      <c r="A1618" s="7" t="n">
        <v>1617</v>
      </c>
      <c r="B1618" t="inlineStr">
        <is>
          <t>7275500320000</t>
        </is>
      </c>
      <c r="C1618" t="inlineStr">
        <is>
          <t>MANOMETRO 0-10BAR D40MM 1/8" POSTERIOR</t>
        </is>
      </c>
      <c r="D1618" t="inlineStr">
        <is>
          <t>1800121210</t>
        </is>
      </c>
      <c r="E1618" t="inlineStr">
        <is>
          <t>20</t>
        </is>
      </c>
      <c r="F1618" s="163" t="n">
        <v>45722</v>
      </c>
      <c r="G1618" t="inlineStr"/>
      <c r="H1618" t="inlineStr">
        <is>
          <t>4200602560</t>
        </is>
      </c>
      <c r="I1618" t="inlineStr">
        <is>
          <t>20</t>
        </is>
      </c>
      <c r="J1618" s="163" t="n">
        <v>45730</v>
      </c>
      <c r="K1618" s="163" t="n">
        <v>45861</v>
      </c>
      <c r="L1618" t="inlineStr"/>
      <c r="M1618" s="163" t="n">
        <v>45758</v>
      </c>
      <c r="N1618" s="164" t="n">
        <v>40</v>
      </c>
      <c r="O1618" s="164" t="n">
        <v>8</v>
      </c>
      <c r="P1618" t="inlineStr">
        <is>
          <t>Liberado</t>
        </is>
      </c>
      <c r="Q1618" s="165" t="n">
        <v>1</v>
      </c>
      <c r="R1618" s="165" t="n">
        <v>1</v>
      </c>
      <c r="S1618" s="165" t="n">
        <v>1</v>
      </c>
      <c r="T1618" s="165" t="n">
        <v>0</v>
      </c>
      <c r="U1618" s="166" t="n">
        <v>1</v>
      </c>
      <c r="V1618" s="166" t="n">
        <v>0</v>
      </c>
      <c r="W1618" t="inlineStr">
        <is>
          <t>X</t>
        </is>
      </c>
      <c r="X1618" t="inlineStr">
        <is>
          <t>0.00</t>
        </is>
      </c>
      <c r="Y1618" t="inlineStr"/>
      <c r="Z1618" t="inlineStr">
        <is>
          <t>HIDROHENARES, S.L.</t>
        </is>
      </c>
      <c r="AA1618" t="inlineStr">
        <is>
          <t>HIDROHENARES</t>
        </is>
      </c>
      <c r="AB1618" t="inlineStr">
        <is>
          <t>M-40-010</t>
        </is>
      </c>
      <c r="AC1618" t="inlineStr"/>
      <c r="AD1618" s="164" t="n">
        <v>0</v>
      </c>
      <c r="AE1618" s="185" t="n">
        <v>0</v>
      </c>
      <c r="AG1618" s="167" t="inlineStr">
        <is>
          <t>7218|JA2582_1001</t>
        </is>
      </c>
      <c r="AH1618" s="47">
        <f>IF(M1618=0,"-",M1618-J1618)</f>
        <v/>
      </c>
      <c r="AI1618" s="46">
        <f>IF(AND(S1618=0,M1618&gt;0,L1618=0),IF(AH1618&gt;=120,"VERY HIGH",IF(AH1618&gt;=90,"HIGH",IF(AH1618&gt;=60,"MEDIUM",IF(AH1618&lt;60,"LOW")))),"-")</f>
        <v/>
      </c>
      <c r="AJ1618" s="12" t="n"/>
      <c r="AK1618" s="53">
        <f>IF(AND(W1618="X",M1618&lt;=$AJ$2),"YES","")</f>
        <v/>
      </c>
      <c r="AL1618" s="54">
        <f>IF(AND(W1618="X",M1618&lt;=$AJ$2),S1618,"")</f>
        <v/>
      </c>
      <c r="AM1618" s="35" t="n"/>
      <c r="AN1618" s="35">
        <f>IF(AND(W1618="X",M1618&gt;$AJ$2),S1618,"")</f>
        <v/>
      </c>
      <c r="AO1618" s="35">
        <f>IF(AND(W1618="",M1618&gt;0,$AJ$2&gt;M1618,L1618=""),1,0)</f>
        <v/>
      </c>
      <c r="AP1618" s="35">
        <f>IF(AND(AK1618="YES",W1618="X"),"X","")</f>
        <v/>
      </c>
      <c r="AQ1618" s="55">
        <f>IF(AP1618="X",100%,0%)</f>
        <v/>
      </c>
      <c r="AR1618" s="25">
        <f>IF(AND(T1618&gt;0,L1618=""),H1618,"")</f>
        <v/>
      </c>
      <c r="AS1618" s="25">
        <f>IF(AND(D1618&gt;0,H1618=0,G1618=""),1,"")</f>
        <v/>
      </c>
      <c r="AT1618" s="25">
        <f>IF(G1618="BLOQ",1,"")</f>
        <v/>
      </c>
      <c r="AU1618" s="25">
        <f>IF(L1618="BLOQ",1,"")</f>
        <v/>
      </c>
      <c r="AV1618" s="25">
        <f>MONTH(F1618)</f>
        <v/>
      </c>
      <c r="AW1618" s="65">
        <f>IF(AP1618="",100%,0%)</f>
        <v/>
      </c>
      <c r="AX1618" s="56" t="n"/>
      <c r="AY1618" s="24">
        <f>IF(M1618=0,"",M1618-$AX$2)</f>
        <v/>
      </c>
      <c r="AZ1618" s="66">
        <f>IF(AND(W1618="",AY1618&gt;0,AY1618&lt;15),1,0)</f>
        <v/>
      </c>
      <c r="BA1618" s="24">
        <f>IF(AND(W1618="",AY1618&gt;0,AY1618&lt;15),T1618,"")</f>
        <v/>
      </c>
      <c r="BB1618" s="87">
        <f>IF(R1618&lt;Q1618,"X","")</f>
        <v/>
      </c>
      <c r="BC1618" s="190" t="inlineStr">
        <is>
          <t>NO</t>
        </is>
      </c>
      <c r="BD1618" s="191" t="inlineStr">
        <is>
          <t>SI</t>
        </is>
      </c>
    </row>
    <row r="1619" ht="15" customHeight="1" s="162">
      <c r="A1619" s="7" t="n">
        <v>1618</v>
      </c>
      <c r="B1619" t="inlineStr">
        <is>
          <t>1705505480000</t>
        </is>
      </c>
      <c r="C1619" t="inlineStr">
        <is>
          <t>PANEL FRONTAL 3U 84HP 426.4X128.4X2.5MM</t>
        </is>
      </c>
      <c r="D1619" t="inlineStr">
        <is>
          <t>1800121211</t>
        </is>
      </c>
      <c r="E1619" t="inlineStr">
        <is>
          <t>30</t>
        </is>
      </c>
      <c r="F1619" s="163" t="n">
        <v>45722</v>
      </c>
      <c r="G1619" t="inlineStr"/>
      <c r="H1619" t="inlineStr">
        <is>
          <t>4200603733</t>
        </is>
      </c>
      <c r="I1619" t="inlineStr">
        <is>
          <t>40</t>
        </is>
      </c>
      <c r="J1619" s="163" t="n">
        <v>45737</v>
      </c>
      <c r="K1619" s="163" t="n">
        <v>45741</v>
      </c>
      <c r="L1619" t="inlineStr"/>
      <c r="M1619" s="163" t="n">
        <v>45768</v>
      </c>
      <c r="N1619" s="164" t="n">
        <v>60</v>
      </c>
      <c r="O1619" s="164" t="n">
        <v>8</v>
      </c>
      <c r="P1619" t="inlineStr">
        <is>
          <t>Liberado</t>
        </is>
      </c>
      <c r="Q1619" s="165" t="n">
        <v>1</v>
      </c>
      <c r="R1619" s="165" t="n">
        <v>1</v>
      </c>
      <c r="S1619" s="165" t="n">
        <v>1</v>
      </c>
      <c r="T1619" s="165" t="n">
        <v>0</v>
      </c>
      <c r="U1619" s="166" t="n">
        <v>1</v>
      </c>
      <c r="V1619" s="166" t="n">
        <v>0</v>
      </c>
      <c r="W1619" t="inlineStr">
        <is>
          <t>X</t>
        </is>
      </c>
      <c r="X1619" t="inlineStr">
        <is>
          <t>0.00</t>
        </is>
      </c>
      <c r="Y1619" t="inlineStr"/>
      <c r="Z1619" t="inlineStr">
        <is>
          <t>CENVALSA, S.L.</t>
        </is>
      </c>
      <c r="AA1619" t="inlineStr">
        <is>
          <t>SCHROFF</t>
        </is>
      </c>
      <c r="AB1619" t="inlineStr">
        <is>
          <t>24563-096</t>
        </is>
      </c>
      <c r="AC1619" t="inlineStr"/>
      <c r="AD1619" s="164" t="n">
        <v>0</v>
      </c>
      <c r="AE1619" s="185" t="n">
        <v>0</v>
      </c>
      <c r="AG1619" s="167" t="inlineStr">
        <is>
          <t>7218|JA2582_1001</t>
        </is>
      </c>
      <c r="AH1619" s="47">
        <f>IF(M1619=0,"-",M1619-J1619)</f>
        <v/>
      </c>
      <c r="AI1619" s="46">
        <f>IF(AND(S1619=0,M1619&gt;0,L1619=0),IF(AH1619&gt;=120,"VERY HIGH",IF(AH1619&gt;=90,"HIGH",IF(AH1619&gt;=60,"MEDIUM",IF(AH1619&lt;60,"LOW")))),"-")</f>
        <v/>
      </c>
      <c r="AJ1619" s="12" t="n"/>
      <c r="AK1619" s="53">
        <f>IF(AND(W1619="X",M1619&lt;=$AJ$2),"YES","")</f>
        <v/>
      </c>
      <c r="AL1619" s="54">
        <f>IF(AND(W1619="X",M1619&lt;=$AJ$2),S1619,"")</f>
        <v/>
      </c>
      <c r="AM1619" s="35" t="n"/>
      <c r="AN1619" s="35">
        <f>IF(AND(W1619="X",M1619&gt;$AJ$2),S1619,"")</f>
        <v/>
      </c>
      <c r="AO1619" s="35">
        <f>IF(AND(W1619="",M1619&gt;0,$AJ$2&gt;M1619,L1619=""),1,0)</f>
        <v/>
      </c>
      <c r="AP1619" s="35">
        <f>IF(AND(AK1619="YES",W1619="X"),"X","")</f>
        <v/>
      </c>
      <c r="AQ1619" s="55">
        <f>IF(AP1619="X",100%,0%)</f>
        <v/>
      </c>
      <c r="AR1619" s="25">
        <f>IF(AND(T1619&gt;0,L1619=""),H1619,"")</f>
        <v/>
      </c>
      <c r="AS1619" s="25">
        <f>IF(AND(D1619&gt;0,H1619=0,G1619=""),1,"")</f>
        <v/>
      </c>
      <c r="AT1619" s="25">
        <f>IF(G1619="BLOQ",1,"")</f>
        <v/>
      </c>
      <c r="AU1619" s="25">
        <f>IF(L1619="BLOQ",1,"")</f>
        <v/>
      </c>
      <c r="AV1619" s="25">
        <f>MONTH(F1619)</f>
        <v/>
      </c>
      <c r="AW1619" s="65">
        <f>IF(AP1619="",100%,0%)</f>
        <v/>
      </c>
      <c r="AX1619" s="56" t="n"/>
      <c r="AY1619" s="24">
        <f>IF(M1619=0,"",M1619-$AX$2)</f>
        <v/>
      </c>
      <c r="AZ1619" s="66">
        <f>IF(AND(W1619="",AY1619&gt;0,AY1619&lt;15),1,0)</f>
        <v/>
      </c>
      <c r="BA1619" s="24">
        <f>IF(AND(W1619="",AY1619&gt;0,AY1619&lt;15),T1619,"")</f>
        <v/>
      </c>
      <c r="BB1619" s="87">
        <f>IF(R1619&lt;Q1619,"X","")</f>
        <v/>
      </c>
      <c r="BC1619" s="190" t="inlineStr">
        <is>
          <t>NO</t>
        </is>
      </c>
      <c r="BD1619" s="191" t="inlineStr">
        <is>
          <t>SI</t>
        </is>
      </c>
    </row>
    <row r="1620" ht="15" customHeight="1" s="162">
      <c r="A1620" s="7" t="n">
        <v>1619</v>
      </c>
      <c r="B1620" t="inlineStr">
        <is>
          <t>3170411820100</t>
        </is>
      </c>
      <c r="C1620" t="inlineStr">
        <is>
          <t>MOD POE INYECTOR 2P RJ45 100-240V 1A 30W</t>
        </is>
      </c>
      <c r="D1620" t="inlineStr">
        <is>
          <t>1800121211</t>
        </is>
      </c>
      <c r="E1620" t="inlineStr">
        <is>
          <t>40</t>
        </is>
      </c>
      <c r="F1620" s="163" t="n">
        <v>45722</v>
      </c>
      <c r="G1620" t="inlineStr"/>
      <c r="H1620" t="inlineStr">
        <is>
          <t>4200601669</t>
        </is>
      </c>
      <c r="I1620" t="inlineStr">
        <is>
          <t>10</t>
        </is>
      </c>
      <c r="J1620" s="163" t="n">
        <v>45726</v>
      </c>
      <c r="K1620" s="163" t="n">
        <v>45726</v>
      </c>
      <c r="L1620" t="inlineStr"/>
      <c r="M1620" s="163" t="n">
        <v>45737</v>
      </c>
      <c r="N1620" s="164" t="n">
        <v>40</v>
      </c>
      <c r="O1620" s="164" t="n">
        <v>8</v>
      </c>
      <c r="P1620" t="inlineStr">
        <is>
          <t>Liberado</t>
        </is>
      </c>
      <c r="Q1620" s="165" t="n">
        <v>1</v>
      </c>
      <c r="R1620" s="165" t="n">
        <v>1</v>
      </c>
      <c r="S1620" s="165" t="n">
        <v>1</v>
      </c>
      <c r="T1620" s="165" t="n">
        <v>0</v>
      </c>
      <c r="U1620" s="166" t="n">
        <v>1</v>
      </c>
      <c r="V1620" s="166" t="n">
        <v>0</v>
      </c>
      <c r="W1620" t="inlineStr">
        <is>
          <t>X</t>
        </is>
      </c>
      <c r="X1620" t="inlineStr">
        <is>
          <t>0.00</t>
        </is>
      </c>
      <c r="Y1620" t="inlineStr"/>
      <c r="Z1620" t="inlineStr">
        <is>
          <t>ESPRINET IBERICA, S.L.U.</t>
        </is>
      </c>
      <c r="AA1620" t="inlineStr">
        <is>
          <t>TP-LINK TECHNOLOGIES</t>
        </is>
      </c>
      <c r="AB1620" t="inlineStr">
        <is>
          <t>TL-POE160S</t>
        </is>
      </c>
      <c r="AC1620" t="inlineStr"/>
      <c r="AD1620" s="164" t="n">
        <v>0</v>
      </c>
      <c r="AE1620" s="185" t="n">
        <v>0</v>
      </c>
      <c r="AG1620" s="167" t="inlineStr">
        <is>
          <t>7218|JA2582_1001</t>
        </is>
      </c>
      <c r="AH1620" s="47">
        <f>IF(M1620=0,"-",M1620-J1620)</f>
        <v/>
      </c>
      <c r="AI1620" s="46">
        <f>IF(AND(S1620=0,M1620&gt;0,L1620=0),IF(AH1620&gt;=120,"VERY HIGH",IF(AH1620&gt;=90,"HIGH",IF(AH1620&gt;=60,"MEDIUM",IF(AH1620&lt;60,"LOW")))),"-")</f>
        <v/>
      </c>
      <c r="AJ1620" s="12" t="n"/>
      <c r="AK1620" s="53">
        <f>IF(AND(W1620="X",M1620&lt;=$AJ$2),"YES","")</f>
        <v/>
      </c>
      <c r="AL1620" s="54">
        <f>IF(AND(W1620="X",M1620&lt;=$AJ$2),S1620,"")</f>
        <v/>
      </c>
      <c r="AM1620" s="35" t="n"/>
      <c r="AN1620" s="35">
        <f>IF(AND(W1620="X",M1620&gt;$AJ$2),S1620,"")</f>
        <v/>
      </c>
      <c r="AO1620" s="35">
        <f>IF(AND(W1620="",M1620&gt;0,$AJ$2&gt;M1620,L1620=""),1,0)</f>
        <v/>
      </c>
      <c r="AP1620" s="35">
        <f>IF(AND(AK1620="YES",W1620="X"),"X","")</f>
        <v/>
      </c>
      <c r="AQ1620" s="55">
        <f>IF(AP1620="X",100%,0%)</f>
        <v/>
      </c>
      <c r="AR1620" s="25">
        <f>IF(AND(T1620&gt;0,L1620=""),H1620,"")</f>
        <v/>
      </c>
      <c r="AS1620" s="25">
        <f>IF(AND(D1620&gt;0,H1620=0,G1620=""),1,"")</f>
        <v/>
      </c>
      <c r="AT1620" s="25">
        <f>IF(G1620="BLOQ",1,"")</f>
        <v/>
      </c>
      <c r="AU1620" s="25">
        <f>IF(L1620="BLOQ",1,"")</f>
        <v/>
      </c>
      <c r="AV1620" s="25">
        <f>MONTH(F1620)</f>
        <v/>
      </c>
      <c r="AW1620" s="65">
        <f>IF(AP1620="",100%,0%)</f>
        <v/>
      </c>
      <c r="AX1620" s="56" t="n"/>
      <c r="AY1620" s="24">
        <f>IF(M1620=0,"",M1620-$AX$2)</f>
        <v/>
      </c>
      <c r="AZ1620" s="66">
        <f>IF(AND(W1620="",AY1620&gt;0,AY1620&lt;15),1,0)</f>
        <v/>
      </c>
      <c r="BA1620" s="24">
        <f>IF(AND(W1620="",AY1620&gt;0,AY1620&lt;15),T1620,"")</f>
        <v/>
      </c>
      <c r="BB1620" s="87">
        <f>IF(R1620&lt;Q1620,"X","")</f>
        <v/>
      </c>
      <c r="BC1620" s="191" t="inlineStr">
        <is>
          <t>SI</t>
        </is>
      </c>
      <c r="BD1620" s="191" t="inlineStr">
        <is>
          <t>SI</t>
        </is>
      </c>
    </row>
    <row r="1621" ht="15" customHeight="1" s="162">
      <c r="A1621" s="7" t="n">
        <v>1620</v>
      </c>
      <c r="B1621" t="inlineStr">
        <is>
          <t>1231024321001</t>
        </is>
      </c>
      <c r="C1621" t="inlineStr">
        <is>
          <t>TUBO TERMORETRACTIL D=3.2MM PVC NEGRO</t>
        </is>
      </c>
      <c r="D1621" t="inlineStr">
        <is>
          <t>1800121212</t>
        </is>
      </c>
      <c r="E1621" t="inlineStr">
        <is>
          <t>10</t>
        </is>
      </c>
      <c r="F1621" s="163" t="n">
        <v>45722</v>
      </c>
      <c r="G1621" t="inlineStr"/>
      <c r="H1621" t="inlineStr">
        <is>
          <t>4200603155</t>
        </is>
      </c>
      <c r="I1621" t="inlineStr">
        <is>
          <t>10</t>
        </is>
      </c>
      <c r="J1621" s="163" t="n">
        <v>45735</v>
      </c>
      <c r="K1621" s="163" t="n">
        <v>45741</v>
      </c>
      <c r="L1621" t="inlineStr"/>
      <c r="M1621" s="163" t="n">
        <v>45741</v>
      </c>
      <c r="N1621" s="164" t="n">
        <v>60</v>
      </c>
      <c r="O1621" s="164" t="n">
        <v>8</v>
      </c>
      <c r="P1621" t="inlineStr">
        <is>
          <t>Liberado</t>
        </is>
      </c>
      <c r="Q1621" s="165" t="n">
        <v>1</v>
      </c>
      <c r="R1621" s="165" t="n">
        <v>1</v>
      </c>
      <c r="S1621" s="165" t="n">
        <v>1</v>
      </c>
      <c r="T1621" s="165" t="n">
        <v>0</v>
      </c>
      <c r="U1621" s="166" t="n">
        <v>1</v>
      </c>
      <c r="V1621" s="166" t="n">
        <v>0</v>
      </c>
      <c r="W1621" t="inlineStr">
        <is>
          <t>X</t>
        </is>
      </c>
      <c r="X1621" t="inlineStr">
        <is>
          <t>0.00</t>
        </is>
      </c>
      <c r="Y1621" t="inlineStr"/>
      <c r="Z1621" t="inlineStr">
        <is>
          <t>AUDIOBUS, S.L.</t>
        </is>
      </c>
      <c r="AA1621" t="inlineStr">
        <is>
          <t>AUDIOBUS S.L</t>
        </is>
      </c>
      <c r="AB1621" t="inlineStr">
        <is>
          <t>ZZ4400</t>
        </is>
      </c>
      <c r="AC1621" t="inlineStr"/>
      <c r="AD1621" s="164" t="n">
        <v>0</v>
      </c>
      <c r="AE1621" s="185" t="n">
        <v>0</v>
      </c>
      <c r="AG1621" s="167" t="inlineStr">
        <is>
          <t>7218|JA2590_1001</t>
        </is>
      </c>
      <c r="AH1621" s="47">
        <f>IF(M1621=0,"-",M1621-J1621)</f>
        <v/>
      </c>
      <c r="AI1621" s="46">
        <f>IF(AND(S1621=0,M1621&gt;0,L1621=0),IF(AH1621&gt;=120,"VERY HIGH",IF(AH1621&gt;=90,"HIGH",IF(AH1621&gt;=60,"MEDIUM",IF(AH1621&lt;60,"LOW")))),"-")</f>
        <v/>
      </c>
      <c r="AJ1621" s="12" t="n"/>
      <c r="AK1621" s="53">
        <f>IF(AND(W1621="X",M1621&lt;=$AJ$2),"YES","")</f>
        <v/>
      </c>
      <c r="AL1621" s="54">
        <f>IF(AND(W1621="X",M1621&lt;=$AJ$2),S1621,"")</f>
        <v/>
      </c>
      <c r="AM1621" s="35" t="n"/>
      <c r="AN1621" s="35">
        <f>IF(AND(W1621="X",M1621&gt;$AJ$2),S1621,"")</f>
        <v/>
      </c>
      <c r="AO1621" s="35">
        <f>IF(AND(W1621="",M1621&gt;0,$AJ$2&gt;M1621,L1621=""),1,0)</f>
        <v/>
      </c>
      <c r="AP1621" s="35">
        <f>IF(AND(AK1621="YES",W1621="X"),"X","")</f>
        <v/>
      </c>
      <c r="AQ1621" s="55">
        <f>IF(AP1621="X",100%,0%)</f>
        <v/>
      </c>
      <c r="AR1621" s="25">
        <f>IF(AND(T1621&gt;0,L1621=""),H1621,"")</f>
        <v/>
      </c>
      <c r="AS1621" s="25">
        <f>IF(AND(D1621&gt;0,H1621=0,G1621=""),1,"")</f>
        <v/>
      </c>
      <c r="AT1621" s="25">
        <f>IF(G1621="BLOQ",1,"")</f>
        <v/>
      </c>
      <c r="AU1621" s="25">
        <f>IF(L1621="BLOQ",1,"")</f>
        <v/>
      </c>
      <c r="AV1621" s="25">
        <f>MONTH(F1621)</f>
        <v/>
      </c>
      <c r="AW1621" s="65">
        <f>IF(AP1621="",100%,0%)</f>
        <v/>
      </c>
      <c r="AX1621" s="56" t="n"/>
      <c r="AY1621" s="24">
        <f>IF(M1621=0,"",M1621-$AX$2)</f>
        <v/>
      </c>
      <c r="AZ1621" s="66">
        <f>IF(AND(W1621="",AY1621&gt;0,AY1621&lt;15),1,0)</f>
        <v/>
      </c>
      <c r="BA1621" s="24">
        <f>IF(AND(W1621="",AY1621&gt;0,AY1621&lt;15),T1621,"")</f>
        <v/>
      </c>
      <c r="BB1621" s="87">
        <f>IF(R1621&lt;Q1621,"X","")</f>
        <v/>
      </c>
      <c r="BC1621" s="190" t="inlineStr">
        <is>
          <t>NO</t>
        </is>
      </c>
      <c r="BD1621" s="191" t="inlineStr">
        <is>
          <t>SI</t>
        </is>
      </c>
    </row>
    <row r="1622" ht="15" customHeight="1" s="162">
      <c r="A1622" s="7" t="n">
        <v>1621</v>
      </c>
      <c r="B1622" t="inlineStr">
        <is>
          <t>1214301130022</t>
        </is>
      </c>
      <c r="C1622" t="inlineStr">
        <is>
          <t>CNC CIR 19-11S/H RCPT RECT AL ZN/NI R-N</t>
        </is>
      </c>
      <c r="D1622" t="inlineStr">
        <is>
          <t>1800122179</t>
        </is>
      </c>
      <c r="E1622" t="inlineStr">
        <is>
          <t>10</t>
        </is>
      </c>
      <c r="F1622" s="163" t="n">
        <v>45739</v>
      </c>
      <c r="G1622" t="inlineStr"/>
      <c r="H1622" t="inlineStr">
        <is>
          <t>4200604898</t>
        </is>
      </c>
      <c r="I1622" t="inlineStr">
        <is>
          <t>470</t>
        </is>
      </c>
      <c r="J1622" s="163" t="n">
        <v>45747</v>
      </c>
      <c r="K1622" s="163" t="n">
        <v>45754</v>
      </c>
      <c r="L1622" t="inlineStr"/>
      <c r="M1622" s="163" t="n">
        <v>45756</v>
      </c>
      <c r="N1622" s="164" t="n">
        <v>40</v>
      </c>
      <c r="O1622" s="164" t="n">
        <v>8</v>
      </c>
      <c r="P1622" t="inlineStr">
        <is>
          <t>Liberado</t>
        </is>
      </c>
      <c r="Q1622" s="165" t="n">
        <v>1</v>
      </c>
      <c r="R1622" s="165" t="n">
        <v>1</v>
      </c>
      <c r="S1622" s="165" t="n">
        <v>1</v>
      </c>
      <c r="T1622" s="165" t="n">
        <v>0</v>
      </c>
      <c r="U1622" s="166" t="n">
        <v>1</v>
      </c>
      <c r="V1622" s="166" t="n">
        <v>0</v>
      </c>
      <c r="W1622" t="inlineStr">
        <is>
          <t>X</t>
        </is>
      </c>
      <c r="X1622" t="inlineStr">
        <is>
          <t>0.00</t>
        </is>
      </c>
      <c r="Y1622" t="inlineStr"/>
      <c r="Z1622" t="inlineStr">
        <is>
          <t>SUMINISTROS CONECTORES PROF.,SA.</t>
        </is>
      </c>
      <c r="AA1622" t="inlineStr">
        <is>
          <t>MILITARY SPECS.</t>
        </is>
      </c>
      <c r="AB1622" t="inlineStr">
        <is>
          <t>D38999/20ZF11SN</t>
        </is>
      </c>
      <c r="AC1622" t="inlineStr"/>
      <c r="AD1622" s="164" t="n">
        <v>0</v>
      </c>
      <c r="AE1622" s="185" t="n">
        <v>0</v>
      </c>
      <c r="AG1622" s="167" t="inlineStr">
        <is>
          <t>7218|JA2582_1001</t>
        </is>
      </c>
      <c r="AH1622" s="47">
        <f>IF(M1622=0,"-",M1622-J1622)</f>
        <v/>
      </c>
      <c r="AI1622" s="46">
        <f>IF(AND(S1622=0,M1622&gt;0,L1622=0),IF(AH1622&gt;=120,"VERY HIGH",IF(AH1622&gt;=90,"HIGH",IF(AH1622&gt;=60,"MEDIUM",IF(AH1622&lt;60,"LOW")))),"-")</f>
        <v/>
      </c>
      <c r="AJ1622" s="12" t="n"/>
      <c r="AK1622" s="53">
        <f>IF(AND(W1622="X",M1622&lt;=$AJ$2),"YES","")</f>
        <v/>
      </c>
      <c r="AL1622" s="54">
        <f>IF(AND(W1622="X",M1622&lt;=$AJ$2),S1622,"")</f>
        <v/>
      </c>
      <c r="AM1622" s="35" t="n"/>
      <c r="AN1622" s="35">
        <f>IF(AND(W1622="X",M1622&gt;$AJ$2),S1622,"")</f>
        <v/>
      </c>
      <c r="AO1622" s="35">
        <f>IF(AND(W1622="",M1622&gt;0,$AJ$2&gt;M1622,L1622=""),1,0)</f>
        <v/>
      </c>
      <c r="AP1622" s="35">
        <f>IF(AND(AK1622="YES",W1622="X"),"X","")</f>
        <v/>
      </c>
      <c r="AQ1622" s="55">
        <f>IF(AP1622="X",100%,0%)</f>
        <v/>
      </c>
      <c r="AR1622" s="25">
        <f>IF(AND(T1622&gt;0,L1622=""),H1622,"")</f>
        <v/>
      </c>
      <c r="AS1622" s="25">
        <f>IF(AND(D1622&gt;0,H1622=0,G1622=""),1,"")</f>
        <v/>
      </c>
      <c r="AT1622" s="25">
        <f>IF(G1622="BLOQ",1,"")</f>
        <v/>
      </c>
      <c r="AU1622" s="25">
        <f>IF(L1622="BLOQ",1,"")</f>
        <v/>
      </c>
      <c r="AV1622" s="25">
        <f>MONTH(F1622)</f>
        <v/>
      </c>
      <c r="AW1622" s="65">
        <f>IF(AP1622="",100%,0%)</f>
        <v/>
      </c>
      <c r="AX1622" s="56" t="n"/>
      <c r="AY1622" s="24">
        <f>IF(M1622=0,"",M1622-$AX$2)</f>
        <v/>
      </c>
      <c r="AZ1622" s="66">
        <f>IF(AND(W1622="",AY1622&gt;0,AY1622&lt;15),1,0)</f>
        <v/>
      </c>
      <c r="BA1622" s="24">
        <f>IF(AND(W1622="",AY1622&gt;0,AY1622&lt;15),T1622,"")</f>
        <v/>
      </c>
      <c r="BB1622" s="87">
        <f>IF(R1622&lt;Q1622,"X","")</f>
        <v/>
      </c>
      <c r="BC1622" s="190" t="inlineStr">
        <is>
          <t>NO</t>
        </is>
      </c>
      <c r="BD1622" s="191" t="inlineStr">
        <is>
          <t>SI</t>
        </is>
      </c>
    </row>
    <row r="1623" ht="15" customHeight="1" s="162">
      <c r="A1623" s="7" t="n">
        <v>1622</v>
      </c>
      <c r="B1623" t="inlineStr">
        <is>
          <t>1214301130022</t>
        </is>
      </c>
      <c r="C1623" t="inlineStr">
        <is>
          <t>CNC CIR 19-11S/H RCPT RECT AL ZN/NI R-N</t>
        </is>
      </c>
      <c r="D1623" t="inlineStr">
        <is>
          <t>1800122179</t>
        </is>
      </c>
      <c r="E1623" t="inlineStr">
        <is>
          <t>10</t>
        </is>
      </c>
      <c r="F1623" s="163" t="n">
        <v>45739</v>
      </c>
      <c r="G1623" t="inlineStr"/>
      <c r="H1623" t="inlineStr">
        <is>
          <t>4200605021</t>
        </is>
      </c>
      <c r="I1623" t="inlineStr">
        <is>
          <t>10</t>
        </is>
      </c>
      <c r="J1623" s="163" t="n">
        <v>45747</v>
      </c>
      <c r="K1623" s="163" t="inlineStr"/>
      <c r="L1623" t="inlineStr">
        <is>
          <t>BORR</t>
        </is>
      </c>
      <c r="M1623" s="163" t="n">
        <v>45756</v>
      </c>
      <c r="N1623" s="164" t="n">
        <v>40</v>
      </c>
      <c r="O1623" s="164" t="n">
        <v>8</v>
      </c>
      <c r="P1623" t="inlineStr"/>
      <c r="Q1623" s="165" t="n">
        <v>1</v>
      </c>
      <c r="R1623" s="165" t="n">
        <v>1</v>
      </c>
      <c r="S1623" s="165" t="n">
        <v>0</v>
      </c>
      <c r="T1623" s="165" t="n">
        <v>1</v>
      </c>
      <c r="U1623" s="166" t="n">
        <v>0</v>
      </c>
      <c r="V1623" s="166" t="n">
        <v>0</v>
      </c>
      <c r="W1623" t="inlineStr"/>
      <c r="X1623" t="inlineStr">
        <is>
          <t>46.08</t>
        </is>
      </c>
      <c r="Y1623" t="inlineStr"/>
      <c r="Z1623" t="inlineStr">
        <is>
          <t>SUMINISTROS CONECTORES PROF.,SA.</t>
        </is>
      </c>
      <c r="AA1623" t="inlineStr">
        <is>
          <t>MILITARY SPECS.</t>
        </is>
      </c>
      <c r="AB1623" t="inlineStr">
        <is>
          <t>D38999/20ZF11SN</t>
        </is>
      </c>
      <c r="AC1623" t="inlineStr"/>
      <c r="AD1623" s="164" t="n">
        <v>0</v>
      </c>
      <c r="AE1623" s="185" t="n">
        <v>0</v>
      </c>
      <c r="AG1623" s="167" t="inlineStr">
        <is>
          <t>7218|JA2582_1001</t>
        </is>
      </c>
      <c r="AH1623" s="47">
        <f>IF(M1623=0,"-",M1623-J1623)</f>
        <v/>
      </c>
      <c r="AI1623" s="46">
        <f>IF(AND(S1623=0,M1623&gt;0,L1623=0),IF(AH1623&gt;=120,"VERY HIGH",IF(AH1623&gt;=90,"HIGH",IF(AH1623&gt;=60,"MEDIUM",IF(AH1623&lt;60,"LOW")))),"-")</f>
        <v/>
      </c>
      <c r="AJ1623" s="12" t="n"/>
      <c r="AK1623" s="53">
        <f>IF(AND(W1623="X",M1623&lt;=$AJ$2),"YES","")</f>
        <v/>
      </c>
      <c r="AL1623" s="54">
        <f>IF(AND(W1623="X",M1623&lt;=$AJ$2),S1623,"")</f>
        <v/>
      </c>
      <c r="AM1623" s="35" t="n"/>
      <c r="AN1623" s="35">
        <f>IF(AND(W1623="X",M1623&gt;$AJ$2),S1623,"")</f>
        <v/>
      </c>
      <c r="AO1623" s="35">
        <f>IF(AND(W1623="",M1623&gt;0,$AJ$2&gt;M1623,L1623=""),1,0)</f>
        <v/>
      </c>
      <c r="AP1623" s="35">
        <f>IF(AND(AK1623="YES",W1623="X"),"X","")</f>
        <v/>
      </c>
      <c r="AQ1623" s="55">
        <f>IF(AP1623="X",100%,0%)</f>
        <v/>
      </c>
      <c r="AR1623" s="25">
        <f>IF(AND(T1623&gt;0,L1623=""),H1623,"")</f>
        <v/>
      </c>
      <c r="AS1623" s="25">
        <f>IF(AND(D1623&gt;0,H1623=0,G1623=""),1,"")</f>
        <v/>
      </c>
      <c r="AT1623" s="25">
        <f>IF(G1623="BLOQ",1,"")</f>
        <v/>
      </c>
      <c r="AU1623" s="25">
        <f>IF(L1623="BLOQ",1,"")</f>
        <v/>
      </c>
      <c r="AV1623" s="25">
        <f>MONTH(F1623)</f>
        <v/>
      </c>
      <c r="AW1623" s="65">
        <f>IF(AP1623="",100%,0%)</f>
        <v/>
      </c>
      <c r="AX1623" s="56" t="n"/>
      <c r="AY1623" s="24">
        <f>IF(M1623=0,"",M1623-$AX$2)</f>
        <v/>
      </c>
      <c r="AZ1623" s="66">
        <f>IF(AND(W1623="",AY1623&gt;0,AY1623&lt;15),1,0)</f>
        <v/>
      </c>
      <c r="BA1623" s="24">
        <f>IF(AND(W1623="",AY1623&gt;0,AY1623&lt;15),T1623,"")</f>
        <v/>
      </c>
      <c r="BB1623" s="87">
        <f>IF(R1623&lt;Q1623,"X","")</f>
        <v/>
      </c>
      <c r="BC1623" s="190" t="inlineStr">
        <is>
          <t>NO</t>
        </is>
      </c>
      <c r="BD1623" s="191" t="inlineStr">
        <is>
          <t>SI</t>
        </is>
      </c>
    </row>
    <row r="1624" ht="15" customHeight="1" s="162">
      <c r="A1624" s="7" t="n">
        <v>1623</v>
      </c>
      <c r="B1624" t="inlineStr">
        <is>
          <t>1220115702003</t>
        </is>
      </c>
      <c r="C1624" t="inlineStr">
        <is>
          <t>CBL FLEX 1X70MM2 750V H07Z1-K AM/VE ROHS</t>
        </is>
      </c>
      <c r="D1624" t="inlineStr">
        <is>
          <t>1800122179</t>
        </is>
      </c>
      <c r="E1624" t="inlineStr">
        <is>
          <t>20</t>
        </is>
      </c>
      <c r="F1624" s="163" t="n">
        <v>45739</v>
      </c>
      <c r="G1624" t="inlineStr"/>
      <c r="H1624" t="inlineStr">
        <is>
          <t>4200604135</t>
        </is>
      </c>
      <c r="I1624" t="inlineStr">
        <is>
          <t>60</t>
        </is>
      </c>
      <c r="J1624" s="163" t="n">
        <v>45741</v>
      </c>
      <c r="K1624" s="163" t="n">
        <v>45756</v>
      </c>
      <c r="L1624" t="inlineStr"/>
      <c r="M1624" s="163" t="n">
        <v>45756</v>
      </c>
      <c r="N1624" s="164" t="n">
        <v>40</v>
      </c>
      <c r="O1624" s="164" t="n">
        <v>8</v>
      </c>
      <c r="P1624" t="inlineStr">
        <is>
          <t>Liberado</t>
        </is>
      </c>
      <c r="Q1624" s="165" t="n">
        <v>50</v>
      </c>
      <c r="R1624" s="165" t="n">
        <v>50</v>
      </c>
      <c r="S1624" s="165" t="n">
        <v>50</v>
      </c>
      <c r="T1624" s="165" t="n">
        <v>0</v>
      </c>
      <c r="U1624" s="166" t="n">
        <v>50</v>
      </c>
      <c r="V1624" s="166" t="n">
        <v>0</v>
      </c>
      <c r="W1624" t="inlineStr">
        <is>
          <t>X</t>
        </is>
      </c>
      <c r="X1624" t="inlineStr">
        <is>
          <t>0.00</t>
        </is>
      </c>
      <c r="Y1624" t="inlineStr"/>
      <c r="Z1624" t="inlineStr">
        <is>
          <t>(AEMSA)ALMACENES ELECTRICOS MADRILE</t>
        </is>
      </c>
      <c r="AA1624" t="inlineStr">
        <is>
          <t>MIGUELEZ</t>
        </is>
      </c>
      <c r="AB1624" t="inlineStr">
        <is>
          <t>82040100700-A/V</t>
        </is>
      </c>
      <c r="AC1624" t="inlineStr"/>
      <c r="AD1624" s="164" t="n">
        <v>0</v>
      </c>
      <c r="AE1624" s="185" t="n">
        <v>0</v>
      </c>
      <c r="AG1624" s="167" t="inlineStr">
        <is>
          <t>7218|JA2582_1001</t>
        </is>
      </c>
      <c r="AH1624" s="47">
        <f>IF(M1624=0,"-",M1624-J1624)</f>
        <v/>
      </c>
      <c r="AI1624" s="46">
        <f>IF(AND(S1624=0,M1624&gt;0,L1624=0),IF(AH1624&gt;=120,"VERY HIGH",IF(AH1624&gt;=90,"HIGH",IF(AH1624&gt;=60,"MEDIUM",IF(AH1624&lt;60,"LOW")))),"-")</f>
        <v/>
      </c>
      <c r="AJ1624" s="12" t="n"/>
      <c r="AK1624" s="53">
        <f>IF(AND(W1624="X",M1624&lt;=$AJ$2),"YES","")</f>
        <v/>
      </c>
      <c r="AL1624" s="54">
        <f>IF(AND(W1624="X",M1624&lt;=$AJ$2),S1624,"")</f>
        <v/>
      </c>
      <c r="AM1624" s="35" t="n"/>
      <c r="AN1624" s="35">
        <f>IF(AND(W1624="X",M1624&gt;$AJ$2),S1624,"")</f>
        <v/>
      </c>
      <c r="AO1624" s="35">
        <f>IF(AND(W1624="",M1624&gt;0,$AJ$2&gt;M1624,L1624=""),1,0)</f>
        <v/>
      </c>
      <c r="AP1624" s="35">
        <f>IF(AND(AK1624="YES",W1624="X"),"X","")</f>
        <v/>
      </c>
      <c r="AQ1624" s="55">
        <f>IF(AP1624="X",100%,0%)</f>
        <v/>
      </c>
      <c r="AR1624" s="25">
        <f>IF(AND(T1624&gt;0,L1624=""),H1624,"")</f>
        <v/>
      </c>
      <c r="AS1624" s="25">
        <f>IF(AND(D1624&gt;0,H1624=0,G1624=""),1,"")</f>
        <v/>
      </c>
      <c r="AT1624" s="25">
        <f>IF(G1624="BLOQ",1,"")</f>
        <v/>
      </c>
      <c r="AU1624" s="25">
        <f>IF(L1624="BLOQ",1,"")</f>
        <v/>
      </c>
      <c r="AV1624" s="25">
        <f>MONTH(F1624)</f>
        <v/>
      </c>
      <c r="AW1624" s="65">
        <f>IF(AP1624="",100%,0%)</f>
        <v/>
      </c>
      <c r="AX1624" s="56" t="n"/>
      <c r="AY1624" s="24">
        <f>IF(M1624=0,"",M1624-$AX$2)</f>
        <v/>
      </c>
      <c r="AZ1624" s="66">
        <f>IF(AND(W1624="",AY1624&gt;0,AY1624&lt;15),1,0)</f>
        <v/>
      </c>
      <c r="BA1624" s="24">
        <f>IF(AND(W1624="",AY1624&gt;0,AY1624&lt;15),T1624,"")</f>
        <v/>
      </c>
      <c r="BB1624" s="87">
        <f>IF(R1624&lt;Q1624,"X","")</f>
        <v/>
      </c>
      <c r="BC1624" s="190" t="inlineStr">
        <is>
          <t>NO</t>
        </is>
      </c>
      <c r="BD1624" s="191" t="inlineStr">
        <is>
          <t>SI</t>
        </is>
      </c>
    </row>
    <row r="1625" ht="15" customHeight="1" s="162">
      <c r="A1625" s="7" t="n">
        <v>1624</v>
      </c>
      <c r="B1625" t="inlineStr">
        <is>
          <t>1501216016001</t>
        </is>
      </c>
      <c r="C1625" t="inlineStr">
        <is>
          <t>TOR ALO CRUC M6X16  INOX DIN7985/ISO7045</t>
        </is>
      </c>
      <c r="D1625" t="inlineStr">
        <is>
          <t>1800122179</t>
        </is>
      </c>
      <c r="E1625" t="inlineStr">
        <is>
          <t>30</t>
        </is>
      </c>
      <c r="F1625" s="163" t="n">
        <v>45739</v>
      </c>
      <c r="G1625" t="inlineStr"/>
      <c r="H1625" t="inlineStr">
        <is>
          <t>4200605018</t>
        </is>
      </c>
      <c r="I1625" t="inlineStr">
        <is>
          <t>110</t>
        </is>
      </c>
      <c r="J1625" s="163" t="n">
        <v>45747</v>
      </c>
      <c r="K1625" s="163" t="n">
        <v>45750</v>
      </c>
      <c r="L1625" t="inlineStr"/>
      <c r="M1625" s="163" t="n">
        <v>45775</v>
      </c>
      <c r="N1625" s="164" t="n">
        <v>60</v>
      </c>
      <c r="O1625" s="164" t="n">
        <v>8</v>
      </c>
      <c r="P1625" t="inlineStr">
        <is>
          <t>Liberado</t>
        </is>
      </c>
      <c r="Q1625" s="165" t="n">
        <v>100</v>
      </c>
      <c r="R1625" s="165" t="n">
        <v>1000</v>
      </c>
      <c r="S1625" s="165" t="n">
        <v>1000</v>
      </c>
      <c r="T1625" s="165" t="n">
        <v>0</v>
      </c>
      <c r="U1625" s="166" t="n">
        <v>1000</v>
      </c>
      <c r="V1625" s="166" t="n">
        <v>0</v>
      </c>
      <c r="W1625" t="inlineStr">
        <is>
          <t>X</t>
        </is>
      </c>
      <c r="X1625" t="inlineStr">
        <is>
          <t>0.00</t>
        </is>
      </c>
      <c r="Y1625" t="inlineStr"/>
      <c r="Z1625" t="inlineStr">
        <is>
          <t>ALMACENES DELCA, S.A.</t>
        </is>
      </c>
      <c r="AA1625" t="inlineStr">
        <is>
          <t>DIN</t>
        </is>
      </c>
      <c r="AB1625" t="inlineStr">
        <is>
          <t>DIN7985-M6X16-A2-70-H</t>
        </is>
      </c>
      <c r="AC1625" t="inlineStr"/>
      <c r="AD1625" s="164" t="n">
        <v>0</v>
      </c>
      <c r="AE1625" s="185" t="n">
        <v>0</v>
      </c>
      <c r="AG1625" s="167" t="inlineStr">
        <is>
          <t>7218|JA2582_1001</t>
        </is>
      </c>
      <c r="AH1625" s="47">
        <f>IF(M1625=0,"-",M1625-J1625)</f>
        <v/>
      </c>
      <c r="AI1625" s="46">
        <f>IF(AND(S1625=0,M1625&gt;0,L1625=0),IF(AH1625&gt;=120,"VERY HIGH",IF(AH1625&gt;=90,"HIGH",IF(AH1625&gt;=60,"MEDIUM",IF(AH1625&lt;60,"LOW")))),"-")</f>
        <v/>
      </c>
      <c r="AJ1625" s="12" t="n"/>
      <c r="AK1625" s="53">
        <f>IF(AND(W1625="X",M1625&lt;=$AJ$2),"YES","")</f>
        <v/>
      </c>
      <c r="AL1625" s="54">
        <f>IF(AND(W1625="X",M1625&lt;=$AJ$2),S1625,"")</f>
        <v/>
      </c>
      <c r="AM1625" s="35" t="n"/>
      <c r="AN1625" s="35">
        <f>IF(AND(W1625="X",M1625&gt;$AJ$2),S1625,"")</f>
        <v/>
      </c>
      <c r="AO1625" s="35">
        <f>IF(AND(W1625="",M1625&gt;0,$AJ$2&gt;M1625,L1625=""),1,0)</f>
        <v/>
      </c>
      <c r="AP1625" s="35">
        <f>IF(AND(AK1625="YES",W1625="X"),"X","")</f>
        <v/>
      </c>
      <c r="AQ1625" s="55">
        <f>IF(AP1625="X",100%,0%)</f>
        <v/>
      </c>
      <c r="AR1625" s="25">
        <f>IF(AND(T1625&gt;0,L1625=""),H1625,"")</f>
        <v/>
      </c>
      <c r="AS1625" s="25">
        <f>IF(AND(D1625&gt;0,H1625=0,G1625=""),1,"")</f>
        <v/>
      </c>
      <c r="AT1625" s="25">
        <f>IF(G1625="BLOQ",1,"")</f>
        <v/>
      </c>
      <c r="AU1625" s="25">
        <f>IF(L1625="BLOQ",1,"")</f>
        <v/>
      </c>
      <c r="AV1625" s="25">
        <f>MONTH(F1625)</f>
        <v/>
      </c>
      <c r="AW1625" s="65">
        <f>IF(AP1625="",100%,0%)</f>
        <v/>
      </c>
      <c r="AX1625" s="56" t="n"/>
      <c r="AY1625" s="24">
        <f>IF(M1625=0,"",M1625-$AX$2)</f>
        <v/>
      </c>
      <c r="AZ1625" s="66">
        <f>IF(AND(W1625="",AY1625&gt;0,AY1625&lt;15),1,0)</f>
        <v/>
      </c>
      <c r="BA1625" s="24">
        <f>IF(AND(W1625="",AY1625&gt;0,AY1625&lt;15),T1625,"")</f>
        <v/>
      </c>
      <c r="BB1625" s="87">
        <f>IF(R1625&lt;Q1625,"X","")</f>
        <v/>
      </c>
      <c r="BC1625" s="190" t="inlineStr">
        <is>
          <t>NO</t>
        </is>
      </c>
      <c r="BD1625" s="191" t="inlineStr">
        <is>
          <t>SI</t>
        </is>
      </c>
    </row>
    <row r="1626" ht="15" customHeight="1" s="162">
      <c r="A1626" s="7" t="n">
        <v>1625</v>
      </c>
      <c r="B1626" t="inlineStr">
        <is>
          <t>1531215000001</t>
        </is>
      </c>
      <c r="C1626" t="inlineStr">
        <is>
          <t>TUERCA EXA SEG C/ARA PLST M5 INOX DIN985</t>
        </is>
      </c>
      <c r="D1626" t="inlineStr">
        <is>
          <t>1800122179</t>
        </is>
      </c>
      <c r="E1626" t="inlineStr">
        <is>
          <t>40</t>
        </is>
      </c>
      <c r="F1626" s="163" t="n">
        <v>45739</v>
      </c>
      <c r="G1626" t="inlineStr"/>
      <c r="H1626" t="inlineStr">
        <is>
          <t>4200605018</t>
        </is>
      </c>
      <c r="I1626" t="inlineStr">
        <is>
          <t>120</t>
        </is>
      </c>
      <c r="J1626" s="163" t="n">
        <v>45747</v>
      </c>
      <c r="K1626" s="163" t="n">
        <v>45750</v>
      </c>
      <c r="L1626" t="inlineStr"/>
      <c r="M1626" s="163" t="n">
        <v>45775</v>
      </c>
      <c r="N1626" s="164" t="n">
        <v>40</v>
      </c>
      <c r="O1626" s="164" t="n">
        <v>8</v>
      </c>
      <c r="P1626" t="inlineStr">
        <is>
          <t>Liberado</t>
        </is>
      </c>
      <c r="Q1626" s="165" t="n">
        <v>100</v>
      </c>
      <c r="R1626" s="165" t="n">
        <v>1000</v>
      </c>
      <c r="S1626" s="165" t="n">
        <v>1000</v>
      </c>
      <c r="T1626" s="165" t="n">
        <v>0</v>
      </c>
      <c r="U1626" s="166" t="n">
        <v>1000</v>
      </c>
      <c r="V1626" s="166" t="n">
        <v>0</v>
      </c>
      <c r="W1626" t="inlineStr">
        <is>
          <t>X</t>
        </is>
      </c>
      <c r="X1626" t="inlineStr">
        <is>
          <t>0.00</t>
        </is>
      </c>
      <c r="Y1626" t="inlineStr"/>
      <c r="Z1626" t="inlineStr">
        <is>
          <t>ALMACENES DELCA, S.A.</t>
        </is>
      </c>
      <c r="AA1626" t="inlineStr">
        <is>
          <t>DIN</t>
        </is>
      </c>
      <c r="AB1626" t="inlineStr">
        <is>
          <t>DIN985-M5-A2</t>
        </is>
      </c>
      <c r="AC1626" t="inlineStr"/>
      <c r="AD1626" s="164" t="n">
        <v>0</v>
      </c>
      <c r="AE1626" s="185" t="n">
        <v>0</v>
      </c>
      <c r="AG1626" s="167" t="inlineStr">
        <is>
          <t>7218|JA2582_1001</t>
        </is>
      </c>
      <c r="AH1626" s="47">
        <f>IF(M1626=0,"-",M1626-J1626)</f>
        <v/>
      </c>
      <c r="AI1626" s="46">
        <f>IF(AND(S1626=0,M1626&gt;0,L1626=0),IF(AH1626&gt;=120,"VERY HIGH",IF(AH1626&gt;=90,"HIGH",IF(AH1626&gt;=60,"MEDIUM",IF(AH1626&lt;60,"LOW")))),"-")</f>
        <v/>
      </c>
      <c r="AJ1626" s="12" t="n"/>
      <c r="AK1626" s="53">
        <f>IF(AND(W1626="X",M1626&lt;=$AJ$2),"YES","")</f>
        <v/>
      </c>
      <c r="AL1626" s="54">
        <f>IF(AND(W1626="X",M1626&lt;=$AJ$2),S1626,"")</f>
        <v/>
      </c>
      <c r="AM1626" s="35" t="n"/>
      <c r="AN1626" s="35">
        <f>IF(AND(W1626="X",M1626&gt;$AJ$2),S1626,"")</f>
        <v/>
      </c>
      <c r="AO1626" s="35">
        <f>IF(AND(W1626="",M1626&gt;0,$AJ$2&gt;M1626,L1626=""),1,0)</f>
        <v/>
      </c>
      <c r="AP1626" s="35">
        <f>IF(AND(AK1626="YES",W1626="X"),"X","")</f>
        <v/>
      </c>
      <c r="AQ1626" s="55">
        <f>IF(AP1626="X",100%,0%)</f>
        <v/>
      </c>
      <c r="AR1626" s="25">
        <f>IF(AND(T1626&gt;0,L1626=""),H1626,"")</f>
        <v/>
      </c>
      <c r="AS1626" s="25">
        <f>IF(AND(D1626&gt;0,H1626=0,G1626=""),1,"")</f>
        <v/>
      </c>
      <c r="AT1626" s="25">
        <f>IF(G1626="BLOQ",1,"")</f>
        <v/>
      </c>
      <c r="AU1626" s="25">
        <f>IF(L1626="BLOQ",1,"")</f>
        <v/>
      </c>
      <c r="AV1626" s="25">
        <f>MONTH(F1626)</f>
        <v/>
      </c>
      <c r="AW1626" s="65">
        <f>IF(AP1626="",100%,0%)</f>
        <v/>
      </c>
      <c r="AX1626" s="56" t="n"/>
      <c r="AY1626" s="24">
        <f>IF(M1626=0,"",M1626-$AX$2)</f>
        <v/>
      </c>
      <c r="AZ1626" s="66">
        <f>IF(AND(W1626="",AY1626&gt;0,AY1626&lt;15),1,0)</f>
        <v/>
      </c>
      <c r="BA1626" s="24">
        <f>IF(AND(W1626="",AY1626&gt;0,AY1626&lt;15),T1626,"")</f>
        <v/>
      </c>
      <c r="BB1626" s="87">
        <f>IF(R1626&lt;Q1626,"X","")</f>
        <v/>
      </c>
      <c r="BC1626" s="190" t="inlineStr">
        <is>
          <t>NO</t>
        </is>
      </c>
      <c r="BD1626" s="191" t="inlineStr">
        <is>
          <t>SI</t>
        </is>
      </c>
    </row>
    <row r="1627" ht="15" customHeight="1" s="162">
      <c r="A1627" s="7" t="n">
        <v>1626</v>
      </c>
      <c r="B1627" t="inlineStr">
        <is>
          <t>1540116000001</t>
        </is>
      </c>
      <c r="C1627" t="inlineStr">
        <is>
          <t>ARA PL P/M6 INOX DIN125A/ISO7089</t>
        </is>
      </c>
      <c r="D1627" t="inlineStr">
        <is>
          <t>1800122179</t>
        </is>
      </c>
      <c r="E1627" t="inlineStr">
        <is>
          <t>50</t>
        </is>
      </c>
      <c r="F1627" s="163" t="n">
        <v>45739</v>
      </c>
      <c r="G1627" t="inlineStr"/>
      <c r="H1627" t="inlineStr">
        <is>
          <t>4200605018</t>
        </is>
      </c>
      <c r="I1627" t="inlineStr">
        <is>
          <t>130</t>
        </is>
      </c>
      <c r="J1627" s="163" t="n">
        <v>45747</v>
      </c>
      <c r="K1627" s="163" t="n">
        <v>45750</v>
      </c>
      <c r="L1627" t="inlineStr"/>
      <c r="M1627" s="163" t="n">
        <v>45775</v>
      </c>
      <c r="N1627" s="164" t="n">
        <v>60</v>
      </c>
      <c r="O1627" s="164" t="n">
        <v>8</v>
      </c>
      <c r="P1627" t="inlineStr">
        <is>
          <t>Liberado</t>
        </is>
      </c>
      <c r="Q1627" s="165" t="n">
        <v>100</v>
      </c>
      <c r="R1627" s="165" t="n">
        <v>1000</v>
      </c>
      <c r="S1627" s="165" t="n">
        <v>1000</v>
      </c>
      <c r="T1627" s="165" t="n">
        <v>0</v>
      </c>
      <c r="U1627" s="166" t="n">
        <v>1000</v>
      </c>
      <c r="V1627" s="166" t="n">
        <v>0</v>
      </c>
      <c r="W1627" t="inlineStr">
        <is>
          <t>X</t>
        </is>
      </c>
      <c r="X1627" t="inlineStr">
        <is>
          <t>0.00</t>
        </is>
      </c>
      <c r="Y1627" t="inlineStr"/>
      <c r="Z1627" t="inlineStr">
        <is>
          <t>ALMACENES DELCA, S.A.</t>
        </is>
      </c>
      <c r="AA1627" t="inlineStr">
        <is>
          <t>DIN</t>
        </is>
      </c>
      <c r="AB1627" t="inlineStr">
        <is>
          <t>DIN125-A6,4-A2</t>
        </is>
      </c>
      <c r="AC1627" t="inlineStr"/>
      <c r="AD1627" s="164" t="n">
        <v>0</v>
      </c>
      <c r="AE1627" s="185" t="n">
        <v>0</v>
      </c>
      <c r="AG1627" s="167" t="inlineStr">
        <is>
          <t>7218|JA2582_1001</t>
        </is>
      </c>
      <c r="AH1627" s="47">
        <f>IF(M1627=0,"-",M1627-J1627)</f>
        <v/>
      </c>
      <c r="AI1627" s="46">
        <f>IF(AND(S1627=0,M1627&gt;0,L1627=0),IF(AH1627&gt;=120,"VERY HIGH",IF(AH1627&gt;=90,"HIGH",IF(AH1627&gt;=60,"MEDIUM",IF(AH1627&lt;60,"LOW")))),"-")</f>
        <v/>
      </c>
      <c r="AJ1627" s="12" t="n"/>
      <c r="AK1627" s="53">
        <f>IF(AND(W1627="X",M1627&lt;=$AJ$2),"YES","")</f>
        <v/>
      </c>
      <c r="AL1627" s="54">
        <f>IF(AND(W1627="X",M1627&lt;=$AJ$2),S1627,"")</f>
        <v/>
      </c>
      <c r="AM1627" s="35" t="n"/>
      <c r="AN1627" s="35">
        <f>IF(AND(W1627="X",M1627&gt;$AJ$2),S1627,"")</f>
        <v/>
      </c>
      <c r="AO1627" s="35">
        <f>IF(AND(W1627="",M1627&gt;0,$AJ$2&gt;M1627,L1627=""),1,0)</f>
        <v/>
      </c>
      <c r="AP1627" s="35">
        <f>IF(AND(AK1627="YES",W1627="X"),"X","")</f>
        <v/>
      </c>
      <c r="AQ1627" s="55">
        <f>IF(AP1627="X",100%,0%)</f>
        <v/>
      </c>
      <c r="AR1627" s="25">
        <f>IF(AND(T1627&gt;0,L1627=""),H1627,"")</f>
        <v/>
      </c>
      <c r="AS1627" s="25">
        <f>IF(AND(D1627&gt;0,H1627=0,G1627=""),1,"")</f>
        <v/>
      </c>
      <c r="AT1627" s="25">
        <f>IF(G1627="BLOQ",1,"")</f>
        <v/>
      </c>
      <c r="AU1627" s="25">
        <f>IF(L1627="BLOQ",1,"")</f>
        <v/>
      </c>
      <c r="AV1627" s="25">
        <f>MONTH(F1627)</f>
        <v/>
      </c>
      <c r="AW1627" s="65">
        <f>IF(AP1627="",100%,0%)</f>
        <v/>
      </c>
      <c r="AX1627" s="56" t="n"/>
      <c r="AY1627" s="24">
        <f>IF(M1627=0,"",M1627-$AX$2)</f>
        <v/>
      </c>
      <c r="AZ1627" s="66">
        <f>IF(AND(W1627="",AY1627&gt;0,AY1627&lt;15),1,0)</f>
        <v/>
      </c>
      <c r="BA1627" s="24">
        <f>IF(AND(W1627="",AY1627&gt;0,AY1627&lt;15),T1627,"")</f>
        <v/>
      </c>
      <c r="BB1627" s="87">
        <f>IF(R1627&lt;Q1627,"X","")</f>
        <v/>
      </c>
      <c r="BC1627" s="190" t="inlineStr">
        <is>
          <t>NO</t>
        </is>
      </c>
      <c r="BD1627" s="191" t="inlineStr">
        <is>
          <t>SI</t>
        </is>
      </c>
    </row>
    <row r="1628" ht="15" customHeight="1" s="162">
      <c r="A1628" s="7" t="n">
        <v>1627</v>
      </c>
      <c r="B1628" t="inlineStr">
        <is>
          <t>1510436013001</t>
        </is>
      </c>
      <c r="C1628" t="inlineStr">
        <is>
          <t>TOR ALO CRUZ 0.164-32UNC-2AX0.500 CRES P</t>
        </is>
      </c>
      <c r="D1628" t="inlineStr">
        <is>
          <t>1800122200</t>
        </is>
      </c>
      <c r="E1628" t="inlineStr">
        <is>
          <t>10</t>
        </is>
      </c>
      <c r="F1628" s="163" t="n">
        <v>45739</v>
      </c>
      <c r="G1628" t="inlineStr"/>
      <c r="H1628" t="inlineStr">
        <is>
          <t>4200607162</t>
        </is>
      </c>
      <c r="I1628" t="inlineStr">
        <is>
          <t>20</t>
        </is>
      </c>
      <c r="J1628" s="163" t="n">
        <v>45758</v>
      </c>
      <c r="K1628" s="163" t="n">
        <v>45758</v>
      </c>
      <c r="L1628" t="inlineStr"/>
      <c r="M1628" s="163" t="n">
        <v>45769</v>
      </c>
      <c r="N1628" s="164" t="n">
        <v>60</v>
      </c>
      <c r="O1628" s="164" t="n">
        <v>8</v>
      </c>
      <c r="P1628" t="inlineStr">
        <is>
          <t>Liberado</t>
        </is>
      </c>
      <c r="Q1628" s="165" t="n">
        <v>2</v>
      </c>
      <c r="R1628" s="165" t="n">
        <v>100</v>
      </c>
      <c r="S1628" s="165" t="n">
        <v>100</v>
      </c>
      <c r="T1628" s="165" t="n">
        <v>0</v>
      </c>
      <c r="U1628" s="166" t="n">
        <v>100</v>
      </c>
      <c r="V1628" s="166" t="n">
        <v>0</v>
      </c>
      <c r="W1628" t="inlineStr">
        <is>
          <t>X</t>
        </is>
      </c>
      <c r="X1628" t="inlineStr">
        <is>
          <t>0.00</t>
        </is>
      </c>
      <c r="Y1628" t="inlineStr"/>
      <c r="Z1628" t="inlineStr">
        <is>
          <t>EUROPEAN AGENCY MENK</t>
        </is>
      </c>
      <c r="AA1628" t="inlineStr">
        <is>
          <t>MILITARY STANDARDS</t>
        </is>
      </c>
      <c r="AB1628" t="inlineStr">
        <is>
          <t>MS51957-45</t>
        </is>
      </c>
      <c r="AC1628" t="inlineStr"/>
      <c r="AD1628" s="164" t="n">
        <v>0</v>
      </c>
      <c r="AE1628" s="185" t="n">
        <v>0</v>
      </c>
      <c r="AG1628" s="167" t="inlineStr">
        <is>
          <t>7218|JA2583_1001</t>
        </is>
      </c>
      <c r="AH1628" s="47">
        <f>IF(M1628=0,"-",M1628-J1628)</f>
        <v/>
      </c>
      <c r="AI1628" s="46">
        <f>IF(AND(S1628=0,M1628&gt;0,L1628=0),IF(AH1628&gt;=120,"VERY HIGH",IF(AH1628&gt;=90,"HIGH",IF(AH1628&gt;=60,"MEDIUM",IF(AH1628&lt;60,"LOW")))),"-")</f>
        <v/>
      </c>
      <c r="AJ1628" s="12" t="n"/>
      <c r="AK1628" s="53">
        <f>IF(AND(W1628="X",M1628&lt;=$AJ$2),"YES","")</f>
        <v/>
      </c>
      <c r="AL1628" s="54">
        <f>IF(AND(W1628="X",M1628&lt;=$AJ$2),S1628,"")</f>
        <v/>
      </c>
      <c r="AM1628" s="35" t="n"/>
      <c r="AN1628" s="35">
        <f>IF(AND(W1628="X",M1628&gt;$AJ$2),S1628,"")</f>
        <v/>
      </c>
      <c r="AO1628" s="35">
        <f>IF(AND(W1628="",M1628&gt;0,$AJ$2&gt;M1628,L1628=""),1,0)</f>
        <v/>
      </c>
      <c r="AP1628" s="35">
        <f>IF(AND(AK1628="YES",W1628="X"),"X","")</f>
        <v/>
      </c>
      <c r="AQ1628" s="55">
        <f>IF(AP1628="X",100%,0%)</f>
        <v/>
      </c>
      <c r="AR1628" s="25">
        <f>IF(AND(T1628&gt;0,L1628=""),H1628,"")</f>
        <v/>
      </c>
      <c r="AS1628" s="25">
        <f>IF(AND(D1628&gt;0,H1628=0,G1628=""),1,"")</f>
        <v/>
      </c>
      <c r="AT1628" s="25">
        <f>IF(G1628="BLOQ",1,"")</f>
        <v/>
      </c>
      <c r="AU1628" s="25">
        <f>IF(L1628="BLOQ",1,"")</f>
        <v/>
      </c>
      <c r="AV1628" s="25">
        <f>MONTH(F1628)</f>
        <v/>
      </c>
      <c r="AW1628" s="65">
        <f>IF(AP1628="",100%,0%)</f>
        <v/>
      </c>
      <c r="AX1628" s="56" t="n"/>
      <c r="AY1628" s="24">
        <f>IF(M1628=0,"",M1628-$AX$2)</f>
        <v/>
      </c>
      <c r="AZ1628" s="66">
        <f>IF(AND(W1628="",AY1628&gt;0,AY1628&lt;15),1,0)</f>
        <v/>
      </c>
      <c r="BA1628" s="24">
        <f>IF(AND(W1628="",AY1628&gt;0,AY1628&lt;15),T1628,"")</f>
        <v/>
      </c>
      <c r="BB1628" s="87">
        <f>IF(R1628&lt;Q1628,"X","")</f>
        <v/>
      </c>
      <c r="BC1628" s="190" t="inlineStr">
        <is>
          <t>NO</t>
        </is>
      </c>
      <c r="BD1628" s="191" t="inlineStr">
        <is>
          <t>SI</t>
        </is>
      </c>
    </row>
    <row r="1629" ht="15" customHeight="1" s="162">
      <c r="A1629" s="7" t="n">
        <v>1628</v>
      </c>
      <c r="B1629" t="inlineStr">
        <is>
          <t>1229598250100</t>
        </is>
      </c>
      <c r="C1629" t="inlineStr">
        <is>
          <t>CBL EQ DP 1.4-M/M 8K DP PRO P/150 L45.7M</t>
        </is>
      </c>
      <c r="D1629" t="inlineStr">
        <is>
          <t>1800122201</t>
        </is>
      </c>
      <c r="E1629" t="inlineStr">
        <is>
          <t>10</t>
        </is>
      </c>
      <c r="F1629" s="163" t="n">
        <v>45739</v>
      </c>
      <c r="G1629" t="inlineStr"/>
      <c r="H1629" t="inlineStr">
        <is>
          <t>4200604155</t>
        </is>
      </c>
      <c r="I1629" t="inlineStr">
        <is>
          <t>20</t>
        </is>
      </c>
      <c r="J1629" s="163" t="n">
        <v>45741</v>
      </c>
      <c r="K1629" s="163" t="n">
        <v>45744</v>
      </c>
      <c r="L1629" t="inlineStr"/>
      <c r="M1629" s="163" t="n">
        <v>45756</v>
      </c>
      <c r="N1629" s="164" t="n">
        <v>40</v>
      </c>
      <c r="O1629" s="164" t="n">
        <v>8</v>
      </c>
      <c r="P1629" t="inlineStr">
        <is>
          <t>Liberado</t>
        </is>
      </c>
      <c r="Q1629" s="165" t="n">
        <v>2</v>
      </c>
      <c r="R1629" s="165" t="n">
        <v>2</v>
      </c>
      <c r="S1629" s="165" t="n">
        <v>2</v>
      </c>
      <c r="T1629" s="165" t="n">
        <v>0</v>
      </c>
      <c r="U1629" s="166" t="n">
        <v>2</v>
      </c>
      <c r="V1629" s="166" t="n">
        <v>0</v>
      </c>
      <c r="W1629" t="inlineStr">
        <is>
          <t>X</t>
        </is>
      </c>
      <c r="X1629" t="inlineStr">
        <is>
          <t>0.00</t>
        </is>
      </c>
      <c r="Y1629" t="inlineStr"/>
      <c r="Z1629" t="inlineStr">
        <is>
          <t>PENTATEL COMUNICACIONES, S.L.</t>
        </is>
      </c>
      <c r="AA1629" t="inlineStr">
        <is>
          <t>EXTRON ELECTRONICS</t>
        </is>
      </c>
      <c r="AB1629" t="inlineStr">
        <is>
          <t>26-727-150</t>
        </is>
      </c>
      <c r="AC1629" t="inlineStr"/>
      <c r="AD1629" s="164" t="n">
        <v>0</v>
      </c>
      <c r="AE1629" s="185" t="n">
        <v>0</v>
      </c>
      <c r="AG1629" s="167" t="inlineStr">
        <is>
          <t>7218|JA2585_1001</t>
        </is>
      </c>
      <c r="AH1629" s="47">
        <f>IF(M1629=0,"-",M1629-J1629)</f>
        <v/>
      </c>
      <c r="AI1629" s="46">
        <f>IF(AND(S1629=0,M1629&gt;0,L1629=0),IF(AH1629&gt;=120,"VERY HIGH",IF(AH1629&gt;=90,"HIGH",IF(AH1629&gt;=60,"MEDIUM",IF(AH1629&lt;60,"LOW")))),"-")</f>
        <v/>
      </c>
      <c r="AJ1629" s="12" t="n"/>
      <c r="AK1629" s="53">
        <f>IF(AND(W1629="X",M1629&lt;=$AJ$2),"YES","")</f>
        <v/>
      </c>
      <c r="AL1629" s="54">
        <f>IF(AND(W1629="X",M1629&lt;=$AJ$2),S1629,"")</f>
        <v/>
      </c>
      <c r="AM1629" s="35" t="n"/>
      <c r="AN1629" s="35">
        <f>IF(AND(W1629="X",M1629&gt;$AJ$2),S1629,"")</f>
        <v/>
      </c>
      <c r="AO1629" s="35">
        <f>IF(AND(W1629="",M1629&gt;0,$AJ$2&gt;M1629,L1629=""),1,0)</f>
        <v/>
      </c>
      <c r="AP1629" s="35">
        <f>IF(AND(AK1629="YES",W1629="X"),"X","")</f>
        <v/>
      </c>
      <c r="AQ1629" s="55">
        <f>IF(AP1629="X",100%,0%)</f>
        <v/>
      </c>
      <c r="AR1629" s="25">
        <f>IF(AND(T1629&gt;0,L1629=""),H1629,"")</f>
        <v/>
      </c>
      <c r="AS1629" s="25">
        <f>IF(AND(D1629&gt;0,H1629=0,G1629=""),1,"")</f>
        <v/>
      </c>
      <c r="AT1629" s="25">
        <f>IF(G1629="BLOQ",1,"")</f>
        <v/>
      </c>
      <c r="AU1629" s="25">
        <f>IF(L1629="BLOQ",1,"")</f>
        <v/>
      </c>
      <c r="AV1629" s="25">
        <f>MONTH(F1629)</f>
        <v/>
      </c>
      <c r="AW1629" s="65">
        <f>IF(AP1629="",100%,0%)</f>
        <v/>
      </c>
      <c r="AX1629" s="56" t="n"/>
      <c r="AY1629" s="24">
        <f>IF(M1629=0,"",M1629-$AX$2)</f>
        <v/>
      </c>
      <c r="AZ1629" s="66">
        <f>IF(AND(W1629="",AY1629&gt;0,AY1629&lt;15),1,0)</f>
        <v/>
      </c>
      <c r="BA1629" s="24">
        <f>IF(AND(W1629="",AY1629&gt;0,AY1629&lt;15),T1629,"")</f>
        <v/>
      </c>
      <c r="BB1629" s="87">
        <f>IF(R1629&lt;Q1629,"X","")</f>
        <v/>
      </c>
      <c r="BC1629" s="190" t="inlineStr">
        <is>
          <t>NO</t>
        </is>
      </c>
      <c r="BD1629" s="191" t="inlineStr">
        <is>
          <t>SI</t>
        </is>
      </c>
    </row>
    <row r="1630" ht="15" customHeight="1" s="162">
      <c r="A1630" s="7" t="n">
        <v>1629</v>
      </c>
      <c r="B1630" t="inlineStr">
        <is>
          <t>1263011300800</t>
        </is>
      </c>
      <c r="C1630" t="inlineStr">
        <is>
          <t>F.A. VE=230V VS=12V 1.5A JACK-2.1MM ROHS</t>
        </is>
      </c>
      <c r="D1630" t="inlineStr">
        <is>
          <t>1800122201</t>
        </is>
      </c>
      <c r="E1630" t="inlineStr">
        <is>
          <t>20</t>
        </is>
      </c>
      <c r="F1630" s="163" t="n">
        <v>45739</v>
      </c>
      <c r="G1630" t="inlineStr"/>
      <c r="H1630" t="inlineStr">
        <is>
          <t>4200604017</t>
        </is>
      </c>
      <c r="I1630" t="inlineStr">
        <is>
          <t>10</t>
        </is>
      </c>
      <c r="J1630" s="163" t="n">
        <v>45741</v>
      </c>
      <c r="K1630" s="163" t="n">
        <v>45741</v>
      </c>
      <c r="L1630" t="inlineStr"/>
      <c r="M1630" s="163" t="n">
        <v>45756</v>
      </c>
      <c r="N1630" s="164" t="n">
        <v>40</v>
      </c>
      <c r="O1630" s="164" t="n">
        <v>8</v>
      </c>
      <c r="P1630" t="inlineStr">
        <is>
          <t>Liberado</t>
        </is>
      </c>
      <c r="Q1630" s="165" t="n">
        <v>1</v>
      </c>
      <c r="R1630" s="165" t="n">
        <v>1</v>
      </c>
      <c r="S1630" s="165" t="n">
        <v>1</v>
      </c>
      <c r="T1630" s="165" t="n">
        <v>0</v>
      </c>
      <c r="U1630" s="166" t="n">
        <v>1</v>
      </c>
      <c r="V1630" s="166" t="n">
        <v>0</v>
      </c>
      <c r="W1630" t="inlineStr">
        <is>
          <t>X</t>
        </is>
      </c>
      <c r="X1630" t="inlineStr">
        <is>
          <t>0.00</t>
        </is>
      </c>
      <c r="Y1630" t="inlineStr"/>
      <c r="Z1630" t="inlineStr">
        <is>
          <t>CARTRONIC MEMORY, S.A.</t>
        </is>
      </c>
      <c r="AA1630" t="inlineStr">
        <is>
          <t>HW GROUP</t>
        </is>
      </c>
      <c r="AB1630" t="inlineStr">
        <is>
          <t>PT18-1812-UN</t>
        </is>
      </c>
      <c r="AC1630" t="inlineStr"/>
      <c r="AD1630" s="164" t="n">
        <v>0</v>
      </c>
      <c r="AE1630" s="185" t="n">
        <v>0</v>
      </c>
      <c r="AG1630" s="167" t="inlineStr">
        <is>
          <t>7218|JA2585_1001</t>
        </is>
      </c>
      <c r="AH1630" s="47">
        <f>IF(M1630=0,"-",M1630-J1630)</f>
        <v/>
      </c>
      <c r="AI1630" s="46">
        <f>IF(AND(S1630=0,M1630&gt;0,L1630=0),IF(AH1630&gt;=120,"VERY HIGH",IF(AH1630&gt;=90,"HIGH",IF(AH1630&gt;=60,"MEDIUM",IF(AH1630&lt;60,"LOW")))),"-")</f>
        <v/>
      </c>
      <c r="AJ1630" s="12" t="n"/>
      <c r="AK1630" s="53">
        <f>IF(AND(W1630="X",M1630&lt;=$AJ$2),"YES","")</f>
        <v/>
      </c>
      <c r="AL1630" s="54">
        <f>IF(AND(W1630="X",M1630&lt;=$AJ$2),S1630,"")</f>
        <v/>
      </c>
      <c r="AM1630" s="35" t="n"/>
      <c r="AN1630" s="35">
        <f>IF(AND(W1630="X",M1630&gt;$AJ$2),S1630,"")</f>
        <v/>
      </c>
      <c r="AO1630" s="35">
        <f>IF(AND(W1630="",M1630&gt;0,$AJ$2&gt;M1630,L1630=""),1,0)</f>
        <v/>
      </c>
      <c r="AP1630" s="35">
        <f>IF(AND(AK1630="YES",W1630="X"),"X","")</f>
        <v/>
      </c>
      <c r="AQ1630" s="55">
        <f>IF(AP1630="X",100%,0%)</f>
        <v/>
      </c>
      <c r="AR1630" s="25">
        <f>IF(AND(T1630&gt;0,L1630=""),H1630,"")</f>
        <v/>
      </c>
      <c r="AS1630" s="25">
        <f>IF(AND(D1630&gt;0,H1630=0,G1630=""),1,"")</f>
        <v/>
      </c>
      <c r="AT1630" s="25">
        <f>IF(G1630="BLOQ",1,"")</f>
        <v/>
      </c>
      <c r="AU1630" s="25">
        <f>IF(L1630="BLOQ",1,"")</f>
        <v/>
      </c>
      <c r="AV1630" s="25">
        <f>MONTH(F1630)</f>
        <v/>
      </c>
      <c r="AW1630" s="65">
        <f>IF(AP1630="",100%,0%)</f>
        <v/>
      </c>
      <c r="AX1630" s="56" t="n"/>
      <c r="AY1630" s="24">
        <f>IF(M1630=0,"",M1630-$AX$2)</f>
        <v/>
      </c>
      <c r="AZ1630" s="66">
        <f>IF(AND(W1630="",AY1630&gt;0,AY1630&lt;15),1,0)</f>
        <v/>
      </c>
      <c r="BA1630" s="24">
        <f>IF(AND(W1630="",AY1630&gt;0,AY1630&lt;15),T1630,"")</f>
        <v/>
      </c>
      <c r="BB1630" s="87">
        <f>IF(R1630&lt;Q1630,"X","")</f>
        <v/>
      </c>
      <c r="BC1630" s="190" t="inlineStr">
        <is>
          <t>NO</t>
        </is>
      </c>
      <c r="BD1630" s="191" t="inlineStr">
        <is>
          <t>SI</t>
        </is>
      </c>
    </row>
    <row r="1631" ht="15" customHeight="1" s="162">
      <c r="A1631" s="7" t="n">
        <v>1630</v>
      </c>
      <c r="B1631" t="inlineStr">
        <is>
          <t>1282001480200</t>
        </is>
      </c>
      <c r="C1631" t="inlineStr">
        <is>
          <t>SENSOR TEMP 1U RACK 2XRJ11</t>
        </is>
      </c>
      <c r="D1631" t="inlineStr">
        <is>
          <t>1800122201</t>
        </is>
      </c>
      <c r="E1631" t="inlineStr">
        <is>
          <t>30</t>
        </is>
      </c>
      <c r="F1631" s="163" t="n">
        <v>45739</v>
      </c>
      <c r="G1631" t="inlineStr"/>
      <c r="H1631" t="inlineStr">
        <is>
          <t>4200604017</t>
        </is>
      </c>
      <c r="I1631" t="inlineStr">
        <is>
          <t>20</t>
        </is>
      </c>
      <c r="J1631" s="163" t="n">
        <v>45741</v>
      </c>
      <c r="K1631" s="163" t="n">
        <v>45741</v>
      </c>
      <c r="L1631" t="inlineStr"/>
      <c r="M1631" s="163" t="n">
        <v>45756</v>
      </c>
      <c r="N1631" s="164" t="n">
        <v>30</v>
      </c>
      <c r="O1631" s="164" t="n">
        <v>8</v>
      </c>
      <c r="P1631" t="inlineStr">
        <is>
          <t>Liberado</t>
        </is>
      </c>
      <c r="Q1631" s="165" t="n">
        <v>3</v>
      </c>
      <c r="R1631" s="165" t="n">
        <v>3</v>
      </c>
      <c r="S1631" s="165" t="n">
        <v>3</v>
      </c>
      <c r="T1631" s="165" t="n">
        <v>0</v>
      </c>
      <c r="U1631" s="166" t="n">
        <v>3</v>
      </c>
      <c r="V1631" s="166" t="n">
        <v>0</v>
      </c>
      <c r="W1631" t="inlineStr">
        <is>
          <t>X</t>
        </is>
      </c>
      <c r="X1631" t="inlineStr">
        <is>
          <t>0.00</t>
        </is>
      </c>
      <c r="Y1631" t="inlineStr"/>
      <c r="Z1631" t="inlineStr">
        <is>
          <t>CARTRONIC MEMORY, S.A.</t>
        </is>
      </c>
      <c r="AA1631" t="inlineStr">
        <is>
          <t>HW GROUP</t>
        </is>
      </c>
      <c r="AB1631" t="inlineStr">
        <is>
          <t>600329</t>
        </is>
      </c>
      <c r="AC1631" t="inlineStr"/>
      <c r="AD1631" s="164" t="n">
        <v>0</v>
      </c>
      <c r="AE1631" s="185" t="n">
        <v>0</v>
      </c>
      <c r="AG1631" s="167" t="inlineStr">
        <is>
          <t>7218|JA2585_1001</t>
        </is>
      </c>
      <c r="AH1631" s="47">
        <f>IF(M1631=0,"-",M1631-J1631)</f>
        <v/>
      </c>
      <c r="AI1631" s="46">
        <f>IF(AND(S1631=0,M1631&gt;0,L1631=0),IF(AH1631&gt;=120,"VERY HIGH",IF(AH1631&gt;=90,"HIGH",IF(AH1631&gt;=60,"MEDIUM",IF(AH1631&lt;60,"LOW")))),"-")</f>
        <v/>
      </c>
      <c r="AJ1631" s="12" t="n"/>
      <c r="AK1631" s="53">
        <f>IF(AND(W1631="X",M1631&lt;=$AJ$2),"YES","")</f>
        <v/>
      </c>
      <c r="AL1631" s="54">
        <f>IF(AND(W1631="X",M1631&lt;=$AJ$2),S1631,"")</f>
        <v/>
      </c>
      <c r="AM1631" s="35" t="n"/>
      <c r="AN1631" s="35">
        <f>IF(AND(W1631="X",M1631&gt;$AJ$2),S1631,"")</f>
        <v/>
      </c>
      <c r="AO1631" s="35">
        <f>IF(AND(W1631="",M1631&gt;0,$AJ$2&gt;M1631,L1631=""),1,0)</f>
        <v/>
      </c>
      <c r="AP1631" s="35">
        <f>IF(AND(AK1631="YES",W1631="X"),"X","")</f>
        <v/>
      </c>
      <c r="AQ1631" s="55">
        <f>IF(AP1631="X",100%,0%)</f>
        <v/>
      </c>
      <c r="AR1631" s="25">
        <f>IF(AND(T1631&gt;0,L1631=""),H1631,"")</f>
        <v/>
      </c>
      <c r="AS1631" s="25">
        <f>IF(AND(D1631&gt;0,H1631=0,G1631=""),1,"")</f>
        <v/>
      </c>
      <c r="AT1631" s="25">
        <f>IF(G1631="BLOQ",1,"")</f>
        <v/>
      </c>
      <c r="AU1631" s="25">
        <f>IF(L1631="BLOQ",1,"")</f>
        <v/>
      </c>
      <c r="AV1631" s="25">
        <f>MONTH(F1631)</f>
        <v/>
      </c>
      <c r="AW1631" s="65">
        <f>IF(AP1631="",100%,0%)</f>
        <v/>
      </c>
      <c r="AX1631" s="56" t="n"/>
      <c r="AY1631" s="24">
        <f>IF(M1631=0,"",M1631-$AX$2)</f>
        <v/>
      </c>
      <c r="AZ1631" s="66">
        <f>IF(AND(W1631="",AY1631&gt;0,AY1631&lt;15),1,0)</f>
        <v/>
      </c>
      <c r="BA1631" s="24">
        <f>IF(AND(W1631="",AY1631&gt;0,AY1631&lt;15),T1631,"")</f>
        <v/>
      </c>
      <c r="BB1631" s="87">
        <f>IF(R1631&lt;Q1631,"X","")</f>
        <v/>
      </c>
      <c r="BC1631" s="191" t="inlineStr">
        <is>
          <t>SI</t>
        </is>
      </c>
      <c r="BD1631" s="191" t="inlineStr">
        <is>
          <t>SI</t>
        </is>
      </c>
    </row>
    <row r="1632" ht="15" customHeight="1" s="162">
      <c r="A1632" s="7" t="n">
        <v>1631</v>
      </c>
      <c r="B1632" t="inlineStr">
        <is>
          <t>1285000449000</t>
        </is>
      </c>
      <c r="C1632" t="inlineStr">
        <is>
          <t>BASE STD SUPERFICIE P/DET NFX PC/ABS BL</t>
        </is>
      </c>
      <c r="D1632" t="inlineStr">
        <is>
          <t>1800122201</t>
        </is>
      </c>
      <c r="E1632" t="inlineStr">
        <is>
          <t>40</t>
        </is>
      </c>
      <c r="F1632" s="163" t="n">
        <v>45739</v>
      </c>
      <c r="G1632" t="inlineStr"/>
      <c r="H1632" t="inlineStr">
        <is>
          <t>4200604072</t>
        </is>
      </c>
      <c r="I1632" t="inlineStr">
        <is>
          <t>10</t>
        </is>
      </c>
      <c r="J1632" s="163" t="n">
        <v>45741</v>
      </c>
      <c r="K1632" s="163" t="n">
        <v>45741</v>
      </c>
      <c r="L1632" t="inlineStr"/>
      <c r="M1632" s="163" t="n">
        <v>45756</v>
      </c>
      <c r="N1632" s="164" t="n">
        <v>40</v>
      </c>
      <c r="O1632" s="164" t="n">
        <v>8</v>
      </c>
      <c r="P1632" t="inlineStr">
        <is>
          <t>Liberado</t>
        </is>
      </c>
      <c r="Q1632" s="165" t="n">
        <v>2</v>
      </c>
      <c r="R1632" s="165" t="n">
        <v>2</v>
      </c>
      <c r="S1632" s="165" t="n">
        <v>2</v>
      </c>
      <c r="T1632" s="165" t="n">
        <v>0</v>
      </c>
      <c r="U1632" s="166" t="n">
        <v>2</v>
      </c>
      <c r="V1632" s="166" t="n">
        <v>0</v>
      </c>
      <c r="W1632" t="inlineStr">
        <is>
          <t>X</t>
        </is>
      </c>
      <c r="X1632" t="inlineStr">
        <is>
          <t>0.00</t>
        </is>
      </c>
      <c r="Y1632" t="inlineStr"/>
      <c r="Z1632" t="inlineStr">
        <is>
          <t>BY DEMES, S.L.</t>
        </is>
      </c>
      <c r="AA1632" t="inlineStr">
        <is>
          <t>NOTIFIER</t>
        </is>
      </c>
      <c r="AB1632" t="inlineStr">
        <is>
          <t>B501AP</t>
        </is>
      </c>
      <c r="AC1632" t="inlineStr"/>
      <c r="AD1632" s="164" t="n">
        <v>0</v>
      </c>
      <c r="AE1632" s="185" t="n">
        <v>0</v>
      </c>
      <c r="AG1632" s="167" t="inlineStr">
        <is>
          <t>7218|JA2585_1001</t>
        </is>
      </c>
      <c r="AH1632" s="47">
        <f>IF(M1632=0,"-",M1632-J1632)</f>
        <v/>
      </c>
      <c r="AI1632" s="46">
        <f>IF(AND(S1632=0,M1632&gt;0,L1632=0),IF(AH1632&gt;=120,"VERY HIGH",IF(AH1632&gt;=90,"HIGH",IF(AH1632&gt;=60,"MEDIUM",IF(AH1632&lt;60,"LOW")))),"-")</f>
        <v/>
      </c>
      <c r="AJ1632" s="12" t="n"/>
      <c r="AK1632" s="53">
        <f>IF(AND(W1632="X",M1632&lt;=$AJ$2),"YES","")</f>
        <v/>
      </c>
      <c r="AL1632" s="54">
        <f>IF(AND(W1632="X",M1632&lt;=$AJ$2),S1632,"")</f>
        <v/>
      </c>
      <c r="AM1632" s="35" t="n"/>
      <c r="AN1632" s="35">
        <f>IF(AND(W1632="X",M1632&gt;$AJ$2),S1632,"")</f>
        <v/>
      </c>
      <c r="AO1632" s="35">
        <f>IF(AND(W1632="",M1632&gt;0,$AJ$2&gt;M1632,L1632=""),1,0)</f>
        <v/>
      </c>
      <c r="AP1632" s="35">
        <f>IF(AND(AK1632="YES",W1632="X"),"X","")</f>
        <v/>
      </c>
      <c r="AQ1632" s="55">
        <f>IF(AP1632="X",100%,0%)</f>
        <v/>
      </c>
      <c r="AR1632" s="25">
        <f>IF(AND(T1632&gt;0,L1632=""),H1632,"")</f>
        <v/>
      </c>
      <c r="AS1632" s="25">
        <f>IF(AND(D1632&gt;0,H1632=0,G1632=""),1,"")</f>
        <v/>
      </c>
      <c r="AT1632" s="25">
        <f>IF(G1632="BLOQ",1,"")</f>
        <v/>
      </c>
      <c r="AU1632" s="25">
        <f>IF(L1632="BLOQ",1,"")</f>
        <v/>
      </c>
      <c r="AV1632" s="25">
        <f>MONTH(F1632)</f>
        <v/>
      </c>
      <c r="AW1632" s="65">
        <f>IF(AP1632="",100%,0%)</f>
        <v/>
      </c>
      <c r="AX1632" s="56" t="n"/>
      <c r="AY1632" s="24">
        <f>IF(M1632=0,"",M1632-$AX$2)</f>
        <v/>
      </c>
      <c r="AZ1632" s="66">
        <f>IF(AND(W1632="",AY1632&gt;0,AY1632&lt;15),1,0)</f>
        <v/>
      </c>
      <c r="BA1632" s="24">
        <f>IF(AND(W1632="",AY1632&gt;0,AY1632&lt;15),T1632,"")</f>
        <v/>
      </c>
      <c r="BB1632" s="87">
        <f>IF(R1632&lt;Q1632,"X","")</f>
        <v/>
      </c>
      <c r="BC1632" s="191" t="inlineStr">
        <is>
          <t>SI</t>
        </is>
      </c>
      <c r="BD1632" s="191" t="inlineStr">
        <is>
          <t>SI</t>
        </is>
      </c>
    </row>
    <row r="1633" ht="15" customHeight="1" s="162">
      <c r="A1633" s="7" t="n">
        <v>1632</v>
      </c>
      <c r="B1633" t="inlineStr">
        <is>
          <t>1229599576000</t>
        </is>
      </c>
      <c r="C1633" t="inlineStr">
        <is>
          <t>CBL EQ P/MOD SERV INTERFACE KVM</t>
        </is>
      </c>
      <c r="D1633" t="inlineStr">
        <is>
          <t>1800122202</t>
        </is>
      </c>
      <c r="E1633" t="inlineStr">
        <is>
          <t>10</t>
        </is>
      </c>
      <c r="F1633" s="163" t="n">
        <v>45739</v>
      </c>
      <c r="G1633" t="inlineStr"/>
      <c r="H1633" t="inlineStr">
        <is>
          <t>4200603970</t>
        </is>
      </c>
      <c r="I1633" t="inlineStr">
        <is>
          <t>10</t>
        </is>
      </c>
      <c r="J1633" s="163" t="n">
        <v>45741</v>
      </c>
      <c r="K1633" s="163" t="n">
        <v>45742</v>
      </c>
      <c r="L1633" t="inlineStr"/>
      <c r="M1633" s="163" t="n">
        <v>45793</v>
      </c>
      <c r="N1633" s="164" t="n">
        <v>135</v>
      </c>
      <c r="O1633" s="164" t="n">
        <v>8</v>
      </c>
      <c r="P1633" t="inlineStr">
        <is>
          <t>Liberado</t>
        </is>
      </c>
      <c r="Q1633" s="165" t="n">
        <v>2</v>
      </c>
      <c r="R1633" s="165" t="n">
        <v>2</v>
      </c>
      <c r="S1633" s="165" t="n">
        <v>2</v>
      </c>
      <c r="T1633" s="165" t="n">
        <v>0</v>
      </c>
      <c r="U1633" s="166" t="n">
        <v>0</v>
      </c>
      <c r="V1633" s="166" t="n">
        <v>0</v>
      </c>
      <c r="W1633" t="inlineStr">
        <is>
          <t>X</t>
        </is>
      </c>
      <c r="X1633" t="inlineStr">
        <is>
          <t>0.00</t>
        </is>
      </c>
      <c r="Y1633" t="inlineStr"/>
      <c r="Z1633" t="inlineStr">
        <is>
          <t>DELL COMPUTER, S.A.</t>
        </is>
      </c>
      <c r="AA1633" t="inlineStr">
        <is>
          <t>DELL COMPUTER</t>
        </is>
      </c>
      <c r="AB1633" t="inlineStr">
        <is>
          <t>DMPUIQ-VMCHS-G01</t>
        </is>
      </c>
      <c r="AC1633" t="inlineStr"/>
      <c r="AD1633" s="164" t="n">
        <v>1</v>
      </c>
      <c r="AE1633" s="185" t="n">
        <v>1</v>
      </c>
      <c r="AG1633" s="167" t="inlineStr">
        <is>
          <t>7218|JA2585_1001</t>
        </is>
      </c>
      <c r="AH1633" s="47">
        <f>IF(M1633=0,"-",M1633-J1633)</f>
        <v/>
      </c>
      <c r="AI1633" s="46">
        <f>IF(AND(S1633=0,M1633&gt;0,L1633=0),IF(AH1633&gt;=120,"VERY HIGH",IF(AH1633&gt;=90,"HIGH",IF(AH1633&gt;=60,"MEDIUM",IF(AH1633&lt;60,"LOW")))),"-")</f>
        <v/>
      </c>
      <c r="AJ1633" s="12" t="n"/>
      <c r="AK1633" s="53">
        <f>IF(AND(W1633="X",M1633&lt;=$AJ$2),"YES","")</f>
        <v/>
      </c>
      <c r="AL1633" s="54">
        <f>IF(AND(W1633="X",M1633&lt;=$AJ$2),S1633,"")</f>
        <v/>
      </c>
      <c r="AM1633" s="35" t="n"/>
      <c r="AN1633" s="35">
        <f>IF(AND(W1633="X",M1633&gt;$AJ$2),S1633,"")</f>
        <v/>
      </c>
      <c r="AO1633" s="35">
        <f>IF(AND(W1633="",M1633&gt;0,$AJ$2&gt;M1633,L1633=""),1,0)</f>
        <v/>
      </c>
      <c r="AP1633" s="35">
        <f>IF(AND(AK1633="YES",W1633="X"),"X","")</f>
        <v/>
      </c>
      <c r="AQ1633" s="55">
        <f>IF(AP1633="X",100%,0%)</f>
        <v/>
      </c>
      <c r="AR1633" s="25">
        <f>IF(AND(T1633&gt;0,L1633=""),H1633,"")</f>
        <v/>
      </c>
      <c r="AS1633" s="25">
        <f>IF(AND(D1633&gt;0,H1633=0,G1633=""),1,"")</f>
        <v/>
      </c>
      <c r="AT1633" s="25">
        <f>IF(G1633="BLOQ",1,"")</f>
        <v/>
      </c>
      <c r="AU1633" s="25">
        <f>IF(L1633="BLOQ",1,"")</f>
        <v/>
      </c>
      <c r="AV1633" s="25">
        <f>MONTH(F1633)</f>
        <v/>
      </c>
      <c r="AW1633" s="65">
        <f>IF(AP1633="",100%,0%)</f>
        <v/>
      </c>
      <c r="AX1633" s="56" t="n"/>
      <c r="AY1633" s="24">
        <f>IF(M1633=0,"",M1633-$AX$2)</f>
        <v/>
      </c>
      <c r="AZ1633" s="66">
        <f>IF(AND(W1633="",AY1633&gt;0,AY1633&lt;15),1,0)</f>
        <v/>
      </c>
      <c r="BA1633" s="24">
        <f>IF(AND(W1633="",AY1633&gt;0,AY1633&lt;15),T1633,"")</f>
        <v/>
      </c>
      <c r="BB1633" s="87">
        <f>IF(R1633&lt;Q1633,"X","")</f>
        <v/>
      </c>
      <c r="BC1633" s="191" t="inlineStr">
        <is>
          <t>SI</t>
        </is>
      </c>
      <c r="BD1633" s="191" t="inlineStr">
        <is>
          <t>SI</t>
        </is>
      </c>
    </row>
    <row r="1634" ht="15" customHeight="1" s="162">
      <c r="A1634" s="7" t="n">
        <v>1633</v>
      </c>
      <c r="B1634" t="inlineStr">
        <is>
          <t>1390701502100</t>
        </is>
      </c>
      <c r="C1634" t="inlineStr">
        <is>
          <t>PANEL 22VU ETOPS AUTOMATICO IAE</t>
        </is>
      </c>
      <c r="D1634" t="inlineStr">
        <is>
          <t>1800122962</t>
        </is>
      </c>
      <c r="E1634" t="inlineStr">
        <is>
          <t>10</t>
        </is>
      </c>
      <c r="F1634" s="163" t="n">
        <v>45750</v>
      </c>
      <c r="G1634" t="inlineStr"/>
      <c r="H1634" t="inlineStr">
        <is>
          <t>4200605815</t>
        </is>
      </c>
      <c r="I1634" t="inlineStr">
        <is>
          <t>10</t>
        </is>
      </c>
      <c r="J1634" s="163" t="n">
        <v>45751</v>
      </c>
      <c r="K1634" s="163" t="n">
        <v>45756</v>
      </c>
      <c r="L1634" t="inlineStr"/>
      <c r="M1634" s="163" t="n">
        <v>45831</v>
      </c>
      <c r="N1634" s="164" t="n">
        <v>40</v>
      </c>
      <c r="O1634" s="164" t="n">
        <v>8</v>
      </c>
      <c r="P1634" t="inlineStr">
        <is>
          <t>Liberado</t>
        </is>
      </c>
      <c r="Q1634" s="165" t="n">
        <v>1</v>
      </c>
      <c r="R1634" s="165" t="n">
        <v>1</v>
      </c>
      <c r="S1634" s="165" t="n">
        <v>1</v>
      </c>
      <c r="T1634" s="165" t="n">
        <v>0</v>
      </c>
      <c r="U1634" s="166" t="n">
        <v>1</v>
      </c>
      <c r="V1634" s="166" t="n">
        <v>0</v>
      </c>
      <c r="W1634" t="inlineStr">
        <is>
          <t>X</t>
        </is>
      </c>
      <c r="X1634" t="inlineStr">
        <is>
          <t>0.00</t>
        </is>
      </c>
      <c r="Y1634" t="inlineStr"/>
      <c r="Z1634" t="inlineStr">
        <is>
          <t>SUMINISTROS, FRESADOS Y GRABADOS</t>
        </is>
      </c>
      <c r="AA1634" t="inlineStr">
        <is>
          <t>GRABYSUR</t>
        </is>
      </c>
      <c r="AB1634" t="inlineStr">
        <is>
          <t>GR-SEQ50204-01</t>
        </is>
      </c>
      <c r="AC1634" t="inlineStr"/>
      <c r="AD1634" s="164" t="n">
        <v>0</v>
      </c>
      <c r="AE1634" s="185" t="n">
        <v>0</v>
      </c>
      <c r="AG1634" s="167" t="inlineStr">
        <is>
          <t>7218|JA2583_1001</t>
        </is>
      </c>
      <c r="AH1634" s="47">
        <f>IF(M1634=0,"-",M1634-J1634)</f>
        <v/>
      </c>
      <c r="AI1634" s="46">
        <f>IF(AND(S1634=0,M1634&gt;0,L1634=0),IF(AH1634&gt;=120,"VERY HIGH",IF(AH1634&gt;=90,"HIGH",IF(AH1634&gt;=60,"MEDIUM",IF(AH1634&lt;60,"LOW")))),"-")</f>
        <v/>
      </c>
      <c r="AJ1634" s="12" t="n"/>
      <c r="AK1634" s="53">
        <f>IF(AND(W1634="X",M1634&lt;=$AJ$2),"YES","")</f>
        <v/>
      </c>
      <c r="AL1634" s="54">
        <f>IF(AND(W1634="X",M1634&lt;=$AJ$2),S1634,"")</f>
        <v/>
      </c>
      <c r="AM1634" s="35" t="n"/>
      <c r="AN1634" s="35">
        <f>IF(AND(W1634="X",M1634&gt;$AJ$2),S1634,"")</f>
        <v/>
      </c>
      <c r="AO1634" s="35">
        <f>IF(AND(W1634="",M1634&gt;0,$AJ$2&gt;M1634,L1634=""),1,0)</f>
        <v/>
      </c>
      <c r="AP1634" s="35">
        <f>IF(AND(AK1634="YES",W1634="X"),"X","")</f>
        <v/>
      </c>
      <c r="AQ1634" s="55">
        <f>IF(AP1634="X",100%,0%)</f>
        <v/>
      </c>
      <c r="AR1634" s="25">
        <f>IF(AND(T1634&gt;0,L1634=""),H1634,"")</f>
        <v/>
      </c>
      <c r="AS1634" s="25">
        <f>IF(AND(D1634&gt;0,H1634=0,G1634=""),1,"")</f>
        <v/>
      </c>
      <c r="AT1634" s="25">
        <f>IF(G1634="BLOQ",1,"")</f>
        <v/>
      </c>
      <c r="AU1634" s="25">
        <f>IF(L1634="BLOQ",1,"")</f>
        <v/>
      </c>
      <c r="AV1634" s="25">
        <f>MONTH(F1634)</f>
        <v/>
      </c>
      <c r="AW1634" s="65">
        <f>IF(AP1634="",100%,0%)</f>
        <v/>
      </c>
      <c r="AX1634" s="56" t="n"/>
      <c r="AY1634" s="24">
        <f>IF(M1634=0,"",M1634-$AX$2)</f>
        <v/>
      </c>
      <c r="AZ1634" s="66">
        <f>IF(AND(W1634="",AY1634&gt;0,AY1634&lt;15),1,0)</f>
        <v/>
      </c>
      <c r="BA1634" s="24">
        <f>IF(AND(W1634="",AY1634&gt;0,AY1634&lt;15),T1634,"")</f>
        <v/>
      </c>
      <c r="BB1634" s="87">
        <f>IF(R1634&lt;Q1634,"X","")</f>
        <v/>
      </c>
      <c r="BC1634" s="190" t="inlineStr">
        <is>
          <t>NO</t>
        </is>
      </c>
      <c r="BD1634" s="191" t="inlineStr">
        <is>
          <t>SI</t>
        </is>
      </c>
    </row>
    <row r="1635" ht="15" customHeight="1" s="162">
      <c r="A1635" s="7" t="n">
        <v>1634</v>
      </c>
      <c r="B1635" t="inlineStr">
        <is>
          <t>0973585295900</t>
        </is>
      </c>
      <c r="C1635" t="inlineStr">
        <is>
          <t>PLACA PUNTEROS 60</t>
        </is>
      </c>
      <c r="D1635" t="inlineStr">
        <is>
          <t>1800123068</t>
        </is>
      </c>
      <c r="E1635" t="inlineStr">
        <is>
          <t>10</t>
        </is>
      </c>
      <c r="F1635" s="163" t="n">
        <v>45754</v>
      </c>
      <c r="G1635" t="inlineStr"/>
      <c r="H1635" t="inlineStr">
        <is>
          <t>4200606884</t>
        </is>
      </c>
      <c r="I1635" t="inlineStr">
        <is>
          <t>10</t>
        </is>
      </c>
      <c r="J1635" s="163" t="n">
        <v>45757</v>
      </c>
      <c r="K1635" s="163" t="n">
        <v>45757</v>
      </c>
      <c r="L1635" t="inlineStr"/>
      <c r="M1635" s="163" t="n">
        <v>45824</v>
      </c>
      <c r="N1635" s="164" t="n">
        <v>40</v>
      </c>
      <c r="O1635" s="164" t="n">
        <v>8</v>
      </c>
      <c r="P1635" t="inlineStr">
        <is>
          <t>Liberado</t>
        </is>
      </c>
      <c r="Q1635" s="165" t="n">
        <v>1</v>
      </c>
      <c r="R1635" s="165" t="n">
        <v>1</v>
      </c>
      <c r="S1635" s="165" t="n">
        <v>1</v>
      </c>
      <c r="T1635" s="165" t="n">
        <v>0</v>
      </c>
      <c r="U1635" s="166" t="n">
        <v>1</v>
      </c>
      <c r="V1635" s="166" t="n">
        <v>0</v>
      </c>
      <c r="W1635" t="inlineStr">
        <is>
          <t>X</t>
        </is>
      </c>
      <c r="X1635" t="inlineStr">
        <is>
          <t>0.00</t>
        </is>
      </c>
      <c r="Y1635" t="inlineStr"/>
      <c r="Z1635" t="inlineStr">
        <is>
          <t>MONTAJES CEBIS SL</t>
        </is>
      </c>
      <c r="AA1635" t="inlineStr">
        <is>
          <t>INDRA SISTEMAS S.A.</t>
        </is>
      </c>
      <c r="AB1635" t="inlineStr">
        <is>
          <t>0973585295900</t>
        </is>
      </c>
      <c r="AC1635" t="inlineStr"/>
      <c r="AD1635" s="164" t="n">
        <v>0</v>
      </c>
      <c r="AE1635" s="185" t="n">
        <v>0</v>
      </c>
      <c r="AG1635" s="167" t="inlineStr">
        <is>
          <t>7218|JA2590_1001</t>
        </is>
      </c>
      <c r="AH1635" s="47">
        <f>IF(M1635=0,"-",M1635-J1635)</f>
        <v/>
      </c>
      <c r="AI1635" s="46">
        <f>IF(AND(S1635=0,M1635&gt;0,L1635=0),IF(AH1635&gt;=120,"VERY HIGH",IF(AH1635&gt;=90,"HIGH",IF(AH1635&gt;=60,"MEDIUM",IF(AH1635&lt;60,"LOW")))),"-")</f>
        <v/>
      </c>
      <c r="AJ1635" s="12" t="n"/>
      <c r="AK1635" s="53">
        <f>IF(AND(W1635="X",M1635&lt;=$AJ$2),"YES","")</f>
        <v/>
      </c>
      <c r="AL1635" s="54">
        <f>IF(AND(W1635="X",M1635&lt;=$AJ$2),S1635,"")</f>
        <v/>
      </c>
      <c r="AM1635" s="35" t="n"/>
      <c r="AN1635" s="35">
        <f>IF(AND(W1635="X",M1635&gt;$AJ$2),S1635,"")</f>
        <v/>
      </c>
      <c r="AO1635" s="35">
        <f>IF(AND(W1635="",M1635&gt;0,$AJ$2&gt;M1635,L1635=""),1,0)</f>
        <v/>
      </c>
      <c r="AP1635" s="35">
        <f>IF(AND(AK1635="YES",W1635="X"),"X","")</f>
        <v/>
      </c>
      <c r="AQ1635" s="55">
        <f>IF(AP1635="X",100%,0%)</f>
        <v/>
      </c>
      <c r="AR1635" s="25">
        <f>IF(AND(T1635&gt;0,L1635=""),H1635,"")</f>
        <v/>
      </c>
      <c r="AS1635" s="25">
        <f>IF(AND(D1635&gt;0,H1635=0,G1635=""),1,"")</f>
        <v/>
      </c>
      <c r="AT1635" s="25">
        <f>IF(G1635="BLOQ",1,"")</f>
        <v/>
      </c>
      <c r="AU1635" s="25">
        <f>IF(L1635="BLOQ",1,"")</f>
        <v/>
      </c>
      <c r="AV1635" s="25">
        <f>MONTH(F1635)</f>
        <v/>
      </c>
      <c r="AW1635" s="65">
        <f>IF(AP1635="",100%,0%)</f>
        <v/>
      </c>
      <c r="AX1635" s="56" t="n"/>
      <c r="AY1635" s="24">
        <f>IF(M1635=0,"",M1635-$AX$2)</f>
        <v/>
      </c>
      <c r="AZ1635" s="66">
        <f>IF(AND(W1635="",AY1635&gt;0,AY1635&lt;15),1,0)</f>
        <v/>
      </c>
      <c r="BA1635" s="24">
        <f>IF(AND(W1635="",AY1635&gt;0,AY1635&lt;15),T1635,"")</f>
        <v/>
      </c>
      <c r="BB1635" s="87">
        <f>IF(R1635&lt;Q1635,"X","")</f>
        <v/>
      </c>
      <c r="BC1635" s="190" t="inlineStr">
        <is>
          <t>NO</t>
        </is>
      </c>
      <c r="BD1635" s="191" t="inlineStr">
        <is>
          <t>SI</t>
        </is>
      </c>
    </row>
    <row r="1636" ht="15" customHeight="1" s="162">
      <c r="A1636" s="7" t="n">
        <v>1635</v>
      </c>
      <c r="B1636" t="inlineStr">
        <is>
          <t>0973585296100</t>
        </is>
      </c>
      <c r="C1636" t="inlineStr">
        <is>
          <t>PLACA PUNTEROS 50</t>
        </is>
      </c>
      <c r="D1636" t="inlineStr">
        <is>
          <t>1800123068</t>
        </is>
      </c>
      <c r="E1636" t="inlineStr">
        <is>
          <t>20</t>
        </is>
      </c>
      <c r="F1636" s="163" t="n">
        <v>45754</v>
      </c>
      <c r="G1636" t="inlineStr"/>
      <c r="H1636" t="inlineStr">
        <is>
          <t>4200606884</t>
        </is>
      </c>
      <c r="I1636" t="inlineStr">
        <is>
          <t>20</t>
        </is>
      </c>
      <c r="J1636" s="163" t="n">
        <v>45757</v>
      </c>
      <c r="K1636" s="163" t="n">
        <v>45757</v>
      </c>
      <c r="L1636" t="inlineStr"/>
      <c r="M1636" s="163" t="n">
        <v>45824</v>
      </c>
      <c r="N1636" s="164" t="n">
        <v>40</v>
      </c>
      <c r="O1636" s="164" t="n">
        <v>8</v>
      </c>
      <c r="P1636" t="inlineStr">
        <is>
          <t>Liberado</t>
        </is>
      </c>
      <c r="Q1636" s="165" t="n">
        <v>3</v>
      </c>
      <c r="R1636" s="165" t="n">
        <v>3</v>
      </c>
      <c r="S1636" s="165" t="n">
        <v>3</v>
      </c>
      <c r="T1636" s="165" t="n">
        <v>0</v>
      </c>
      <c r="U1636" s="166" t="n">
        <v>3</v>
      </c>
      <c r="V1636" s="166" t="n">
        <v>0</v>
      </c>
      <c r="W1636" t="inlineStr">
        <is>
          <t>X</t>
        </is>
      </c>
      <c r="X1636" t="inlineStr">
        <is>
          <t>0.00</t>
        </is>
      </c>
      <c r="Y1636" t="inlineStr"/>
      <c r="Z1636" t="inlineStr">
        <is>
          <t>MONTAJES CEBIS SL</t>
        </is>
      </c>
      <c r="AA1636" t="inlineStr">
        <is>
          <t>INDRA SISTEMAS S.A.</t>
        </is>
      </c>
      <c r="AB1636" t="inlineStr">
        <is>
          <t>0973585296100</t>
        </is>
      </c>
      <c r="AC1636" t="inlineStr"/>
      <c r="AD1636" s="164" t="n">
        <v>0</v>
      </c>
      <c r="AE1636" s="185" t="n">
        <v>0</v>
      </c>
      <c r="AG1636" s="167" t="inlineStr">
        <is>
          <t>7218|JA2590_1001</t>
        </is>
      </c>
      <c r="AH1636" s="47">
        <f>IF(M1636=0,"-",M1636-J1636)</f>
        <v/>
      </c>
      <c r="AI1636" s="46">
        <f>IF(AND(S1636=0,M1636&gt;0,L1636=0),IF(AH1636&gt;=120,"VERY HIGH",IF(AH1636&gt;=90,"HIGH",IF(AH1636&gt;=60,"MEDIUM",IF(AH1636&lt;60,"LOW")))),"-")</f>
        <v/>
      </c>
      <c r="AJ1636" s="12" t="n"/>
      <c r="AK1636" s="53">
        <f>IF(AND(W1636="X",M1636&lt;=$AJ$2),"YES","")</f>
        <v/>
      </c>
      <c r="AL1636" s="54">
        <f>IF(AND(W1636="X",M1636&lt;=$AJ$2),S1636,"")</f>
        <v/>
      </c>
      <c r="AM1636" s="35" t="n"/>
      <c r="AN1636" s="35">
        <f>IF(AND(W1636="X",M1636&gt;$AJ$2),S1636,"")</f>
        <v/>
      </c>
      <c r="AO1636" s="35">
        <f>IF(AND(W1636="",M1636&gt;0,$AJ$2&gt;M1636,L1636=""),1,0)</f>
        <v/>
      </c>
      <c r="AP1636" s="35">
        <f>IF(AND(AK1636="YES",W1636="X"),"X","")</f>
        <v/>
      </c>
      <c r="AQ1636" s="55">
        <f>IF(AP1636="X",100%,0%)</f>
        <v/>
      </c>
      <c r="AR1636" s="25">
        <f>IF(AND(T1636&gt;0,L1636=""),H1636,"")</f>
        <v/>
      </c>
      <c r="AS1636" s="25">
        <f>IF(AND(D1636&gt;0,H1636=0,G1636=""),1,"")</f>
        <v/>
      </c>
      <c r="AT1636" s="25">
        <f>IF(G1636="BLOQ",1,"")</f>
        <v/>
      </c>
      <c r="AU1636" s="25">
        <f>IF(L1636="BLOQ",1,"")</f>
        <v/>
      </c>
      <c r="AV1636" s="25">
        <f>MONTH(F1636)</f>
        <v/>
      </c>
      <c r="AW1636" s="65">
        <f>IF(AP1636="",100%,0%)</f>
        <v/>
      </c>
      <c r="AX1636" s="56" t="n"/>
      <c r="AY1636" s="24">
        <f>IF(M1636=0,"",M1636-$AX$2)</f>
        <v/>
      </c>
      <c r="AZ1636" s="66">
        <f>IF(AND(W1636="",AY1636&gt;0,AY1636&lt;15),1,0)</f>
        <v/>
      </c>
      <c r="BA1636" s="24">
        <f>IF(AND(W1636="",AY1636&gt;0,AY1636&lt;15),T1636,"")</f>
        <v/>
      </c>
      <c r="BB1636" s="87">
        <f>IF(R1636&lt;Q1636,"X","")</f>
        <v/>
      </c>
      <c r="BC1636" s="190" t="inlineStr">
        <is>
          <t>NO</t>
        </is>
      </c>
      <c r="BD1636" s="191" t="inlineStr">
        <is>
          <t>SI</t>
        </is>
      </c>
    </row>
    <row r="1637" ht="15" customHeight="1" s="162">
      <c r="A1637" s="7" t="n">
        <v>1636</v>
      </c>
      <c r="B1637" t="inlineStr">
        <is>
          <t>1500311008001</t>
        </is>
      </c>
      <c r="C1637" t="inlineStr">
        <is>
          <t>TOR CIL ALLEN M3X8   INOX DIN912/ISO4762</t>
        </is>
      </c>
      <c r="D1637" t="inlineStr">
        <is>
          <t>1800123069</t>
        </is>
      </c>
      <c r="E1637" t="inlineStr">
        <is>
          <t>10</t>
        </is>
      </c>
      <c r="F1637" s="163" t="n">
        <v>45754</v>
      </c>
      <c r="G1637" t="inlineStr"/>
      <c r="H1637" t="inlineStr">
        <is>
          <t>4200607688</t>
        </is>
      </c>
      <c r="I1637" t="inlineStr">
        <is>
          <t>30</t>
        </is>
      </c>
      <c r="J1637" s="163" t="n">
        <v>45768</v>
      </c>
      <c r="K1637" s="163" t="n">
        <v>45770</v>
      </c>
      <c r="L1637" t="inlineStr"/>
      <c r="M1637" s="163" t="n">
        <v>45782</v>
      </c>
      <c r="N1637" s="164" t="n">
        <v>30</v>
      </c>
      <c r="O1637" s="164" t="n">
        <v>8</v>
      </c>
      <c r="P1637" t="inlineStr">
        <is>
          <t>Liberado</t>
        </is>
      </c>
      <c r="Q1637" s="166" t="n">
        <v>2</v>
      </c>
      <c r="R1637" s="166" t="n">
        <v>1000</v>
      </c>
      <c r="S1637" s="166" t="n">
        <v>1000</v>
      </c>
      <c r="T1637" s="166" t="n">
        <v>0</v>
      </c>
      <c r="U1637" s="166" t="n">
        <v>1000</v>
      </c>
      <c r="V1637" s="166" t="n">
        <v>0</v>
      </c>
      <c r="W1637" t="inlineStr">
        <is>
          <t>X</t>
        </is>
      </c>
      <c r="X1637" t="inlineStr">
        <is>
          <t>0.00</t>
        </is>
      </c>
      <c r="Y1637" t="inlineStr"/>
      <c r="Z1637" t="inlineStr">
        <is>
          <t>ALMACENES DELCA, S.A.</t>
        </is>
      </c>
      <c r="AA1637" t="inlineStr">
        <is>
          <t>DIN</t>
        </is>
      </c>
      <c r="AB1637" t="inlineStr">
        <is>
          <t>DIN912-M3X8-A2-70</t>
        </is>
      </c>
      <c r="AC1637" t="inlineStr"/>
      <c r="AD1637" s="164" t="n">
        <v>0</v>
      </c>
      <c r="AE1637" s="185" t="n">
        <v>0</v>
      </c>
      <c r="AG1637" s="167" t="inlineStr">
        <is>
          <t>7218|JA2590_1001</t>
        </is>
      </c>
      <c r="AH1637" s="47">
        <f>IF(M1637=0,"-",M1637-J1637)</f>
        <v/>
      </c>
      <c r="AI1637" s="46">
        <f>IF(AND(S1637=0,M1637&gt;0,L1637=0),IF(AH1637&gt;=120,"VERY HIGH",IF(AH1637&gt;=90,"HIGH",IF(AH1637&gt;=60,"MEDIUM",IF(AH1637&lt;60,"LOW")))),"-")</f>
        <v/>
      </c>
      <c r="AJ1637" s="12" t="n"/>
      <c r="AK1637" s="53">
        <f>IF(AND(W1637="X",M1637&lt;=$AJ$2),"YES","")</f>
        <v/>
      </c>
      <c r="AL1637" s="54">
        <f>IF(AND(W1637="X",M1637&lt;=$AJ$2),S1637,"")</f>
        <v/>
      </c>
      <c r="AM1637" s="35" t="n"/>
      <c r="AN1637" s="35">
        <f>IF(AND(W1637="X",M1637&gt;$AJ$2),S1637,"")</f>
        <v/>
      </c>
      <c r="AO1637" s="35">
        <f>IF(AND(W1637="",M1637&gt;0,$AJ$2&gt;M1637,L1637=""),1,0)</f>
        <v/>
      </c>
      <c r="AP1637" s="35">
        <f>IF(AND(AK1637="YES",W1637="X"),"X","")</f>
        <v/>
      </c>
      <c r="AQ1637" s="55">
        <f>IF(AP1637="X",100%,0%)</f>
        <v/>
      </c>
      <c r="AR1637" s="25">
        <f>IF(AND(T1637&gt;0,L1637=""),H1637,"")</f>
        <v/>
      </c>
      <c r="AS1637" s="25">
        <f>IF(AND(D1637&gt;0,H1637=0,G1637=""),1,"")</f>
        <v/>
      </c>
      <c r="AT1637" s="25">
        <f>IF(G1637="BLOQ",1,"")</f>
        <v/>
      </c>
      <c r="AU1637" s="25">
        <f>IF(L1637="BLOQ",1,"")</f>
        <v/>
      </c>
      <c r="AV1637" s="25">
        <f>MONTH(F1637)</f>
        <v/>
      </c>
      <c r="AW1637" s="65">
        <f>IF(AP1637="",100%,0%)</f>
        <v/>
      </c>
      <c r="AX1637" s="56" t="n"/>
      <c r="AY1637" s="24">
        <f>IF(M1637=0,"",M1637-$AX$2)</f>
        <v/>
      </c>
      <c r="AZ1637" s="66">
        <f>IF(AND(W1637="",AY1637&gt;0,AY1637&lt;15),1,0)</f>
        <v/>
      </c>
      <c r="BA1637" s="24">
        <f>IF(AND(W1637="",AY1637&gt;0,AY1637&lt;15),T1637,"")</f>
        <v/>
      </c>
      <c r="BB1637" s="87">
        <f>IF(R1637&lt;Q1637,"X","")</f>
        <v/>
      </c>
      <c r="BC1637" s="190" t="inlineStr">
        <is>
          <t>NO</t>
        </is>
      </c>
      <c r="BD1637" s="191" t="inlineStr">
        <is>
          <t>SI</t>
        </is>
      </c>
    </row>
    <row r="1638" ht="15" customHeight="1" s="162">
      <c r="A1638" s="7" t="n">
        <v>1637</v>
      </c>
      <c r="B1638" t="inlineStr">
        <is>
          <t>1500313016001</t>
        </is>
      </c>
      <c r="C1638" t="inlineStr">
        <is>
          <t>TOR CIL ALLEN  M4X16 INOX DIN912/ISO4762</t>
        </is>
      </c>
      <c r="D1638" t="inlineStr">
        <is>
          <t>1800123069</t>
        </is>
      </c>
      <c r="E1638" t="inlineStr">
        <is>
          <t>20</t>
        </is>
      </c>
      <c r="F1638" s="163" t="n">
        <v>45754</v>
      </c>
      <c r="G1638" t="inlineStr"/>
      <c r="H1638" t="inlineStr">
        <is>
          <t>4200607688</t>
        </is>
      </c>
      <c r="I1638" t="inlineStr">
        <is>
          <t>40</t>
        </is>
      </c>
      <c r="J1638" s="163" t="n">
        <v>45768</v>
      </c>
      <c r="K1638" s="163" t="n">
        <v>45770</v>
      </c>
      <c r="L1638" t="inlineStr"/>
      <c r="M1638" s="163" t="n">
        <v>45782</v>
      </c>
      <c r="N1638" s="164" t="n">
        <v>40</v>
      </c>
      <c r="O1638" s="164" t="n">
        <v>8</v>
      </c>
      <c r="P1638" t="inlineStr">
        <is>
          <t>Liberado</t>
        </is>
      </c>
      <c r="Q1638" s="165" t="n">
        <v>4</v>
      </c>
      <c r="R1638" s="165" t="n">
        <v>1000</v>
      </c>
      <c r="S1638" s="165" t="n">
        <v>1000</v>
      </c>
      <c r="T1638" s="165" t="n">
        <v>0</v>
      </c>
      <c r="U1638" s="166" t="n">
        <v>1000</v>
      </c>
      <c r="V1638" s="166" t="n">
        <v>0</v>
      </c>
      <c r="W1638" t="inlineStr">
        <is>
          <t>X</t>
        </is>
      </c>
      <c r="X1638" t="inlineStr">
        <is>
          <t>0.00</t>
        </is>
      </c>
      <c r="Y1638" t="inlineStr"/>
      <c r="Z1638" t="inlineStr">
        <is>
          <t>ALMACENES DELCA, S.A.</t>
        </is>
      </c>
      <c r="AA1638" t="inlineStr">
        <is>
          <t>ISO</t>
        </is>
      </c>
      <c r="AB1638" t="inlineStr">
        <is>
          <t>ISO4762-M4X16-A2-70</t>
        </is>
      </c>
      <c r="AC1638" t="inlineStr"/>
      <c r="AD1638" s="164" t="n">
        <v>0</v>
      </c>
      <c r="AE1638" s="185" t="n">
        <v>0</v>
      </c>
      <c r="AG1638" s="167" t="inlineStr">
        <is>
          <t>7218|JA2590_1001</t>
        </is>
      </c>
      <c r="AH1638" s="47">
        <f>IF(M1638=0,"-",M1638-J1638)</f>
        <v/>
      </c>
      <c r="AI1638" s="46">
        <f>IF(AND(S1638=0,M1638&gt;0,L1638=0),IF(AH1638&gt;=120,"VERY HIGH",IF(AH1638&gt;=90,"HIGH",IF(AH1638&gt;=60,"MEDIUM",IF(AH1638&lt;60,"LOW")))),"-")</f>
        <v/>
      </c>
      <c r="AJ1638" s="12" t="n"/>
      <c r="AK1638" s="53">
        <f>IF(AND(W1638="X",M1638&lt;=$AJ$2),"YES","")</f>
        <v/>
      </c>
      <c r="AL1638" s="54">
        <f>IF(AND(W1638="X",M1638&lt;=$AJ$2),S1638,"")</f>
        <v/>
      </c>
      <c r="AM1638" s="35" t="n"/>
      <c r="AN1638" s="35">
        <f>IF(AND(W1638="X",M1638&gt;$AJ$2),S1638,"")</f>
        <v/>
      </c>
      <c r="AO1638" s="35">
        <f>IF(AND(W1638="",M1638&gt;0,$AJ$2&gt;M1638,L1638=""),1,0)</f>
        <v/>
      </c>
      <c r="AP1638" s="35">
        <f>IF(AND(AK1638="YES",W1638="X"),"X","")</f>
        <v/>
      </c>
      <c r="AQ1638" s="55">
        <f>IF(AP1638="X",100%,0%)</f>
        <v/>
      </c>
      <c r="AR1638" s="25">
        <f>IF(AND(T1638&gt;0,L1638=""),H1638,"")</f>
        <v/>
      </c>
      <c r="AS1638" s="25">
        <f>IF(AND(D1638&gt;0,H1638=0,G1638=""),1,"")</f>
        <v/>
      </c>
      <c r="AT1638" s="25">
        <f>IF(G1638="BLOQ",1,"")</f>
        <v/>
      </c>
      <c r="AU1638" s="25">
        <f>IF(L1638="BLOQ",1,"")</f>
        <v/>
      </c>
      <c r="AV1638" s="25">
        <f>MONTH(F1638)</f>
        <v/>
      </c>
      <c r="AW1638" s="65">
        <f>IF(AP1638="",100%,0%)</f>
        <v/>
      </c>
      <c r="AX1638" s="56" t="n"/>
      <c r="AY1638" s="24">
        <f>IF(M1638=0,"",M1638-$AX$2)</f>
        <v/>
      </c>
      <c r="AZ1638" s="66">
        <f>IF(AND(W1638="",AY1638&gt;0,AY1638&lt;15),1,0)</f>
        <v/>
      </c>
      <c r="BA1638" s="24">
        <f>IF(AND(W1638="",AY1638&gt;0,AY1638&lt;15),T1638,"")</f>
        <v/>
      </c>
      <c r="BB1638" s="87">
        <f>IF(R1638&lt;Q1638,"X","")</f>
        <v/>
      </c>
      <c r="BC1638" s="190" t="inlineStr">
        <is>
          <t>NO</t>
        </is>
      </c>
      <c r="BD1638" s="191" t="inlineStr">
        <is>
          <t>SI</t>
        </is>
      </c>
    </row>
    <row r="1639" ht="15" customHeight="1" s="162">
      <c r="A1639" s="7" t="n">
        <v>1638</v>
      </c>
      <c r="B1639" t="inlineStr">
        <is>
          <t>1500315016001</t>
        </is>
      </c>
      <c r="C1639" t="inlineStr">
        <is>
          <t>TORNILLO  ALLEN   M5X16  INOX  DIN912</t>
        </is>
      </c>
      <c r="D1639" t="inlineStr">
        <is>
          <t>1800123069</t>
        </is>
      </c>
      <c r="E1639" t="inlineStr">
        <is>
          <t>30</t>
        </is>
      </c>
      <c r="F1639" s="163" t="n">
        <v>45754</v>
      </c>
      <c r="G1639" t="inlineStr"/>
      <c r="H1639" t="inlineStr">
        <is>
          <t>4200607688</t>
        </is>
      </c>
      <c r="I1639" t="inlineStr">
        <is>
          <t>50</t>
        </is>
      </c>
      <c r="J1639" s="163" t="n">
        <v>45768</v>
      </c>
      <c r="K1639" s="163" t="n">
        <v>45770</v>
      </c>
      <c r="L1639" t="inlineStr"/>
      <c r="M1639" s="163" t="n">
        <v>45782</v>
      </c>
      <c r="N1639" s="164" t="n">
        <v>30</v>
      </c>
      <c r="O1639" s="164" t="n">
        <v>8</v>
      </c>
      <c r="P1639" t="inlineStr">
        <is>
          <t>Liberado</t>
        </is>
      </c>
      <c r="Q1639" s="165" t="n">
        <v>12</v>
      </c>
      <c r="R1639" s="165" t="n">
        <v>1000</v>
      </c>
      <c r="S1639" s="165" t="n">
        <v>1000</v>
      </c>
      <c r="T1639" s="165" t="n">
        <v>0</v>
      </c>
      <c r="U1639" s="166" t="n">
        <v>1000</v>
      </c>
      <c r="V1639" s="166" t="n">
        <v>0</v>
      </c>
      <c r="W1639" t="inlineStr">
        <is>
          <t>X</t>
        </is>
      </c>
      <c r="X1639" t="inlineStr">
        <is>
          <t>0.00</t>
        </is>
      </c>
      <c r="Y1639" t="inlineStr"/>
      <c r="Z1639" t="inlineStr">
        <is>
          <t>ALMACENES DELCA, S.A.</t>
        </is>
      </c>
      <c r="AA1639" t="inlineStr">
        <is>
          <t>DIN</t>
        </is>
      </c>
      <c r="AB1639" t="inlineStr">
        <is>
          <t>DIN912-M5X16-A2-70</t>
        </is>
      </c>
      <c r="AC1639" t="inlineStr"/>
      <c r="AD1639" s="164" t="n">
        <v>0</v>
      </c>
      <c r="AE1639" s="185" t="n">
        <v>0</v>
      </c>
      <c r="AG1639" s="167" t="inlineStr">
        <is>
          <t>7218|JA2590_1001</t>
        </is>
      </c>
      <c r="AH1639" s="47">
        <f>IF(M1639=0,"-",M1639-J1639)</f>
        <v/>
      </c>
      <c r="AI1639" s="46">
        <f>IF(AND(S1639=0,M1639&gt;0,L1639=0),IF(AH1639&gt;=120,"VERY HIGH",IF(AH1639&gt;=90,"HIGH",IF(AH1639&gt;=60,"MEDIUM",IF(AH1639&lt;60,"LOW")))),"-")</f>
        <v/>
      </c>
      <c r="AJ1639" s="12" t="n"/>
      <c r="AK1639" s="53">
        <f>IF(AND(W1639="X",M1639&lt;=$AJ$2),"YES","")</f>
        <v/>
      </c>
      <c r="AL1639" s="54">
        <f>IF(AND(W1639="X",M1639&lt;=$AJ$2),S1639,"")</f>
        <v/>
      </c>
      <c r="AM1639" s="35" t="n"/>
      <c r="AN1639" s="35">
        <f>IF(AND(W1639="X",M1639&gt;$AJ$2),S1639,"")</f>
        <v/>
      </c>
      <c r="AO1639" s="35">
        <f>IF(AND(W1639="",M1639&gt;0,$AJ$2&gt;M1639,L1639=""),1,0)</f>
        <v/>
      </c>
      <c r="AP1639" s="35">
        <f>IF(AND(AK1639="YES",W1639="X"),"X","")</f>
        <v/>
      </c>
      <c r="AQ1639" s="55">
        <f>IF(AP1639="X",100%,0%)</f>
        <v/>
      </c>
      <c r="AR1639" s="25">
        <f>IF(AND(T1639&gt;0,L1639=""),H1639,"")</f>
        <v/>
      </c>
      <c r="AS1639" s="25">
        <f>IF(AND(D1639&gt;0,H1639=0,G1639=""),1,"")</f>
        <v/>
      </c>
      <c r="AT1639" s="25">
        <f>IF(G1639="BLOQ",1,"")</f>
        <v/>
      </c>
      <c r="AU1639" s="25">
        <f>IF(L1639="BLOQ",1,"")</f>
        <v/>
      </c>
      <c r="AV1639" s="25">
        <f>MONTH(F1639)</f>
        <v/>
      </c>
      <c r="AW1639" s="65">
        <f>IF(AP1639="",100%,0%)</f>
        <v/>
      </c>
      <c r="AX1639" s="56" t="n"/>
      <c r="AY1639" s="24">
        <f>IF(M1639=0,"",M1639-$AX$2)</f>
        <v/>
      </c>
      <c r="AZ1639" s="66">
        <f>IF(AND(W1639="",AY1639&gt;0,AY1639&lt;15),1,0)</f>
        <v/>
      </c>
      <c r="BA1639" s="24">
        <f>IF(AND(W1639="",AY1639&gt;0,AY1639&lt;15),T1639,"")</f>
        <v/>
      </c>
      <c r="BB1639" s="87">
        <f>IF(R1639&lt;Q1639,"X","")</f>
        <v/>
      </c>
      <c r="BC1639" s="190" t="inlineStr">
        <is>
          <t>NO</t>
        </is>
      </c>
      <c r="BD1639" s="191" t="inlineStr">
        <is>
          <t>SI</t>
        </is>
      </c>
    </row>
    <row r="1640" ht="15" customHeight="1" s="162">
      <c r="A1640" s="7" t="n">
        <v>1639</v>
      </c>
      <c r="B1640" t="inlineStr">
        <is>
          <t>1501311012002</t>
        </is>
      </c>
      <c r="C1640" t="inlineStr">
        <is>
          <t>TORNILLO AV ALLEN M3X12 A4-70 DIN7991</t>
        </is>
      </c>
      <c r="D1640" t="inlineStr">
        <is>
          <t>1800123069</t>
        </is>
      </c>
      <c r="E1640" t="inlineStr">
        <is>
          <t>40</t>
        </is>
      </c>
      <c r="F1640" s="163" t="n">
        <v>45754</v>
      </c>
      <c r="G1640" t="inlineStr"/>
      <c r="H1640" t="inlineStr">
        <is>
          <t>4200607688</t>
        </is>
      </c>
      <c r="I1640" t="inlineStr">
        <is>
          <t>230</t>
        </is>
      </c>
      <c r="J1640" s="163" t="n">
        <v>45768</v>
      </c>
      <c r="K1640" s="163" t="n">
        <v>45770</v>
      </c>
      <c r="L1640" t="inlineStr"/>
      <c r="M1640" s="163" t="n">
        <v>45782</v>
      </c>
      <c r="N1640" s="164" t="n">
        <v>40</v>
      </c>
      <c r="O1640" s="164" t="n">
        <v>8</v>
      </c>
      <c r="P1640" t="inlineStr">
        <is>
          <t>Liberado</t>
        </is>
      </c>
      <c r="Q1640" s="165" t="n">
        <v>4</v>
      </c>
      <c r="R1640" s="165" t="n">
        <v>1000</v>
      </c>
      <c r="S1640" s="165" t="n">
        <v>1000</v>
      </c>
      <c r="T1640" s="165" t="n">
        <v>0</v>
      </c>
      <c r="U1640" s="166" t="n">
        <v>1000</v>
      </c>
      <c r="V1640" s="166" t="n">
        <v>0</v>
      </c>
      <c r="W1640" t="inlineStr">
        <is>
          <t>X</t>
        </is>
      </c>
      <c r="X1640" t="inlineStr">
        <is>
          <t>0.00</t>
        </is>
      </c>
      <c r="Y1640" t="inlineStr"/>
      <c r="Z1640" t="inlineStr">
        <is>
          <t>ALMACENES DELCA, S.A.</t>
        </is>
      </c>
      <c r="AA1640" t="inlineStr">
        <is>
          <t>DIN</t>
        </is>
      </c>
      <c r="AB1640" t="inlineStr">
        <is>
          <t>DIN7991-M3X12-A4-70</t>
        </is>
      </c>
      <c r="AC1640" t="inlineStr"/>
      <c r="AD1640" s="164" t="n">
        <v>0</v>
      </c>
      <c r="AE1640" s="185" t="n">
        <v>0</v>
      </c>
      <c r="AG1640" s="167" t="inlineStr">
        <is>
          <t>7218|JA2590_1001</t>
        </is>
      </c>
      <c r="AH1640" s="47">
        <f>IF(M1640=0,"-",M1640-J1640)</f>
        <v/>
      </c>
      <c r="AI1640" s="46">
        <f>IF(AND(S1640=0,M1640&gt;0,L1640=0),IF(AH1640&gt;=120,"VERY HIGH",IF(AH1640&gt;=90,"HIGH",IF(AH1640&gt;=60,"MEDIUM",IF(AH1640&lt;60,"LOW")))),"-")</f>
        <v/>
      </c>
      <c r="AJ1640" s="12" t="n"/>
      <c r="AK1640" s="53">
        <f>IF(AND(W1640="X",M1640&lt;=$AJ$2),"YES","")</f>
        <v/>
      </c>
      <c r="AL1640" s="54">
        <f>IF(AND(W1640="X",M1640&lt;=$AJ$2),S1640,"")</f>
        <v/>
      </c>
      <c r="AM1640" s="35" t="n"/>
      <c r="AN1640" s="35">
        <f>IF(AND(W1640="X",M1640&gt;$AJ$2),S1640,"")</f>
        <v/>
      </c>
      <c r="AO1640" s="35">
        <f>IF(AND(W1640="",M1640&gt;0,$AJ$2&gt;M1640,L1640=""),1,0)</f>
        <v/>
      </c>
      <c r="AP1640" s="35">
        <f>IF(AND(AK1640="YES",W1640="X"),"X","")</f>
        <v/>
      </c>
      <c r="AQ1640" s="55">
        <f>IF(AP1640="X",100%,0%)</f>
        <v/>
      </c>
      <c r="AR1640" s="25">
        <f>IF(AND(T1640&gt;0,L1640=""),H1640,"")</f>
        <v/>
      </c>
      <c r="AS1640" s="25">
        <f>IF(AND(D1640&gt;0,H1640=0,G1640=""),1,"")</f>
        <v/>
      </c>
      <c r="AT1640" s="25">
        <f>IF(G1640="BLOQ",1,"")</f>
        <v/>
      </c>
      <c r="AU1640" s="25">
        <f>IF(L1640="BLOQ",1,"")</f>
        <v/>
      </c>
      <c r="AV1640" s="25">
        <f>MONTH(F1640)</f>
        <v/>
      </c>
      <c r="AW1640" s="65">
        <f>IF(AP1640="",100%,0%)</f>
        <v/>
      </c>
      <c r="AX1640" s="56" t="n"/>
      <c r="AY1640" s="24">
        <f>IF(M1640=0,"",M1640-$AX$2)</f>
        <v/>
      </c>
      <c r="AZ1640" s="66">
        <f>IF(AND(W1640="",AY1640&gt;0,AY1640&lt;15),1,0)</f>
        <v/>
      </c>
      <c r="BA1640" s="24">
        <f>IF(AND(W1640="",AY1640&gt;0,AY1640&lt;15),T1640,"")</f>
        <v/>
      </c>
      <c r="BB1640" s="87">
        <f>IF(R1640&lt;Q1640,"X","")</f>
        <v/>
      </c>
      <c r="BC1640" s="190" t="inlineStr">
        <is>
          <t>NO</t>
        </is>
      </c>
      <c r="BD1640" s="191" t="inlineStr">
        <is>
          <t>SI</t>
        </is>
      </c>
    </row>
    <row r="1641" ht="15" customHeight="1" s="162">
      <c r="A1641" s="7" t="n">
        <v>1640</v>
      </c>
      <c r="B1641" t="inlineStr">
        <is>
          <t>1501313008001</t>
        </is>
      </c>
      <c r="C1641" t="inlineStr">
        <is>
          <t>TOR AV ALLEN  M4X8   INOX DIN7991</t>
        </is>
      </c>
      <c r="D1641" t="inlineStr">
        <is>
          <t>1800123069</t>
        </is>
      </c>
      <c r="E1641" t="inlineStr">
        <is>
          <t>50</t>
        </is>
      </c>
      <c r="F1641" s="163" t="n">
        <v>45754</v>
      </c>
      <c r="G1641" t="inlineStr"/>
      <c r="H1641" t="inlineStr">
        <is>
          <t>4200607688</t>
        </is>
      </c>
      <c r="I1641" t="inlineStr">
        <is>
          <t>240</t>
        </is>
      </c>
      <c r="J1641" s="163" t="n">
        <v>45768</v>
      </c>
      <c r="K1641" s="163" t="n">
        <v>45770</v>
      </c>
      <c r="L1641" t="inlineStr"/>
      <c r="M1641" s="163" t="n">
        <v>45782</v>
      </c>
      <c r="N1641" s="164" t="n">
        <v>40</v>
      </c>
      <c r="O1641" s="164" t="n">
        <v>8</v>
      </c>
      <c r="P1641" t="inlineStr">
        <is>
          <t>Liberado</t>
        </is>
      </c>
      <c r="Q1641" s="165" t="n">
        <v>3</v>
      </c>
      <c r="R1641" s="165" t="n">
        <v>1000</v>
      </c>
      <c r="S1641" s="165" t="n">
        <v>1000</v>
      </c>
      <c r="T1641" s="165" t="n">
        <v>0</v>
      </c>
      <c r="U1641" s="166" t="n">
        <v>1000</v>
      </c>
      <c r="V1641" s="166" t="n">
        <v>0</v>
      </c>
      <c r="W1641" t="inlineStr">
        <is>
          <t>X</t>
        </is>
      </c>
      <c r="X1641" t="inlineStr">
        <is>
          <t>0.00</t>
        </is>
      </c>
      <c r="Y1641" t="inlineStr"/>
      <c r="Z1641" t="inlineStr">
        <is>
          <t>ALMACENES DELCA, S.A.</t>
        </is>
      </c>
      <c r="AA1641" t="inlineStr">
        <is>
          <t>DIN</t>
        </is>
      </c>
      <c r="AB1641" t="inlineStr">
        <is>
          <t>DIN7991-M4X8-A2-70</t>
        </is>
      </c>
      <c r="AC1641" t="inlineStr"/>
      <c r="AD1641" s="164" t="n">
        <v>0</v>
      </c>
      <c r="AE1641" s="185" t="n">
        <v>0</v>
      </c>
      <c r="AG1641" s="167" t="inlineStr">
        <is>
          <t>7218|JA2590_1001</t>
        </is>
      </c>
      <c r="AH1641" s="47">
        <f>IF(M1641=0,"-",M1641-J1641)</f>
        <v/>
      </c>
      <c r="AI1641" s="46">
        <f>IF(AND(S1641=0,M1641&gt;0,L1641=0),IF(AH1641&gt;=120,"VERY HIGH",IF(AH1641&gt;=90,"HIGH",IF(AH1641&gt;=60,"MEDIUM",IF(AH1641&lt;60,"LOW")))),"-")</f>
        <v/>
      </c>
      <c r="AJ1641" s="12" t="n"/>
      <c r="AK1641" s="53">
        <f>IF(AND(W1641="X",M1641&lt;=$AJ$2),"YES","")</f>
        <v/>
      </c>
      <c r="AL1641" s="54">
        <f>IF(AND(W1641="X",M1641&lt;=$AJ$2),S1641,"")</f>
        <v/>
      </c>
      <c r="AM1641" s="35" t="n"/>
      <c r="AN1641" s="35">
        <f>IF(AND(W1641="X",M1641&gt;$AJ$2),S1641,"")</f>
        <v/>
      </c>
      <c r="AO1641" s="35">
        <f>IF(AND(W1641="",M1641&gt;0,$AJ$2&gt;M1641,L1641=""),1,0)</f>
        <v/>
      </c>
      <c r="AP1641" s="35">
        <f>IF(AND(AK1641="YES",W1641="X"),"X","")</f>
        <v/>
      </c>
      <c r="AQ1641" s="55">
        <f>IF(AP1641="X",100%,0%)</f>
        <v/>
      </c>
      <c r="AR1641" s="25">
        <f>IF(AND(T1641&gt;0,L1641=""),H1641,"")</f>
        <v/>
      </c>
      <c r="AS1641" s="25">
        <f>IF(AND(D1641&gt;0,H1641=0,G1641=""),1,"")</f>
        <v/>
      </c>
      <c r="AT1641" s="25">
        <f>IF(G1641="BLOQ",1,"")</f>
        <v/>
      </c>
      <c r="AU1641" s="25">
        <f>IF(L1641="BLOQ",1,"")</f>
        <v/>
      </c>
      <c r="AV1641" s="25">
        <f>MONTH(F1641)</f>
        <v/>
      </c>
      <c r="AW1641" s="65">
        <f>IF(AP1641="",100%,0%)</f>
        <v/>
      </c>
      <c r="AX1641" s="56" t="n"/>
      <c r="AY1641" s="24">
        <f>IF(M1641=0,"",M1641-$AX$2)</f>
        <v/>
      </c>
      <c r="AZ1641" s="66">
        <f>IF(AND(W1641="",AY1641&gt;0,AY1641&lt;15),1,0)</f>
        <v/>
      </c>
      <c r="BA1641" s="24">
        <f>IF(AND(W1641="",AY1641&gt;0,AY1641&lt;15),T1641,"")</f>
        <v/>
      </c>
      <c r="BB1641" s="87">
        <f>IF(R1641&lt;Q1641,"X","")</f>
        <v/>
      </c>
      <c r="BC1641" s="190" t="inlineStr">
        <is>
          <t>NO</t>
        </is>
      </c>
      <c r="BD1641" s="191" t="inlineStr">
        <is>
          <t>SI</t>
        </is>
      </c>
    </row>
    <row r="1642" ht="15" customHeight="1" s="162">
      <c r="A1642" s="7" t="n">
        <v>1641</v>
      </c>
      <c r="B1642" t="inlineStr">
        <is>
          <t>1521016999001.LO</t>
        </is>
      </c>
      <c r="C1642" t="inlineStr">
        <is>
          <t>VARILLA ROSC M6X1000MM INOX DIN975</t>
        </is>
      </c>
      <c r="D1642" t="inlineStr">
        <is>
          <t>1800123069</t>
        </is>
      </c>
      <c r="E1642" t="inlineStr">
        <is>
          <t>60</t>
        </is>
      </c>
      <c r="F1642" s="163" t="n">
        <v>45754</v>
      </c>
      <c r="G1642" t="inlineStr"/>
      <c r="H1642" t="inlineStr">
        <is>
          <t>4200607688</t>
        </is>
      </c>
      <c r="I1642" t="inlineStr">
        <is>
          <t>250</t>
        </is>
      </c>
      <c r="J1642" s="163" t="n">
        <v>45768</v>
      </c>
      <c r="K1642" s="163" t="n">
        <v>45770</v>
      </c>
      <c r="L1642" t="inlineStr"/>
      <c r="M1642" s="163" t="n">
        <v>45782</v>
      </c>
      <c r="N1642" s="164" t="n">
        <v>40</v>
      </c>
      <c r="O1642" s="164" t="n">
        <v>8</v>
      </c>
      <c r="P1642" t="inlineStr">
        <is>
          <t>Liberado</t>
        </is>
      </c>
      <c r="Q1642" s="165" t="n">
        <v>1</v>
      </c>
      <c r="R1642" s="165" t="n">
        <v>50</v>
      </c>
      <c r="S1642" s="165" t="n">
        <v>50</v>
      </c>
      <c r="T1642" s="165" t="n">
        <v>0</v>
      </c>
      <c r="U1642" s="166" t="n">
        <v>50</v>
      </c>
      <c r="V1642" s="166" t="n">
        <v>0</v>
      </c>
      <c r="W1642" t="inlineStr">
        <is>
          <t>X</t>
        </is>
      </c>
      <c r="X1642" t="inlineStr">
        <is>
          <t>0.00</t>
        </is>
      </c>
      <c r="Y1642" t="inlineStr"/>
      <c r="Z1642" t="inlineStr">
        <is>
          <t>ALMACENES DELCA, S.A.</t>
        </is>
      </c>
      <c r="AA1642" t="inlineStr">
        <is>
          <t>DIN</t>
        </is>
      </c>
      <c r="AB1642" t="inlineStr">
        <is>
          <t>DIN975-M6X1000-A2</t>
        </is>
      </c>
      <c r="AC1642" t="inlineStr"/>
      <c r="AD1642" s="164" t="n">
        <v>0</v>
      </c>
      <c r="AE1642" s="185" t="n">
        <v>0</v>
      </c>
      <c r="AG1642" s="167" t="inlineStr">
        <is>
          <t>7218|JA2590_1001</t>
        </is>
      </c>
      <c r="AH1642" s="47">
        <f>IF(M1642=0,"-",M1642-J1642)</f>
        <v/>
      </c>
      <c r="AI1642" s="46">
        <f>IF(AND(S1642=0,M1642&gt;0,L1642=0),IF(AH1642&gt;=120,"VERY HIGH",IF(AH1642&gt;=90,"HIGH",IF(AH1642&gt;=60,"MEDIUM",IF(AH1642&lt;60,"LOW")))),"-")</f>
        <v/>
      </c>
      <c r="AJ1642" s="12" t="n"/>
      <c r="AK1642" s="53">
        <f>IF(AND(W1642="X",M1642&lt;=$AJ$2),"YES","")</f>
        <v/>
      </c>
      <c r="AL1642" s="54">
        <f>IF(AND(W1642="X",M1642&lt;=$AJ$2),S1642,"")</f>
        <v/>
      </c>
      <c r="AM1642" s="35" t="n"/>
      <c r="AN1642" s="35">
        <f>IF(AND(W1642="X",M1642&gt;$AJ$2),S1642,"")</f>
        <v/>
      </c>
      <c r="AO1642" s="35">
        <f>IF(AND(W1642="",M1642&gt;0,$AJ$2&gt;M1642,L1642=""),1,0)</f>
        <v/>
      </c>
      <c r="AP1642" s="35">
        <f>IF(AND(AK1642="YES",W1642="X"),"X","")</f>
        <v/>
      </c>
      <c r="AQ1642" s="55">
        <f>IF(AP1642="X",100%,0%)</f>
        <v/>
      </c>
      <c r="AR1642" s="25">
        <f>IF(AND(T1642&gt;0,L1642=""),H1642,"")</f>
        <v/>
      </c>
      <c r="AS1642" s="25">
        <f>IF(AND(D1642&gt;0,H1642=0,G1642=""),1,"")</f>
        <v/>
      </c>
      <c r="AT1642" s="25">
        <f>IF(G1642="BLOQ",1,"")</f>
        <v/>
      </c>
      <c r="AU1642" s="25">
        <f>IF(L1642="BLOQ",1,"")</f>
        <v/>
      </c>
      <c r="AV1642" s="25">
        <f>MONTH(F1642)</f>
        <v/>
      </c>
      <c r="AW1642" s="65">
        <f>IF(AP1642="",100%,0%)</f>
        <v/>
      </c>
      <c r="AX1642" s="56" t="n"/>
      <c r="AY1642" s="24">
        <f>IF(M1642=0,"",M1642-$AX$2)</f>
        <v/>
      </c>
      <c r="AZ1642" s="66">
        <f>IF(AND(W1642="",AY1642&gt;0,AY1642&lt;15),1,0)</f>
        <v/>
      </c>
      <c r="BA1642" s="24">
        <f>IF(AND(W1642="",AY1642&gt;0,AY1642&lt;15),T1642,"")</f>
        <v/>
      </c>
      <c r="BB1642" s="87">
        <f>IF(R1642&lt;Q1642,"X","")</f>
        <v/>
      </c>
      <c r="BC1642" s="190" t="inlineStr">
        <is>
          <t>NO</t>
        </is>
      </c>
      <c r="BD1642" s="191" t="inlineStr">
        <is>
          <t>SI</t>
        </is>
      </c>
    </row>
    <row r="1643" ht="15" customHeight="1" s="162">
      <c r="A1643" s="7" t="n">
        <v>1642</v>
      </c>
      <c r="B1643" t="inlineStr">
        <is>
          <t>1530116000002</t>
        </is>
      </c>
      <c r="C1643" t="inlineStr">
        <is>
          <t>TUERCA EXA M6 INOX DIN934/ISO4032</t>
        </is>
      </c>
      <c r="D1643" t="inlineStr">
        <is>
          <t>1800123069</t>
        </is>
      </c>
      <c r="E1643" t="inlineStr">
        <is>
          <t>70</t>
        </is>
      </c>
      <c r="F1643" s="163" t="n">
        <v>45754</v>
      </c>
      <c r="G1643" t="inlineStr"/>
      <c r="H1643" t="inlineStr">
        <is>
          <t>4200607688</t>
        </is>
      </c>
      <c r="I1643" t="inlineStr">
        <is>
          <t>270</t>
        </is>
      </c>
      <c r="J1643" s="163" t="n">
        <v>45768</v>
      </c>
      <c r="K1643" s="163" t="n">
        <v>45770</v>
      </c>
      <c r="L1643" t="inlineStr"/>
      <c r="M1643" s="163" t="n">
        <v>45782</v>
      </c>
      <c r="N1643" s="164" t="n">
        <v>40</v>
      </c>
      <c r="O1643" s="164" t="n">
        <v>8</v>
      </c>
      <c r="P1643" t="inlineStr">
        <is>
          <t>Liberado</t>
        </is>
      </c>
      <c r="Q1643" s="165" t="n">
        <v>8</v>
      </c>
      <c r="R1643" s="165" t="n">
        <v>1000</v>
      </c>
      <c r="S1643" s="165" t="n">
        <v>1000</v>
      </c>
      <c r="T1643" s="165" t="n">
        <v>0</v>
      </c>
      <c r="U1643" s="166" t="n">
        <v>1000</v>
      </c>
      <c r="V1643" s="166" t="n">
        <v>0</v>
      </c>
      <c r="W1643" t="inlineStr">
        <is>
          <t>X</t>
        </is>
      </c>
      <c r="X1643" t="inlineStr">
        <is>
          <t>0.00</t>
        </is>
      </c>
      <c r="Y1643" t="inlineStr"/>
      <c r="Z1643" t="inlineStr">
        <is>
          <t>ALMACENES DELCA, S.A.</t>
        </is>
      </c>
      <c r="AA1643" t="inlineStr">
        <is>
          <t>DIN</t>
        </is>
      </c>
      <c r="AB1643" t="inlineStr">
        <is>
          <t>DIN934-M6-A4-70</t>
        </is>
      </c>
      <c r="AC1643" t="inlineStr"/>
      <c r="AD1643" s="164" t="n">
        <v>0</v>
      </c>
      <c r="AE1643" s="185" t="n">
        <v>0</v>
      </c>
      <c r="AG1643" s="167" t="inlineStr">
        <is>
          <t>7218|JA2590_1001</t>
        </is>
      </c>
      <c r="AH1643" s="47">
        <f>IF(M1643=0,"-",M1643-J1643)</f>
        <v/>
      </c>
      <c r="AI1643" s="46">
        <f>IF(AND(S1643=0,M1643&gt;0,L1643=0),IF(AH1643&gt;=120,"VERY HIGH",IF(AH1643&gt;=90,"HIGH",IF(AH1643&gt;=60,"MEDIUM",IF(AH1643&lt;60,"LOW")))),"-")</f>
        <v/>
      </c>
      <c r="AJ1643" s="12" t="n"/>
      <c r="AK1643" s="53">
        <f>IF(AND(W1643="X",M1643&lt;=$AJ$2),"YES","")</f>
        <v/>
      </c>
      <c r="AL1643" s="54">
        <f>IF(AND(W1643="X",M1643&lt;=$AJ$2),S1643,"")</f>
        <v/>
      </c>
      <c r="AM1643" s="35" t="n"/>
      <c r="AN1643" s="35">
        <f>IF(AND(W1643="X",M1643&gt;$AJ$2),S1643,"")</f>
        <v/>
      </c>
      <c r="AO1643" s="35">
        <f>IF(AND(W1643="",M1643&gt;0,$AJ$2&gt;M1643,L1643=""),1,0)</f>
        <v/>
      </c>
      <c r="AP1643" s="35">
        <f>IF(AND(AK1643="YES",W1643="X"),"X","")</f>
        <v/>
      </c>
      <c r="AQ1643" s="55">
        <f>IF(AP1643="X",100%,0%)</f>
        <v/>
      </c>
      <c r="AR1643" s="25">
        <f>IF(AND(T1643&gt;0,L1643=""),H1643,"")</f>
        <v/>
      </c>
      <c r="AS1643" s="25">
        <f>IF(AND(D1643&gt;0,H1643=0,G1643=""),1,"")</f>
        <v/>
      </c>
      <c r="AT1643" s="25">
        <f>IF(G1643="BLOQ",1,"")</f>
        <v/>
      </c>
      <c r="AU1643" s="25">
        <f>IF(L1643="BLOQ",1,"")</f>
        <v/>
      </c>
      <c r="AV1643" s="25">
        <f>MONTH(F1643)</f>
        <v/>
      </c>
      <c r="AW1643" s="65">
        <f>IF(AP1643="",100%,0%)</f>
        <v/>
      </c>
      <c r="AX1643" s="56" t="n"/>
      <c r="AY1643" s="24">
        <f>IF(M1643=0,"",M1643-$AX$2)</f>
        <v/>
      </c>
      <c r="AZ1643" s="66">
        <f>IF(AND(W1643="",AY1643&gt;0,AY1643&lt;15),1,0)</f>
        <v/>
      </c>
      <c r="BA1643" s="24">
        <f>IF(AND(W1643="",AY1643&gt;0,AY1643&lt;15),T1643,"")</f>
        <v/>
      </c>
      <c r="BB1643" s="87">
        <f>IF(R1643&lt;Q1643,"X","")</f>
        <v/>
      </c>
      <c r="BC1643" s="190" t="inlineStr">
        <is>
          <t>NO</t>
        </is>
      </c>
      <c r="BD1643" s="191" t="inlineStr">
        <is>
          <t>SI</t>
        </is>
      </c>
    </row>
    <row r="1644" ht="15" customHeight="1" s="162">
      <c r="A1644" s="7" t="n">
        <v>1643</v>
      </c>
      <c r="B1644" t="inlineStr">
        <is>
          <t>1530120000002</t>
        </is>
      </c>
      <c r="C1644" t="inlineStr">
        <is>
          <t>TUERCA EXA M12 INOX DIN934/ISO4032</t>
        </is>
      </c>
      <c r="D1644" t="inlineStr">
        <is>
          <t>1800123069</t>
        </is>
      </c>
      <c r="E1644" t="inlineStr">
        <is>
          <t>80</t>
        </is>
      </c>
      <c r="F1644" s="163" t="n">
        <v>45754</v>
      </c>
      <c r="G1644" t="inlineStr"/>
      <c r="H1644" t="inlineStr">
        <is>
          <t>4200607688</t>
        </is>
      </c>
      <c r="I1644" t="inlineStr">
        <is>
          <t>280</t>
        </is>
      </c>
      <c r="J1644" s="163" t="n">
        <v>45768</v>
      </c>
      <c r="K1644" s="163" t="n">
        <v>45770</v>
      </c>
      <c r="L1644" t="inlineStr"/>
      <c r="M1644" s="163" t="n">
        <v>45782</v>
      </c>
      <c r="N1644" s="164" t="n">
        <v>70</v>
      </c>
      <c r="O1644" s="164" t="n">
        <v>8</v>
      </c>
      <c r="P1644" t="inlineStr">
        <is>
          <t>Liberado</t>
        </is>
      </c>
      <c r="Q1644" s="166" t="n">
        <v>8</v>
      </c>
      <c r="R1644" s="166" t="n">
        <v>100</v>
      </c>
      <c r="S1644" s="166" t="n">
        <v>100</v>
      </c>
      <c r="T1644" s="166" t="n">
        <v>0</v>
      </c>
      <c r="U1644" s="166" t="n">
        <v>100</v>
      </c>
      <c r="V1644" s="166" t="n">
        <v>0</v>
      </c>
      <c r="W1644" t="inlineStr">
        <is>
          <t>X</t>
        </is>
      </c>
      <c r="X1644" t="inlineStr">
        <is>
          <t>0.00</t>
        </is>
      </c>
      <c r="Y1644" t="inlineStr"/>
      <c r="Z1644" t="inlineStr">
        <is>
          <t>ALMACENES DELCA, S.A.</t>
        </is>
      </c>
      <c r="AA1644" t="inlineStr">
        <is>
          <t>DIN</t>
        </is>
      </c>
      <c r="AB1644" t="inlineStr">
        <is>
          <t>DIN934-M12-A4-70</t>
        </is>
      </c>
      <c r="AC1644" t="inlineStr"/>
      <c r="AD1644" s="164" t="n">
        <v>0</v>
      </c>
      <c r="AE1644" s="185" t="n">
        <v>0</v>
      </c>
      <c r="AG1644" s="167" t="inlineStr">
        <is>
          <t>7218|JA2590_1001</t>
        </is>
      </c>
      <c r="AH1644" s="47">
        <f>IF(M1644=0,"-",M1644-J1644)</f>
        <v/>
      </c>
      <c r="AI1644" s="46">
        <f>IF(AND(S1644=0,M1644&gt;0,L1644=0),IF(AH1644&gt;=120,"VERY HIGH",IF(AH1644&gt;=90,"HIGH",IF(AH1644&gt;=60,"MEDIUM",IF(AH1644&lt;60,"LOW")))),"-")</f>
        <v/>
      </c>
      <c r="AJ1644" s="12" t="n"/>
      <c r="AK1644" s="53">
        <f>IF(AND(W1644="X",M1644&lt;=$AJ$2),"YES","")</f>
        <v/>
      </c>
      <c r="AL1644" s="54">
        <f>IF(AND(W1644="X",M1644&lt;=$AJ$2),S1644,"")</f>
        <v/>
      </c>
      <c r="AM1644" s="35" t="n"/>
      <c r="AN1644" s="35">
        <f>IF(AND(W1644="X",M1644&gt;$AJ$2),S1644,"")</f>
        <v/>
      </c>
      <c r="AO1644" s="35">
        <f>IF(AND(W1644="",M1644&gt;0,$AJ$2&gt;M1644,L1644=""),1,0)</f>
        <v/>
      </c>
      <c r="AP1644" s="35">
        <f>IF(AND(AK1644="YES",W1644="X"),"X","")</f>
        <v/>
      </c>
      <c r="AQ1644" s="55">
        <f>IF(AP1644="X",100%,0%)</f>
        <v/>
      </c>
      <c r="AR1644" s="25">
        <f>IF(AND(T1644&gt;0,L1644=""),H1644,"")</f>
        <v/>
      </c>
      <c r="AS1644" s="25">
        <f>IF(AND(D1644&gt;0,H1644=0,G1644=""),1,"")</f>
        <v/>
      </c>
      <c r="AT1644" s="25">
        <f>IF(G1644="BLOQ",1,"")</f>
        <v/>
      </c>
      <c r="AU1644" s="25">
        <f>IF(L1644="BLOQ",1,"")</f>
        <v/>
      </c>
      <c r="AV1644" s="25">
        <f>MONTH(F1644)</f>
        <v/>
      </c>
      <c r="AW1644" s="65">
        <f>IF(AP1644="",100%,0%)</f>
        <v/>
      </c>
      <c r="AX1644" s="56" t="n"/>
      <c r="AY1644" s="24">
        <f>IF(M1644=0,"",M1644-$AX$2)</f>
        <v/>
      </c>
      <c r="AZ1644" s="66">
        <f>IF(AND(W1644="",AY1644&gt;0,AY1644&lt;15),1,0)</f>
        <v/>
      </c>
      <c r="BA1644" s="24">
        <f>IF(AND(W1644="",AY1644&gt;0,AY1644&lt;15),T1644,"")</f>
        <v/>
      </c>
      <c r="BB1644" s="87">
        <f>IF(R1644&lt;Q1644,"X","")</f>
        <v/>
      </c>
      <c r="BC1644" s="190" t="inlineStr">
        <is>
          <t>NO</t>
        </is>
      </c>
      <c r="BD1644" s="191" t="inlineStr">
        <is>
          <t>SI</t>
        </is>
      </c>
    </row>
    <row r="1645" ht="15" customHeight="1" s="162">
      <c r="A1645" s="7" t="n">
        <v>1644</v>
      </c>
      <c r="B1645" t="inlineStr">
        <is>
          <t>1540116000003</t>
        </is>
      </c>
      <c r="C1645" t="inlineStr">
        <is>
          <t>ARA PLANA P/M6 INOX ISO7089/DIN125A</t>
        </is>
      </c>
      <c r="D1645" t="inlineStr">
        <is>
          <t>1800123069</t>
        </is>
      </c>
      <c r="E1645" t="inlineStr">
        <is>
          <t>90</t>
        </is>
      </c>
      <c r="F1645" s="163" t="n">
        <v>45754</v>
      </c>
      <c r="G1645" t="inlineStr"/>
      <c r="H1645" t="inlineStr">
        <is>
          <t>4200608348</t>
        </is>
      </c>
      <c r="I1645" t="inlineStr">
        <is>
          <t>30</t>
        </is>
      </c>
      <c r="J1645" s="163" t="n">
        <v>45772</v>
      </c>
      <c r="K1645" s="163" t="n">
        <v>45772</v>
      </c>
      <c r="L1645" t="inlineStr">
        <is>
          <t>BORR</t>
        </is>
      </c>
      <c r="M1645" s="163" t="n">
        <v>45852</v>
      </c>
      <c r="N1645" s="164" t="n">
        <v>60</v>
      </c>
      <c r="O1645" s="164" t="n">
        <v>8</v>
      </c>
      <c r="P1645" t="inlineStr">
        <is>
          <t>Liberado</t>
        </is>
      </c>
      <c r="Q1645" s="166" t="n">
        <v>8</v>
      </c>
      <c r="R1645" s="166" t="n">
        <v>100</v>
      </c>
      <c r="S1645" s="166" t="n">
        <v>0</v>
      </c>
      <c r="T1645" s="166" t="n">
        <v>100</v>
      </c>
      <c r="U1645" s="166" t="n">
        <v>0</v>
      </c>
      <c r="V1645" s="166" t="n">
        <v>0</v>
      </c>
      <c r="W1645" t="inlineStr"/>
      <c r="X1645" t="inlineStr">
        <is>
          <t>350.00</t>
        </is>
      </c>
      <c r="Y1645" t="inlineStr"/>
      <c r="Z1645" t="inlineStr">
        <is>
          <t>TCX MICRO, S.L.U</t>
        </is>
      </c>
      <c r="AA1645" t="inlineStr">
        <is>
          <t>DIN</t>
        </is>
      </c>
      <c r="AB1645" t="inlineStr">
        <is>
          <t>DIN125-A6-A4-80</t>
        </is>
      </c>
      <c r="AC1645" t="inlineStr"/>
      <c r="AD1645" s="164" t="n">
        <v>0</v>
      </c>
      <c r="AE1645" s="185" t="n">
        <v>0</v>
      </c>
      <c r="AG1645" s="167" t="inlineStr">
        <is>
          <t>7218|JA2590_1001</t>
        </is>
      </c>
      <c r="AH1645" s="47">
        <f>IF(M1645=0,"-",M1645-J1645)</f>
        <v/>
      </c>
      <c r="AI1645" s="46">
        <f>IF(AND(S1645=0,M1645&gt;0,L1645=0),IF(AH1645&gt;=120,"VERY HIGH",IF(AH1645&gt;=90,"HIGH",IF(AH1645&gt;=60,"MEDIUM",IF(AH1645&lt;60,"LOW")))),"-")</f>
        <v/>
      </c>
      <c r="AJ1645" s="12" t="n"/>
      <c r="AK1645" s="53">
        <f>IF(AND(W1645="X",M1645&lt;=$AJ$2),"YES","")</f>
        <v/>
      </c>
      <c r="AL1645" s="54">
        <f>IF(AND(W1645="X",M1645&lt;=$AJ$2),S1645,"")</f>
        <v/>
      </c>
      <c r="AM1645" s="35" t="n"/>
      <c r="AN1645" s="35">
        <f>IF(AND(W1645="X",M1645&gt;$AJ$2),S1645,"")</f>
        <v/>
      </c>
      <c r="AO1645" s="35">
        <f>IF(AND(W1645="",M1645&gt;0,$AJ$2&gt;M1645,L1645=""),1,0)</f>
        <v/>
      </c>
      <c r="AP1645" s="35">
        <f>IF(AND(AK1645="YES",W1645="X"),"X","")</f>
        <v/>
      </c>
      <c r="AQ1645" s="55">
        <f>IF(AP1645="X",100%,0%)</f>
        <v/>
      </c>
      <c r="AR1645" s="25">
        <f>IF(AND(T1645&gt;0,L1645=""),H1645,"")</f>
        <v/>
      </c>
      <c r="AS1645" s="25">
        <f>IF(AND(D1645&gt;0,H1645=0,G1645=""),1,"")</f>
        <v/>
      </c>
      <c r="AT1645" s="25">
        <f>IF(G1645="BLOQ",1,"")</f>
        <v/>
      </c>
      <c r="AU1645" s="25">
        <f>IF(L1645="BLOQ",1,"")</f>
        <v/>
      </c>
      <c r="AV1645" s="25">
        <f>MONTH(F1645)</f>
        <v/>
      </c>
      <c r="AW1645" s="65">
        <f>IF(AP1645="",100%,0%)</f>
        <v/>
      </c>
      <c r="AX1645" s="56" t="n"/>
      <c r="AY1645" s="24">
        <f>IF(M1645=0,"",M1645-$AX$2)</f>
        <v/>
      </c>
      <c r="AZ1645" s="66">
        <f>IF(AND(W1645="",AY1645&gt;0,AY1645&lt;15),1,0)</f>
        <v/>
      </c>
      <c r="BA1645" s="24">
        <f>IF(AND(W1645="",AY1645&gt;0,AY1645&lt;15),T1645,"")</f>
        <v/>
      </c>
      <c r="BB1645" s="87">
        <f>IF(R1645&lt;Q1645,"X","")</f>
        <v/>
      </c>
      <c r="BC1645" s="190" t="inlineStr">
        <is>
          <t>NO</t>
        </is>
      </c>
      <c r="BD1645" s="191" t="inlineStr">
        <is>
          <t>SI</t>
        </is>
      </c>
    </row>
    <row r="1646" ht="15" customHeight="1" s="162">
      <c r="A1646" s="7" t="n">
        <v>1645</v>
      </c>
      <c r="B1646" t="inlineStr">
        <is>
          <t>1540116000003</t>
        </is>
      </c>
      <c r="C1646" t="inlineStr">
        <is>
          <t>ARA PLANA P/M6 INOX ISO7089/DIN125A</t>
        </is>
      </c>
      <c r="D1646" t="inlineStr">
        <is>
          <t>1800123069</t>
        </is>
      </c>
      <c r="E1646" t="inlineStr">
        <is>
          <t>90</t>
        </is>
      </c>
      <c r="F1646" s="163" t="n">
        <v>45754</v>
      </c>
      <c r="G1646" t="inlineStr"/>
      <c r="H1646" t="inlineStr">
        <is>
          <t>4200608334</t>
        </is>
      </c>
      <c r="I1646" t="inlineStr">
        <is>
          <t>20</t>
        </is>
      </c>
      <c r="J1646" s="163" t="n">
        <v>45772</v>
      </c>
      <c r="K1646" s="163" t="n">
        <v>45772</v>
      </c>
      <c r="L1646" t="inlineStr"/>
      <c r="M1646" s="163" t="n">
        <v>45777</v>
      </c>
      <c r="N1646" s="164" t="n">
        <v>60</v>
      </c>
      <c r="O1646" s="164" t="n">
        <v>8</v>
      </c>
      <c r="P1646" t="inlineStr">
        <is>
          <t>Liberado</t>
        </is>
      </c>
      <c r="Q1646" s="166" t="n">
        <v>8</v>
      </c>
      <c r="R1646" s="166" t="n">
        <v>10</v>
      </c>
      <c r="S1646" s="166" t="n">
        <v>10</v>
      </c>
      <c r="T1646" s="166" t="n">
        <v>0</v>
      </c>
      <c r="U1646" s="166" t="n">
        <v>10</v>
      </c>
      <c r="V1646" s="166" t="n">
        <v>0</v>
      </c>
      <c r="W1646" t="inlineStr">
        <is>
          <t>X</t>
        </is>
      </c>
      <c r="X1646" t="inlineStr">
        <is>
          <t>0.00</t>
        </is>
      </c>
      <c r="Y1646" t="inlineStr"/>
      <c r="Z1646" t="inlineStr">
        <is>
          <t>ABACO SUYTEC, S.A.U.</t>
        </is>
      </c>
      <c r="AA1646" t="inlineStr">
        <is>
          <t>DIN</t>
        </is>
      </c>
      <c r="AB1646" t="inlineStr">
        <is>
          <t>DIN125-A6-A4-80</t>
        </is>
      </c>
      <c r="AC1646" t="inlineStr"/>
      <c r="AD1646" s="164" t="n">
        <v>0</v>
      </c>
      <c r="AE1646" s="185" t="n">
        <v>0</v>
      </c>
      <c r="AG1646" s="167" t="inlineStr">
        <is>
          <t>7218|JA2590_1001</t>
        </is>
      </c>
      <c r="AH1646" s="47">
        <f>IF(M1646=0,"-",M1646-J1646)</f>
        <v/>
      </c>
      <c r="AI1646" s="46">
        <f>IF(AND(S1646=0,M1646&gt;0,L1646=0),IF(AH1646&gt;=120,"VERY HIGH",IF(AH1646&gt;=90,"HIGH",IF(AH1646&gt;=60,"MEDIUM",IF(AH1646&lt;60,"LOW")))),"-")</f>
        <v/>
      </c>
      <c r="AJ1646" s="12" t="n"/>
      <c r="AK1646" s="53">
        <f>IF(AND(W1646="X",M1646&lt;=$AJ$2),"YES","")</f>
        <v/>
      </c>
      <c r="AL1646" s="54">
        <f>IF(AND(W1646="X",M1646&lt;=$AJ$2),S1646,"")</f>
        <v/>
      </c>
      <c r="AM1646" s="35" t="n"/>
      <c r="AN1646" s="35">
        <f>IF(AND(W1646="X",M1646&gt;$AJ$2),S1646,"")</f>
        <v/>
      </c>
      <c r="AO1646" s="35">
        <f>IF(AND(W1646="",M1646&gt;0,$AJ$2&gt;M1646,L1646=""),1,0)</f>
        <v/>
      </c>
      <c r="AP1646" s="35">
        <f>IF(AND(AK1646="YES",W1646="X"),"X","")</f>
        <v/>
      </c>
      <c r="AQ1646" s="55">
        <f>IF(AP1646="X",100%,0%)</f>
        <v/>
      </c>
      <c r="AR1646" s="25">
        <f>IF(AND(T1646&gt;0,L1646=""),H1646,"")</f>
        <v/>
      </c>
      <c r="AS1646" s="25">
        <f>IF(AND(D1646&gt;0,H1646=0,G1646=""),1,"")</f>
        <v/>
      </c>
      <c r="AT1646" s="25">
        <f>IF(G1646="BLOQ",1,"")</f>
        <v/>
      </c>
      <c r="AU1646" s="25">
        <f>IF(L1646="BLOQ",1,"")</f>
        <v/>
      </c>
      <c r="AV1646" s="25">
        <f>MONTH(F1646)</f>
        <v/>
      </c>
      <c r="AW1646" s="65">
        <f>IF(AP1646="",100%,0%)</f>
        <v/>
      </c>
      <c r="AX1646" s="56" t="n"/>
      <c r="AY1646" s="24">
        <f>IF(M1646=0,"",M1646-$AX$2)</f>
        <v/>
      </c>
      <c r="AZ1646" s="66">
        <f>IF(AND(W1646="",AY1646&gt;0,AY1646&lt;15),1,0)</f>
        <v/>
      </c>
      <c r="BA1646" s="24">
        <f>IF(AND(W1646="",AY1646&gt;0,AY1646&lt;15),T1646,"")</f>
        <v/>
      </c>
      <c r="BB1646" s="87">
        <f>IF(R1646&lt;Q1646,"X","")</f>
        <v/>
      </c>
      <c r="BC1646" s="190" t="inlineStr">
        <is>
          <t>NO</t>
        </is>
      </c>
      <c r="BD1646" s="191" t="inlineStr">
        <is>
          <t>SI</t>
        </is>
      </c>
    </row>
    <row r="1647" ht="15" customHeight="1" s="162">
      <c r="A1647" s="7" t="n">
        <v>1646</v>
      </c>
      <c r="B1647" t="inlineStr">
        <is>
          <t>1540211000011</t>
        </is>
      </c>
      <c r="C1647" t="inlineStr">
        <is>
          <t>ARA GROWER P/M3 INOX OX NE DIN127B</t>
        </is>
      </c>
      <c r="D1647" t="inlineStr">
        <is>
          <t>1800123069</t>
        </is>
      </c>
      <c r="E1647" t="inlineStr">
        <is>
          <t>100</t>
        </is>
      </c>
      <c r="F1647" s="163" t="n">
        <v>45754</v>
      </c>
      <c r="G1647" t="inlineStr"/>
      <c r="H1647" t="inlineStr">
        <is>
          <t>4200607688</t>
        </is>
      </c>
      <c r="I1647" t="inlineStr">
        <is>
          <t>370</t>
        </is>
      </c>
      <c r="J1647" s="163" t="n">
        <v>45768</v>
      </c>
      <c r="K1647" s="163" t="n">
        <v>45770</v>
      </c>
      <c r="L1647" t="inlineStr"/>
      <c r="M1647" s="163" t="n">
        <v>45782</v>
      </c>
      <c r="N1647" s="164" t="n">
        <v>60</v>
      </c>
      <c r="O1647" s="164" t="n">
        <v>8</v>
      </c>
      <c r="P1647" t="inlineStr">
        <is>
          <t>Liberado</t>
        </is>
      </c>
      <c r="Q1647" s="165" t="n">
        <v>4</v>
      </c>
      <c r="R1647" s="165" t="n">
        <v>1000</v>
      </c>
      <c r="S1647" s="165" t="n">
        <v>1000</v>
      </c>
      <c r="T1647" s="165" t="n">
        <v>0</v>
      </c>
      <c r="U1647" s="166" t="n">
        <v>1000</v>
      </c>
      <c r="V1647" s="166" t="n">
        <v>0</v>
      </c>
      <c r="W1647" t="inlineStr">
        <is>
          <t>X</t>
        </is>
      </c>
      <c r="X1647" t="inlineStr">
        <is>
          <t>0.00</t>
        </is>
      </c>
      <c r="Y1647" t="inlineStr"/>
      <c r="Z1647" t="inlineStr">
        <is>
          <t>ALMACENES DELCA, S.A.</t>
        </is>
      </c>
      <c r="AA1647" t="inlineStr">
        <is>
          <t>DIN</t>
        </is>
      </c>
      <c r="AB1647" t="inlineStr">
        <is>
          <t>DIN127-B3-A2 OX NEGRO</t>
        </is>
      </c>
      <c r="AC1647" t="inlineStr"/>
      <c r="AD1647" s="164" t="n">
        <v>0</v>
      </c>
      <c r="AE1647" s="185" t="n">
        <v>0</v>
      </c>
      <c r="AG1647" s="167" t="inlineStr">
        <is>
          <t>7218|JA2590_1001</t>
        </is>
      </c>
      <c r="AH1647" s="47">
        <f>IF(M1647=0,"-",M1647-J1647)</f>
        <v/>
      </c>
      <c r="AI1647" s="46">
        <f>IF(AND(S1647=0,M1647&gt;0,L1647=0),IF(AH1647&gt;=120,"VERY HIGH",IF(AH1647&gt;=90,"HIGH",IF(AH1647&gt;=60,"MEDIUM",IF(AH1647&lt;60,"LOW")))),"-")</f>
        <v/>
      </c>
      <c r="AJ1647" s="12" t="n"/>
      <c r="AK1647" s="53">
        <f>IF(AND(W1647="X",M1647&lt;=$AJ$2),"YES","")</f>
        <v/>
      </c>
      <c r="AL1647" s="54">
        <f>IF(AND(W1647="X",M1647&lt;=$AJ$2),S1647,"")</f>
        <v/>
      </c>
      <c r="AM1647" s="35" t="n"/>
      <c r="AN1647" s="35">
        <f>IF(AND(W1647="X",M1647&gt;$AJ$2),S1647,"")</f>
        <v/>
      </c>
      <c r="AO1647" s="35">
        <f>IF(AND(W1647="",M1647&gt;0,$AJ$2&gt;M1647,L1647=""),1,0)</f>
        <v/>
      </c>
      <c r="AP1647" s="35">
        <f>IF(AND(AK1647="YES",W1647="X"),"X","")</f>
        <v/>
      </c>
      <c r="AQ1647" s="55">
        <f>IF(AP1647="X",100%,0%)</f>
        <v/>
      </c>
      <c r="AR1647" s="25">
        <f>IF(AND(T1647&gt;0,L1647=""),H1647,"")</f>
        <v/>
      </c>
      <c r="AS1647" s="25">
        <f>IF(AND(D1647&gt;0,H1647=0,G1647=""),1,"")</f>
        <v/>
      </c>
      <c r="AT1647" s="25">
        <f>IF(G1647="BLOQ",1,"")</f>
        <v/>
      </c>
      <c r="AU1647" s="25">
        <f>IF(L1647="BLOQ",1,"")</f>
        <v/>
      </c>
      <c r="AV1647" s="25">
        <f>MONTH(F1647)</f>
        <v/>
      </c>
      <c r="AW1647" s="65">
        <f>IF(AP1647="",100%,0%)</f>
        <v/>
      </c>
      <c r="AX1647" s="56" t="n"/>
      <c r="AY1647" s="24">
        <f>IF(M1647=0,"",M1647-$AX$2)</f>
        <v/>
      </c>
      <c r="AZ1647" s="66">
        <f>IF(AND(W1647="",AY1647&gt;0,AY1647&lt;15),1,0)</f>
        <v/>
      </c>
      <c r="BA1647" s="24">
        <f>IF(AND(W1647="",AY1647&gt;0,AY1647&lt;15),T1647,"")</f>
        <v/>
      </c>
      <c r="BB1647" s="87">
        <f>IF(R1647&lt;Q1647,"X","")</f>
        <v/>
      </c>
      <c r="BC1647" s="190" t="inlineStr">
        <is>
          <t>NO</t>
        </is>
      </c>
      <c r="BD1647" s="191" t="inlineStr">
        <is>
          <t>SI</t>
        </is>
      </c>
    </row>
    <row r="1648" ht="15" customHeight="1" s="162">
      <c r="A1648" s="7" t="n">
        <v>1647</v>
      </c>
      <c r="B1648" t="inlineStr">
        <is>
          <t>1540216000102</t>
        </is>
      </c>
      <c r="C1648" t="inlineStr">
        <is>
          <t>ARA GROWER P/M6 INOX A4 DIN127</t>
        </is>
      </c>
      <c r="D1648" t="inlineStr">
        <is>
          <t>1800123069</t>
        </is>
      </c>
      <c r="E1648" t="inlineStr">
        <is>
          <t>110</t>
        </is>
      </c>
      <c r="F1648" s="163" t="n">
        <v>45754</v>
      </c>
      <c r="G1648" t="inlineStr"/>
      <c r="H1648" t="inlineStr">
        <is>
          <t>4200607688</t>
        </is>
      </c>
      <c r="I1648" t="inlineStr">
        <is>
          <t>380</t>
        </is>
      </c>
      <c r="J1648" s="163" t="n">
        <v>45768</v>
      </c>
      <c r="K1648" s="163" t="n">
        <v>45770</v>
      </c>
      <c r="L1648" t="inlineStr"/>
      <c r="M1648" s="163" t="n">
        <v>45782</v>
      </c>
      <c r="N1648" s="164" t="n">
        <v>60</v>
      </c>
      <c r="O1648" s="164" t="n">
        <v>8</v>
      </c>
      <c r="P1648" t="inlineStr">
        <is>
          <t>Liberado</t>
        </is>
      </c>
      <c r="Q1648" s="165" t="n">
        <v>8</v>
      </c>
      <c r="R1648" s="165" t="n">
        <v>1000</v>
      </c>
      <c r="S1648" s="165" t="n">
        <v>1000</v>
      </c>
      <c r="T1648" s="165" t="n">
        <v>0</v>
      </c>
      <c r="U1648" s="166" t="n">
        <v>1000</v>
      </c>
      <c r="V1648" s="166" t="n">
        <v>0</v>
      </c>
      <c r="W1648" t="inlineStr">
        <is>
          <t>X</t>
        </is>
      </c>
      <c r="X1648" t="inlineStr">
        <is>
          <t>0.00</t>
        </is>
      </c>
      <c r="Y1648" t="inlineStr"/>
      <c r="Z1648" t="inlineStr">
        <is>
          <t>ALMACENES DELCA, S.A.</t>
        </is>
      </c>
      <c r="AA1648" t="inlineStr">
        <is>
          <t>DIN</t>
        </is>
      </c>
      <c r="AB1648" t="inlineStr">
        <is>
          <t>DIN127-M6-A4-70</t>
        </is>
      </c>
      <c r="AC1648" t="inlineStr"/>
      <c r="AD1648" s="164" t="n">
        <v>0</v>
      </c>
      <c r="AE1648" s="185" t="n">
        <v>0</v>
      </c>
      <c r="AG1648" s="167" t="inlineStr">
        <is>
          <t>7218|JA2590_1001</t>
        </is>
      </c>
      <c r="AH1648" s="47">
        <f>IF(M1648=0,"-",M1648-J1648)</f>
        <v/>
      </c>
      <c r="AI1648" s="46">
        <f>IF(AND(S1648=0,M1648&gt;0,L1648=0),IF(AH1648&gt;=120,"VERY HIGH",IF(AH1648&gt;=90,"HIGH",IF(AH1648&gt;=60,"MEDIUM",IF(AH1648&lt;60,"LOW")))),"-")</f>
        <v/>
      </c>
      <c r="AJ1648" s="12" t="n"/>
      <c r="AK1648" s="53">
        <f>IF(AND(W1648="X",M1648&lt;=$AJ$2),"YES","")</f>
        <v/>
      </c>
      <c r="AL1648" s="54">
        <f>IF(AND(W1648="X",M1648&lt;=$AJ$2),S1648,"")</f>
        <v/>
      </c>
      <c r="AM1648" s="35" t="n"/>
      <c r="AN1648" s="35">
        <f>IF(AND(W1648="X",M1648&gt;$AJ$2),S1648,"")</f>
        <v/>
      </c>
      <c r="AO1648" s="35">
        <f>IF(AND(W1648="",M1648&gt;0,$AJ$2&gt;M1648,L1648=""),1,0)</f>
        <v/>
      </c>
      <c r="AP1648" s="35">
        <f>IF(AND(AK1648="YES",W1648="X"),"X","")</f>
        <v/>
      </c>
      <c r="AQ1648" s="55">
        <f>IF(AP1648="X",100%,0%)</f>
        <v/>
      </c>
      <c r="AR1648" s="25">
        <f>IF(AND(T1648&gt;0,L1648=""),H1648,"")</f>
        <v/>
      </c>
      <c r="AS1648" s="25">
        <f>IF(AND(D1648&gt;0,H1648=0,G1648=""),1,"")</f>
        <v/>
      </c>
      <c r="AT1648" s="25">
        <f>IF(G1648="BLOQ",1,"")</f>
        <v/>
      </c>
      <c r="AU1648" s="25">
        <f>IF(L1648="BLOQ",1,"")</f>
        <v/>
      </c>
      <c r="AV1648" s="25">
        <f>MONTH(F1648)</f>
        <v/>
      </c>
      <c r="AW1648" s="65">
        <f>IF(AP1648="",100%,0%)</f>
        <v/>
      </c>
      <c r="AX1648" s="56" t="n"/>
      <c r="AY1648" s="24">
        <f>IF(M1648=0,"",M1648-$AX$2)</f>
        <v/>
      </c>
      <c r="AZ1648" s="66">
        <f>IF(AND(W1648="",AY1648&gt;0,AY1648&lt;15),1,0)</f>
        <v/>
      </c>
      <c r="BA1648" s="24">
        <f>IF(AND(W1648="",AY1648&gt;0,AY1648&lt;15),T1648,"")</f>
        <v/>
      </c>
      <c r="BB1648" s="87">
        <f>IF(R1648&lt;Q1648,"X","")</f>
        <v/>
      </c>
      <c r="BC1648" s="190" t="inlineStr">
        <is>
          <t>NO</t>
        </is>
      </c>
      <c r="BD1648" s="191" t="inlineStr">
        <is>
          <t>SI</t>
        </is>
      </c>
    </row>
    <row r="1649" ht="15" customHeight="1" s="162">
      <c r="A1649" s="7" t="n">
        <v>1648</v>
      </c>
      <c r="B1649" t="inlineStr">
        <is>
          <t>1540220000102</t>
        </is>
      </c>
      <c r="C1649" t="inlineStr">
        <is>
          <t>ARA GROWER M12 DIN127 INOX A4-70</t>
        </is>
      </c>
      <c r="D1649" t="inlineStr">
        <is>
          <t>1800123069</t>
        </is>
      </c>
      <c r="E1649" t="inlineStr">
        <is>
          <t>120</t>
        </is>
      </c>
      <c r="F1649" s="163" t="n">
        <v>45754</v>
      </c>
      <c r="G1649" t="inlineStr"/>
      <c r="H1649" t="inlineStr">
        <is>
          <t>4200607688</t>
        </is>
      </c>
      <c r="I1649" t="inlineStr">
        <is>
          <t>390</t>
        </is>
      </c>
      <c r="J1649" s="163" t="n">
        <v>45768</v>
      </c>
      <c r="K1649" s="163" t="n">
        <v>45770</v>
      </c>
      <c r="L1649" t="inlineStr"/>
      <c r="M1649" s="163" t="n">
        <v>45782</v>
      </c>
      <c r="N1649" s="164" t="n">
        <v>105</v>
      </c>
      <c r="O1649" s="164" t="n">
        <v>8</v>
      </c>
      <c r="P1649" t="inlineStr">
        <is>
          <t>Liberado</t>
        </is>
      </c>
      <c r="Q1649" s="165" t="n">
        <v>8</v>
      </c>
      <c r="R1649" s="165" t="n">
        <v>500</v>
      </c>
      <c r="S1649" s="165" t="n">
        <v>500</v>
      </c>
      <c r="T1649" s="165" t="n">
        <v>0</v>
      </c>
      <c r="U1649" s="166" t="n">
        <v>500</v>
      </c>
      <c r="V1649" s="166" t="n">
        <v>0</v>
      </c>
      <c r="W1649" t="inlineStr">
        <is>
          <t>X</t>
        </is>
      </c>
      <c r="X1649" t="inlineStr">
        <is>
          <t>0.00</t>
        </is>
      </c>
      <c r="Y1649" t="inlineStr"/>
      <c r="Z1649" t="inlineStr">
        <is>
          <t>ALMACENES DELCA, S.A.</t>
        </is>
      </c>
      <c r="AA1649" t="inlineStr">
        <is>
          <t>DIN</t>
        </is>
      </c>
      <c r="AB1649" t="inlineStr">
        <is>
          <t>DIN127-M12-INOX-A4-70</t>
        </is>
      </c>
      <c r="AC1649" t="inlineStr"/>
      <c r="AD1649" s="164" t="n">
        <v>0</v>
      </c>
      <c r="AE1649" s="185" t="n">
        <v>0</v>
      </c>
      <c r="AG1649" s="167" t="inlineStr">
        <is>
          <t>7218|JA2590_1001</t>
        </is>
      </c>
      <c r="AH1649" s="47">
        <f>IF(M1649=0,"-",M1649-J1649)</f>
        <v/>
      </c>
      <c r="AI1649" s="46">
        <f>IF(AND(S1649=0,M1649&gt;0,L1649=0),IF(AH1649&gt;=120,"VERY HIGH",IF(AH1649&gt;=90,"HIGH",IF(AH1649&gt;=60,"MEDIUM",IF(AH1649&lt;60,"LOW")))),"-")</f>
        <v/>
      </c>
      <c r="AJ1649" s="12" t="n"/>
      <c r="AK1649" s="53">
        <f>IF(AND(W1649="X",M1649&lt;=$AJ$2),"YES","")</f>
        <v/>
      </c>
      <c r="AL1649" s="54">
        <f>IF(AND(W1649="X",M1649&lt;=$AJ$2),S1649,"")</f>
        <v/>
      </c>
      <c r="AM1649" s="35" t="n"/>
      <c r="AN1649" s="35">
        <f>IF(AND(W1649="X",M1649&gt;$AJ$2),S1649,"")</f>
        <v/>
      </c>
      <c r="AO1649" s="35">
        <f>IF(AND(W1649="",M1649&gt;0,$AJ$2&gt;M1649,L1649=""),1,0)</f>
        <v/>
      </c>
      <c r="AP1649" s="35">
        <f>IF(AND(AK1649="YES",W1649="X"),"X","")</f>
        <v/>
      </c>
      <c r="AQ1649" s="55">
        <f>IF(AP1649="X",100%,0%)</f>
        <v/>
      </c>
      <c r="AR1649" s="25">
        <f>IF(AND(T1649&gt;0,L1649=""),H1649,"")</f>
        <v/>
      </c>
      <c r="AS1649" s="25">
        <f>IF(AND(D1649&gt;0,H1649=0,G1649=""),1,"")</f>
        <v/>
      </c>
      <c r="AT1649" s="25">
        <f>IF(G1649="BLOQ",1,"")</f>
        <v/>
      </c>
      <c r="AU1649" s="25">
        <f>IF(L1649="BLOQ",1,"")</f>
        <v/>
      </c>
      <c r="AV1649" s="25">
        <f>MONTH(F1649)</f>
        <v/>
      </c>
      <c r="AW1649" s="65">
        <f>IF(AP1649="",100%,0%)</f>
        <v/>
      </c>
      <c r="AX1649" s="56" t="n"/>
      <c r="AY1649" s="24">
        <f>IF(M1649=0,"",M1649-$AX$2)</f>
        <v/>
      </c>
      <c r="AZ1649" s="66">
        <f>IF(AND(W1649="",AY1649&gt;0,AY1649&lt;15),1,0)</f>
        <v/>
      </c>
      <c r="BA1649" s="24">
        <f>IF(AND(W1649="",AY1649&gt;0,AY1649&lt;15),T1649,"")</f>
        <v/>
      </c>
      <c r="BB1649" s="87">
        <f>IF(R1649&lt;Q1649,"X","")</f>
        <v/>
      </c>
      <c r="BC1649" s="190" t="inlineStr">
        <is>
          <t>NO</t>
        </is>
      </c>
      <c r="BD1649" s="191" t="inlineStr">
        <is>
          <t>SI</t>
        </is>
      </c>
    </row>
    <row r="1650" ht="15" customHeight="1" s="162">
      <c r="A1650" s="7" t="n">
        <v>1649</v>
      </c>
      <c r="B1650" t="inlineStr">
        <is>
          <t>1541320000002</t>
        </is>
      </c>
      <c r="C1650" t="inlineStr">
        <is>
          <t>ARA PLANA M12 A4-70 DIN 9021</t>
        </is>
      </c>
      <c r="D1650" t="inlineStr">
        <is>
          <t>1800123069</t>
        </is>
      </c>
      <c r="E1650" t="inlineStr">
        <is>
          <t>130</t>
        </is>
      </c>
      <c r="F1650" s="163" t="n">
        <v>45754</v>
      </c>
      <c r="G1650" t="inlineStr"/>
      <c r="H1650" t="inlineStr">
        <is>
          <t>4200607688</t>
        </is>
      </c>
      <c r="I1650" t="inlineStr">
        <is>
          <t>420</t>
        </is>
      </c>
      <c r="J1650" s="163" t="n">
        <v>45768</v>
      </c>
      <c r="K1650" s="163" t="n">
        <v>45770</v>
      </c>
      <c r="L1650" t="inlineStr"/>
      <c r="M1650" s="163" t="n">
        <v>45782</v>
      </c>
      <c r="N1650" s="164" t="n">
        <v>45</v>
      </c>
      <c r="O1650" s="164" t="n">
        <v>8</v>
      </c>
      <c r="P1650" t="inlineStr">
        <is>
          <t>Liberado</t>
        </is>
      </c>
      <c r="Q1650" s="166" t="n">
        <v>8</v>
      </c>
      <c r="R1650" s="166" t="n">
        <v>100</v>
      </c>
      <c r="S1650" s="166" t="n">
        <v>100</v>
      </c>
      <c r="T1650" s="166" t="n">
        <v>0</v>
      </c>
      <c r="U1650" s="166" t="n">
        <v>100</v>
      </c>
      <c r="V1650" s="166" t="n">
        <v>0</v>
      </c>
      <c r="W1650" t="inlineStr">
        <is>
          <t>X</t>
        </is>
      </c>
      <c r="X1650" t="inlineStr">
        <is>
          <t>0.00</t>
        </is>
      </c>
      <c r="Y1650" t="inlineStr"/>
      <c r="Z1650" t="inlineStr">
        <is>
          <t>ALMACENES DELCA, S.A.</t>
        </is>
      </c>
      <c r="AA1650" t="inlineStr">
        <is>
          <t>DIN</t>
        </is>
      </c>
      <c r="AB1650" t="inlineStr">
        <is>
          <t>DIN9021-M12-A4-70</t>
        </is>
      </c>
      <c r="AC1650" t="inlineStr"/>
      <c r="AD1650" s="164" t="n">
        <v>0</v>
      </c>
      <c r="AE1650" s="185" t="n">
        <v>0</v>
      </c>
      <c r="AG1650" s="167" t="inlineStr">
        <is>
          <t>7218|JA2590_1001</t>
        </is>
      </c>
      <c r="AH1650" s="47">
        <f>IF(M1650=0,"-",M1650-J1650)</f>
        <v/>
      </c>
      <c r="AI1650" s="46">
        <f>IF(AND(S1650=0,M1650&gt;0,L1650=0),IF(AH1650&gt;=120,"VERY HIGH",IF(AH1650&gt;=90,"HIGH",IF(AH1650&gt;=60,"MEDIUM",IF(AH1650&lt;60,"LOW")))),"-")</f>
        <v/>
      </c>
      <c r="AJ1650" s="12" t="n"/>
      <c r="AK1650" s="53">
        <f>IF(AND(W1650="X",M1650&lt;=$AJ$2),"YES","")</f>
        <v/>
      </c>
      <c r="AL1650" s="54">
        <f>IF(AND(W1650="X",M1650&lt;=$AJ$2),S1650,"")</f>
        <v/>
      </c>
      <c r="AM1650" s="35" t="n"/>
      <c r="AN1650" s="35">
        <f>IF(AND(W1650="X",M1650&gt;$AJ$2),S1650,"")</f>
        <v/>
      </c>
      <c r="AO1650" s="35">
        <f>IF(AND(W1650="",M1650&gt;0,$AJ$2&gt;M1650,L1650=""),1,0)</f>
        <v/>
      </c>
      <c r="AP1650" s="35">
        <f>IF(AND(AK1650="YES",W1650="X"),"X","")</f>
        <v/>
      </c>
      <c r="AQ1650" s="55">
        <f>IF(AP1650="X",100%,0%)</f>
        <v/>
      </c>
      <c r="AR1650" s="25">
        <f>IF(AND(T1650&gt;0,L1650=""),H1650,"")</f>
        <v/>
      </c>
      <c r="AS1650" s="25">
        <f>IF(AND(D1650&gt;0,H1650=0,G1650=""),1,"")</f>
        <v/>
      </c>
      <c r="AT1650" s="25">
        <f>IF(G1650="BLOQ",1,"")</f>
        <v/>
      </c>
      <c r="AU1650" s="25">
        <f>IF(L1650="BLOQ",1,"")</f>
        <v/>
      </c>
      <c r="AV1650" s="25">
        <f>MONTH(F1650)</f>
        <v/>
      </c>
      <c r="AW1650" s="65">
        <f>IF(AP1650="",100%,0%)</f>
        <v/>
      </c>
      <c r="AX1650" s="56" t="n"/>
      <c r="AY1650" s="24">
        <f>IF(M1650=0,"",M1650-$AX$2)</f>
        <v/>
      </c>
      <c r="AZ1650" s="66">
        <f>IF(AND(W1650="",AY1650&gt;0,AY1650&lt;15),1,0)</f>
        <v/>
      </c>
      <c r="BA1650" s="24">
        <f>IF(AND(W1650="",AY1650&gt;0,AY1650&lt;15),T1650,"")</f>
        <v/>
      </c>
      <c r="BB1650" s="87">
        <f>IF(R1650&lt;Q1650,"X","")</f>
        <v/>
      </c>
      <c r="BC1650" s="190" t="inlineStr">
        <is>
          <t>NO</t>
        </is>
      </c>
      <c r="BD1650" s="191" t="inlineStr">
        <is>
          <t>SI</t>
        </is>
      </c>
    </row>
    <row r="1651" ht="15" customHeight="1" s="162">
      <c r="A1651" s="7" t="n">
        <v>1650</v>
      </c>
      <c r="B1651" s="167" t="inlineStr">
        <is>
          <t>1390700725500</t>
        </is>
      </c>
      <c r="C1651" s="167" t="inlineStr">
        <is>
          <t>GEAR BOX A320</t>
        </is>
      </c>
      <c r="D1651" s="167" t="inlineStr">
        <is>
          <t>1800123318</t>
        </is>
      </c>
      <c r="E1651" s="167" t="inlineStr">
        <is>
          <t>10</t>
        </is>
      </c>
      <c r="F1651" s="163" t="n">
        <v>45757</v>
      </c>
      <c r="G1651" s="167" t="inlineStr"/>
      <c r="H1651" s="167" t="inlineStr">
        <is>
          <t>4200610958</t>
        </is>
      </c>
      <c r="I1651" s="167" t="inlineStr">
        <is>
          <t>10</t>
        </is>
      </c>
      <c r="J1651" s="184" t="n">
        <v>45792</v>
      </c>
      <c r="K1651" s="184" t="n">
        <v>45792</v>
      </c>
      <c r="L1651" s="184" t="inlineStr"/>
      <c r="M1651" s="184" t="n">
        <v>45796</v>
      </c>
      <c r="N1651" s="167" t="n">
        <v>40</v>
      </c>
      <c r="O1651" s="167" t="n">
        <v>8</v>
      </c>
      <c r="P1651" s="167" t="inlineStr">
        <is>
          <t>Liberado</t>
        </is>
      </c>
      <c r="Q1651" s="167" t="n">
        <v>1</v>
      </c>
      <c r="R1651" s="167" t="n">
        <v>1</v>
      </c>
      <c r="S1651" s="167" t="n">
        <v>1</v>
      </c>
      <c r="T1651" s="167" t="n">
        <v>0</v>
      </c>
      <c r="U1651" s="167" t="n">
        <v>1</v>
      </c>
      <c r="V1651" s="167" t="n">
        <v>0</v>
      </c>
      <c r="W1651" s="167" t="inlineStr">
        <is>
          <t>X</t>
        </is>
      </c>
      <c r="X1651" s="167" t="inlineStr">
        <is>
          <t>0.00</t>
        </is>
      </c>
      <c r="Y1651" s="167" t="inlineStr"/>
      <c r="Z1651" s="167" t="inlineStr">
        <is>
          <t>AMF MADRID SL</t>
        </is>
      </c>
      <c r="AA1651" s="167" t="inlineStr">
        <is>
          <t>AIRBUS INDUSTRIE</t>
        </is>
      </c>
      <c r="AB1651" s="167" t="inlineStr">
        <is>
          <t>D3231007000100</t>
        </is>
      </c>
      <c r="AC1651" s="167" t="inlineStr"/>
      <c r="AD1651" s="167" t="n">
        <v>0</v>
      </c>
      <c r="AE1651" s="185" t="n">
        <v>0</v>
      </c>
      <c r="AG1651" s="167" t="inlineStr">
        <is>
          <t>7218|JA2583_1001</t>
        </is>
      </c>
      <c r="AH1651" s="47">
        <f>IF(M1651=0,"-",M1651-J1651)</f>
        <v/>
      </c>
      <c r="AI1651" s="46">
        <f>IF(AND(S1651=0,M1651&gt;0,L1651=0),IF(AH1651&gt;=120,"VERY HIGH",IF(AH1651&gt;=90,"HIGH",IF(AH1651&gt;=60,"MEDIUM",IF(AH1651&lt;60,"LOW")))),"-")</f>
        <v/>
      </c>
      <c r="AJ1651" s="12" t="n"/>
      <c r="AK1651" s="53">
        <f>IF(AND(W1651="X",M1651&lt;=$AJ$2),"YES","")</f>
        <v/>
      </c>
      <c r="AL1651" s="54">
        <f>IF(AND(W1651="X",M1651&lt;=$AJ$2),S1651,"")</f>
        <v/>
      </c>
      <c r="AM1651" s="35" t="n"/>
      <c r="AN1651" s="35">
        <f>IF(AND(W1651="X",M1651&gt;$AJ$2),S1651,"")</f>
        <v/>
      </c>
      <c r="AO1651" s="35">
        <f>IF(AND(W1651="",M1651&gt;0,$AJ$2&gt;M1651,L1651=""),1,0)</f>
        <v/>
      </c>
      <c r="AP1651" s="35">
        <f>IF(AND(AK1651="YES",W1651="X"),"X","")</f>
        <v/>
      </c>
      <c r="AQ1651" s="55">
        <f>IF(AP1651="X",100%,0%)</f>
        <v/>
      </c>
      <c r="AR1651" s="25">
        <f>IF(AND(T1651&gt;0,L1651=""),H1651,"")</f>
        <v/>
      </c>
      <c r="AS1651" s="25">
        <f>IF(AND(D1651&gt;0,H1651=0,G1651=""),1,"")</f>
        <v/>
      </c>
      <c r="AT1651" s="25">
        <f>IF(G1651="BLOQ",1,"")</f>
        <v/>
      </c>
      <c r="AU1651" s="25">
        <f>IF(L1651="BLOQ",1,"")</f>
        <v/>
      </c>
      <c r="AV1651" s="25">
        <f>MONTH(F1651)</f>
        <v/>
      </c>
      <c r="AW1651" s="65">
        <f>IF(AP1651="",100%,0%)</f>
        <v/>
      </c>
      <c r="AX1651" s="56" t="n"/>
      <c r="AY1651" s="24">
        <f>IF(M1651=0,"",M1651-$AX$2)</f>
        <v/>
      </c>
      <c r="AZ1651" s="66">
        <f>IF(AND(W1651="",AY1651&gt;0,AY1651&lt;15),1,0)</f>
        <v/>
      </c>
      <c r="BA1651" s="24">
        <f>IF(AND(W1651="",AY1651&gt;0,AY1651&lt;15),T1651,"")</f>
        <v/>
      </c>
      <c r="BB1651" s="87">
        <f>IF(R1651&lt;Q1651,"X","")</f>
        <v/>
      </c>
      <c r="BC1651" s="191" t="inlineStr">
        <is>
          <t>SI</t>
        </is>
      </c>
      <c r="BD1651" s="191" t="inlineStr">
        <is>
          <t>SI</t>
        </is>
      </c>
    </row>
    <row r="1652" ht="15" customHeight="1" s="162">
      <c r="A1652" s="7" t="n">
        <v>1651</v>
      </c>
      <c r="B1652" s="167" t="inlineStr">
        <is>
          <t>1232525308000</t>
        </is>
      </c>
      <c r="C1652" s="167" t="inlineStr">
        <is>
          <t>CINT ADH ESPUM ACR VHB 4930P 30MM 33M BL</t>
        </is>
      </c>
      <c r="D1652" s="167" t="inlineStr">
        <is>
          <t>1800123672</t>
        </is>
      </c>
      <c r="E1652" s="167" t="inlineStr">
        <is>
          <t>10</t>
        </is>
      </c>
      <c r="F1652" s="163" t="n">
        <v>45770</v>
      </c>
      <c r="G1652" s="167" t="inlineStr"/>
      <c r="H1652" s="167" t="inlineStr">
        <is>
          <t>4200610619</t>
        </is>
      </c>
      <c r="I1652" s="167" t="inlineStr">
        <is>
          <t>30</t>
        </is>
      </c>
      <c r="J1652" s="184" t="n">
        <v>45790</v>
      </c>
      <c r="K1652" s="184" t="n">
        <v>45791</v>
      </c>
      <c r="L1652" s="184" t="inlineStr"/>
      <c r="M1652" s="184" t="n">
        <v>45849</v>
      </c>
      <c r="N1652" s="167" t="n">
        <v>40</v>
      </c>
      <c r="O1652" s="167" t="n">
        <v>8</v>
      </c>
      <c r="P1652" s="167" t="inlineStr">
        <is>
          <t>Liberado</t>
        </is>
      </c>
      <c r="Q1652" s="167" t="n">
        <v>3</v>
      </c>
      <c r="R1652" s="167" t="n">
        <v>3</v>
      </c>
      <c r="S1652" s="167" t="n">
        <v>3</v>
      </c>
      <c r="T1652" s="167" t="n">
        <v>0</v>
      </c>
      <c r="U1652" s="167" t="n">
        <v>3</v>
      </c>
      <c r="V1652" s="167" t="n">
        <v>0</v>
      </c>
      <c r="W1652" s="167" t="inlineStr">
        <is>
          <t>X</t>
        </is>
      </c>
      <c r="X1652" s="167" t="inlineStr">
        <is>
          <t>0.00</t>
        </is>
      </c>
      <c r="Y1652" s="167" t="inlineStr"/>
      <c r="Z1652" s="167" t="inlineStr">
        <is>
          <t>FERRETERIA FERAYU SL</t>
        </is>
      </c>
      <c r="AA1652" s="167" t="inlineStr">
        <is>
          <t>3M</t>
        </is>
      </c>
      <c r="AB1652" s="167" t="inlineStr">
        <is>
          <t>4930P/30MM</t>
        </is>
      </c>
      <c r="AC1652" s="167" t="inlineStr"/>
      <c r="AD1652" s="167" t="n">
        <v>1</v>
      </c>
      <c r="AE1652" s="185" t="n">
        <v>1</v>
      </c>
      <c r="AG1652" s="167" t="inlineStr">
        <is>
          <t>7218|JA2578_1001</t>
        </is>
      </c>
      <c r="AH1652" s="47">
        <f>IF(M1652=0,"-",M1652-J1652)</f>
        <v/>
      </c>
      <c r="AI1652" s="46">
        <f>IF(AND(S1652=0,M1652&gt;0,L1652=0),IF(AH1652&gt;=120,"VERY HIGH",IF(AH1652&gt;=90,"HIGH",IF(AH1652&gt;=60,"MEDIUM",IF(AH1652&lt;60,"LOW")))),"-")</f>
        <v/>
      </c>
      <c r="AJ1652" s="12" t="n"/>
      <c r="AK1652" s="53">
        <f>IF(AND(W1652="X",M1652&lt;=$AJ$2),"YES","")</f>
        <v/>
      </c>
      <c r="AL1652" s="54">
        <f>IF(AND(W1652="X",M1652&lt;=$AJ$2),S1652,"")</f>
        <v/>
      </c>
      <c r="AM1652" s="35" t="n"/>
      <c r="AN1652" s="35">
        <f>IF(AND(W1652="X",M1652&gt;$AJ$2),S1652,"")</f>
        <v/>
      </c>
      <c r="AO1652" s="35">
        <f>IF(AND(W1652="",M1652&gt;0,$AJ$2&gt;M1652,L1652=""),1,0)</f>
        <v/>
      </c>
      <c r="AP1652" s="35">
        <f>IF(AND(AK1652="YES",W1652="X"),"X","")</f>
        <v/>
      </c>
      <c r="AQ1652" s="55">
        <f>IF(AP1652="X",100%,0%)</f>
        <v/>
      </c>
      <c r="AR1652" s="25">
        <f>IF(AND(T1652&gt;0,L1652=""),H1652,"")</f>
        <v/>
      </c>
      <c r="AS1652" s="25">
        <f>IF(AND(D1652&gt;0,H1652=0,G1652=""),1,"")</f>
        <v/>
      </c>
      <c r="AT1652" s="25">
        <f>IF(G1652="BLOQ",1,"")</f>
        <v/>
      </c>
      <c r="AU1652" s="25">
        <f>IF(L1652="BLOQ",1,"")</f>
        <v/>
      </c>
      <c r="AV1652" s="25">
        <f>MONTH(F1652)</f>
        <v/>
      </c>
      <c r="AW1652" s="65">
        <f>IF(AP1652="",100%,0%)</f>
        <v/>
      </c>
      <c r="AX1652" s="56" t="n"/>
      <c r="AY1652" s="24">
        <f>IF(M1652=0,"",M1652-$AX$2)</f>
        <v/>
      </c>
      <c r="AZ1652" s="66">
        <f>IF(AND(W1652="",AY1652&gt;0,AY1652&lt;15),1,0)</f>
        <v/>
      </c>
      <c r="BA1652" s="24">
        <f>IF(AND(W1652="",AY1652&gt;0,AY1652&lt;15),T1652,"")</f>
        <v/>
      </c>
      <c r="BB1652" s="87">
        <f>IF(R1652&lt;Q1652,"X","")</f>
        <v/>
      </c>
      <c r="BC1652" s="190" t="inlineStr">
        <is>
          <t>NO</t>
        </is>
      </c>
      <c r="BD1652" s="191" t="inlineStr">
        <is>
          <t>SI</t>
        </is>
      </c>
    </row>
    <row r="1653" ht="15" customHeight="1" s="162">
      <c r="A1653" s="7" t="n">
        <v>1652</v>
      </c>
      <c r="B1653" s="167" t="inlineStr">
        <is>
          <t>1221415352500</t>
        </is>
      </c>
      <c r="C1653" s="167" t="inlineStr">
        <is>
          <t>CBL APANT 4G35MM2 600V XLPE RC4Z1-K VERD</t>
        </is>
      </c>
      <c r="D1653" s="167" t="inlineStr">
        <is>
          <t>1800123673</t>
        </is>
      </c>
      <c r="E1653" s="167" t="inlineStr">
        <is>
          <t>10</t>
        </is>
      </c>
      <c r="F1653" s="163" t="n">
        <v>45770</v>
      </c>
      <c r="G1653" s="167" t="inlineStr"/>
      <c r="H1653" s="167" t="inlineStr">
        <is>
          <t>4200608709</t>
        </is>
      </c>
      <c r="I1653" s="167" t="inlineStr">
        <is>
          <t>70</t>
        </is>
      </c>
      <c r="J1653" s="184" t="n">
        <v>45776</v>
      </c>
      <c r="K1653" s="184" t="n">
        <v>45965</v>
      </c>
      <c r="L1653" s="184" t="inlineStr"/>
      <c r="M1653" s="184" t="n">
        <v>45787</v>
      </c>
      <c r="N1653" s="167" t="n">
        <v>40</v>
      </c>
      <c r="O1653" s="167" t="n">
        <v>8</v>
      </c>
      <c r="P1653" s="167" t="inlineStr">
        <is>
          <t>Liberado</t>
        </is>
      </c>
      <c r="Q1653" s="167" t="n">
        <v>15</v>
      </c>
      <c r="R1653" s="167" t="n">
        <v>15</v>
      </c>
      <c r="S1653" s="167" t="n">
        <v>15</v>
      </c>
      <c r="T1653" s="167" t="n">
        <v>0</v>
      </c>
      <c r="U1653" s="167" t="n">
        <v>15</v>
      </c>
      <c r="V1653" s="167" t="n">
        <v>0</v>
      </c>
      <c r="W1653" s="167" t="inlineStr">
        <is>
          <t>X</t>
        </is>
      </c>
      <c r="X1653" s="167" t="inlineStr">
        <is>
          <t>0.00</t>
        </is>
      </c>
      <c r="Y1653" s="167" t="inlineStr"/>
      <c r="Z1653" s="167" t="inlineStr">
        <is>
          <t>(AEMSA)ALMACENES ELECTRICOS MADRILE</t>
        </is>
      </c>
      <c r="AA1653" s="167" t="inlineStr">
        <is>
          <t>CERVI</t>
        </is>
      </c>
      <c r="AB1653" s="167" t="inlineStr">
        <is>
          <t>31814205</t>
        </is>
      </c>
      <c r="AC1653" s="167" t="inlineStr"/>
      <c r="AD1653" s="167" t="n">
        <v>0</v>
      </c>
      <c r="AE1653" s="185" t="n">
        <v>0</v>
      </c>
      <c r="AG1653" s="167" t="inlineStr">
        <is>
          <t>7218|JA2582_1001</t>
        </is>
      </c>
      <c r="AH1653" s="47">
        <f>IF(M1653=0,"-",M1653-J1653)</f>
        <v/>
      </c>
      <c r="AI1653" s="46">
        <f>IF(AND(S1653=0,M1653&gt;0,L1653=0),IF(AH1653&gt;=120,"VERY HIGH",IF(AH1653&gt;=90,"HIGH",IF(AH1653&gt;=60,"MEDIUM",IF(AH1653&lt;60,"LOW")))),"-")</f>
        <v/>
      </c>
      <c r="AJ1653" s="12" t="n"/>
      <c r="AK1653" s="53">
        <f>IF(AND(W1653="X",M1653&lt;=$AJ$2),"YES","")</f>
        <v/>
      </c>
      <c r="AL1653" s="54">
        <f>IF(AND(W1653="X",M1653&lt;=$AJ$2),S1653,"")</f>
        <v/>
      </c>
      <c r="AM1653" s="35" t="n"/>
      <c r="AN1653" s="35">
        <f>IF(AND(W1653="X",M1653&gt;$AJ$2),S1653,"")</f>
        <v/>
      </c>
      <c r="AO1653" s="35">
        <f>IF(AND(W1653="",M1653&gt;0,$AJ$2&gt;M1653,L1653=""),1,0)</f>
        <v/>
      </c>
      <c r="AP1653" s="35">
        <f>IF(AND(AK1653="YES",W1653="X"),"X","")</f>
        <v/>
      </c>
      <c r="AQ1653" s="55">
        <f>IF(AP1653="X",100%,0%)</f>
        <v/>
      </c>
      <c r="AR1653" s="25">
        <f>IF(AND(T1653&gt;0,L1653=""),H1653,"")</f>
        <v/>
      </c>
      <c r="AS1653" s="25">
        <f>IF(AND(D1653&gt;0,H1653=0,G1653=""),1,"")</f>
        <v/>
      </c>
      <c r="AT1653" s="25">
        <f>IF(G1653="BLOQ",1,"")</f>
        <v/>
      </c>
      <c r="AU1653" s="25">
        <f>IF(L1653="BLOQ",1,"")</f>
        <v/>
      </c>
      <c r="AV1653" s="25">
        <f>MONTH(F1653)</f>
        <v/>
      </c>
      <c r="AW1653" s="65">
        <f>IF(AP1653="",100%,0%)</f>
        <v/>
      </c>
      <c r="AX1653" s="56" t="n"/>
      <c r="AY1653" s="24">
        <f>IF(M1653=0,"",M1653-$AX$2)</f>
        <v/>
      </c>
      <c r="AZ1653" s="66">
        <f>IF(AND(W1653="",AY1653&gt;0,AY1653&lt;15),1,0)</f>
        <v/>
      </c>
      <c r="BA1653" s="24">
        <f>IF(AND(W1653="",AY1653&gt;0,AY1653&lt;15),T1653,"")</f>
        <v/>
      </c>
      <c r="BB1653" s="87">
        <f>IF(R1653&lt;Q1653,"X","")</f>
        <v/>
      </c>
      <c r="BC1653" s="190" t="inlineStr">
        <is>
          <t>NO</t>
        </is>
      </c>
      <c r="BD1653" s="191" t="inlineStr">
        <is>
          <t>SI</t>
        </is>
      </c>
    </row>
    <row r="1654" ht="15" customHeight="1" s="162">
      <c r="A1654" s="7" t="n">
        <v>1653</v>
      </c>
      <c r="B1654" s="167" t="inlineStr">
        <is>
          <t>1231024570900</t>
        </is>
      </c>
      <c r="C1654" s="167" t="inlineStr">
        <is>
          <t>TAPA TERMO 4:1 POLEO 5,72-1,27MM L=30MM</t>
        </is>
      </c>
      <c r="D1654" s="167" t="inlineStr">
        <is>
          <t>1800123673</t>
        </is>
      </c>
      <c r="E1654" s="167" t="inlineStr">
        <is>
          <t>20</t>
        </is>
      </c>
      <c r="F1654" s="163" t="n">
        <v>45770</v>
      </c>
      <c r="G1654" s="167" t="inlineStr"/>
      <c r="H1654" s="167" t="inlineStr">
        <is>
          <t>4200609570</t>
        </is>
      </c>
      <c r="I1654" s="167" t="inlineStr">
        <is>
          <t>60</t>
        </is>
      </c>
      <c r="J1654" s="184" t="n">
        <v>45783</v>
      </c>
      <c r="K1654" s="184" t="n">
        <v>45786</v>
      </c>
      <c r="L1654" s="184" t="inlineStr"/>
      <c r="M1654" s="184" t="n">
        <v>45792</v>
      </c>
      <c r="N1654" s="167" t="n">
        <v>60</v>
      </c>
      <c r="O1654" s="167" t="n">
        <v>8</v>
      </c>
      <c r="P1654" s="167" t="inlineStr">
        <is>
          <t>Liberado</t>
        </is>
      </c>
      <c r="Q1654" s="167" t="n">
        <v>500</v>
      </c>
      <c r="R1654" s="167" t="n">
        <v>500</v>
      </c>
      <c r="S1654" s="167" t="n">
        <v>500</v>
      </c>
      <c r="T1654" s="167" t="n">
        <v>0</v>
      </c>
      <c r="U1654" s="167" t="n">
        <v>500</v>
      </c>
      <c r="V1654" s="167" t="n">
        <v>0</v>
      </c>
      <c r="W1654" s="167" t="inlineStr">
        <is>
          <t>X</t>
        </is>
      </c>
      <c r="X1654" s="167" t="inlineStr">
        <is>
          <t>0.00</t>
        </is>
      </c>
      <c r="Y1654" s="167" t="inlineStr"/>
      <c r="Z1654" s="167" t="inlineStr">
        <is>
          <t>SUMINISTROS CONECTORES PROF.,SA.</t>
        </is>
      </c>
      <c r="AA1654" s="167" t="inlineStr">
        <is>
          <t>FARNELL ELECTR</t>
        </is>
      </c>
      <c r="AB1654" s="167" t="inlineStr">
        <is>
          <t>134-764</t>
        </is>
      </c>
      <c r="AC1654" s="167" t="inlineStr"/>
      <c r="AD1654" s="167" t="n">
        <v>0</v>
      </c>
      <c r="AE1654" s="185" t="n">
        <v>0</v>
      </c>
      <c r="AG1654" s="167" t="inlineStr">
        <is>
          <t>7218|JA2582_1001</t>
        </is>
      </c>
      <c r="AH1654" s="47">
        <f>IF(M1654=0,"-",M1654-J1654)</f>
        <v/>
      </c>
      <c r="AI1654" s="46">
        <f>IF(AND(S1654=0,M1654&gt;0,L1654=0),IF(AH1654&gt;=120,"VERY HIGH",IF(AH1654&gt;=90,"HIGH",IF(AH1654&gt;=60,"MEDIUM",IF(AH1654&lt;60,"LOW")))),"-")</f>
        <v/>
      </c>
      <c r="AJ1654" s="12" t="n"/>
      <c r="AK1654" s="53">
        <f>IF(AND(W1654="X",M1654&lt;=$AJ$2),"YES","")</f>
        <v/>
      </c>
      <c r="AL1654" s="54">
        <f>IF(AND(W1654="X",M1654&lt;=$AJ$2),S1654,"")</f>
        <v/>
      </c>
      <c r="AM1654" s="35" t="n"/>
      <c r="AN1654" s="35">
        <f>IF(AND(W1654="X",M1654&gt;$AJ$2),S1654,"")</f>
        <v/>
      </c>
      <c r="AO1654" s="35">
        <f>IF(AND(W1654="",M1654&gt;0,$AJ$2&gt;M1654,L1654=""),1,0)</f>
        <v/>
      </c>
      <c r="AP1654" s="35">
        <f>IF(AND(AK1654="YES",W1654="X"),"X","")</f>
        <v/>
      </c>
      <c r="AQ1654" s="55">
        <f>IF(AP1654="X",100%,0%)</f>
        <v/>
      </c>
      <c r="AR1654" s="25">
        <f>IF(AND(T1654&gt;0,L1654=""),H1654,"")</f>
        <v/>
      </c>
      <c r="AS1654" s="25">
        <f>IF(AND(D1654&gt;0,H1654=0,G1654=""),1,"")</f>
        <v/>
      </c>
      <c r="AT1654" s="25">
        <f>IF(G1654="BLOQ",1,"")</f>
        <v/>
      </c>
      <c r="AU1654" s="25">
        <f>IF(L1654="BLOQ",1,"")</f>
        <v/>
      </c>
      <c r="AV1654" s="25">
        <f>MONTH(F1654)</f>
        <v/>
      </c>
      <c r="AW1654" s="65">
        <f>IF(AP1654="",100%,0%)</f>
        <v/>
      </c>
      <c r="AX1654" s="56" t="n"/>
      <c r="AY1654" s="24">
        <f>IF(M1654=0,"",M1654-$AX$2)</f>
        <v/>
      </c>
      <c r="AZ1654" s="66">
        <f>IF(AND(W1654="",AY1654&gt;0,AY1654&lt;15),1,0)</f>
        <v/>
      </c>
      <c r="BA1654" s="24">
        <f>IF(AND(W1654="",AY1654&gt;0,AY1654&lt;15),T1654,"")</f>
        <v/>
      </c>
      <c r="BB1654" s="87">
        <f>IF(R1654&lt;Q1654,"X","")</f>
        <v/>
      </c>
      <c r="BC1654" s="190" t="inlineStr">
        <is>
          <t>NO</t>
        </is>
      </c>
      <c r="BD1654" s="191" t="inlineStr">
        <is>
          <t>SI</t>
        </is>
      </c>
    </row>
    <row r="1655" ht="15" customHeight="1" s="162">
      <c r="A1655" s="7" t="n">
        <v>1654</v>
      </c>
      <c r="B1655" s="167" t="inlineStr">
        <is>
          <t>1237700120400</t>
        </is>
      </c>
      <c r="C1655" s="167" t="inlineStr">
        <is>
          <t>TERMINAL AISL REDON AWG12-10 3.7MM AMAR</t>
        </is>
      </c>
      <c r="D1655" s="167" t="inlineStr">
        <is>
          <t>1800123673</t>
        </is>
      </c>
      <c r="E1655" s="167" t="inlineStr">
        <is>
          <t>30</t>
        </is>
      </c>
      <c r="F1655" s="163" t="n">
        <v>45770</v>
      </c>
      <c r="G1655" s="167" t="inlineStr"/>
      <c r="H1655" s="167" t="inlineStr">
        <is>
          <t>4200609226</t>
        </is>
      </c>
      <c r="I1655" s="167" t="inlineStr">
        <is>
          <t>10</t>
        </is>
      </c>
      <c r="J1655" s="184" t="n">
        <v>45782</v>
      </c>
      <c r="K1655" s="184" t="n">
        <v>45782</v>
      </c>
      <c r="L1655" s="184" t="inlineStr"/>
      <c r="M1655" s="184" t="n">
        <v>45877</v>
      </c>
      <c r="N1655" s="167" t="n">
        <v>110</v>
      </c>
      <c r="O1655" s="167" t="n">
        <v>8</v>
      </c>
      <c r="P1655" s="167" t="inlineStr">
        <is>
          <t>Liberado</t>
        </is>
      </c>
      <c r="Q1655" s="167" t="n">
        <v>50</v>
      </c>
      <c r="R1655" s="167" t="n">
        <v>50</v>
      </c>
      <c r="S1655" s="167" t="n">
        <v>50</v>
      </c>
      <c r="T1655" s="167" t="n">
        <v>0</v>
      </c>
      <c r="U1655" s="167" t="n">
        <v>50</v>
      </c>
      <c r="V1655" s="167" t="n">
        <v>0</v>
      </c>
      <c r="W1655" s="167" t="inlineStr">
        <is>
          <t>X</t>
        </is>
      </c>
      <c r="X1655" s="167" t="inlineStr">
        <is>
          <t>0.00</t>
        </is>
      </c>
      <c r="Y1655" s="167" t="inlineStr"/>
      <c r="Z1655" s="167" t="inlineStr">
        <is>
          <t>OMNIAELECTRONICS, S.L.</t>
        </is>
      </c>
      <c r="AA1655" s="167" t="inlineStr">
        <is>
          <t>KS TERMINALS</t>
        </is>
      </c>
      <c r="AB1655" s="167" t="inlineStr">
        <is>
          <t>RNYD5-3.7</t>
        </is>
      </c>
      <c r="AC1655" s="167" t="inlineStr"/>
      <c r="AD1655" s="167" t="n">
        <v>1</v>
      </c>
      <c r="AE1655" s="185" t="n">
        <v>0</v>
      </c>
      <c r="AG1655" s="167" t="inlineStr">
        <is>
          <t>7218|JA2582_1001</t>
        </is>
      </c>
      <c r="AH1655" s="47">
        <f>IF(M1655=0,"-",M1655-J1655)</f>
        <v/>
      </c>
      <c r="AI1655" s="46">
        <f>IF(AND(S1655=0,M1655&gt;0,L1655=0),IF(AH1655&gt;=120,"VERY HIGH",IF(AH1655&gt;=90,"HIGH",IF(AH1655&gt;=60,"MEDIUM",IF(AH1655&lt;60,"LOW")))),"-")</f>
        <v/>
      </c>
      <c r="AJ1655" s="12" t="n"/>
      <c r="AK1655" s="53">
        <f>IF(AND(W1655="X",M1655&lt;=$AJ$2),"YES","")</f>
        <v/>
      </c>
      <c r="AL1655" s="54">
        <f>IF(AND(W1655="X",M1655&lt;=$AJ$2),S1655,"")</f>
        <v/>
      </c>
      <c r="AM1655" s="35" t="n"/>
      <c r="AN1655" s="35">
        <f>IF(AND(W1655="X",M1655&gt;$AJ$2),S1655,"")</f>
        <v/>
      </c>
      <c r="AO1655" s="35">
        <f>IF(AND(W1655="",M1655&gt;0,$AJ$2&gt;M1655,L1655=""),1,0)</f>
        <v/>
      </c>
      <c r="AP1655" s="35">
        <f>IF(AND(AK1655="YES",W1655="X"),"X","")</f>
        <v/>
      </c>
      <c r="AQ1655" s="55">
        <f>IF(AP1655="X",100%,0%)</f>
        <v/>
      </c>
      <c r="AR1655" s="25">
        <f>IF(AND(T1655&gt;0,L1655=""),H1655,"")</f>
        <v/>
      </c>
      <c r="AS1655" s="25">
        <f>IF(AND(D1655&gt;0,H1655=0,G1655=""),1,"")</f>
        <v/>
      </c>
      <c r="AT1655" s="25">
        <f>IF(G1655="BLOQ",1,"")</f>
        <v/>
      </c>
      <c r="AU1655" s="25">
        <f>IF(L1655="BLOQ",1,"")</f>
        <v/>
      </c>
      <c r="AV1655" s="25">
        <f>MONTH(F1655)</f>
        <v/>
      </c>
      <c r="AW1655" s="65">
        <f>IF(AP1655="",100%,0%)</f>
        <v/>
      </c>
      <c r="AX1655" s="56" t="n"/>
      <c r="AY1655" s="24">
        <f>IF(M1655=0,"",M1655-$AX$2)</f>
        <v/>
      </c>
      <c r="AZ1655" s="66">
        <f>IF(AND(W1655="",AY1655&gt;0,AY1655&lt;15),1,0)</f>
        <v/>
      </c>
      <c r="BA1655" s="24">
        <f>IF(AND(W1655="",AY1655&gt;0,AY1655&lt;15),T1655,"")</f>
        <v/>
      </c>
      <c r="BB1655" s="87">
        <f>IF(R1655&lt;Q1655,"X","")</f>
        <v/>
      </c>
      <c r="BC1655" s="190" t="inlineStr">
        <is>
          <t>NO</t>
        </is>
      </c>
      <c r="BD1655" s="191" t="inlineStr">
        <is>
          <t>SI</t>
        </is>
      </c>
    </row>
    <row r="1656" ht="15" customHeight="1" s="162">
      <c r="A1656" s="7" t="n">
        <v>1655</v>
      </c>
      <c r="B1656" s="167" t="inlineStr">
        <is>
          <t>7883000120600</t>
        </is>
      </c>
      <c r="C1656" s="167" t="inlineStr">
        <is>
          <t>PUNTO TOMA TIERRA BROCHE 25X35MM</t>
        </is>
      </c>
      <c r="D1656" s="167" t="inlineStr">
        <is>
          <t>1800123673</t>
        </is>
      </c>
      <c r="E1656" s="167" t="inlineStr">
        <is>
          <t>40</t>
        </is>
      </c>
      <c r="F1656" s="163" t="n">
        <v>45770</v>
      </c>
      <c r="G1656" s="167" t="inlineStr"/>
      <c r="H1656" s="167" t="inlineStr">
        <is>
          <t>4200610017</t>
        </is>
      </c>
      <c r="I1656" s="167" t="inlineStr">
        <is>
          <t>10</t>
        </is>
      </c>
      <c r="J1656" s="184" t="n">
        <v>45785</v>
      </c>
      <c r="K1656" s="184" t="n">
        <v>45785</v>
      </c>
      <c r="L1656" s="184" t="inlineStr"/>
      <c r="M1656" s="184" t="n">
        <v>45818</v>
      </c>
      <c r="N1656" s="167" t="n">
        <v>40</v>
      </c>
      <c r="O1656" s="167" t="n">
        <v>8</v>
      </c>
      <c r="P1656" s="167" t="inlineStr">
        <is>
          <t>Liberado</t>
        </is>
      </c>
      <c r="Q1656" s="167" t="n">
        <v>6</v>
      </c>
      <c r="R1656" s="167" t="n">
        <v>100</v>
      </c>
      <c r="S1656" s="167" t="n">
        <v>200</v>
      </c>
      <c r="T1656" s="167" t="n">
        <v>0</v>
      </c>
      <c r="U1656" s="167" t="n">
        <v>100</v>
      </c>
      <c r="V1656" s="167" t="n">
        <v>100</v>
      </c>
      <c r="W1656" s="167" t="inlineStr">
        <is>
          <t>X</t>
        </is>
      </c>
      <c r="X1656" s="167" t="inlineStr">
        <is>
          <t>0.00</t>
        </is>
      </c>
      <c r="Y1656" s="167" t="inlineStr"/>
      <c r="Z1656" s="167" t="inlineStr">
        <is>
          <t>EUROASICA,S.A.</t>
        </is>
      </c>
      <c r="AA1656" s="167" t="inlineStr">
        <is>
          <t>EUROASICA S.A</t>
        </is>
      </c>
      <c r="AB1656" s="167" t="inlineStr">
        <is>
          <t>CON-9765</t>
        </is>
      </c>
      <c r="AC1656" s="167" t="inlineStr"/>
      <c r="AD1656" s="167" t="n">
        <v>2</v>
      </c>
      <c r="AE1656" s="185" t="n">
        <v>0</v>
      </c>
      <c r="AG1656" s="167" t="inlineStr">
        <is>
          <t>7218|JA2582_1001</t>
        </is>
      </c>
      <c r="AH1656" s="47">
        <f>IF(M1656=0,"-",M1656-J1656)</f>
        <v/>
      </c>
      <c r="AI1656" s="46">
        <f>IF(AND(S1656=0,M1656&gt;0,L1656=0),IF(AH1656&gt;=120,"VERY HIGH",IF(AH1656&gt;=90,"HIGH",IF(AH1656&gt;=60,"MEDIUM",IF(AH1656&lt;60,"LOW")))),"-")</f>
        <v/>
      </c>
      <c r="AJ1656" s="12" t="n"/>
      <c r="AK1656" s="53">
        <f>IF(AND(W1656="X",M1656&lt;=$AJ$2),"YES","")</f>
        <v/>
      </c>
      <c r="AL1656" s="54">
        <f>IF(AND(W1656="X",M1656&lt;=$AJ$2),S1656,"")</f>
        <v/>
      </c>
      <c r="AM1656" s="35" t="n"/>
      <c r="AN1656" s="35">
        <f>IF(AND(W1656="X",M1656&gt;$AJ$2),S1656,"")</f>
        <v/>
      </c>
      <c r="AO1656" s="35">
        <f>IF(AND(W1656="",M1656&gt;0,$AJ$2&gt;M1656,L1656=""),1,0)</f>
        <v/>
      </c>
      <c r="AP1656" s="35">
        <f>IF(AND(AK1656="YES",W1656="X"),"X","")</f>
        <v/>
      </c>
      <c r="AQ1656" s="55">
        <f>IF(AP1656="X",100%,0%)</f>
        <v/>
      </c>
      <c r="AR1656" s="25">
        <f>IF(AND(T1656&gt;0,L1656=""),H1656,"")</f>
        <v/>
      </c>
      <c r="AS1656" s="25">
        <f>IF(AND(D1656&gt;0,H1656=0,G1656=""),1,"")</f>
        <v/>
      </c>
      <c r="AT1656" s="25">
        <f>IF(G1656="BLOQ",1,"")</f>
        <v/>
      </c>
      <c r="AU1656" s="25">
        <f>IF(L1656="BLOQ",1,"")</f>
        <v/>
      </c>
      <c r="AV1656" s="25">
        <f>MONTH(F1656)</f>
        <v/>
      </c>
      <c r="AW1656" s="65">
        <f>IF(AP1656="",100%,0%)</f>
        <v/>
      </c>
      <c r="AX1656" s="56" t="n"/>
      <c r="AY1656" s="24">
        <f>IF(M1656=0,"",M1656-$AX$2)</f>
        <v/>
      </c>
      <c r="AZ1656" s="66">
        <f>IF(AND(W1656="",AY1656&gt;0,AY1656&lt;15),1,0)</f>
        <v/>
      </c>
      <c r="BA1656" s="24">
        <f>IF(AND(W1656="",AY1656&gt;0,AY1656&lt;15),T1656,"")</f>
        <v/>
      </c>
      <c r="BB1656" s="87">
        <f>IF(R1656&lt;Q1656,"X","")</f>
        <v/>
      </c>
      <c r="BC1656" s="190" t="inlineStr">
        <is>
          <t>NO</t>
        </is>
      </c>
      <c r="BD1656" s="191" t="inlineStr">
        <is>
          <t>SI</t>
        </is>
      </c>
    </row>
    <row r="1657" ht="15" customHeight="1" s="162">
      <c r="A1657" s="7" t="n">
        <v>1656</v>
      </c>
      <c r="B1657" s="167" t="inlineStr">
        <is>
          <t>1202090240000</t>
        </is>
      </c>
      <c r="C1657" s="167" t="inlineStr">
        <is>
          <t>PIN CNC SUB-D M 20-24AWG (ROLLO 400UD)</t>
        </is>
      </c>
      <c r="D1657" s="167" t="inlineStr">
        <is>
          <t>1800123674</t>
        </is>
      </c>
      <c r="E1657" s="167" t="inlineStr">
        <is>
          <t>10</t>
        </is>
      </c>
      <c r="F1657" s="163" t="n">
        <v>45770</v>
      </c>
      <c r="G1657" s="167" t="inlineStr"/>
      <c r="H1657" s="167" t="inlineStr">
        <is>
          <t>4200609797</t>
        </is>
      </c>
      <c r="I1657" s="167" t="inlineStr">
        <is>
          <t>10</t>
        </is>
      </c>
      <c r="J1657" s="184" t="n">
        <v>45784</v>
      </c>
      <c r="K1657" s="184" t="n">
        <v>45786</v>
      </c>
      <c r="L1657" s="184" t="inlineStr"/>
      <c r="M1657" s="184" t="n">
        <v>45787</v>
      </c>
      <c r="N1657" s="167" t="n">
        <v>56</v>
      </c>
      <c r="O1657" s="167" t="n">
        <v>8</v>
      </c>
      <c r="P1657" s="167" t="inlineStr">
        <is>
          <t>Liberado</t>
        </is>
      </c>
      <c r="Q1657" s="167" t="n">
        <v>100</v>
      </c>
      <c r="R1657" s="167" t="n">
        <v>400</v>
      </c>
      <c r="S1657" s="167" t="n">
        <v>400</v>
      </c>
      <c r="T1657" s="167" t="n">
        <v>0</v>
      </c>
      <c r="U1657" s="167" t="n">
        <v>400</v>
      </c>
      <c r="V1657" s="167" t="n">
        <v>0</v>
      </c>
      <c r="W1657" s="167" t="inlineStr">
        <is>
          <t>X</t>
        </is>
      </c>
      <c r="X1657" s="167" t="inlineStr">
        <is>
          <t>0.00</t>
        </is>
      </c>
      <c r="Y1657" s="167" t="inlineStr"/>
      <c r="Z1657" s="167" t="inlineStr">
        <is>
          <t>SUMINISTROS CONECTORES PROF.,SA.</t>
        </is>
      </c>
      <c r="AA1657" s="167" t="inlineStr">
        <is>
          <t>AMPHENOL CORP</t>
        </is>
      </c>
      <c r="AB1657" s="167" t="inlineStr">
        <is>
          <t>17RRD1M11400</t>
        </is>
      </c>
      <c r="AC1657" s="167" t="inlineStr"/>
      <c r="AD1657" s="167" t="n">
        <v>0</v>
      </c>
      <c r="AE1657" s="185" t="n">
        <v>0</v>
      </c>
      <c r="AG1657" s="167" t="inlineStr">
        <is>
          <t>7218|JA2583_1001</t>
        </is>
      </c>
      <c r="AH1657" s="47">
        <f>IF(M1657=0,"-",M1657-J1657)</f>
        <v/>
      </c>
      <c r="AI1657" s="46">
        <f>IF(AND(S1657=0,M1657&gt;0,L1657=0),IF(AH1657&gt;=120,"VERY HIGH",IF(AH1657&gt;=90,"HIGH",IF(AH1657&gt;=60,"MEDIUM",IF(AH1657&lt;60,"LOW")))),"-")</f>
        <v/>
      </c>
      <c r="AJ1657" s="12" t="n"/>
      <c r="AK1657" s="53">
        <f>IF(AND(W1657="X",M1657&lt;=$AJ$2),"YES","")</f>
        <v/>
      </c>
      <c r="AL1657" s="54">
        <f>IF(AND(W1657="X",M1657&lt;=$AJ$2),S1657,"")</f>
        <v/>
      </c>
      <c r="AM1657" s="35" t="n"/>
      <c r="AN1657" s="35">
        <f>IF(AND(W1657="X",M1657&gt;$AJ$2),S1657,"")</f>
        <v/>
      </c>
      <c r="AO1657" s="35">
        <f>IF(AND(W1657="",M1657&gt;0,$AJ$2&gt;M1657,L1657=""),1,0)</f>
        <v/>
      </c>
      <c r="AP1657" s="35">
        <f>IF(AND(AK1657="YES",W1657="X"),"X","")</f>
        <v/>
      </c>
      <c r="AQ1657" s="55">
        <f>IF(AP1657="X",100%,0%)</f>
        <v/>
      </c>
      <c r="AR1657" s="25">
        <f>IF(AND(T1657&gt;0,L1657=""),H1657,"")</f>
        <v/>
      </c>
      <c r="AS1657" s="25">
        <f>IF(AND(D1657&gt;0,H1657=0,G1657=""),1,"")</f>
        <v/>
      </c>
      <c r="AT1657" s="25">
        <f>IF(G1657="BLOQ",1,"")</f>
        <v/>
      </c>
      <c r="AU1657" s="25">
        <f>IF(L1657="BLOQ",1,"")</f>
        <v/>
      </c>
      <c r="AV1657" s="25">
        <f>MONTH(F1657)</f>
        <v/>
      </c>
      <c r="AW1657" s="65">
        <f>IF(AP1657="",100%,0%)</f>
        <v/>
      </c>
      <c r="AX1657" s="56" t="n"/>
      <c r="AY1657" s="24">
        <f>IF(M1657=0,"",M1657-$AX$2)</f>
        <v/>
      </c>
      <c r="AZ1657" s="66">
        <f>IF(AND(W1657="",AY1657&gt;0,AY1657&lt;15),1,0)</f>
        <v/>
      </c>
      <c r="BA1657" s="24">
        <f>IF(AND(W1657="",AY1657&gt;0,AY1657&lt;15),T1657,"")</f>
        <v/>
      </c>
      <c r="BB1657" s="87">
        <f>IF(R1657&lt;Q1657,"X","")</f>
        <v/>
      </c>
      <c r="BC1657" s="190" t="inlineStr">
        <is>
          <t>NO</t>
        </is>
      </c>
      <c r="BD1657" s="191" t="inlineStr">
        <is>
          <t>SI</t>
        </is>
      </c>
    </row>
    <row r="1658" ht="15" customHeight="1" s="162">
      <c r="A1658" s="7" t="n">
        <v>1657</v>
      </c>
      <c r="B1658" s="167" t="inlineStr">
        <is>
          <t>1060330100001</t>
        </is>
      </c>
      <c r="C1658" s="167" t="inlineStr">
        <is>
          <t>LED AMARILLO 8X3MM 2V IP67</t>
        </is>
      </c>
      <c r="D1658" s="167" t="inlineStr">
        <is>
          <t>1800124012</t>
        </is>
      </c>
      <c r="E1658" s="167" t="inlineStr">
        <is>
          <t>10</t>
        </is>
      </c>
      <c r="F1658" s="163" t="n">
        <v>45783</v>
      </c>
      <c r="G1658" s="167" t="inlineStr"/>
      <c r="H1658" s="167" t="inlineStr">
        <is>
          <t>4200611470</t>
        </is>
      </c>
      <c r="I1658" s="167" t="inlineStr">
        <is>
          <t>10</t>
        </is>
      </c>
      <c r="J1658" s="184" t="n">
        <v>45796</v>
      </c>
      <c r="K1658" s="184" t="n">
        <v>45796</v>
      </c>
      <c r="L1658" s="184" t="inlineStr"/>
      <c r="M1658" s="184" t="n">
        <v>46029</v>
      </c>
      <c r="N1658" s="167" t="n">
        <v>40</v>
      </c>
      <c r="O1658" s="167" t="n">
        <v>8</v>
      </c>
      <c r="P1658" s="167" t="inlineStr">
        <is>
          <t>Liberado</t>
        </is>
      </c>
      <c r="Q1658" s="167" t="n">
        <v>10</v>
      </c>
      <c r="R1658" s="167" t="n">
        <v>10</v>
      </c>
      <c r="S1658" s="167" t="n">
        <v>20</v>
      </c>
      <c r="T1658" s="167" t="n">
        <v>0</v>
      </c>
      <c r="U1658" s="167" t="n">
        <v>10</v>
      </c>
      <c r="V1658" s="167" t="n">
        <v>10</v>
      </c>
      <c r="W1658" s="167" t="inlineStr">
        <is>
          <t>X</t>
        </is>
      </c>
      <c r="X1658" s="167" t="inlineStr">
        <is>
          <t>0.00</t>
        </is>
      </c>
      <c r="Y1658" s="167" t="inlineStr"/>
      <c r="Z1658" s="167" t="inlineStr">
        <is>
          <t>FARNELL COMPONENTS, S.L.</t>
        </is>
      </c>
      <c r="AA1658" s="167" t="inlineStr">
        <is>
          <t>APEM</t>
        </is>
      </c>
      <c r="AB1658" s="167" t="inlineStr">
        <is>
          <t>Q8P1CXXY02E</t>
        </is>
      </c>
      <c r="AC1658" s="167" t="inlineStr"/>
      <c r="AD1658" s="167" t="n">
        <v>1</v>
      </c>
      <c r="AE1658" s="185" t="n">
        <v>0</v>
      </c>
      <c r="AG1658" s="167" t="inlineStr">
        <is>
          <t>7218|JA2583_1001</t>
        </is>
      </c>
      <c r="AH1658" s="47">
        <f>IF(M1658=0,"-",M1658-J1658)</f>
        <v/>
      </c>
      <c r="AI1658" s="46">
        <f>IF(AND(S1658=0,M1658&gt;0,L1658=0),IF(AH1658&gt;=120,"VERY HIGH",IF(AH1658&gt;=90,"HIGH",IF(AH1658&gt;=60,"MEDIUM",IF(AH1658&lt;60,"LOW")))),"-")</f>
        <v/>
      </c>
      <c r="AJ1658" s="12" t="n"/>
      <c r="AK1658" s="53">
        <f>IF(AND(W1658="X",M1658&lt;=$AJ$2),"YES","")</f>
        <v/>
      </c>
      <c r="AL1658" s="54">
        <f>IF(AND(W1658="X",M1658&lt;=$AJ$2),S1658,"")</f>
        <v/>
      </c>
      <c r="AM1658" s="35" t="n"/>
      <c r="AN1658" s="35">
        <f>IF(AND(W1658="X",M1658&gt;$AJ$2),S1658,"")</f>
        <v/>
      </c>
      <c r="AO1658" s="35">
        <f>IF(AND(W1658="",M1658&gt;0,$AJ$2&gt;M1658,L1658=""),1,0)</f>
        <v/>
      </c>
      <c r="AP1658" s="35">
        <f>IF(AND(AK1658="YES",W1658="X"),"X","")</f>
        <v/>
      </c>
      <c r="AQ1658" s="55">
        <f>IF(AP1658="X",100%,0%)</f>
        <v/>
      </c>
      <c r="AR1658" s="25">
        <f>IF(AND(T1658&gt;0,L1658=""),H1658,"")</f>
        <v/>
      </c>
      <c r="AS1658" s="25">
        <f>IF(AND(D1658&gt;0,H1658=0,G1658=""),1,"")</f>
        <v/>
      </c>
      <c r="AT1658" s="25">
        <f>IF(G1658="BLOQ",1,"")</f>
        <v/>
      </c>
      <c r="AU1658" s="25">
        <f>IF(L1658="BLOQ",1,"")</f>
        <v/>
      </c>
      <c r="AV1658" s="25">
        <f>MONTH(F1658)</f>
        <v/>
      </c>
      <c r="AW1658" s="65">
        <f>IF(AP1658="",100%,0%)</f>
        <v/>
      </c>
      <c r="AX1658" s="56" t="n"/>
      <c r="AY1658" s="24">
        <f>IF(M1658=0,"",M1658-$AX$2)</f>
        <v/>
      </c>
      <c r="AZ1658" s="66">
        <f>IF(AND(W1658="",AY1658&gt;0,AY1658&lt;15),1,0)</f>
        <v/>
      </c>
      <c r="BA1658" s="24">
        <f>IF(AND(W1658="",AY1658&gt;0,AY1658&lt;15),T1658,"")</f>
        <v/>
      </c>
      <c r="BB1658" s="87">
        <f>IF(R1658&lt;Q1658,"X","")</f>
        <v/>
      </c>
      <c r="BC1658" s="190" t="inlineStr">
        <is>
          <t>NO</t>
        </is>
      </c>
      <c r="BD1658" s="191" t="inlineStr">
        <is>
          <t>SI</t>
        </is>
      </c>
    </row>
    <row r="1659" ht="15" customHeight="1" s="162">
      <c r="A1659" s="7" t="n">
        <v>1658</v>
      </c>
      <c r="B1659" s="167" t="inlineStr">
        <is>
          <t>0973588300100</t>
        </is>
      </c>
      <c r="C1659" s="167" t="inlineStr">
        <is>
          <t>CB INTLCK OPEN SUPPORT</t>
        </is>
      </c>
      <c r="D1659" s="167" t="inlineStr">
        <is>
          <t>1800124162</t>
        </is>
      </c>
      <c r="E1659" s="167" t="inlineStr">
        <is>
          <t>10</t>
        </is>
      </c>
      <c r="F1659" s="163" t="n">
        <v>45783</v>
      </c>
      <c r="G1659" s="167" t="inlineStr"/>
      <c r="H1659" s="167" t="inlineStr">
        <is>
          <t>4200614815</t>
        </is>
      </c>
      <c r="I1659" s="167" t="inlineStr">
        <is>
          <t>30</t>
        </is>
      </c>
      <c r="J1659" s="184" t="n">
        <v>45817</v>
      </c>
      <c r="K1659" s="184" t="n">
        <v>45817</v>
      </c>
      <c r="L1659" s="184" t="inlineStr"/>
      <c r="M1659" s="184" t="n">
        <v>45944</v>
      </c>
      <c r="N1659" s="167" t="n">
        <v>40</v>
      </c>
      <c r="O1659" s="167" t="n">
        <v>8</v>
      </c>
      <c r="P1659" s="167" t="inlineStr">
        <is>
          <t>Liberado</t>
        </is>
      </c>
      <c r="Q1659" s="167" t="n">
        <v>1</v>
      </c>
      <c r="R1659" s="167" t="n">
        <v>1</v>
      </c>
      <c r="S1659" s="167" t="n">
        <v>1</v>
      </c>
      <c r="T1659" s="167" t="n">
        <v>0</v>
      </c>
      <c r="U1659" s="167" t="n">
        <v>1</v>
      </c>
      <c r="V1659" s="167" t="n">
        <v>0</v>
      </c>
      <c r="W1659" s="167" t="inlineStr">
        <is>
          <t>X</t>
        </is>
      </c>
      <c r="X1659" s="167" t="inlineStr">
        <is>
          <t>0.00</t>
        </is>
      </c>
      <c r="Y1659" s="167" t="inlineStr"/>
      <c r="Z1659" s="167" t="inlineStr">
        <is>
          <t>MARCOA, S.L.</t>
        </is>
      </c>
      <c r="AA1659" s="167" t="inlineStr">
        <is>
          <t>INDRA SISTEMAS S.A.</t>
        </is>
      </c>
      <c r="AB1659" s="167" t="inlineStr">
        <is>
          <t>0973588300100</t>
        </is>
      </c>
      <c r="AC1659" s="167" t="inlineStr"/>
      <c r="AD1659" s="167" t="n">
        <v>1</v>
      </c>
      <c r="AE1659" s="185" t="n">
        <v>0</v>
      </c>
      <c r="AG1659" s="167" t="inlineStr">
        <is>
          <t>7218|JA2583_1001</t>
        </is>
      </c>
      <c r="AH1659" s="47">
        <f>IF(M1659=0,"-",M1659-J1659)</f>
        <v/>
      </c>
      <c r="AI1659" s="46">
        <f>IF(AND(S1659=0,M1659&gt;0,L1659=0),IF(AH1659&gt;=120,"VERY HIGH",IF(AH1659&gt;=90,"HIGH",IF(AH1659&gt;=60,"MEDIUM",IF(AH1659&lt;60,"LOW")))),"-")</f>
        <v/>
      </c>
      <c r="AJ1659" s="12" t="n"/>
      <c r="AK1659" s="53">
        <f>IF(AND(W1659="X",M1659&lt;=$AJ$2),"YES","")</f>
        <v/>
      </c>
      <c r="AL1659" s="54">
        <f>IF(AND(W1659="X",M1659&lt;=$AJ$2),S1659,"")</f>
        <v/>
      </c>
      <c r="AM1659" s="35" t="n"/>
      <c r="AN1659" s="35">
        <f>IF(AND(W1659="X",M1659&gt;$AJ$2),S1659,"")</f>
        <v/>
      </c>
      <c r="AO1659" s="35">
        <f>IF(AND(W1659="",M1659&gt;0,$AJ$2&gt;M1659,L1659=""),1,0)</f>
        <v/>
      </c>
      <c r="AP1659" s="35">
        <f>IF(AND(AK1659="YES",W1659="X"),"X","")</f>
        <v/>
      </c>
      <c r="AQ1659" s="55">
        <f>IF(AP1659="X",100%,0%)</f>
        <v/>
      </c>
      <c r="AR1659" s="25">
        <f>IF(AND(T1659&gt;0,L1659=""),H1659,"")</f>
        <v/>
      </c>
      <c r="AS1659" s="25">
        <f>IF(AND(D1659&gt;0,H1659=0,G1659=""),1,"")</f>
        <v/>
      </c>
      <c r="AT1659" s="25">
        <f>IF(G1659="BLOQ",1,"")</f>
        <v/>
      </c>
      <c r="AU1659" s="25">
        <f>IF(L1659="BLOQ",1,"")</f>
        <v/>
      </c>
      <c r="AV1659" s="25">
        <f>MONTH(F1659)</f>
        <v/>
      </c>
      <c r="AW1659" s="65">
        <f>IF(AP1659="",100%,0%)</f>
        <v/>
      </c>
      <c r="AX1659" s="56" t="n"/>
      <c r="AY1659" s="24">
        <f>IF(M1659=0,"",M1659-$AX$2)</f>
        <v/>
      </c>
      <c r="AZ1659" s="66">
        <f>IF(AND(W1659="",AY1659&gt;0,AY1659&lt;15),1,0)</f>
        <v/>
      </c>
      <c r="BA1659" s="24">
        <f>IF(AND(W1659="",AY1659&gt;0,AY1659&lt;15),T1659,"")</f>
        <v/>
      </c>
      <c r="BB1659" s="87">
        <f>IF(R1659&lt;Q1659,"X","")</f>
        <v/>
      </c>
      <c r="BC1659" s="191" t="inlineStr">
        <is>
          <t>SI</t>
        </is>
      </c>
      <c r="BD1659" s="191" t="inlineStr">
        <is>
          <t>SI</t>
        </is>
      </c>
    </row>
    <row r="1660" ht="15" customHeight="1" s="162">
      <c r="A1660" s="7" t="n">
        <v>1659</v>
      </c>
      <c r="B1660" s="167" t="inlineStr">
        <is>
          <t>0973588300200</t>
        </is>
      </c>
      <c r="C1660" s="167" t="inlineStr">
        <is>
          <t>CB INTLCK CLOSED SUPPORT PLATE</t>
        </is>
      </c>
      <c r="D1660" s="167" t="inlineStr">
        <is>
          <t>1800124162</t>
        </is>
      </c>
      <c r="E1660" s="167" t="inlineStr">
        <is>
          <t>20</t>
        </is>
      </c>
      <c r="F1660" s="163" t="n">
        <v>45783</v>
      </c>
      <c r="G1660" s="167" t="inlineStr"/>
      <c r="H1660" s="167" t="inlineStr">
        <is>
          <t>4200615832</t>
        </is>
      </c>
      <c r="I1660" s="167" t="inlineStr">
        <is>
          <t>10</t>
        </is>
      </c>
      <c r="J1660" s="184" t="n">
        <v>45824</v>
      </c>
      <c r="K1660" s="184" t="n">
        <v>45838</v>
      </c>
      <c r="L1660" s="184" t="inlineStr"/>
      <c r="M1660" s="184" t="n">
        <v>45969</v>
      </c>
      <c r="N1660" s="167" t="n">
        <v>40</v>
      </c>
      <c r="O1660" s="167" t="n">
        <v>8</v>
      </c>
      <c r="P1660" s="167" t="inlineStr">
        <is>
          <t>Liberado</t>
        </is>
      </c>
      <c r="Q1660" s="167" t="n">
        <v>1</v>
      </c>
      <c r="R1660" s="167" t="n">
        <v>1</v>
      </c>
      <c r="S1660" s="167" t="n">
        <v>1</v>
      </c>
      <c r="T1660" s="167" t="n">
        <v>0</v>
      </c>
      <c r="U1660" s="167" t="n">
        <v>1</v>
      </c>
      <c r="V1660" s="167" t="n">
        <v>0</v>
      </c>
      <c r="W1660" s="167" t="inlineStr">
        <is>
          <t>X</t>
        </is>
      </c>
      <c r="X1660" s="167" t="inlineStr">
        <is>
          <t>0.00</t>
        </is>
      </c>
      <c r="Y1660" s="167" t="inlineStr"/>
      <c r="Z1660" s="167" t="inlineStr">
        <is>
          <t>JOYFE,S.L.</t>
        </is>
      </c>
      <c r="AA1660" s="167" t="inlineStr">
        <is>
          <t>INDRA SISTEMAS S.A.</t>
        </is>
      </c>
      <c r="AB1660" s="167" t="inlineStr">
        <is>
          <t>0973588300200</t>
        </is>
      </c>
      <c r="AC1660" s="167" t="inlineStr"/>
      <c r="AD1660" s="167" t="n">
        <v>2</v>
      </c>
      <c r="AE1660" s="185" t="n">
        <v>1</v>
      </c>
      <c r="AG1660" s="167" t="inlineStr">
        <is>
          <t>7218|JA2583_1001</t>
        </is>
      </c>
      <c r="AH1660" s="47">
        <f>IF(M1660=0,"-",M1660-J1660)</f>
        <v/>
      </c>
      <c r="AI1660" s="46">
        <f>IF(AND(S1660=0,M1660&gt;0,L1660=0),IF(AH1660&gt;=120,"VERY HIGH",IF(AH1660&gt;=90,"HIGH",IF(AH1660&gt;=60,"MEDIUM",IF(AH1660&lt;60,"LOW")))),"-")</f>
        <v/>
      </c>
      <c r="AJ1660" s="12" t="n"/>
      <c r="AK1660" s="53">
        <f>IF(AND(W1660="X",M1660&lt;=$AJ$2),"YES","")</f>
        <v/>
      </c>
      <c r="AL1660" s="54">
        <f>IF(AND(W1660="X",M1660&lt;=$AJ$2),S1660,"")</f>
        <v/>
      </c>
      <c r="AM1660" s="35" t="n"/>
      <c r="AN1660" s="35">
        <f>IF(AND(W1660="X",M1660&gt;$AJ$2),S1660,"")</f>
        <v/>
      </c>
      <c r="AO1660" s="35">
        <f>IF(AND(W1660="",M1660&gt;0,$AJ$2&gt;M1660,L1660=""),1,0)</f>
        <v/>
      </c>
      <c r="AP1660" s="35">
        <f>IF(AND(AK1660="YES",W1660="X"),"X","")</f>
        <v/>
      </c>
      <c r="AQ1660" s="55">
        <f>IF(AP1660="X",100%,0%)</f>
        <v/>
      </c>
      <c r="AR1660" s="25">
        <f>IF(AND(T1660&gt;0,L1660=""),H1660,"")</f>
        <v/>
      </c>
      <c r="AS1660" s="25">
        <f>IF(AND(D1660&gt;0,H1660=0,G1660=""),1,"")</f>
        <v/>
      </c>
      <c r="AT1660" s="25">
        <f>IF(G1660="BLOQ",1,"")</f>
        <v/>
      </c>
      <c r="AU1660" s="25">
        <f>IF(L1660="BLOQ",1,"")</f>
        <v/>
      </c>
      <c r="AV1660" s="25">
        <f>MONTH(F1660)</f>
        <v/>
      </c>
      <c r="AW1660" s="65">
        <f>IF(AP1660="",100%,0%)</f>
        <v/>
      </c>
      <c r="AX1660" s="56" t="n"/>
      <c r="AY1660" s="24">
        <f>IF(M1660=0,"",M1660-$AX$2)</f>
        <v/>
      </c>
      <c r="AZ1660" s="66">
        <f>IF(AND(W1660="",AY1660&gt;0,AY1660&lt;15),1,0)</f>
        <v/>
      </c>
      <c r="BA1660" s="24">
        <f>IF(AND(W1660="",AY1660&gt;0,AY1660&lt;15),T1660,"")</f>
        <v/>
      </c>
      <c r="BB1660" s="87">
        <f>IF(R1660&lt;Q1660,"X","")</f>
        <v/>
      </c>
      <c r="BC1660" s="191" t="inlineStr">
        <is>
          <t>SI</t>
        </is>
      </c>
      <c r="BD1660" s="191" t="inlineStr">
        <is>
          <t>SI</t>
        </is>
      </c>
    </row>
    <row r="1661" ht="15" customHeight="1" s="162">
      <c r="A1661" s="7" t="n">
        <v>1660</v>
      </c>
      <c r="B1661" s="167" t="inlineStr">
        <is>
          <t>1500311008003</t>
        </is>
      </c>
      <c r="C1661" s="167" t="inlineStr">
        <is>
          <t>TORNILLO ALLEN M3x8 DIN 912/ISO4762</t>
        </is>
      </c>
      <c r="D1661" s="167" t="inlineStr">
        <is>
          <t>1800125058</t>
        </is>
      </c>
      <c r="E1661" s="167" t="inlineStr">
        <is>
          <t>10</t>
        </is>
      </c>
      <c r="F1661" s="163" t="n">
        <v>45798</v>
      </c>
      <c r="G1661" s="167" t="inlineStr"/>
      <c r="H1661" s="167" t="inlineStr">
        <is>
          <t>4200613304</t>
        </is>
      </c>
      <c r="I1661" s="167" t="inlineStr">
        <is>
          <t>70</t>
        </is>
      </c>
      <c r="J1661" s="184" t="n">
        <v>45806</v>
      </c>
      <c r="K1661" s="184" t="n">
        <v>45810</v>
      </c>
      <c r="L1661" s="184" t="inlineStr"/>
      <c r="M1661" s="184" t="n">
        <v>45838</v>
      </c>
      <c r="N1661" s="167" t="n">
        <v>65</v>
      </c>
      <c r="O1661" s="167" t="n">
        <v>8</v>
      </c>
      <c r="P1661" s="167" t="inlineStr">
        <is>
          <t>Liberado</t>
        </is>
      </c>
      <c r="Q1661" s="167" t="n">
        <v>4</v>
      </c>
      <c r="R1661" s="167" t="n">
        <v>1000</v>
      </c>
      <c r="S1661" s="167" t="n">
        <v>1000</v>
      </c>
      <c r="T1661" s="167" t="n">
        <v>0</v>
      </c>
      <c r="U1661" s="167" t="n">
        <v>1000</v>
      </c>
      <c r="V1661" s="167" t="n">
        <v>0</v>
      </c>
      <c r="W1661" s="167" t="inlineStr">
        <is>
          <t>X</t>
        </is>
      </c>
      <c r="X1661" s="167" t="inlineStr">
        <is>
          <t>0.00</t>
        </is>
      </c>
      <c r="Y1661" s="167" t="inlineStr"/>
      <c r="Z1661" s="167" t="inlineStr">
        <is>
          <t>ALMACENES DELCA, S.A.</t>
        </is>
      </c>
      <c r="AA1661" s="167" t="inlineStr">
        <is>
          <t>DIN</t>
        </is>
      </c>
      <c r="AB1661" s="167" t="inlineStr">
        <is>
          <t>DIN912-M3X8-A4-80</t>
        </is>
      </c>
      <c r="AC1661" s="167" t="inlineStr"/>
      <c r="AD1661" s="167" t="n">
        <v>1</v>
      </c>
      <c r="AE1661" s="185" t="n">
        <v>1</v>
      </c>
      <c r="AG1661" s="167" t="inlineStr">
        <is>
          <t>7218|JA2590_1001</t>
        </is>
      </c>
      <c r="AH1661" s="47">
        <f>IF(M1661=0,"-",M1661-J1661)</f>
        <v/>
      </c>
      <c r="AI1661" s="46">
        <f>IF(AND(S1661=0,M1661&gt;0,L1661=0),IF(AH1661&gt;=120,"VERY HIGH",IF(AH1661&gt;=90,"HIGH",IF(AH1661&gt;=60,"MEDIUM",IF(AH1661&lt;60,"LOW")))),"-")</f>
        <v/>
      </c>
      <c r="AJ1661" s="12" t="n"/>
      <c r="AK1661" s="53">
        <f>IF(AND(W1661="X",M1661&lt;=$AJ$2),"YES","")</f>
        <v/>
      </c>
      <c r="AL1661" s="54">
        <f>IF(AND(W1661="X",M1661&lt;=$AJ$2),S1661,"")</f>
        <v/>
      </c>
      <c r="AM1661" s="35" t="n"/>
      <c r="AN1661" s="35">
        <f>IF(AND(W1661="X",M1661&gt;$AJ$2),S1661,"")</f>
        <v/>
      </c>
      <c r="AO1661" s="35">
        <f>IF(AND(W1661="",M1661&gt;0,$AJ$2&gt;M1661,L1661=""),1,0)</f>
        <v/>
      </c>
      <c r="AP1661" s="35">
        <f>IF(AND(AK1661="YES",W1661="X"),"X","")</f>
        <v/>
      </c>
      <c r="AQ1661" s="55">
        <f>IF(AP1661="X",100%,0%)</f>
        <v/>
      </c>
      <c r="AR1661" s="25">
        <f>IF(AND(T1661&gt;0,L1661=""),H1661,"")</f>
        <v/>
      </c>
      <c r="AS1661" s="25">
        <f>IF(AND(D1661&gt;0,H1661=0,G1661=""),1,"")</f>
        <v/>
      </c>
      <c r="AT1661" s="25">
        <f>IF(G1661="BLOQ",1,"")</f>
        <v/>
      </c>
      <c r="AU1661" s="25">
        <f>IF(L1661="BLOQ",1,"")</f>
        <v/>
      </c>
      <c r="AV1661" s="25">
        <f>MONTH(F1661)</f>
        <v/>
      </c>
      <c r="AW1661" s="65">
        <f>IF(AP1661="",100%,0%)</f>
        <v/>
      </c>
      <c r="AX1661" s="56" t="n"/>
      <c r="AY1661" s="24">
        <f>IF(M1661=0,"",M1661-$AX$2)</f>
        <v/>
      </c>
      <c r="AZ1661" s="66">
        <f>IF(AND(W1661="",AY1661&gt;0,AY1661&lt;15),1,0)</f>
        <v/>
      </c>
      <c r="BA1661" s="24">
        <f>IF(AND(W1661="",AY1661&gt;0,AY1661&lt;15),T1661,"")</f>
        <v/>
      </c>
      <c r="BB1661" s="87">
        <f>IF(R1661&lt;Q1661,"X","")</f>
        <v/>
      </c>
      <c r="BC1661" s="190" t="inlineStr">
        <is>
          <t>NO</t>
        </is>
      </c>
      <c r="BD1661" s="191" t="inlineStr">
        <is>
          <t>SI</t>
        </is>
      </c>
    </row>
    <row r="1662" ht="15" customHeight="1" s="162">
      <c r="A1662" s="7" t="n">
        <v>1661</v>
      </c>
      <c r="B1662" s="167" t="inlineStr">
        <is>
          <t>1500313008003</t>
        </is>
      </c>
      <c r="C1662" s="167" t="inlineStr">
        <is>
          <t>TOR ALLEN M4X8 INOX DIN912</t>
        </is>
      </c>
      <c r="D1662" s="167" t="inlineStr">
        <is>
          <t>1800125058</t>
        </is>
      </c>
      <c r="E1662" s="167" t="inlineStr">
        <is>
          <t>20</t>
        </is>
      </c>
      <c r="F1662" s="163" t="n">
        <v>45798</v>
      </c>
      <c r="G1662" s="167" t="inlineStr"/>
      <c r="H1662" s="167" t="inlineStr">
        <is>
          <t>4200613852</t>
        </is>
      </c>
      <c r="I1662" s="167" t="inlineStr">
        <is>
          <t>10</t>
        </is>
      </c>
      <c r="J1662" s="184" t="n">
        <v>45811</v>
      </c>
      <c r="K1662" s="184" t="n">
        <v>45811</v>
      </c>
      <c r="L1662" s="184" t="inlineStr"/>
      <c r="M1662" s="184" t="n">
        <v>45839</v>
      </c>
      <c r="N1662" s="167" t="n">
        <v>60</v>
      </c>
      <c r="O1662" s="167" t="n">
        <v>8</v>
      </c>
      <c r="P1662" s="167" t="inlineStr">
        <is>
          <t>Liberado</t>
        </is>
      </c>
      <c r="Q1662" s="167" t="n">
        <v>4</v>
      </c>
      <c r="R1662" s="167" t="n">
        <v>1000</v>
      </c>
      <c r="S1662" s="167" t="n">
        <v>1000</v>
      </c>
      <c r="T1662" s="167" t="n">
        <v>0</v>
      </c>
      <c r="U1662" s="167" t="n">
        <v>1000</v>
      </c>
      <c r="V1662" s="167" t="n">
        <v>0</v>
      </c>
      <c r="W1662" s="167" t="inlineStr">
        <is>
          <t>X</t>
        </is>
      </c>
      <c r="X1662" s="167" t="inlineStr">
        <is>
          <t>0.00</t>
        </is>
      </c>
      <c r="Y1662" s="167" t="inlineStr"/>
      <c r="Z1662" s="167" t="inlineStr">
        <is>
          <t>ALMACENES DELCA, S.A.</t>
        </is>
      </c>
      <c r="AA1662" s="167" t="inlineStr">
        <is>
          <t>DIN</t>
        </is>
      </c>
      <c r="AB1662" s="167" t="inlineStr">
        <is>
          <t>DIN912-M4X8-A4-80</t>
        </is>
      </c>
      <c r="AC1662" s="167" t="inlineStr"/>
      <c r="AD1662" s="167" t="n">
        <v>0</v>
      </c>
      <c r="AE1662" s="185" t="n">
        <v>0</v>
      </c>
      <c r="AG1662" s="167" t="inlineStr">
        <is>
          <t>7218|JA2590_1001</t>
        </is>
      </c>
      <c r="AH1662" s="47">
        <f>IF(M1662=0,"-",M1662-J1662)</f>
        <v/>
      </c>
      <c r="AI1662" s="46">
        <f>IF(AND(S1662=0,M1662&gt;0,L1662=0),IF(AH1662&gt;=120,"VERY HIGH",IF(AH1662&gt;=90,"HIGH",IF(AH1662&gt;=60,"MEDIUM",IF(AH1662&lt;60,"LOW")))),"-")</f>
        <v/>
      </c>
      <c r="AJ1662" s="12" t="n"/>
      <c r="AK1662" s="53">
        <f>IF(AND(W1662="X",M1662&lt;=$AJ$2),"YES","")</f>
        <v/>
      </c>
      <c r="AL1662" s="54">
        <f>IF(AND(W1662="X",M1662&lt;=$AJ$2),S1662,"")</f>
        <v/>
      </c>
      <c r="AM1662" s="35" t="n"/>
      <c r="AN1662" s="35">
        <f>IF(AND(W1662="X",M1662&gt;$AJ$2),S1662,"")</f>
        <v/>
      </c>
      <c r="AO1662" s="35">
        <f>IF(AND(W1662="",M1662&gt;0,$AJ$2&gt;M1662,L1662=""),1,0)</f>
        <v/>
      </c>
      <c r="AP1662" s="35">
        <f>IF(AND(AK1662="YES",W1662="X"),"X","")</f>
        <v/>
      </c>
      <c r="AQ1662" s="55">
        <f>IF(AP1662="X",100%,0%)</f>
        <v/>
      </c>
      <c r="AR1662" s="25">
        <f>IF(AND(T1662&gt;0,L1662=""),H1662,"")</f>
        <v/>
      </c>
      <c r="AS1662" s="25">
        <f>IF(AND(D1662&gt;0,H1662=0,G1662=""),1,"")</f>
        <v/>
      </c>
      <c r="AT1662" s="25">
        <f>IF(G1662="BLOQ",1,"")</f>
        <v/>
      </c>
      <c r="AU1662" s="25">
        <f>IF(L1662="BLOQ",1,"")</f>
        <v/>
      </c>
      <c r="AV1662" s="25">
        <f>MONTH(F1662)</f>
        <v/>
      </c>
      <c r="AW1662" s="65">
        <f>IF(AP1662="",100%,0%)</f>
        <v/>
      </c>
      <c r="AX1662" s="56" t="n"/>
      <c r="AY1662" s="24">
        <f>IF(M1662=0,"",M1662-$AX$2)</f>
        <v/>
      </c>
      <c r="AZ1662" s="66">
        <f>IF(AND(W1662="",AY1662&gt;0,AY1662&lt;15),1,0)</f>
        <v/>
      </c>
      <c r="BA1662" s="24">
        <f>IF(AND(W1662="",AY1662&gt;0,AY1662&lt;15),T1662,"")</f>
        <v/>
      </c>
      <c r="BB1662" s="87">
        <f>IF(R1662&lt;Q1662,"X","")</f>
        <v/>
      </c>
      <c r="BC1662" s="190" t="inlineStr">
        <is>
          <t>NO</t>
        </is>
      </c>
      <c r="BD1662" s="191" t="inlineStr">
        <is>
          <t>SI</t>
        </is>
      </c>
    </row>
    <row r="1663" ht="15" customHeight="1" s="162">
      <c r="A1663" s="7" t="n">
        <v>1662</v>
      </c>
      <c r="B1663" s="167" t="inlineStr">
        <is>
          <t>1500313010003</t>
        </is>
      </c>
      <c r="C1663" s="167" t="inlineStr">
        <is>
          <t>TOR ALLEN M4X10 AC INOX A4-80 DIN912</t>
        </is>
      </c>
      <c r="D1663" s="167" t="inlineStr">
        <is>
          <t>1800125058</t>
        </is>
      </c>
      <c r="E1663" s="167" t="inlineStr">
        <is>
          <t>30</t>
        </is>
      </c>
      <c r="F1663" s="163" t="n">
        <v>45798</v>
      </c>
      <c r="G1663" s="167" t="inlineStr"/>
      <c r="H1663" s="167" t="inlineStr">
        <is>
          <t>4200613304</t>
        </is>
      </c>
      <c r="I1663" s="167" t="inlineStr">
        <is>
          <t>100</t>
        </is>
      </c>
      <c r="J1663" s="184" t="n">
        <v>45806</v>
      </c>
      <c r="K1663" s="184" t="n">
        <v>45810</v>
      </c>
      <c r="L1663" s="184" t="inlineStr"/>
      <c r="M1663" s="184" t="n">
        <v>45838</v>
      </c>
      <c r="N1663" s="167" t="n">
        <v>50</v>
      </c>
      <c r="O1663" s="167" t="n">
        <v>8</v>
      </c>
      <c r="P1663" s="167" t="inlineStr">
        <is>
          <t>Liberado</t>
        </is>
      </c>
      <c r="Q1663" s="167" t="n">
        <v>8</v>
      </c>
      <c r="R1663" s="167" t="n">
        <v>1000</v>
      </c>
      <c r="S1663" s="167" t="n">
        <v>1000</v>
      </c>
      <c r="T1663" s="167" t="n">
        <v>0</v>
      </c>
      <c r="U1663" s="167" t="n">
        <v>1000</v>
      </c>
      <c r="V1663" s="167" t="n">
        <v>0</v>
      </c>
      <c r="W1663" s="167" t="inlineStr">
        <is>
          <t>X</t>
        </is>
      </c>
      <c r="X1663" s="167" t="inlineStr">
        <is>
          <t>0.00</t>
        </is>
      </c>
      <c r="Y1663" s="167" t="inlineStr"/>
      <c r="Z1663" s="167" t="inlineStr">
        <is>
          <t>ALMACENES DELCA, S.A.</t>
        </is>
      </c>
      <c r="AA1663" s="167" t="inlineStr">
        <is>
          <t>DIN</t>
        </is>
      </c>
      <c r="AB1663" s="167" t="inlineStr">
        <is>
          <t>DIN912-M4X10-A4-80</t>
        </is>
      </c>
      <c r="AC1663" s="167" t="inlineStr"/>
      <c r="AD1663" s="167" t="n">
        <v>1</v>
      </c>
      <c r="AE1663" s="185" t="n">
        <v>1</v>
      </c>
      <c r="AG1663" s="167" t="inlineStr">
        <is>
          <t>7218|JA2590_1001</t>
        </is>
      </c>
      <c r="AH1663" s="47">
        <f>IF(M1663=0,"-",M1663-J1663)</f>
        <v/>
      </c>
      <c r="AI1663" s="46">
        <f>IF(AND(S1663=0,M1663&gt;0,L1663=0),IF(AH1663&gt;=120,"VERY HIGH",IF(AH1663&gt;=90,"HIGH",IF(AH1663&gt;=60,"MEDIUM",IF(AH1663&lt;60,"LOW")))),"-")</f>
        <v/>
      </c>
      <c r="AJ1663" s="12" t="n"/>
      <c r="AK1663" s="53">
        <f>IF(AND(W1663="X",M1663&lt;=$AJ$2),"YES","")</f>
        <v/>
      </c>
      <c r="AL1663" s="54">
        <f>IF(AND(W1663="X",M1663&lt;=$AJ$2),S1663,"")</f>
        <v/>
      </c>
      <c r="AM1663" s="35" t="n"/>
      <c r="AN1663" s="35">
        <f>IF(AND(W1663="X",M1663&gt;$AJ$2),S1663,"")</f>
        <v/>
      </c>
      <c r="AO1663" s="35">
        <f>IF(AND(W1663="",M1663&gt;0,$AJ$2&gt;M1663,L1663=""),1,0)</f>
        <v/>
      </c>
      <c r="AP1663" s="35">
        <f>IF(AND(AK1663="YES",W1663="X"),"X","")</f>
        <v/>
      </c>
      <c r="AQ1663" s="55">
        <f>IF(AP1663="X",100%,0%)</f>
        <v/>
      </c>
      <c r="AR1663" s="25">
        <f>IF(AND(T1663&gt;0,L1663=""),H1663,"")</f>
        <v/>
      </c>
      <c r="AS1663" s="25">
        <f>IF(AND(D1663&gt;0,H1663=0,G1663=""),1,"")</f>
        <v/>
      </c>
      <c r="AT1663" s="25">
        <f>IF(G1663="BLOQ",1,"")</f>
        <v/>
      </c>
      <c r="AU1663" s="25">
        <f>IF(L1663="BLOQ",1,"")</f>
        <v/>
      </c>
      <c r="AV1663" s="25">
        <f>MONTH(F1663)</f>
        <v/>
      </c>
      <c r="AW1663" s="65">
        <f>IF(AP1663="",100%,0%)</f>
        <v/>
      </c>
      <c r="AX1663" s="56" t="n"/>
      <c r="AY1663" s="24">
        <f>IF(M1663=0,"",M1663-$AX$2)</f>
        <v/>
      </c>
      <c r="AZ1663" s="66">
        <f>IF(AND(W1663="",AY1663&gt;0,AY1663&lt;15),1,0)</f>
        <v/>
      </c>
      <c r="BA1663" s="24">
        <f>IF(AND(W1663="",AY1663&gt;0,AY1663&lt;15),T1663,"")</f>
        <v/>
      </c>
      <c r="BB1663" s="87">
        <f>IF(R1663&lt;Q1663,"X","")</f>
        <v/>
      </c>
      <c r="BC1663" s="190" t="inlineStr">
        <is>
          <t>NO</t>
        </is>
      </c>
      <c r="BD1663" s="191" t="inlineStr">
        <is>
          <t>SI</t>
        </is>
      </c>
    </row>
    <row r="1664" ht="15" customHeight="1" s="162">
      <c r="A1664" s="7" t="n">
        <v>1663</v>
      </c>
      <c r="B1664" s="167" t="inlineStr">
        <is>
          <t>1540213000015</t>
        </is>
      </c>
      <c r="C1664" s="167" t="inlineStr">
        <is>
          <t>ARA GROWER P/M4 PAV DIN127</t>
        </is>
      </c>
      <c r="D1664" s="167" t="inlineStr">
        <is>
          <t>1800125058</t>
        </is>
      </c>
      <c r="E1664" s="167" t="inlineStr">
        <is>
          <t>50</t>
        </is>
      </c>
      <c r="F1664" s="163" t="n">
        <v>45798</v>
      </c>
      <c r="G1664" s="167" t="inlineStr"/>
      <c r="H1664" s="167" t="inlineStr">
        <is>
          <t>4200613304</t>
        </is>
      </c>
      <c r="I1664" s="167" t="inlineStr">
        <is>
          <t>620</t>
        </is>
      </c>
      <c r="J1664" s="184" t="n">
        <v>45806</v>
      </c>
      <c r="K1664" s="184" t="n">
        <v>45810</v>
      </c>
      <c r="L1664" s="184" t="inlineStr"/>
      <c r="M1664" s="184" t="n">
        <v>45807</v>
      </c>
      <c r="N1664" s="167" t="n">
        <v>60</v>
      </c>
      <c r="O1664" s="167" t="n">
        <v>8</v>
      </c>
      <c r="P1664" s="167" t="inlineStr">
        <is>
          <t>Liberado</t>
        </is>
      </c>
      <c r="Q1664" s="167" t="n">
        <v>8</v>
      </c>
      <c r="R1664" s="167" t="n">
        <v>1000</v>
      </c>
      <c r="S1664" s="167" t="n">
        <v>1000</v>
      </c>
      <c r="T1664" s="167" t="n">
        <v>0</v>
      </c>
      <c r="U1664" s="167" t="n">
        <v>1000</v>
      </c>
      <c r="V1664" s="167" t="n">
        <v>0</v>
      </c>
      <c r="W1664" s="167" t="inlineStr">
        <is>
          <t>X</t>
        </is>
      </c>
      <c r="X1664" s="167" t="inlineStr">
        <is>
          <t>0.00</t>
        </is>
      </c>
      <c r="Y1664" s="167" t="inlineStr"/>
      <c r="Z1664" s="167" t="inlineStr">
        <is>
          <t>ALMACENES DELCA, S.A.</t>
        </is>
      </c>
      <c r="AA1664" s="167" t="inlineStr">
        <is>
          <t>DIN</t>
        </is>
      </c>
      <c r="AB1664" s="167" t="inlineStr">
        <is>
          <t>DIN127-M4-PAVONADA</t>
        </is>
      </c>
      <c r="AC1664" s="167" t="inlineStr"/>
      <c r="AD1664" s="167" t="n">
        <v>0</v>
      </c>
      <c r="AE1664" s="185" t="n">
        <v>0</v>
      </c>
      <c r="AG1664" s="167" t="inlineStr">
        <is>
          <t>7218|JA2590_1001</t>
        </is>
      </c>
      <c r="AH1664" s="47">
        <f>IF(M1664=0,"-",M1664-J1664)</f>
        <v/>
      </c>
      <c r="AI1664" s="46">
        <f>IF(AND(S1664=0,M1664&gt;0,L1664=0),IF(AH1664&gt;=120,"VERY HIGH",IF(AH1664&gt;=90,"HIGH",IF(AH1664&gt;=60,"MEDIUM",IF(AH1664&lt;60,"LOW")))),"-")</f>
        <v/>
      </c>
      <c r="AJ1664" s="12" t="n"/>
      <c r="AK1664" s="53">
        <f>IF(AND(W1664="X",M1664&lt;=$AJ$2),"YES","")</f>
        <v/>
      </c>
      <c r="AL1664" s="54">
        <f>IF(AND(W1664="X",M1664&lt;=$AJ$2),S1664,"")</f>
        <v/>
      </c>
      <c r="AM1664" s="35" t="n"/>
      <c r="AN1664" s="35">
        <f>IF(AND(W1664="X",M1664&gt;$AJ$2),S1664,"")</f>
        <v/>
      </c>
      <c r="AO1664" s="35">
        <f>IF(AND(W1664="",M1664&gt;0,$AJ$2&gt;M1664,L1664=""),1,0)</f>
        <v/>
      </c>
      <c r="AP1664" s="35">
        <f>IF(AND(AK1664="YES",W1664="X"),"X","")</f>
        <v/>
      </c>
      <c r="AQ1664" s="55">
        <f>IF(AP1664="X",100%,0%)</f>
        <v/>
      </c>
      <c r="AR1664" s="25">
        <f>IF(AND(T1664&gt;0,L1664=""),H1664,"")</f>
        <v/>
      </c>
      <c r="AS1664" s="25">
        <f>IF(AND(D1664&gt;0,H1664=0,G1664=""),1,"")</f>
        <v/>
      </c>
      <c r="AT1664" s="25">
        <f>IF(G1664="BLOQ",1,"")</f>
        <v/>
      </c>
      <c r="AU1664" s="25">
        <f>IF(L1664="BLOQ",1,"")</f>
        <v/>
      </c>
      <c r="AV1664" s="25">
        <f>MONTH(F1664)</f>
        <v/>
      </c>
      <c r="AW1664" s="65">
        <f>IF(AP1664="",100%,0%)</f>
        <v/>
      </c>
      <c r="AX1664" s="56" t="n"/>
      <c r="AY1664" s="24">
        <f>IF(M1664=0,"",M1664-$AX$2)</f>
        <v/>
      </c>
      <c r="AZ1664" s="66">
        <f>IF(AND(W1664="",AY1664&gt;0,AY1664&lt;15),1,0)</f>
        <v/>
      </c>
      <c r="BA1664" s="24">
        <f>IF(AND(W1664="",AY1664&gt;0,AY1664&lt;15),T1664,"")</f>
        <v/>
      </c>
      <c r="BB1664" s="87">
        <f>IF(R1664&lt;Q1664,"X","")</f>
        <v/>
      </c>
      <c r="BC1664" s="190" t="inlineStr">
        <is>
          <t>NO</t>
        </is>
      </c>
      <c r="BD1664" s="191" t="inlineStr">
        <is>
          <t>SI</t>
        </is>
      </c>
    </row>
    <row r="1665" ht="15" customHeight="1" s="162">
      <c r="A1665" s="7" t="n">
        <v>1664</v>
      </c>
      <c r="B1665" s="167" t="inlineStr">
        <is>
          <t>1705500920200</t>
        </is>
      </c>
      <c r="C1665" s="167" t="inlineStr">
        <is>
          <t>PANEL CIEGO 3U RAL 7035</t>
        </is>
      </c>
      <c r="D1665" s="167" t="inlineStr">
        <is>
          <t>1800125059</t>
        </is>
      </c>
      <c r="E1665" s="167" t="inlineStr">
        <is>
          <t>10</t>
        </is>
      </c>
      <c r="F1665" s="163" t="n">
        <v>45798</v>
      </c>
      <c r="G1665" s="167" t="inlineStr"/>
      <c r="H1665" s="167" t="inlineStr">
        <is>
          <t>4200613768</t>
        </is>
      </c>
      <c r="I1665" s="167" t="inlineStr">
        <is>
          <t>20</t>
        </is>
      </c>
      <c r="J1665" s="184" t="n">
        <v>45810</v>
      </c>
      <c r="K1665" s="184" t="n">
        <v>45818</v>
      </c>
      <c r="L1665" s="184" t="inlineStr"/>
      <c r="M1665" s="184" t="n">
        <v>45838</v>
      </c>
      <c r="N1665" s="167" t="n">
        <v>35</v>
      </c>
      <c r="O1665" s="167" t="n">
        <v>8</v>
      </c>
      <c r="P1665" s="167" t="inlineStr">
        <is>
          <t>Liberado</t>
        </is>
      </c>
      <c r="Q1665" s="167" t="n">
        <v>1</v>
      </c>
      <c r="R1665" s="167" t="n">
        <v>1</v>
      </c>
      <c r="S1665" s="167" t="n">
        <v>1</v>
      </c>
      <c r="T1665" s="167" t="n">
        <v>0</v>
      </c>
      <c r="U1665" s="167" t="n">
        <v>1</v>
      </c>
      <c r="V1665" s="167" t="n">
        <v>0</v>
      </c>
      <c r="W1665" s="167" t="inlineStr">
        <is>
          <t>X</t>
        </is>
      </c>
      <c r="X1665" s="167" t="inlineStr">
        <is>
          <t>0.00</t>
        </is>
      </c>
      <c r="Y1665" s="167" t="inlineStr"/>
      <c r="Z1665" s="167" t="inlineStr">
        <is>
          <t>CENVALSA, S.L.</t>
        </is>
      </c>
      <c r="AA1665" s="167" t="inlineStr">
        <is>
          <t>SCHROFF</t>
        </is>
      </c>
      <c r="AB1665" s="167" t="inlineStr">
        <is>
          <t>30118-302</t>
        </is>
      </c>
      <c r="AC1665" s="167" t="inlineStr"/>
      <c r="AD1665" s="167" t="n">
        <v>0</v>
      </c>
      <c r="AE1665" s="185" t="n">
        <v>0</v>
      </c>
      <c r="AG1665" s="167" t="inlineStr">
        <is>
          <t>7218|JA2583_1001</t>
        </is>
      </c>
      <c r="AH1665" s="47">
        <f>IF(M1665=0,"-",M1665-J1665)</f>
        <v/>
      </c>
      <c r="AI1665" s="46">
        <f>IF(AND(S1665=0,M1665&gt;0,L1665=0),IF(AH1665&gt;=120,"VERY HIGH",IF(AH1665&gt;=90,"HIGH",IF(AH1665&gt;=60,"MEDIUM",IF(AH1665&lt;60,"LOW")))),"-")</f>
        <v/>
      </c>
      <c r="AJ1665" s="12" t="n"/>
      <c r="AK1665" s="53">
        <f>IF(AND(W1665="X",M1665&lt;=$AJ$2),"YES","")</f>
        <v/>
      </c>
      <c r="AL1665" s="54">
        <f>IF(AND(W1665="X",M1665&lt;=$AJ$2),S1665,"")</f>
        <v/>
      </c>
      <c r="AM1665" s="35" t="n"/>
      <c r="AN1665" s="35">
        <f>IF(AND(W1665="X",M1665&gt;$AJ$2),S1665,"")</f>
        <v/>
      </c>
      <c r="AO1665" s="35">
        <f>IF(AND(W1665="",M1665&gt;0,$AJ$2&gt;M1665,L1665=""),1,0)</f>
        <v/>
      </c>
      <c r="AP1665" s="35">
        <f>IF(AND(AK1665="YES",W1665="X"),"X","")</f>
        <v/>
      </c>
      <c r="AQ1665" s="55">
        <f>IF(AP1665="X",100%,0%)</f>
        <v/>
      </c>
      <c r="AR1665" s="25">
        <f>IF(AND(T1665&gt;0,L1665=""),H1665,"")</f>
        <v/>
      </c>
      <c r="AS1665" s="25">
        <f>IF(AND(D1665&gt;0,H1665=0,G1665=""),1,"")</f>
        <v/>
      </c>
      <c r="AT1665" s="25">
        <f>IF(G1665="BLOQ",1,"")</f>
        <v/>
      </c>
      <c r="AU1665" s="25">
        <f>IF(L1665="BLOQ",1,"")</f>
        <v/>
      </c>
      <c r="AV1665" s="25">
        <f>MONTH(F1665)</f>
        <v/>
      </c>
      <c r="AW1665" s="65">
        <f>IF(AP1665="",100%,0%)</f>
        <v/>
      </c>
      <c r="AX1665" s="56" t="n"/>
      <c r="AY1665" s="24">
        <f>IF(M1665=0,"",M1665-$AX$2)</f>
        <v/>
      </c>
      <c r="AZ1665" s="66">
        <f>IF(AND(W1665="",AY1665&gt;0,AY1665&lt;15),1,0)</f>
        <v/>
      </c>
      <c r="BA1665" s="24">
        <f>IF(AND(W1665="",AY1665&gt;0,AY1665&lt;15),T1665,"")</f>
        <v/>
      </c>
      <c r="BB1665" s="87">
        <f>IF(R1665&lt;Q1665,"X","")</f>
        <v/>
      </c>
      <c r="BC1665" s="190" t="inlineStr">
        <is>
          <t>NO</t>
        </is>
      </c>
      <c r="BD1665" s="191" t="inlineStr">
        <is>
          <t>SI</t>
        </is>
      </c>
    </row>
    <row r="1666" ht="15" customHeight="1" s="162">
      <c r="A1666" s="7" t="n">
        <v>1665</v>
      </c>
      <c r="B1666" s="167" t="inlineStr">
        <is>
          <t>0972880000000</t>
        </is>
      </c>
      <c r="C1666" s="167" t="inlineStr">
        <is>
          <t>IDENTIFICATION LABEL</t>
        </is>
      </c>
      <c r="D1666" s="167" t="inlineStr">
        <is>
          <t>1800125070</t>
        </is>
      </c>
      <c r="E1666" s="167" t="inlineStr">
        <is>
          <t>10</t>
        </is>
      </c>
      <c r="F1666" s="163" t="n">
        <v>45798</v>
      </c>
      <c r="G1666" s="167" t="inlineStr"/>
      <c r="H1666" s="167" t="inlineStr">
        <is>
          <t>4200616259</t>
        </is>
      </c>
      <c r="I1666" s="167" t="inlineStr">
        <is>
          <t>50</t>
        </is>
      </c>
      <c r="J1666" s="184" t="n">
        <v>45826</v>
      </c>
      <c r="K1666" s="184" t="n">
        <v>45826</v>
      </c>
      <c r="L1666" s="184" t="inlineStr"/>
      <c r="M1666" s="184" t="n">
        <v>45982</v>
      </c>
      <c r="N1666" s="167" t="n">
        <v>30</v>
      </c>
      <c r="O1666" s="167" t="n">
        <v>8</v>
      </c>
      <c r="P1666" s="167" t="inlineStr">
        <is>
          <t>Liberado</t>
        </is>
      </c>
      <c r="Q1666" s="167" t="n">
        <v>10</v>
      </c>
      <c r="R1666" s="167" t="n">
        <v>10</v>
      </c>
      <c r="S1666" s="167" t="n">
        <v>10</v>
      </c>
      <c r="T1666" s="167" t="n">
        <v>0</v>
      </c>
      <c r="U1666" s="167" t="n">
        <v>10</v>
      </c>
      <c r="V1666" s="167" t="n">
        <v>0</v>
      </c>
      <c r="W1666" s="167" t="inlineStr">
        <is>
          <t>X</t>
        </is>
      </c>
      <c r="X1666" s="167" t="inlineStr">
        <is>
          <t>0.00</t>
        </is>
      </c>
      <c r="Y1666" s="167" t="inlineStr"/>
      <c r="Z1666" s="167" t="inlineStr">
        <is>
          <t>MARKABLE SOLUTIONS, S.L.</t>
        </is>
      </c>
      <c r="AA1666" s="167" t="inlineStr">
        <is>
          <t>INDRA SISTEMAS S.A.</t>
        </is>
      </c>
      <c r="AB1666" s="167" t="inlineStr">
        <is>
          <t>0972880000000</t>
        </is>
      </c>
      <c r="AC1666" s="167" t="inlineStr"/>
      <c r="AD1666" s="167" t="n">
        <v>2</v>
      </c>
      <c r="AE1666" s="185" t="n">
        <v>0</v>
      </c>
      <c r="AG1666" s="167" t="inlineStr">
        <is>
          <t>7218|JA2583_1001</t>
        </is>
      </c>
      <c r="AH1666" s="47">
        <f>IF(M1666=0,"-",M1666-J1666)</f>
        <v/>
      </c>
      <c r="AI1666" s="46">
        <f>IF(AND(S1666=0,M1666&gt;0,L1666=0),IF(AH1666&gt;=120,"VERY HIGH",IF(AH1666&gt;=90,"HIGH",IF(AH1666&gt;=60,"MEDIUM",IF(AH1666&lt;60,"LOW")))),"-")</f>
        <v/>
      </c>
      <c r="AJ1666" s="12" t="n"/>
      <c r="AK1666" s="53">
        <f>IF(AND(W1666="X",M1666&lt;=$AJ$2),"YES","")</f>
        <v/>
      </c>
      <c r="AL1666" s="54">
        <f>IF(AND(W1666="X",M1666&lt;=$AJ$2),S1666,"")</f>
        <v/>
      </c>
      <c r="AM1666" s="35" t="n"/>
      <c r="AN1666" s="35">
        <f>IF(AND(W1666="X",M1666&gt;$AJ$2),S1666,"")</f>
        <v/>
      </c>
      <c r="AO1666" s="35">
        <f>IF(AND(W1666="",M1666&gt;0,$AJ$2&gt;M1666,L1666=""),1,0)</f>
        <v/>
      </c>
      <c r="AP1666" s="35">
        <f>IF(AND(AK1666="YES",W1666="X"),"X","")</f>
        <v/>
      </c>
      <c r="AQ1666" s="55">
        <f>IF(AP1666="X",100%,0%)</f>
        <v/>
      </c>
      <c r="AR1666" s="25">
        <f>IF(AND(T1666&gt;0,L1666=""),H1666,"")</f>
        <v/>
      </c>
      <c r="AS1666" s="25">
        <f>IF(AND(D1666&gt;0,H1666=0,G1666=""),1,"")</f>
        <v/>
      </c>
      <c r="AT1666" s="25">
        <f>IF(G1666="BLOQ",1,"")</f>
        <v/>
      </c>
      <c r="AU1666" s="25">
        <f>IF(L1666="BLOQ",1,"")</f>
        <v/>
      </c>
      <c r="AV1666" s="25">
        <f>MONTH(F1666)</f>
        <v/>
      </c>
      <c r="AW1666" s="65">
        <f>IF(AP1666="",100%,0%)</f>
        <v/>
      </c>
      <c r="AX1666" s="56" t="n"/>
      <c r="AY1666" s="24">
        <f>IF(M1666=0,"",M1666-$AX$2)</f>
        <v/>
      </c>
      <c r="AZ1666" s="66">
        <f>IF(AND(W1666="",AY1666&gt;0,AY1666&lt;15),1,0)</f>
        <v/>
      </c>
      <c r="BA1666" s="24">
        <f>IF(AND(W1666="",AY1666&gt;0,AY1666&lt;15),T1666,"")</f>
        <v/>
      </c>
      <c r="BB1666" s="87">
        <f>IF(R1666&lt;Q1666,"X","")</f>
        <v/>
      </c>
      <c r="BC1666" s="190" t="inlineStr">
        <is>
          <t>NO</t>
        </is>
      </c>
      <c r="BD1666" s="191" t="inlineStr">
        <is>
          <t>SI</t>
        </is>
      </c>
    </row>
    <row r="1667" ht="15" customHeight="1" s="162">
      <c r="A1667" s="7" t="n">
        <v>1666</v>
      </c>
      <c r="B1667" s="167" t="inlineStr">
        <is>
          <t>0972888472500</t>
        </is>
      </c>
      <c r="C1667" s="167" t="inlineStr">
        <is>
          <t>AVIONICS PLATE</t>
        </is>
      </c>
      <c r="D1667" s="167" t="inlineStr">
        <is>
          <t>1800125070</t>
        </is>
      </c>
      <c r="E1667" s="167" t="inlineStr">
        <is>
          <t>20</t>
        </is>
      </c>
      <c r="F1667" s="163" t="n">
        <v>45798</v>
      </c>
      <c r="G1667" s="167" t="inlineStr"/>
      <c r="H1667" s="167" t="inlineStr">
        <is>
          <t>4200615824</t>
        </is>
      </c>
      <c r="I1667" s="167" t="inlineStr">
        <is>
          <t>20</t>
        </is>
      </c>
      <c r="J1667" s="184" t="n">
        <v>45824</v>
      </c>
      <c r="K1667" s="184" t="n">
        <v>45826</v>
      </c>
      <c r="L1667" s="184" t="inlineStr"/>
      <c r="M1667" s="184" t="n">
        <v>46052</v>
      </c>
      <c r="N1667" s="167" t="n">
        <v>90</v>
      </c>
      <c r="O1667" s="167" t="n">
        <v>8</v>
      </c>
      <c r="P1667" s="167" t="inlineStr">
        <is>
          <t>Liberado</t>
        </is>
      </c>
      <c r="Q1667" s="167" t="n">
        <v>1</v>
      </c>
      <c r="R1667" s="167" t="n">
        <v>1</v>
      </c>
      <c r="S1667" s="167" t="n">
        <v>1</v>
      </c>
      <c r="T1667" s="167" t="n">
        <v>0</v>
      </c>
      <c r="U1667" s="167" t="n">
        <v>1</v>
      </c>
      <c r="V1667" s="167" t="n">
        <v>0</v>
      </c>
      <c r="W1667" s="167" t="inlineStr">
        <is>
          <t>X</t>
        </is>
      </c>
      <c r="X1667" s="167" t="inlineStr">
        <is>
          <t>0.00</t>
        </is>
      </c>
      <c r="Y1667" s="167" t="inlineStr"/>
      <c r="Z1667" s="167" t="inlineStr">
        <is>
          <t>INDUSTRIAS BALMES, S.A.</t>
        </is>
      </c>
      <c r="AA1667" s="167" t="inlineStr">
        <is>
          <t>INDRA SISTEMAS S.A.</t>
        </is>
      </c>
      <c r="AB1667" s="167" t="inlineStr">
        <is>
          <t>0972888472500</t>
        </is>
      </c>
      <c r="AC1667" s="167" t="inlineStr"/>
      <c r="AD1667" s="167" t="n">
        <v>4</v>
      </c>
      <c r="AE1667" s="185" t="n">
        <v>2</v>
      </c>
      <c r="AG1667" s="167" t="inlineStr">
        <is>
          <t>7218|JA2583_1001</t>
        </is>
      </c>
      <c r="AH1667" s="47">
        <f>IF(M1667=0,"-",M1667-J1667)</f>
        <v/>
      </c>
      <c r="AI1667" s="46">
        <f>IF(AND(S1667=0,M1667&gt;0,L1667=0),IF(AH1667&gt;=120,"VERY HIGH",IF(AH1667&gt;=90,"HIGH",IF(AH1667&gt;=60,"MEDIUM",IF(AH1667&lt;60,"LOW")))),"-")</f>
        <v/>
      </c>
      <c r="AJ1667" s="12" t="n"/>
      <c r="AK1667" s="53">
        <f>IF(AND(W1667="X",M1667&lt;=$AJ$2),"YES","")</f>
        <v/>
      </c>
      <c r="AL1667" s="54">
        <f>IF(AND(W1667="X",M1667&lt;=$AJ$2),S1667,"")</f>
        <v/>
      </c>
      <c r="AM1667" s="35" t="n"/>
      <c r="AN1667" s="35">
        <f>IF(AND(W1667="X",M1667&gt;$AJ$2),S1667,"")</f>
        <v/>
      </c>
      <c r="AO1667" s="35">
        <f>IF(AND(W1667="",M1667&gt;0,$AJ$2&gt;M1667,L1667=""),1,0)</f>
        <v/>
      </c>
      <c r="AP1667" s="35">
        <f>IF(AND(AK1667="YES",W1667="X"),"X","")</f>
        <v/>
      </c>
      <c r="AQ1667" s="55">
        <f>IF(AP1667="X",100%,0%)</f>
        <v/>
      </c>
      <c r="AR1667" s="25">
        <f>IF(AND(T1667&gt;0,L1667=""),H1667,"")</f>
        <v/>
      </c>
      <c r="AS1667" s="25">
        <f>IF(AND(D1667&gt;0,H1667=0,G1667=""),1,"")</f>
        <v/>
      </c>
      <c r="AT1667" s="25">
        <f>IF(G1667="BLOQ",1,"")</f>
        <v/>
      </c>
      <c r="AU1667" s="25">
        <f>IF(L1667="BLOQ",1,"")</f>
        <v/>
      </c>
      <c r="AV1667" s="25">
        <f>MONTH(F1667)</f>
        <v/>
      </c>
      <c r="AW1667" s="65">
        <f>IF(AP1667="",100%,0%)</f>
        <v/>
      </c>
      <c r="AX1667" s="56" t="n"/>
      <c r="AY1667" s="24">
        <f>IF(M1667=0,"",M1667-$AX$2)</f>
        <v/>
      </c>
      <c r="AZ1667" s="66">
        <f>IF(AND(W1667="",AY1667&gt;0,AY1667&lt;15),1,0)</f>
        <v/>
      </c>
      <c r="BA1667" s="24">
        <f>IF(AND(W1667="",AY1667&gt;0,AY1667&lt;15),T1667,"")</f>
        <v/>
      </c>
      <c r="BB1667" s="87">
        <f>IF(R1667&lt;Q1667,"X","")</f>
        <v/>
      </c>
      <c r="BC1667" s="191" t="inlineStr">
        <is>
          <t>SI</t>
        </is>
      </c>
      <c r="BD1667" s="191" t="inlineStr">
        <is>
          <t>SI</t>
        </is>
      </c>
    </row>
    <row r="1668" ht="15" customHeight="1" s="162">
      <c r="A1668" s="7" t="n">
        <v>1667</v>
      </c>
      <c r="B1668" s="167" t="inlineStr">
        <is>
          <t>0973585295800</t>
        </is>
      </c>
      <c r="C1668" s="167" t="inlineStr">
        <is>
          <t>TELA INFERIOR MYLAR</t>
        </is>
      </c>
      <c r="D1668" s="167" t="inlineStr">
        <is>
          <t>1800125129</t>
        </is>
      </c>
      <c r="E1668" s="167" t="inlineStr">
        <is>
          <t>10</t>
        </is>
      </c>
      <c r="F1668" s="163" t="n">
        <v>45800</v>
      </c>
      <c r="G1668" s="167" t="inlineStr"/>
      <c r="H1668" s="167" t="inlineStr">
        <is>
          <t>4200615314</t>
        </is>
      </c>
      <c r="I1668" s="167" t="inlineStr">
        <is>
          <t>20</t>
        </is>
      </c>
      <c r="J1668" s="184" t="n">
        <v>45820</v>
      </c>
      <c r="K1668" s="184" t="n">
        <v>45835</v>
      </c>
      <c r="L1668" s="184" t="inlineStr"/>
      <c r="M1668" s="184" t="n">
        <v>45838</v>
      </c>
      <c r="N1668" s="167" t="n">
        <v>40</v>
      </c>
      <c r="O1668" s="167" t="n">
        <v>8</v>
      </c>
      <c r="P1668" s="167" t="inlineStr">
        <is>
          <t>Liberado</t>
        </is>
      </c>
      <c r="Q1668" s="167" t="n">
        <v>1</v>
      </c>
      <c r="R1668" s="167" t="n">
        <v>1</v>
      </c>
      <c r="S1668" s="167" t="n">
        <v>1</v>
      </c>
      <c r="T1668" s="167" t="n">
        <v>0</v>
      </c>
      <c r="U1668" s="167" t="n">
        <v>1</v>
      </c>
      <c r="V1668" s="167" t="n">
        <v>0</v>
      </c>
      <c r="W1668" s="167" t="inlineStr">
        <is>
          <t>X</t>
        </is>
      </c>
      <c r="X1668" s="167" t="inlineStr">
        <is>
          <t>0.00</t>
        </is>
      </c>
      <c r="Y1668" s="167" t="inlineStr"/>
      <c r="Z1668" s="167" t="inlineStr">
        <is>
          <t>ANTONIO RAMIREZ, S.L.</t>
        </is>
      </c>
      <c r="AA1668" s="167" t="inlineStr">
        <is>
          <t>INDRA SISTEMAS S.A.</t>
        </is>
      </c>
      <c r="AB1668" s="167" t="inlineStr">
        <is>
          <t>0973585295800</t>
        </is>
      </c>
      <c r="AC1668" s="167" t="inlineStr"/>
      <c r="AD1668" s="167" t="n">
        <v>2</v>
      </c>
      <c r="AE1668" s="185" t="n">
        <v>0</v>
      </c>
      <c r="AG1668" s="167" t="inlineStr">
        <is>
          <t>7218|JA2590_1001</t>
        </is>
      </c>
      <c r="AH1668" s="47">
        <f>IF(M1668=0,"-",M1668-J1668)</f>
        <v/>
      </c>
      <c r="AI1668" s="46">
        <f>IF(AND(S1668=0,M1668&gt;0,L1668=0),IF(AH1668&gt;=120,"VERY HIGH",IF(AH1668&gt;=90,"HIGH",IF(AH1668&gt;=60,"MEDIUM",IF(AH1668&lt;60,"LOW")))),"-")</f>
        <v/>
      </c>
      <c r="AJ1668" s="12" t="n"/>
      <c r="AK1668" s="53">
        <f>IF(AND(W1668="X",M1668&lt;=$AJ$2),"YES","")</f>
        <v/>
      </c>
      <c r="AL1668" s="54">
        <f>IF(AND(W1668="X",M1668&lt;=$AJ$2),S1668,"")</f>
        <v/>
      </c>
      <c r="AM1668" s="35" t="n"/>
      <c r="AN1668" s="35">
        <f>IF(AND(W1668="X",M1668&gt;$AJ$2),S1668,"")</f>
        <v/>
      </c>
      <c r="AO1668" s="35">
        <f>IF(AND(W1668="",M1668&gt;0,$AJ$2&gt;M1668,L1668=""),1,0)</f>
        <v/>
      </c>
      <c r="AP1668" s="35">
        <f>IF(AND(AK1668="YES",W1668="X"),"X","")</f>
        <v/>
      </c>
      <c r="AQ1668" s="55">
        <f>IF(AP1668="X",100%,0%)</f>
        <v/>
      </c>
      <c r="AR1668" s="25">
        <f>IF(AND(T1668&gt;0,L1668=""),H1668,"")</f>
        <v/>
      </c>
      <c r="AS1668" s="25">
        <f>IF(AND(D1668&gt;0,H1668=0,G1668=""),1,"")</f>
        <v/>
      </c>
      <c r="AT1668" s="25">
        <f>IF(G1668="BLOQ",1,"")</f>
        <v/>
      </c>
      <c r="AU1668" s="25">
        <f>IF(L1668="BLOQ",1,"")</f>
        <v/>
      </c>
      <c r="AV1668" s="25">
        <f>MONTH(F1668)</f>
        <v/>
      </c>
      <c r="AW1668" s="65">
        <f>IF(AP1668="",100%,0%)</f>
        <v/>
      </c>
      <c r="AX1668" s="56" t="n"/>
      <c r="AY1668" s="24">
        <f>IF(M1668=0,"",M1668-$AX$2)</f>
        <v/>
      </c>
      <c r="AZ1668" s="66">
        <f>IF(AND(W1668="",AY1668&gt;0,AY1668&lt;15),1,0)</f>
        <v/>
      </c>
      <c r="BA1668" s="24">
        <f>IF(AND(W1668="",AY1668&gt;0,AY1668&lt;15),T1668,"")</f>
        <v/>
      </c>
      <c r="BB1668" s="87">
        <f>IF(R1668&lt;Q1668,"X","")</f>
        <v/>
      </c>
      <c r="BC1668" s="190" t="inlineStr">
        <is>
          <t>NO</t>
        </is>
      </c>
      <c r="BD1668" s="191" t="inlineStr">
        <is>
          <t>SI</t>
        </is>
      </c>
    </row>
    <row r="1669" ht="15" customHeight="1" s="162">
      <c r="A1669" s="7" t="n">
        <v>1668</v>
      </c>
      <c r="B1669" s="167" t="inlineStr">
        <is>
          <t>0973585296000</t>
        </is>
      </c>
      <c r="C1669" s="167" t="inlineStr">
        <is>
          <t>TELA SUPERIOR MYLAR</t>
        </is>
      </c>
      <c r="D1669" s="167" t="inlineStr">
        <is>
          <t>1800125129</t>
        </is>
      </c>
      <c r="E1669" s="167" t="inlineStr">
        <is>
          <t>20</t>
        </is>
      </c>
      <c r="F1669" s="167" t="n">
        <v>45800</v>
      </c>
      <c r="G1669" s="167" t="inlineStr"/>
      <c r="H1669" s="167" t="inlineStr">
        <is>
          <t>4200615314</t>
        </is>
      </c>
      <c r="I1669" s="167" t="inlineStr">
        <is>
          <t>10</t>
        </is>
      </c>
      <c r="J1669" s="184" t="n">
        <v>45820</v>
      </c>
      <c r="K1669" s="184" t="n">
        <v>45835</v>
      </c>
      <c r="L1669" s="184" t="inlineStr"/>
      <c r="M1669" s="184" t="n">
        <v>45838</v>
      </c>
      <c r="N1669" s="167" t="n">
        <v>40</v>
      </c>
      <c r="O1669" s="167" t="n">
        <v>8</v>
      </c>
      <c r="P1669" s="167" t="inlineStr">
        <is>
          <t>Liberado</t>
        </is>
      </c>
      <c r="Q1669" s="167" t="n">
        <v>1</v>
      </c>
      <c r="R1669" s="167" t="n">
        <v>1</v>
      </c>
      <c r="S1669" s="167" t="n">
        <v>1</v>
      </c>
      <c r="T1669" s="167" t="n">
        <v>0</v>
      </c>
      <c r="U1669" s="167" t="n">
        <v>1</v>
      </c>
      <c r="V1669" s="167" t="n">
        <v>0</v>
      </c>
      <c r="W1669" s="167" t="inlineStr">
        <is>
          <t>X</t>
        </is>
      </c>
      <c r="X1669" s="167" t="inlineStr">
        <is>
          <t>0.00</t>
        </is>
      </c>
      <c r="Y1669" s="167" t="inlineStr"/>
      <c r="Z1669" s="167" t="inlineStr">
        <is>
          <t>ANTONIO RAMIREZ, S.L.</t>
        </is>
      </c>
      <c r="AA1669" s="167" t="inlineStr">
        <is>
          <t>INDRA SISTEMAS S.A.</t>
        </is>
      </c>
      <c r="AB1669" s="167" t="inlineStr">
        <is>
          <t>0973585296000</t>
        </is>
      </c>
      <c r="AC1669" s="167" t="inlineStr"/>
      <c r="AD1669" s="167" t="n">
        <v>2</v>
      </c>
      <c r="AE1669" s="185" t="n">
        <v>0</v>
      </c>
      <c r="AG1669" s="167" t="inlineStr">
        <is>
          <t>7218|JA2590_1001</t>
        </is>
      </c>
      <c r="AH1669" s="47">
        <f>IF(M1669=0,"-",M1669-J1669)</f>
        <v/>
      </c>
      <c r="AI1669" s="46">
        <f>IF(AND(S1669=0,M1669&gt;0,L1669=0),IF(AH1669&gt;=120,"VERY HIGH",IF(AH1669&gt;=90,"HIGH",IF(AH1669&gt;=60,"MEDIUM",IF(AH1669&lt;60,"LOW")))),"-")</f>
        <v/>
      </c>
      <c r="AJ1669" s="12" t="n"/>
      <c r="AK1669" s="53">
        <f>IF(AND(W1669="X",M1669&lt;=$AJ$2),"YES","")</f>
        <v/>
      </c>
      <c r="AL1669" s="54">
        <f>IF(AND(W1669="X",M1669&lt;=$AJ$2),S1669,"")</f>
        <v/>
      </c>
      <c r="AM1669" s="35" t="n"/>
      <c r="AN1669" s="35">
        <f>IF(AND(W1669="X",M1669&gt;$AJ$2),S1669,"")</f>
        <v/>
      </c>
      <c r="AO1669" s="35">
        <f>IF(AND(W1669="",M1669&gt;0,$AJ$2&gt;M1669,L1669=""),1,0)</f>
        <v/>
      </c>
      <c r="AP1669" s="35">
        <f>IF(AND(AK1669="YES",W1669="X"),"X","")</f>
        <v/>
      </c>
      <c r="AQ1669" s="55">
        <f>IF(AP1669="X",100%,0%)</f>
        <v/>
      </c>
      <c r="AR1669" s="25">
        <f>IF(AND(T1669&gt;0,L1669=""),H1669,"")</f>
        <v/>
      </c>
      <c r="AS1669" s="25">
        <f>IF(AND(D1669&gt;0,H1669=0,G1669=""),1,"")</f>
        <v/>
      </c>
      <c r="AT1669" s="25">
        <f>IF(G1669="BLOQ",1,"")</f>
        <v/>
      </c>
      <c r="AU1669" s="25">
        <f>IF(L1669="BLOQ",1,"")</f>
        <v/>
      </c>
      <c r="AV1669" s="25">
        <f>MONTH(F1669)</f>
        <v/>
      </c>
      <c r="AW1669" s="65">
        <f>IF(AP1669="",100%,0%)</f>
        <v/>
      </c>
      <c r="AX1669" s="56" t="n"/>
      <c r="AY1669" s="24">
        <f>IF(M1669=0,"",M1669-$AX$2)</f>
        <v/>
      </c>
      <c r="AZ1669" s="66">
        <f>IF(AND(W1669="",AY1669&gt;0,AY1669&lt;15),1,0)</f>
        <v/>
      </c>
      <c r="BA1669" s="24">
        <f>IF(AND(W1669="",AY1669&gt;0,AY1669&lt;15),T1669,"")</f>
        <v/>
      </c>
      <c r="BB1669" s="87">
        <f>IF(R1669&lt;Q1669,"X","")</f>
        <v/>
      </c>
      <c r="BC1669" s="190" t="inlineStr">
        <is>
          <t>NO</t>
        </is>
      </c>
      <c r="BD1669" s="191" t="inlineStr">
        <is>
          <t>SI</t>
        </is>
      </c>
    </row>
    <row r="1670" ht="15" customHeight="1" s="162">
      <c r="A1670" s="7" t="n">
        <v>1669</v>
      </c>
      <c r="B1670" s="167" t="inlineStr">
        <is>
          <t>1000146811030</t>
        </is>
      </c>
      <c r="C1670" s="167" t="inlineStr">
        <is>
          <t>RST PELMET   6K81  1% 1/8W RLR05C6811FR</t>
        </is>
      </c>
      <c r="D1670" s="167" t="inlineStr">
        <is>
          <t>1800125130</t>
        </is>
      </c>
      <c r="E1670" s="167" t="inlineStr">
        <is>
          <t>10</t>
        </is>
      </c>
      <c r="F1670" s="167" t="n">
        <v>45800</v>
      </c>
      <c r="G1670" s="167" t="inlineStr"/>
      <c r="H1670" s="167" t="inlineStr">
        <is>
          <t>4200613274</t>
        </is>
      </c>
      <c r="I1670" s="167" t="inlineStr">
        <is>
          <t>350</t>
        </is>
      </c>
      <c r="J1670" s="184" t="n">
        <v>45806</v>
      </c>
      <c r="K1670" s="184" t="n">
        <v>45806</v>
      </c>
      <c r="L1670" s="184" t="inlineStr"/>
      <c r="M1670" s="184" t="n">
        <v>45817</v>
      </c>
      <c r="N1670" s="167" t="n">
        <v>150</v>
      </c>
      <c r="O1670" s="167" t="n">
        <v>8</v>
      </c>
      <c r="P1670" s="167" t="inlineStr">
        <is>
          <t>Liberado</t>
        </is>
      </c>
      <c r="Q1670" s="167" t="n">
        <v>20</v>
      </c>
      <c r="R1670" s="167" t="n">
        <v>20</v>
      </c>
      <c r="S1670" s="167" t="n">
        <v>20</v>
      </c>
      <c r="T1670" s="167" t="n">
        <v>0</v>
      </c>
      <c r="U1670" s="167" t="n">
        <v>20</v>
      </c>
      <c r="V1670" s="167" t="n">
        <v>0</v>
      </c>
      <c r="W1670" s="167" t="inlineStr">
        <is>
          <t>X</t>
        </is>
      </c>
      <c r="X1670" s="167" t="inlineStr">
        <is>
          <t>0.00</t>
        </is>
      </c>
      <c r="Y1670" s="167" t="inlineStr"/>
      <c r="Z1670" s="167" t="inlineStr">
        <is>
          <t>TCX MICRO, S.L.U</t>
        </is>
      </c>
      <c r="AA1670" s="167" t="inlineStr">
        <is>
          <t>MILITARY SPECS.</t>
        </is>
      </c>
      <c r="AB1670" s="167" t="inlineStr">
        <is>
          <t>RLR05C6811FR</t>
        </is>
      </c>
      <c r="AC1670" s="167" t="inlineStr"/>
      <c r="AD1670" s="167" t="n">
        <v>1</v>
      </c>
      <c r="AE1670" s="185" t="n">
        <v>0</v>
      </c>
      <c r="AG1670" s="167" t="inlineStr">
        <is>
          <t>7218|JA2583_1001</t>
        </is>
      </c>
      <c r="AH1670" s="47">
        <f>IF(M1670=0,"-",M1670-J1670)</f>
        <v/>
      </c>
      <c r="AI1670" s="46">
        <f>IF(AND(S1670=0,M1670&gt;0,L1670=0),IF(AH1670&gt;=120,"VERY HIGH",IF(AH1670&gt;=90,"HIGH",IF(AH1670&gt;=60,"MEDIUM",IF(AH1670&lt;60,"LOW")))),"-")</f>
        <v/>
      </c>
      <c r="AJ1670" s="12" t="n"/>
      <c r="AK1670" s="53">
        <f>IF(AND(W1670="X",M1670&lt;=$AJ$2),"YES","")</f>
        <v/>
      </c>
      <c r="AL1670" s="54">
        <f>IF(AND(W1670="X",M1670&lt;=$AJ$2),S1670,"")</f>
        <v/>
      </c>
      <c r="AM1670" s="35" t="n"/>
      <c r="AN1670" s="35">
        <f>IF(AND(W1670="X",M1670&gt;$AJ$2),S1670,"")</f>
        <v/>
      </c>
      <c r="AO1670" s="35">
        <f>IF(AND(W1670="",M1670&gt;0,$AJ$2&gt;M1670,L1670=""),1,0)</f>
        <v/>
      </c>
      <c r="AP1670" s="35">
        <f>IF(AND(AK1670="YES",W1670="X"),"X","")</f>
        <v/>
      </c>
      <c r="AQ1670" s="55">
        <f>IF(AP1670="X",100%,0%)</f>
        <v/>
      </c>
      <c r="AR1670" s="25">
        <f>IF(AND(T1670&gt;0,L1670=""),H1670,"")</f>
        <v/>
      </c>
      <c r="AS1670" s="25">
        <f>IF(AND(D1670&gt;0,H1670=0,G1670=""),1,"")</f>
        <v/>
      </c>
      <c r="AT1670" s="25">
        <f>IF(G1670="BLOQ",1,"")</f>
        <v/>
      </c>
      <c r="AU1670" s="25">
        <f>IF(L1670="BLOQ",1,"")</f>
        <v/>
      </c>
      <c r="AV1670" s="25">
        <f>MONTH(F1670)</f>
        <v/>
      </c>
      <c r="AW1670" s="65">
        <f>IF(AP1670="",100%,0%)</f>
        <v/>
      </c>
      <c r="AX1670" s="56" t="n"/>
      <c r="AY1670" s="24">
        <f>IF(M1670=0,"",M1670-$AX$2)</f>
        <v/>
      </c>
      <c r="AZ1670" s="66">
        <f>IF(AND(W1670="",AY1670&gt;0,AY1670&lt;15),1,0)</f>
        <v/>
      </c>
      <c r="BA1670" s="24">
        <f>IF(AND(W1670="",AY1670&gt;0,AY1670&lt;15),T1670,"")</f>
        <v/>
      </c>
      <c r="BB1670" s="87">
        <f>IF(R1670&lt;Q1670,"X","")</f>
        <v/>
      </c>
      <c r="BC1670" s="190" t="inlineStr">
        <is>
          <t>NO</t>
        </is>
      </c>
      <c r="BD1670" s="191" t="inlineStr">
        <is>
          <t>SI</t>
        </is>
      </c>
    </row>
    <row r="1671" ht="15" customHeight="1" s="162">
      <c r="A1671" s="7" t="n">
        <v>1670</v>
      </c>
      <c r="B1671" s="167" t="inlineStr">
        <is>
          <t>0973585294200</t>
        </is>
      </c>
      <c r="C1671" s="167" t="inlineStr">
        <is>
          <t>TELA DERECHA MYLAR</t>
        </is>
      </c>
      <c r="D1671" s="167" t="inlineStr">
        <is>
          <t>1800125602</t>
        </is>
      </c>
      <c r="E1671" s="167" t="inlineStr">
        <is>
          <t>10</t>
        </is>
      </c>
      <c r="F1671" s="167" t="n">
        <v>45811</v>
      </c>
      <c r="G1671" s="167" t="inlineStr"/>
      <c r="H1671" s="167" t="inlineStr">
        <is>
          <t>4200615314</t>
        </is>
      </c>
      <c r="I1671" s="167" t="inlineStr">
        <is>
          <t>40</t>
        </is>
      </c>
      <c r="J1671" s="184" t="n">
        <v>45820</v>
      </c>
      <c r="K1671" s="184" t="n">
        <v>45835</v>
      </c>
      <c r="L1671" s="184" t="inlineStr"/>
      <c r="M1671" s="184" t="n">
        <v>45838</v>
      </c>
      <c r="N1671" s="167" t="n">
        <v>0</v>
      </c>
      <c r="O1671" s="167" t="n">
        <v>8</v>
      </c>
      <c r="P1671" s="167" t="inlineStr">
        <is>
          <t>Liberado</t>
        </is>
      </c>
      <c r="Q1671" s="167" t="n">
        <v>1</v>
      </c>
      <c r="R1671" s="167" t="n">
        <v>1</v>
      </c>
      <c r="S1671" s="167" t="n">
        <v>1</v>
      </c>
      <c r="T1671" s="167" t="n">
        <v>0</v>
      </c>
      <c r="U1671" s="167" t="n">
        <v>1</v>
      </c>
      <c r="V1671" s="167" t="n">
        <v>0</v>
      </c>
      <c r="W1671" s="167" t="inlineStr">
        <is>
          <t>X</t>
        </is>
      </c>
      <c r="X1671" s="167" t="inlineStr">
        <is>
          <t>0.00</t>
        </is>
      </c>
      <c r="Y1671" s="167" t="inlineStr"/>
      <c r="Z1671" s="167" t="inlineStr">
        <is>
          <t>ANTONIO RAMIREZ, S.L.</t>
        </is>
      </c>
      <c r="AA1671" s="167" t="inlineStr">
        <is>
          <t>INDRA SISTEMAS S.A.</t>
        </is>
      </c>
      <c r="AB1671" s="167" t="inlineStr">
        <is>
          <t>0973585294200</t>
        </is>
      </c>
      <c r="AC1671" s="167" t="inlineStr"/>
      <c r="AD1671" s="167" t="n">
        <v>1</v>
      </c>
      <c r="AE1671" s="185" t="n">
        <v>0</v>
      </c>
      <c r="AG1671" s="167" t="inlineStr">
        <is>
          <t>7218|JA2590_1001</t>
        </is>
      </c>
      <c r="AH1671" s="47">
        <f>IF(M1671=0,"-",M1671-J1671)</f>
        <v/>
      </c>
      <c r="AI1671" s="46">
        <f>IF(AND(S1671=0,M1671&gt;0,L1671=0),IF(AH1671&gt;=120,"VERY HIGH",IF(AH1671&gt;=90,"HIGH",IF(AH1671&gt;=60,"MEDIUM",IF(AH1671&lt;60,"LOW")))),"-")</f>
        <v/>
      </c>
      <c r="AJ1671" s="12" t="n"/>
      <c r="AK1671" s="53">
        <f>IF(AND(W1671="X",M1671&lt;=$AJ$2),"YES","")</f>
        <v/>
      </c>
      <c r="AL1671" s="54">
        <f>IF(AND(W1671="X",M1671&lt;=$AJ$2),S1671,"")</f>
        <v/>
      </c>
      <c r="AM1671" s="35" t="n"/>
      <c r="AN1671" s="35">
        <f>IF(AND(W1671="X",M1671&gt;$AJ$2),S1671,"")</f>
        <v/>
      </c>
      <c r="AO1671" s="35">
        <f>IF(AND(W1671="",M1671&gt;0,$AJ$2&gt;M1671,L1671=""),1,0)</f>
        <v/>
      </c>
      <c r="AP1671" s="35">
        <f>IF(AND(AK1671="YES",W1671="X"),"X","")</f>
        <v/>
      </c>
      <c r="AQ1671" s="55">
        <f>IF(AP1671="X",100%,0%)</f>
        <v/>
      </c>
      <c r="AR1671" s="25">
        <f>IF(AND(T1671&gt;0,L1671=""),H1671,"")</f>
        <v/>
      </c>
      <c r="AS1671" s="25">
        <f>IF(AND(D1671&gt;0,H1671=0,G1671=""),1,"")</f>
        <v/>
      </c>
      <c r="AT1671" s="25">
        <f>IF(G1671="BLOQ",1,"")</f>
        <v/>
      </c>
      <c r="AU1671" s="25">
        <f>IF(L1671="BLOQ",1,"")</f>
        <v/>
      </c>
      <c r="AV1671" s="25">
        <f>MONTH(F1671)</f>
        <v/>
      </c>
      <c r="AW1671" s="65">
        <f>IF(AP1671="",100%,0%)</f>
        <v/>
      </c>
      <c r="AX1671" s="56" t="n"/>
      <c r="AY1671" s="24">
        <f>IF(M1671=0,"",M1671-$AX$2)</f>
        <v/>
      </c>
      <c r="AZ1671" s="66">
        <f>IF(AND(W1671="",AY1671&gt;0,AY1671&lt;15),1,0)</f>
        <v/>
      </c>
      <c r="BA1671" s="24">
        <f>IF(AND(W1671="",AY1671&gt;0,AY1671&lt;15),T1671,"")</f>
        <v/>
      </c>
      <c r="BB1671" s="87">
        <f>IF(R1671&lt;Q1671,"X","")</f>
        <v/>
      </c>
      <c r="BC1671" s="190" t="inlineStr">
        <is>
          <t>NO</t>
        </is>
      </c>
      <c r="BD1671" s="191" t="inlineStr">
        <is>
          <t>SI</t>
        </is>
      </c>
    </row>
    <row r="1672" ht="15" customHeight="1" s="162">
      <c r="A1672" s="7" t="n">
        <v>1671</v>
      </c>
      <c r="B1672" s="167" t="inlineStr">
        <is>
          <t>0973585296400</t>
        </is>
      </c>
      <c r="C1672" s="167" t="inlineStr">
        <is>
          <t>TELA IZQUIERDA MYLAR</t>
        </is>
      </c>
      <c r="D1672" s="167" t="inlineStr">
        <is>
          <t>1800125602</t>
        </is>
      </c>
      <c r="E1672" s="167" t="inlineStr">
        <is>
          <t>20</t>
        </is>
      </c>
      <c r="F1672" s="184" t="n">
        <v>45811</v>
      </c>
      <c r="G1672" s="167" t="inlineStr"/>
      <c r="H1672" s="167" t="inlineStr">
        <is>
          <t>4200615314</t>
        </is>
      </c>
      <c r="I1672" s="167" t="inlineStr">
        <is>
          <t>30</t>
        </is>
      </c>
      <c r="J1672" s="184" t="n">
        <v>45820</v>
      </c>
      <c r="K1672" s="184" t="n">
        <v>45835</v>
      </c>
      <c r="L1672" s="184" t="inlineStr"/>
      <c r="M1672" s="184" t="n">
        <v>45838</v>
      </c>
      <c r="N1672" s="167" t="n">
        <v>0</v>
      </c>
      <c r="O1672" s="167" t="n">
        <v>8</v>
      </c>
      <c r="P1672" s="167" t="inlineStr">
        <is>
          <t>Liberado</t>
        </is>
      </c>
      <c r="Q1672" s="167" t="n">
        <v>1</v>
      </c>
      <c r="R1672" s="167" t="n">
        <v>1</v>
      </c>
      <c r="S1672" s="167" t="n">
        <v>1</v>
      </c>
      <c r="T1672" s="167" t="n">
        <v>0</v>
      </c>
      <c r="U1672" s="167" t="n">
        <v>1</v>
      </c>
      <c r="V1672" s="167" t="n">
        <v>0</v>
      </c>
      <c r="W1672" s="167" t="inlineStr">
        <is>
          <t>X</t>
        </is>
      </c>
      <c r="X1672" s="167" t="inlineStr">
        <is>
          <t>0.00</t>
        </is>
      </c>
      <c r="Y1672" s="167" t="inlineStr"/>
      <c r="Z1672" s="167" t="inlineStr">
        <is>
          <t>ANTONIO RAMIREZ, S.L.</t>
        </is>
      </c>
      <c r="AA1672" s="167" t="inlineStr">
        <is>
          <t>INDRA SISTEMAS S.A.</t>
        </is>
      </c>
      <c r="AB1672" s="167" t="inlineStr">
        <is>
          <t>0973585296400</t>
        </is>
      </c>
      <c r="AC1672" s="167" t="inlineStr"/>
      <c r="AD1672" s="167" t="n">
        <v>1</v>
      </c>
      <c r="AE1672" s="185" t="n">
        <v>0</v>
      </c>
      <c r="AG1672" s="167" t="inlineStr">
        <is>
          <t>7218|JA2590_1001</t>
        </is>
      </c>
      <c r="AH1672" s="47">
        <f>IF(M1672=0,"-",M1672-J1672)</f>
        <v/>
      </c>
      <c r="AI1672" s="46">
        <f>IF(AND(S1672=0,M1672&gt;0,L1672=0),IF(AH1672&gt;=120,"VERY HIGH",IF(AH1672&gt;=90,"HIGH",IF(AH1672&gt;=60,"MEDIUM",IF(AH1672&lt;60,"LOW")))),"-")</f>
        <v/>
      </c>
      <c r="AJ1672" s="12" t="n"/>
      <c r="AK1672" s="53">
        <f>IF(AND(W1672="X",M1672&lt;=$AJ$2),"YES","")</f>
        <v/>
      </c>
      <c r="AL1672" s="54">
        <f>IF(AND(W1672="X",M1672&lt;=$AJ$2),S1672,"")</f>
        <v/>
      </c>
      <c r="AM1672" s="35" t="n"/>
      <c r="AN1672" s="35">
        <f>IF(AND(W1672="X",M1672&gt;$AJ$2),S1672,"")</f>
        <v/>
      </c>
      <c r="AO1672" s="35">
        <f>IF(AND(W1672="",M1672&gt;0,$AJ$2&gt;M1672,L1672=""),1,0)</f>
        <v/>
      </c>
      <c r="AP1672" s="35">
        <f>IF(AND(AK1672="YES",W1672="X"),"X","")</f>
        <v/>
      </c>
      <c r="AQ1672" s="55">
        <f>IF(AP1672="X",100%,0%)</f>
        <v/>
      </c>
      <c r="AR1672" s="25">
        <f>IF(AND(T1672&gt;0,L1672=""),H1672,"")</f>
        <v/>
      </c>
      <c r="AS1672" s="25">
        <f>IF(AND(D1672&gt;0,H1672=0,G1672=""),1,"")</f>
        <v/>
      </c>
      <c r="AT1672" s="25">
        <f>IF(G1672="BLOQ",1,"")</f>
        <v/>
      </c>
      <c r="AU1672" s="25">
        <f>IF(L1672="BLOQ",1,"")</f>
        <v/>
      </c>
      <c r="AV1672" s="25">
        <f>MONTH(F1672)</f>
        <v/>
      </c>
      <c r="AW1672" s="65">
        <f>IF(AP1672="",100%,0%)</f>
        <v/>
      </c>
      <c r="AX1672" s="56" t="n"/>
      <c r="AY1672" s="24">
        <f>IF(M1672=0,"",M1672-$AX$2)</f>
        <v/>
      </c>
      <c r="AZ1672" s="66">
        <f>IF(AND(W1672="",AY1672&gt;0,AY1672&lt;15),1,0)</f>
        <v/>
      </c>
      <c r="BA1672" s="24">
        <f>IF(AND(W1672="",AY1672&gt;0,AY1672&lt;15),T1672,"")</f>
        <v/>
      </c>
      <c r="BB1672" s="87">
        <f>IF(R1672&lt;Q1672,"X","")</f>
        <v/>
      </c>
      <c r="BC1672" s="190" t="inlineStr">
        <is>
          <t>NO</t>
        </is>
      </c>
      <c r="BD1672" s="191" t="inlineStr">
        <is>
          <t>SI</t>
        </is>
      </c>
    </row>
    <row r="1673" ht="15" customHeight="1" s="162">
      <c r="A1673" s="7" t="n">
        <v>1672</v>
      </c>
      <c r="B1673" s="167" t="inlineStr">
        <is>
          <t>1221415352500</t>
        </is>
      </c>
      <c r="C1673" s="167" t="inlineStr">
        <is>
          <t>CBL APANT 4G35MM2 600V XLPE RC4Z1-K VERD</t>
        </is>
      </c>
      <c r="D1673" s="167" t="inlineStr">
        <is>
          <t>1800125603</t>
        </is>
      </c>
      <c r="E1673" s="167" t="inlineStr">
        <is>
          <t>10</t>
        </is>
      </c>
      <c r="F1673" s="184" t="n">
        <v>45811</v>
      </c>
      <c r="G1673" s="167" t="inlineStr"/>
      <c r="H1673" s="167" t="inlineStr">
        <is>
          <t>4200618266</t>
        </is>
      </c>
      <c r="I1673" s="167" t="inlineStr">
        <is>
          <t>30</t>
        </is>
      </c>
      <c r="J1673" s="184" t="n">
        <v>45841</v>
      </c>
      <c r="K1673" s="184" t="n">
        <v>46002</v>
      </c>
      <c r="L1673" s="184" t="inlineStr"/>
      <c r="M1673" s="184" t="n">
        <v>45847</v>
      </c>
      <c r="N1673" s="167" t="n">
        <v>40</v>
      </c>
      <c r="O1673" s="167" t="n">
        <v>8</v>
      </c>
      <c r="P1673" s="167" t="inlineStr">
        <is>
          <t>Liberado</t>
        </is>
      </c>
      <c r="Q1673" s="167" t="n">
        <v>25</v>
      </c>
      <c r="R1673" s="167" t="n">
        <v>25</v>
      </c>
      <c r="S1673" s="167" t="n">
        <v>25</v>
      </c>
      <c r="T1673" s="167" t="n">
        <v>0</v>
      </c>
      <c r="U1673" s="167" t="n">
        <v>25</v>
      </c>
      <c r="V1673" s="167" t="n">
        <v>0</v>
      </c>
      <c r="W1673" s="167" t="inlineStr">
        <is>
          <t>X</t>
        </is>
      </c>
      <c r="X1673" s="167" t="inlineStr">
        <is>
          <t>0.00</t>
        </is>
      </c>
      <c r="Y1673" s="167" t="inlineStr"/>
      <c r="Z1673" s="167" t="inlineStr">
        <is>
          <t>CERVI, S.L.</t>
        </is>
      </c>
      <c r="AA1673" s="167" t="inlineStr">
        <is>
          <t>CERVI</t>
        </is>
      </c>
      <c r="AB1673" s="167" t="inlineStr">
        <is>
          <t>31814205</t>
        </is>
      </c>
      <c r="AC1673" s="167" t="inlineStr"/>
      <c r="AD1673" s="167" t="n">
        <v>0</v>
      </c>
      <c r="AE1673" s="185" t="n">
        <v>0</v>
      </c>
      <c r="AG1673" s="167" t="inlineStr">
        <is>
          <t>7218|JA2582_1001</t>
        </is>
      </c>
      <c r="AH1673" s="47">
        <f>IF(M1673=0,"-",M1673-J1673)</f>
        <v/>
      </c>
      <c r="AI1673" s="46">
        <f>IF(AND(S1673=0,M1673&gt;0,L1673=0),IF(AH1673&gt;=120,"VERY HIGH",IF(AH1673&gt;=90,"HIGH",IF(AH1673&gt;=60,"MEDIUM",IF(AH1673&lt;60,"LOW")))),"-")</f>
        <v/>
      </c>
      <c r="AJ1673" s="12" t="n"/>
      <c r="AK1673" s="53">
        <f>IF(AND(W1673="X",M1673&lt;=$AJ$2),"YES","")</f>
        <v/>
      </c>
      <c r="AL1673" s="54">
        <f>IF(AND(W1673="X",M1673&lt;=$AJ$2),S1673,"")</f>
        <v/>
      </c>
      <c r="AM1673" s="35" t="n"/>
      <c r="AN1673" s="35">
        <f>IF(AND(W1673="X",M1673&gt;$AJ$2),S1673,"")</f>
        <v/>
      </c>
      <c r="AO1673" s="35">
        <f>IF(AND(W1673="",M1673&gt;0,$AJ$2&gt;M1673,L1673=""),1,0)</f>
        <v/>
      </c>
      <c r="AP1673" s="35">
        <f>IF(AND(AK1673="YES",W1673="X"),"X","")</f>
        <v/>
      </c>
      <c r="AQ1673" s="55">
        <f>IF(AP1673="X",100%,0%)</f>
        <v/>
      </c>
      <c r="AR1673" s="25">
        <f>IF(AND(T1673&gt;0,L1673=""),H1673,"")</f>
        <v/>
      </c>
      <c r="AS1673" s="25">
        <f>IF(AND(D1673&gt;0,H1673=0,G1673=""),1,"")</f>
        <v/>
      </c>
      <c r="AT1673" s="25">
        <f>IF(G1673="BLOQ",1,"")</f>
        <v/>
      </c>
      <c r="AU1673" s="25">
        <f>IF(L1673="BLOQ",1,"")</f>
        <v/>
      </c>
      <c r="AV1673" s="25">
        <f>MONTH(F1673)</f>
        <v/>
      </c>
      <c r="AW1673" s="65">
        <f>IF(AP1673="",100%,0%)</f>
        <v/>
      </c>
      <c r="AX1673" s="56" t="n"/>
      <c r="AY1673" s="24">
        <f>IF(M1673=0,"",M1673-$AX$2)</f>
        <v/>
      </c>
      <c r="AZ1673" s="66">
        <f>IF(AND(W1673="",AY1673&gt;0,AY1673&lt;15),1,0)</f>
        <v/>
      </c>
      <c r="BA1673" s="24">
        <f>IF(AND(W1673="",AY1673&gt;0,AY1673&lt;15),T1673,"")</f>
        <v/>
      </c>
      <c r="BB1673" s="87">
        <f>IF(R1673&lt;Q1673,"X","")</f>
        <v/>
      </c>
      <c r="BC1673" s="190" t="inlineStr">
        <is>
          <t>NO</t>
        </is>
      </c>
      <c r="BD1673" s="191" t="inlineStr">
        <is>
          <t>SI</t>
        </is>
      </c>
    </row>
    <row r="1674" ht="15" customHeight="1" s="162">
      <c r="A1674" s="7" t="n">
        <v>1673</v>
      </c>
      <c r="B1674" s="167" t="inlineStr">
        <is>
          <t>2820120500141</t>
        </is>
      </c>
      <c r="C1674" s="167" t="inlineStr">
        <is>
          <t>PLANCHA E=5MM NEOPRENO NEGRO 40-50 SH</t>
        </is>
      </c>
      <c r="D1674" s="167" t="inlineStr">
        <is>
          <t>1800125603</t>
        </is>
      </c>
      <c r="E1674" s="167" t="inlineStr">
        <is>
          <t>20</t>
        </is>
      </c>
      <c r="F1674" s="167" t="n">
        <v>45811</v>
      </c>
      <c r="G1674" s="167" t="inlineStr"/>
      <c r="H1674" s="167" t="inlineStr">
        <is>
          <t>4200616342</t>
        </is>
      </c>
      <c r="I1674" s="167" t="inlineStr">
        <is>
          <t>10</t>
        </is>
      </c>
      <c r="J1674" s="184" t="n">
        <v>45826</v>
      </c>
      <c r="K1674" s="184" t="n">
        <v>45827</v>
      </c>
      <c r="L1674" s="184" t="inlineStr"/>
      <c r="M1674" s="184" t="n">
        <v>45833</v>
      </c>
      <c r="N1674" s="167" t="n">
        <v>30</v>
      </c>
      <c r="O1674" s="167" t="n">
        <v>8</v>
      </c>
      <c r="P1674" s="167" t="inlineStr">
        <is>
          <t>Liberado</t>
        </is>
      </c>
      <c r="Q1674" s="167" t="n">
        <v>1</v>
      </c>
      <c r="R1674" s="167" t="n">
        <v>10</v>
      </c>
      <c r="S1674" s="167" t="n">
        <v>10</v>
      </c>
      <c r="T1674" s="167" t="n">
        <v>0</v>
      </c>
      <c r="U1674" s="167" t="n">
        <v>10</v>
      </c>
      <c r="V1674" s="167" t="n">
        <v>0</v>
      </c>
      <c r="W1674" s="167" t="inlineStr">
        <is>
          <t>X</t>
        </is>
      </c>
      <c r="X1674" s="167" t="inlineStr">
        <is>
          <t>0.00</t>
        </is>
      </c>
      <c r="Y1674" s="167" t="inlineStr"/>
      <c r="Z1674" s="167" t="inlineStr">
        <is>
          <t>Technipol Suministros, S.L.</t>
        </is>
      </c>
      <c r="AA1674" s="167" t="inlineStr">
        <is>
          <t>OTROS FABRICANTES</t>
        </is>
      </c>
      <c r="AB1674" s="167" t="inlineStr">
        <is>
          <t>NEOPRENO NEGRO/E=5MM 40-50 SH</t>
        </is>
      </c>
      <c r="AC1674" s="167" t="inlineStr"/>
      <c r="AD1674" s="167" t="n">
        <v>0</v>
      </c>
      <c r="AE1674" s="185" t="n">
        <v>0</v>
      </c>
      <c r="AG1674" s="167" t="inlineStr">
        <is>
          <t>7218|JA2582_1001</t>
        </is>
      </c>
      <c r="AH1674" s="47">
        <f>IF(M1674=0,"-",M1674-J1674)</f>
        <v/>
      </c>
      <c r="AI1674" s="46">
        <f>IF(AND(S1674=0,M1674&gt;0,L1674=0),IF(AH1674&gt;=120,"VERY HIGH",IF(AH1674&gt;=90,"HIGH",IF(AH1674&gt;=60,"MEDIUM",IF(AH1674&lt;60,"LOW")))),"-")</f>
        <v/>
      </c>
      <c r="AJ1674" s="12" t="n"/>
      <c r="AK1674" s="53">
        <f>IF(AND(W1674="X",M1674&lt;=$AJ$2),"YES","")</f>
        <v/>
      </c>
      <c r="AL1674" s="54">
        <f>IF(AND(W1674="X",M1674&lt;=$AJ$2),S1674,"")</f>
        <v/>
      </c>
      <c r="AM1674" s="35" t="n"/>
      <c r="AN1674" s="35">
        <f>IF(AND(W1674="X",M1674&gt;$AJ$2),S1674,"")</f>
        <v/>
      </c>
      <c r="AO1674" s="35">
        <f>IF(AND(W1674="",M1674&gt;0,$AJ$2&gt;M1674,L1674=""),1,0)</f>
        <v/>
      </c>
      <c r="AP1674" s="35">
        <f>IF(AND(AK1674="YES",W1674="X"),"X","")</f>
        <v/>
      </c>
      <c r="AQ1674" s="55">
        <f>IF(AP1674="X",100%,0%)</f>
        <v/>
      </c>
      <c r="AR1674" s="25">
        <f>IF(AND(T1674&gt;0,L1674=""),H1674,"")</f>
        <v/>
      </c>
      <c r="AS1674" s="25">
        <f>IF(AND(D1674&gt;0,H1674=0,G1674=""),1,"")</f>
        <v/>
      </c>
      <c r="AT1674" s="25">
        <f>IF(G1674="BLOQ",1,"")</f>
        <v/>
      </c>
      <c r="AU1674" s="25">
        <f>IF(L1674="BLOQ",1,"")</f>
        <v/>
      </c>
      <c r="AV1674" s="25">
        <f>MONTH(F1674)</f>
        <v/>
      </c>
      <c r="AW1674" s="65">
        <f>IF(AP1674="",100%,0%)</f>
        <v/>
      </c>
      <c r="AX1674" s="56" t="n"/>
      <c r="AY1674" s="24">
        <f>IF(M1674=0,"",M1674-$AX$2)</f>
        <v/>
      </c>
      <c r="AZ1674" s="66">
        <f>IF(AND(W1674="",AY1674&gt;0,AY1674&lt;15),1,0)</f>
        <v/>
      </c>
      <c r="BA1674" s="24">
        <f>IF(AND(W1674="",AY1674&gt;0,AY1674&lt;15),T1674,"")</f>
        <v/>
      </c>
      <c r="BB1674" s="87">
        <f>IF(R1674&lt;Q1674,"X","")</f>
        <v/>
      </c>
      <c r="BC1674" s="190" t="inlineStr">
        <is>
          <t>NO</t>
        </is>
      </c>
      <c r="BD1674" s="191" t="inlineStr">
        <is>
          <t>SI</t>
        </is>
      </c>
    </row>
    <row r="1675" ht="15" customHeight="1" s="162">
      <c r="A1675" s="7" t="n">
        <v>1674</v>
      </c>
      <c r="B1675" s="167" t="inlineStr">
        <is>
          <t>3210506760000</t>
        </is>
      </c>
      <c r="C1675" s="167" t="inlineStr">
        <is>
          <t>DONGLE SENTINEL HL MAX-MICRO S/CONDUCTOR</t>
        </is>
      </c>
      <c r="D1675" s="167" t="inlineStr">
        <is>
          <t>1800126496</t>
        </is>
      </c>
      <c r="E1675" s="167" t="inlineStr">
        <is>
          <t>10</t>
        </is>
      </c>
      <c r="F1675" s="167" t="n">
        <v>45833</v>
      </c>
      <c r="G1675" s="167" t="inlineStr"/>
      <c r="H1675" s="167" t="inlineStr">
        <is>
          <t>4200617886</t>
        </is>
      </c>
      <c r="I1675" s="167" t="inlineStr">
        <is>
          <t>10</t>
        </is>
      </c>
      <c r="J1675" s="184" t="n">
        <v>45839</v>
      </c>
      <c r="K1675" s="184" t="n">
        <v>45841</v>
      </c>
      <c r="L1675" s="184" t="inlineStr"/>
      <c r="M1675" s="184" t="n">
        <v>45846</v>
      </c>
      <c r="N1675" s="167" t="n">
        <v>40</v>
      </c>
      <c r="O1675" s="167" t="n">
        <v>8</v>
      </c>
      <c r="P1675" s="167" t="inlineStr">
        <is>
          <t>Liberado</t>
        </is>
      </c>
      <c r="Q1675" s="167" t="n">
        <v>1</v>
      </c>
      <c r="R1675" s="167" t="n">
        <v>1</v>
      </c>
      <c r="S1675" s="167" t="n">
        <v>1</v>
      </c>
      <c r="T1675" s="167" t="n">
        <v>0</v>
      </c>
      <c r="U1675" s="167" t="n">
        <v>1</v>
      </c>
      <c r="V1675" s="167" t="n">
        <v>0</v>
      </c>
      <c r="W1675" s="167" t="inlineStr">
        <is>
          <t>X</t>
        </is>
      </c>
      <c r="X1675" s="167" t="inlineStr">
        <is>
          <t>0.00</t>
        </is>
      </c>
      <c r="Y1675" s="167" t="inlineStr"/>
      <c r="Z1675" s="167" t="inlineStr">
        <is>
          <t>THALES AVS FRANCE SAS</t>
        </is>
      </c>
      <c r="AA1675" s="167" t="inlineStr">
        <is>
          <t>GEMALTO NV</t>
        </is>
      </c>
      <c r="AB1675" s="167" t="inlineStr">
        <is>
          <t>942-001422-001</t>
        </is>
      </c>
      <c r="AC1675" s="167" t="inlineStr"/>
      <c r="AD1675" s="167" t="n">
        <v>0</v>
      </c>
      <c r="AE1675" s="185" t="n">
        <v>0</v>
      </c>
      <c r="AG1675" s="167" t="inlineStr">
        <is>
          <t>7218|JA2583_1001</t>
        </is>
      </c>
      <c r="AH1675" s="47">
        <f>IF(M1675=0,"-",M1675-J1675)</f>
        <v/>
      </c>
      <c r="AI1675" s="46">
        <f>IF(AND(S1675=0,M1675&gt;0,L1675=0),IF(AH1675&gt;=120,"VERY HIGH",IF(AH1675&gt;=90,"HIGH",IF(AH1675&gt;=60,"MEDIUM",IF(AH1675&lt;60,"LOW")))),"-")</f>
        <v/>
      </c>
      <c r="AJ1675" s="12" t="n"/>
      <c r="AK1675" s="53">
        <f>IF(AND(W1675="X",M1675&lt;=$AJ$2),"YES","")</f>
        <v/>
      </c>
      <c r="AL1675" s="54">
        <f>IF(AND(W1675="X",M1675&lt;=$AJ$2),S1675,"")</f>
        <v/>
      </c>
      <c r="AM1675" s="35" t="n"/>
      <c r="AN1675" s="35">
        <f>IF(AND(W1675="X",M1675&gt;$AJ$2),S1675,"")</f>
        <v/>
      </c>
      <c r="AO1675" s="35">
        <f>IF(AND(W1675="",M1675&gt;0,$AJ$2&gt;M1675,L1675=""),1,0)</f>
        <v/>
      </c>
      <c r="AP1675" s="35">
        <f>IF(AND(AK1675="YES",W1675="X"),"X","")</f>
        <v/>
      </c>
      <c r="AQ1675" s="55">
        <f>IF(AP1675="X",100%,0%)</f>
        <v/>
      </c>
      <c r="AR1675" s="25">
        <f>IF(AND(T1675&gt;0,L1675=""),H1675,"")</f>
        <v/>
      </c>
      <c r="AS1675" s="25">
        <f>IF(AND(D1675&gt;0,H1675=0,G1675=""),1,"")</f>
        <v/>
      </c>
      <c r="AT1675" s="25">
        <f>IF(G1675="BLOQ",1,"")</f>
        <v/>
      </c>
      <c r="AU1675" s="25">
        <f>IF(L1675="BLOQ",1,"")</f>
        <v/>
      </c>
      <c r="AV1675" s="25">
        <f>MONTH(F1675)</f>
        <v/>
      </c>
      <c r="AW1675" s="65">
        <f>IF(AP1675="",100%,0%)</f>
        <v/>
      </c>
      <c r="AX1675" s="56" t="n"/>
      <c r="AY1675" s="24">
        <f>IF(M1675=0,"",M1675-$AX$2)</f>
        <v/>
      </c>
      <c r="AZ1675" s="66">
        <f>IF(AND(W1675="",AY1675&gt;0,AY1675&lt;15),1,0)</f>
        <v/>
      </c>
      <c r="BA1675" s="24">
        <f>IF(AND(W1675="",AY1675&gt;0,AY1675&lt;15),T1675,"")</f>
        <v/>
      </c>
      <c r="BB1675" s="87">
        <f>IF(R1675&lt;Q1675,"X","")</f>
        <v/>
      </c>
      <c r="BC1675" s="190" t="inlineStr">
        <is>
          <t>NO</t>
        </is>
      </c>
      <c r="BD1675" s="191" t="inlineStr">
        <is>
          <t>SI</t>
        </is>
      </c>
    </row>
    <row r="1676" ht="15" customHeight="1" s="162">
      <c r="A1676" s="7" t="n">
        <v>1675</v>
      </c>
      <c r="B1676" s="167" t="inlineStr">
        <is>
          <t>1501215014001</t>
        </is>
      </c>
      <c r="C1676" s="167" t="inlineStr">
        <is>
          <t>TOR ALOM CRUC  M5X14  INOX DIN7985</t>
        </is>
      </c>
      <c r="D1676" s="167" t="inlineStr">
        <is>
          <t>1800127076</t>
        </is>
      </c>
      <c r="E1676" s="167" t="inlineStr">
        <is>
          <t>10</t>
        </is>
      </c>
      <c r="F1676" s="167" t="n">
        <v>45847</v>
      </c>
      <c r="G1676" s="167" t="inlineStr"/>
      <c r="H1676" s="167" t="inlineStr">
        <is>
          <t>4200620834</t>
        </is>
      </c>
      <c r="I1676" s="167" t="inlineStr">
        <is>
          <t>10</t>
        </is>
      </c>
      <c r="J1676" s="184" t="n">
        <v>45860</v>
      </c>
      <c r="K1676" s="184" t="n">
        <v>45860</v>
      </c>
      <c r="L1676" s="184" t="inlineStr"/>
      <c r="M1676" s="184" t="n">
        <v>45868</v>
      </c>
      <c r="N1676" s="167" t="n">
        <v>60</v>
      </c>
      <c r="O1676" s="167" t="n">
        <v>8</v>
      </c>
      <c r="P1676" s="167" t="inlineStr">
        <is>
          <t>Liberado</t>
        </is>
      </c>
      <c r="Q1676" s="167" t="n">
        <v>2</v>
      </c>
      <c r="R1676" s="167" t="n">
        <v>200</v>
      </c>
      <c r="S1676" s="167" t="n">
        <v>200</v>
      </c>
      <c r="T1676" s="167" t="n">
        <v>0</v>
      </c>
      <c r="U1676" s="167" t="n">
        <v>200</v>
      </c>
      <c r="V1676" s="167" t="n">
        <v>0</v>
      </c>
      <c r="W1676" s="167" t="inlineStr">
        <is>
          <t>X</t>
        </is>
      </c>
      <c r="X1676" s="167" t="inlineStr">
        <is>
          <t>0.00</t>
        </is>
      </c>
      <c r="Y1676" s="167" t="inlineStr"/>
      <c r="Z1676" s="167" t="inlineStr">
        <is>
          <t>ALMACENES DELCA, S.A.</t>
        </is>
      </c>
      <c r="AA1676" s="167" t="inlineStr">
        <is>
          <t>DIN</t>
        </is>
      </c>
      <c r="AB1676" s="167" t="inlineStr">
        <is>
          <t>DIN7985-M5X14-A2-70</t>
        </is>
      </c>
      <c r="AC1676" s="167" t="inlineStr"/>
      <c r="AD1676" s="167" t="n">
        <v>0</v>
      </c>
      <c r="AE1676" s="185" t="n">
        <v>0</v>
      </c>
      <c r="AG1676" s="167" t="inlineStr">
        <is>
          <t>7218|JA2583_1001</t>
        </is>
      </c>
      <c r="AH1676" s="47">
        <f>IF(M1676=0,"-",M1676-J1676)</f>
        <v/>
      </c>
      <c r="AI1676" s="46">
        <f>IF(AND(S1676=0,M1676&gt;0,L1676=0),IF(AH1676&gt;=120,"VERY HIGH",IF(AH1676&gt;=90,"HIGH",IF(AH1676&gt;=60,"MEDIUM",IF(AH1676&lt;60,"LOW")))),"-")</f>
        <v/>
      </c>
      <c r="AJ1676" s="12" t="n"/>
      <c r="AK1676" s="53">
        <f>IF(AND(W1676="X",M1676&lt;=$AJ$2),"YES","")</f>
        <v/>
      </c>
      <c r="AL1676" s="54">
        <f>IF(AND(W1676="X",M1676&lt;=$AJ$2),S1676,"")</f>
        <v/>
      </c>
      <c r="AM1676" s="35" t="n"/>
      <c r="AN1676" s="35">
        <f>IF(AND(W1676="X",M1676&gt;$AJ$2),S1676,"")</f>
        <v/>
      </c>
      <c r="AO1676" s="35">
        <f>IF(AND(W1676="",M1676&gt;0,$AJ$2&gt;M1676,L1676=""),1,0)</f>
        <v/>
      </c>
      <c r="AP1676" s="35">
        <f>IF(AND(AK1676="YES",W1676="X"),"X","")</f>
        <v/>
      </c>
      <c r="AQ1676" s="55">
        <f>IF(AP1676="X",100%,0%)</f>
        <v/>
      </c>
      <c r="AR1676" s="25">
        <f>IF(AND(T1676&gt;0,L1676=""),H1676,"")</f>
        <v/>
      </c>
      <c r="AS1676" s="25">
        <f>IF(AND(D1676&gt;0,H1676=0,G1676=""),1,"")</f>
        <v/>
      </c>
      <c r="AT1676" s="25">
        <f>IF(G1676="BLOQ",1,"")</f>
        <v/>
      </c>
      <c r="AU1676" s="25">
        <f>IF(L1676="BLOQ",1,"")</f>
        <v/>
      </c>
      <c r="AV1676" s="25">
        <f>MONTH(F1676)</f>
        <v/>
      </c>
      <c r="AW1676" s="65">
        <f>IF(AP1676="",100%,0%)</f>
        <v/>
      </c>
      <c r="AX1676" s="56" t="n"/>
      <c r="AY1676" s="24">
        <f>IF(M1676=0,"",M1676-$AX$2)</f>
        <v/>
      </c>
      <c r="AZ1676" s="66">
        <f>IF(AND(W1676="",AY1676&gt;0,AY1676&lt;15),1,0)</f>
        <v/>
      </c>
      <c r="BA1676" s="24">
        <f>IF(AND(W1676="",AY1676&gt;0,AY1676&lt;15),T1676,"")</f>
        <v/>
      </c>
      <c r="BB1676" s="87">
        <f>IF(R1676&lt;Q1676,"X","")</f>
        <v/>
      </c>
      <c r="BC1676" s="190" t="inlineStr">
        <is>
          <t>NO</t>
        </is>
      </c>
      <c r="BD1676" s="191" t="inlineStr">
        <is>
          <t>SI</t>
        </is>
      </c>
    </row>
    <row r="1677" ht="15" customHeight="1" s="162">
      <c r="A1677" s="7" t="n">
        <v>1676</v>
      </c>
      <c r="B1677" s="167" t="inlineStr">
        <is>
          <t>1538013015001</t>
        </is>
      </c>
      <c r="C1677" s="167" t="inlineStr">
        <is>
          <t>TUR INSERT ANTI-ROT M4 L=15MM INOX</t>
        </is>
      </c>
      <c r="D1677" s="167" t="inlineStr">
        <is>
          <t>1800127076</t>
        </is>
      </c>
      <c r="E1677" s="167" t="inlineStr">
        <is>
          <t>20</t>
        </is>
      </c>
      <c r="F1677" s="167" t="n">
        <v>45847</v>
      </c>
      <c r="G1677" s="167" t="inlineStr"/>
      <c r="H1677" s="167" t="inlineStr">
        <is>
          <t>4200623166</t>
        </is>
      </c>
      <c r="I1677" s="167" t="inlineStr">
        <is>
          <t>10</t>
        </is>
      </c>
      <c r="J1677" s="184" t="n">
        <v>45877</v>
      </c>
      <c r="K1677" s="184" t="n">
        <v>45880</v>
      </c>
      <c r="L1677" s="184" t="inlineStr"/>
      <c r="M1677" s="184" t="n">
        <v>45930</v>
      </c>
      <c r="N1677" s="167" t="n">
        <v>100</v>
      </c>
      <c r="O1677" s="167" t="n">
        <v>8</v>
      </c>
      <c r="P1677" s="167" t="inlineStr">
        <is>
          <t>Liberado</t>
        </is>
      </c>
      <c r="Q1677" s="167" t="n">
        <v>6</v>
      </c>
      <c r="R1677" s="167" t="n">
        <v>100</v>
      </c>
      <c r="S1677" s="167" t="n">
        <v>100</v>
      </c>
      <c r="T1677" s="167" t="n">
        <v>0</v>
      </c>
      <c r="U1677" s="167" t="n">
        <v>100</v>
      </c>
      <c r="V1677" s="167" t="n">
        <v>0</v>
      </c>
      <c r="W1677" s="167" t="inlineStr">
        <is>
          <t>X</t>
        </is>
      </c>
      <c r="X1677" s="167" t="inlineStr">
        <is>
          <t>0.00</t>
        </is>
      </c>
      <c r="Y1677" s="167" t="inlineStr"/>
      <c r="Z1677" s="167" t="inlineStr">
        <is>
          <t>AMF MADRID SL</t>
        </is>
      </c>
      <c r="AA1677" s="167" t="inlineStr">
        <is>
          <t>SIMAF</t>
        </is>
      </c>
      <c r="AB1677" s="167" t="inlineStr">
        <is>
          <t>4 TFB 40 X</t>
        </is>
      </c>
      <c r="AC1677" s="167" t="inlineStr"/>
      <c r="AD1677" s="167" t="n">
        <v>1</v>
      </c>
      <c r="AE1677" s="185" t="n">
        <v>1</v>
      </c>
      <c r="AG1677" s="167" t="inlineStr">
        <is>
          <t>7218|JA2583_1001</t>
        </is>
      </c>
      <c r="AH1677" s="47">
        <f>IF(M1677=0,"-",M1677-J1677)</f>
        <v/>
      </c>
      <c r="AI1677" s="46">
        <f>IF(AND(S1677=0,M1677&gt;0,L1677=0),IF(AH1677&gt;=120,"VERY HIGH",IF(AH1677&gt;=90,"HIGH",IF(AH1677&gt;=60,"MEDIUM",IF(AH1677&lt;60,"LOW")))),"-")</f>
        <v/>
      </c>
      <c r="AJ1677" s="12" t="n"/>
      <c r="AK1677" s="53">
        <f>IF(AND(W1677="X",M1677&lt;=$AJ$2),"YES","")</f>
        <v/>
      </c>
      <c r="AL1677" s="54">
        <f>IF(AND(W1677="X",M1677&lt;=$AJ$2),S1677,"")</f>
        <v/>
      </c>
      <c r="AM1677" s="35" t="n"/>
      <c r="AN1677" s="35">
        <f>IF(AND(W1677="X",M1677&gt;$AJ$2),S1677,"")</f>
        <v/>
      </c>
      <c r="AO1677" s="35">
        <f>IF(AND(W1677="",M1677&gt;0,$AJ$2&gt;M1677,L1677=""),1,0)</f>
        <v/>
      </c>
      <c r="AP1677" s="35">
        <f>IF(AND(AK1677="YES",W1677="X"),"X","")</f>
        <v/>
      </c>
      <c r="AQ1677" s="55">
        <f>IF(AP1677="X",100%,0%)</f>
        <v/>
      </c>
      <c r="AR1677" s="25">
        <f>IF(AND(T1677&gt;0,L1677=""),H1677,"")</f>
        <v/>
      </c>
      <c r="AS1677" s="25">
        <f>IF(AND(D1677&gt;0,H1677=0,G1677=""),1,"")</f>
        <v/>
      </c>
      <c r="AT1677" s="25">
        <f>IF(G1677="BLOQ",1,"")</f>
        <v/>
      </c>
      <c r="AU1677" s="25">
        <f>IF(L1677="BLOQ",1,"")</f>
        <v/>
      </c>
      <c r="AV1677" s="25">
        <f>MONTH(F1677)</f>
        <v/>
      </c>
      <c r="AW1677" s="65">
        <f>IF(AP1677="",100%,0%)</f>
        <v/>
      </c>
      <c r="AX1677" s="56" t="n"/>
      <c r="AY1677" s="24">
        <f>IF(M1677=0,"",M1677-$AX$2)</f>
        <v/>
      </c>
      <c r="AZ1677" s="66">
        <f>IF(AND(W1677="",AY1677&gt;0,AY1677&lt;15),1,0)</f>
        <v/>
      </c>
      <c r="BA1677" s="24">
        <f>IF(AND(W1677="",AY1677&gt;0,AY1677&lt;15),T1677,"")</f>
        <v/>
      </c>
      <c r="BB1677" s="87">
        <f>IF(R1677&lt;Q1677,"X","")</f>
        <v/>
      </c>
      <c r="BC1677" s="190" t="inlineStr">
        <is>
          <t>NO</t>
        </is>
      </c>
      <c r="BD1677" s="191" t="inlineStr">
        <is>
          <t>SI</t>
        </is>
      </c>
    </row>
    <row r="1678" ht="15" customHeight="1" s="162">
      <c r="A1678" s="7" t="n">
        <v>1677</v>
      </c>
      <c r="B1678" s="167" t="inlineStr">
        <is>
          <t>1538015011001</t>
        </is>
      </c>
      <c r="C1678" s="167" t="inlineStr">
        <is>
          <t>TUR INSERT AV M5 L=11.5MM INOX AISI-303</t>
        </is>
      </c>
      <c r="D1678" s="167" t="inlineStr">
        <is>
          <t>1800127076</t>
        </is>
      </c>
      <c r="E1678" s="167" t="inlineStr">
        <is>
          <t>30</t>
        </is>
      </c>
      <c r="F1678" s="167" t="n">
        <v>45847</v>
      </c>
      <c r="G1678" s="167" t="inlineStr"/>
      <c r="H1678" s="167" t="inlineStr">
        <is>
          <t>4200623166</t>
        </is>
      </c>
      <c r="I1678" s="167" t="inlineStr">
        <is>
          <t>20</t>
        </is>
      </c>
      <c r="J1678" s="184" t="n">
        <v>45877</v>
      </c>
      <c r="K1678" s="184" t="n">
        <v>45880</v>
      </c>
      <c r="L1678" s="184" t="inlineStr"/>
      <c r="M1678" s="184" t="n">
        <v>45930</v>
      </c>
      <c r="N1678" s="167" t="n">
        <v>60</v>
      </c>
      <c r="O1678" s="167" t="n">
        <v>8</v>
      </c>
      <c r="P1678" s="167" t="inlineStr">
        <is>
          <t>Liberado</t>
        </is>
      </c>
      <c r="Q1678" s="167" t="n">
        <v>2</v>
      </c>
      <c r="R1678" s="167" t="n">
        <v>100</v>
      </c>
      <c r="S1678" s="167" t="n">
        <v>100</v>
      </c>
      <c r="T1678" s="167" t="n">
        <v>0</v>
      </c>
      <c r="U1678" s="167" t="n">
        <v>100</v>
      </c>
      <c r="V1678" s="167" t="n">
        <v>0</v>
      </c>
      <c r="W1678" s="167" t="inlineStr">
        <is>
          <t>X</t>
        </is>
      </c>
      <c r="X1678" s="167" t="inlineStr">
        <is>
          <t>0.00</t>
        </is>
      </c>
      <c r="Y1678" s="167" t="inlineStr"/>
      <c r="Z1678" s="167" t="inlineStr">
        <is>
          <t>AMF MADRID SL</t>
        </is>
      </c>
      <c r="AA1678" s="167" t="inlineStr">
        <is>
          <t>SERBLOC</t>
        </is>
      </c>
      <c r="AB1678" s="167" t="inlineStr">
        <is>
          <t>5 TF 30 X</t>
        </is>
      </c>
      <c r="AC1678" s="167" t="inlineStr"/>
      <c r="AD1678" s="167" t="n">
        <v>1</v>
      </c>
      <c r="AE1678" s="185" t="n">
        <v>1</v>
      </c>
      <c r="AG1678" s="167" t="inlineStr">
        <is>
          <t>7218|JA2583_1001</t>
        </is>
      </c>
      <c r="AH1678" s="47">
        <f>IF(M1678=0,"-",M1678-J1678)</f>
        <v/>
      </c>
      <c r="AI1678" s="46">
        <f>IF(AND(S1678=0,M1678&gt;0,L1678=0),IF(AH1678&gt;=120,"VERY HIGH",IF(AH1678&gt;=90,"HIGH",IF(AH1678&gt;=60,"MEDIUM",IF(AH1678&lt;60,"LOW")))),"-")</f>
        <v/>
      </c>
      <c r="AJ1678" s="12" t="n"/>
      <c r="AK1678" s="53">
        <f>IF(AND(W1678="X",M1678&lt;=$AJ$2),"YES","")</f>
        <v/>
      </c>
      <c r="AL1678" s="54">
        <f>IF(AND(W1678="X",M1678&lt;=$AJ$2),S1678,"")</f>
        <v/>
      </c>
      <c r="AM1678" s="35" t="n"/>
      <c r="AN1678" s="35">
        <f>IF(AND(W1678="X",M1678&gt;$AJ$2),S1678,"")</f>
        <v/>
      </c>
      <c r="AO1678" s="35">
        <f>IF(AND(W1678="",M1678&gt;0,$AJ$2&gt;M1678,L1678=""),1,0)</f>
        <v/>
      </c>
      <c r="AP1678" s="35">
        <f>IF(AND(AK1678="YES",W1678="X"),"X","")</f>
        <v/>
      </c>
      <c r="AQ1678" s="55">
        <f>IF(AP1678="X",100%,0%)</f>
        <v/>
      </c>
      <c r="AR1678" s="25">
        <f>IF(AND(T1678&gt;0,L1678=""),H1678,"")</f>
        <v/>
      </c>
      <c r="AS1678" s="25">
        <f>IF(AND(D1678&gt;0,H1678=0,G1678=""),1,"")</f>
        <v/>
      </c>
      <c r="AT1678" s="25">
        <f>IF(G1678="BLOQ",1,"")</f>
        <v/>
      </c>
      <c r="AU1678" s="25">
        <f>IF(L1678="BLOQ",1,"")</f>
        <v/>
      </c>
      <c r="AV1678" s="25">
        <f>MONTH(F1678)</f>
        <v/>
      </c>
      <c r="AW1678" s="65">
        <f>IF(AP1678="",100%,0%)</f>
        <v/>
      </c>
      <c r="AX1678" s="56" t="n"/>
      <c r="AY1678" s="24">
        <f>IF(M1678=0,"",M1678-$AX$2)</f>
        <v/>
      </c>
      <c r="AZ1678" s="66">
        <f>IF(AND(W1678="",AY1678&gt;0,AY1678&lt;15),1,0)</f>
        <v/>
      </c>
      <c r="BA1678" s="24">
        <f>IF(AND(W1678="",AY1678&gt;0,AY1678&lt;15),T1678,"")</f>
        <v/>
      </c>
      <c r="BB1678" s="87">
        <f>IF(R1678&lt;Q1678,"X","")</f>
        <v/>
      </c>
      <c r="BC1678" s="190" t="inlineStr">
        <is>
          <t>NO</t>
        </is>
      </c>
      <c r="BD1678" s="191" t="inlineStr">
        <is>
          <t>SI</t>
        </is>
      </c>
    </row>
    <row r="1679" ht="15" customHeight="1" s="162">
      <c r="A1679" s="7" t="n">
        <v>1678</v>
      </c>
      <c r="B1679" s="167" t="inlineStr">
        <is>
          <t>7883000582700</t>
        </is>
      </c>
      <c r="C1679" s="167" t="inlineStr">
        <is>
          <t>ALFOMBRA SEGURIDAD RKP 1890X750MM CBL=2/</t>
        </is>
      </c>
      <c r="D1679" s="167" t="inlineStr">
        <is>
          <t>1800127761</t>
        </is>
      </c>
      <c r="E1679" s="167" t="inlineStr">
        <is>
          <t>10</t>
        </is>
      </c>
      <c r="F1679" s="184" t="n">
        <v>45862</v>
      </c>
      <c r="G1679" s="167" t="inlineStr"/>
      <c r="H1679" s="167" t="inlineStr">
        <is>
          <t>4200621836</t>
        </is>
      </c>
      <c r="I1679" s="167" t="inlineStr">
        <is>
          <t>10</t>
        </is>
      </c>
      <c r="J1679" s="184" t="n">
        <v>45868</v>
      </c>
      <c r="K1679" s="184" t="n">
        <v>45868</v>
      </c>
      <c r="L1679" s="184" t="inlineStr"/>
      <c r="M1679" s="184" t="n">
        <v>45894</v>
      </c>
      <c r="N1679" s="167" t="n">
        <v>50</v>
      </c>
      <c r="O1679" s="167" t="n">
        <v>8</v>
      </c>
      <c r="P1679" s="167" t="inlineStr">
        <is>
          <t>Liberado</t>
        </is>
      </c>
      <c r="Q1679" s="167" t="n">
        <v>2</v>
      </c>
      <c r="R1679" s="167" t="n">
        <v>2</v>
      </c>
      <c r="S1679" s="167" t="n">
        <v>2</v>
      </c>
      <c r="T1679" s="167" t="n">
        <v>0</v>
      </c>
      <c r="U1679" s="167" t="n">
        <v>0</v>
      </c>
      <c r="V1679" s="167" t="n">
        <v>0</v>
      </c>
      <c r="W1679" s="167" t="inlineStr">
        <is>
          <t>X</t>
        </is>
      </c>
      <c r="X1679" s="167" t="inlineStr">
        <is>
          <t>0.00</t>
        </is>
      </c>
      <c r="Y1679" s="167" t="inlineStr"/>
      <c r="Z1679" s="167" t="inlineStr">
        <is>
          <t>SAFEWORK, S.L.</t>
        </is>
      </c>
      <c r="AA1679" s="167" t="inlineStr">
        <is>
          <t>SAFEWORK</t>
        </is>
      </c>
      <c r="AB1679" s="167" t="inlineStr">
        <is>
          <t>RKP TBC 9/1890X750MM</t>
        </is>
      </c>
      <c r="AC1679" s="167" t="inlineStr"/>
      <c r="AD1679" s="167" t="n">
        <v>2</v>
      </c>
      <c r="AE1679" s="185" t="n">
        <v>2</v>
      </c>
      <c r="AG1679" s="167" t="inlineStr">
        <is>
          <t>7218|JA2583_1001</t>
        </is>
      </c>
      <c r="AH1679" s="47">
        <f>IF(M1679=0,"-",M1679-J1679)</f>
        <v/>
      </c>
      <c r="AI1679" s="46">
        <f>IF(AND(S1679=0,M1679&gt;0,L1679=0),IF(AH1679&gt;=120,"VERY HIGH",IF(AH1679&gt;=90,"HIGH",IF(AH1679&gt;=60,"MEDIUM",IF(AH1679&lt;60,"LOW")))),"-")</f>
        <v/>
      </c>
      <c r="AJ1679" s="12" t="n"/>
      <c r="AK1679" s="53">
        <f>IF(AND(W1679="X",M1679&lt;=$AJ$2),"YES","")</f>
        <v/>
      </c>
      <c r="AL1679" s="54">
        <f>IF(AND(W1679="X",M1679&lt;=$AJ$2),S1679,"")</f>
        <v/>
      </c>
      <c r="AM1679" s="35" t="n"/>
      <c r="AN1679" s="35">
        <f>IF(AND(W1679="X",M1679&gt;$AJ$2),S1679,"")</f>
        <v/>
      </c>
      <c r="AO1679" s="35">
        <f>IF(AND(W1679="",M1679&gt;0,$AJ$2&gt;M1679,L1679=""),1,0)</f>
        <v/>
      </c>
      <c r="AP1679" s="35">
        <f>IF(AND(AK1679="YES",W1679="X"),"X","")</f>
        <v/>
      </c>
      <c r="AQ1679" s="55">
        <f>IF(AP1679="X",100%,0%)</f>
        <v/>
      </c>
      <c r="AR1679" s="25">
        <f>IF(AND(T1679&gt;0,L1679=""),H1679,"")</f>
        <v/>
      </c>
      <c r="AS1679" s="25">
        <f>IF(AND(D1679&gt;0,H1679=0,G1679=""),1,"")</f>
        <v/>
      </c>
      <c r="AT1679" s="25">
        <f>IF(G1679="BLOQ",1,"")</f>
        <v/>
      </c>
      <c r="AU1679" s="25">
        <f>IF(L1679="BLOQ",1,"")</f>
        <v/>
      </c>
      <c r="AV1679" s="25">
        <f>MONTH(F1679)</f>
        <v/>
      </c>
      <c r="AW1679" s="65">
        <f>IF(AP1679="",100%,0%)</f>
        <v/>
      </c>
      <c r="AX1679" s="56" t="n"/>
      <c r="AY1679" s="24">
        <f>IF(M1679=0,"",M1679-$AX$2)</f>
        <v/>
      </c>
      <c r="AZ1679" s="66">
        <f>IF(AND(W1679="",AY1679&gt;0,AY1679&lt;15),1,0)</f>
        <v/>
      </c>
      <c r="BA1679" s="24">
        <f>IF(AND(W1679="",AY1679&gt;0,AY1679&lt;15),T1679,"")</f>
        <v/>
      </c>
      <c r="BB1679" s="87">
        <f>IF(R1679&lt;Q1679,"X","")</f>
        <v/>
      </c>
      <c r="BC1679" s="191" t="inlineStr">
        <is>
          <t>SI</t>
        </is>
      </c>
      <c r="BD1679" s="191" t="inlineStr">
        <is>
          <t>SI</t>
        </is>
      </c>
    </row>
    <row r="1680" ht="15" customHeight="1" s="162">
      <c r="A1680" s="7" t="n">
        <v>1679</v>
      </c>
      <c r="B1680" s="167" t="inlineStr">
        <is>
          <t>1750101350000</t>
        </is>
      </c>
      <c r="C1680" s="167" t="inlineStr">
        <is>
          <t>TUBERIA FLEX DE=90MM DS=98MM -10/60C PVC</t>
        </is>
      </c>
      <c r="D1680" s="167" t="inlineStr">
        <is>
          <t>1800128117</t>
        </is>
      </c>
      <c r="E1680" s="167" t="inlineStr">
        <is>
          <t>10</t>
        </is>
      </c>
      <c r="F1680" s="167" t="n">
        <v>45873</v>
      </c>
      <c r="G1680" s="167" t="inlineStr"/>
      <c r="H1680" s="167" t="inlineStr">
        <is>
          <t>4200625496</t>
        </is>
      </c>
      <c r="I1680" s="167" t="inlineStr">
        <is>
          <t>10</t>
        </is>
      </c>
      <c r="J1680" s="184" t="n">
        <v>45903</v>
      </c>
      <c r="K1680" s="184" t="n">
        <v>45905</v>
      </c>
      <c r="L1680" s="184" t="inlineStr"/>
      <c r="M1680" s="184" t="n">
        <v>45923</v>
      </c>
      <c r="N1680" s="167" t="n">
        <v>60</v>
      </c>
      <c r="O1680" s="167" t="n">
        <v>8</v>
      </c>
      <c r="P1680" s="167" t="inlineStr">
        <is>
          <t>Liberado</t>
        </is>
      </c>
      <c r="Q1680" s="167" t="n">
        <v>30</v>
      </c>
      <c r="R1680" s="167" t="n">
        <v>30</v>
      </c>
      <c r="S1680" s="167" t="n">
        <v>30</v>
      </c>
      <c r="T1680" s="167" t="n">
        <v>0</v>
      </c>
      <c r="U1680" s="167" t="n">
        <v>30</v>
      </c>
      <c r="V1680" s="167" t="n">
        <v>0</v>
      </c>
      <c r="W1680" s="167" t="inlineStr">
        <is>
          <t>X</t>
        </is>
      </c>
      <c r="X1680" s="167" t="inlineStr">
        <is>
          <t>0.00</t>
        </is>
      </c>
      <c r="Y1680" s="167" t="inlineStr"/>
      <c r="Z1680" s="167" t="inlineStr">
        <is>
          <t>FERRETERIA FERAYU SL</t>
        </is>
      </c>
      <c r="AA1680" s="167" t="inlineStr">
        <is>
          <t>URARTU</t>
        </is>
      </c>
      <c r="AB1680" s="167" t="inlineStr">
        <is>
          <t>122090</t>
        </is>
      </c>
      <c r="AC1680" s="167" t="inlineStr"/>
      <c r="AD1680" s="167" t="n">
        <v>0</v>
      </c>
      <c r="AE1680" s="185" t="n">
        <v>0</v>
      </c>
      <c r="AG1680" s="167" t="inlineStr">
        <is>
          <t>7218|JA2582_1001</t>
        </is>
      </c>
      <c r="AH1680" s="47">
        <f>IF(M1680=0,"-",M1680-J1680)</f>
        <v/>
      </c>
      <c r="AI1680" s="46">
        <f>IF(AND(S1680=0,M1680&gt;0,L1680=0),IF(AH1680&gt;=120,"VERY HIGH",IF(AH1680&gt;=90,"HIGH",IF(AH1680&gt;=60,"MEDIUM",IF(AH1680&lt;60,"LOW")))),"-")</f>
        <v/>
      </c>
      <c r="AJ1680" s="12" t="n"/>
      <c r="AK1680" s="53">
        <f>IF(AND(W1680="X",M1680&lt;=$AJ$2),"YES","")</f>
        <v/>
      </c>
      <c r="AL1680" s="54">
        <f>IF(AND(W1680="X",M1680&lt;=$AJ$2),S1680,"")</f>
        <v/>
      </c>
      <c r="AM1680" s="35" t="n"/>
      <c r="AN1680" s="35">
        <f>IF(AND(W1680="X",M1680&gt;$AJ$2),S1680,"")</f>
        <v/>
      </c>
      <c r="AO1680" s="35">
        <f>IF(AND(W1680="",M1680&gt;0,$AJ$2&gt;M1680,L1680=""),1,0)</f>
        <v/>
      </c>
      <c r="AP1680" s="35">
        <f>IF(AND(AK1680="YES",W1680="X"),"X","")</f>
        <v/>
      </c>
      <c r="AQ1680" s="55">
        <f>IF(AP1680="X",100%,0%)</f>
        <v/>
      </c>
      <c r="AR1680" s="25">
        <f>IF(AND(T1680&gt;0,L1680=""),H1680,"")</f>
        <v/>
      </c>
      <c r="AS1680" s="25">
        <f>IF(AND(D1680&gt;0,H1680=0,G1680=""),1,"")</f>
        <v/>
      </c>
      <c r="AT1680" s="25">
        <f>IF(G1680="BLOQ",1,"")</f>
        <v/>
      </c>
      <c r="AU1680" s="25">
        <f>IF(L1680="BLOQ",1,"")</f>
        <v/>
      </c>
      <c r="AV1680" s="25">
        <f>MONTH(F1680)</f>
        <v/>
      </c>
      <c r="AW1680" s="65">
        <f>IF(AP1680="",100%,0%)</f>
        <v/>
      </c>
      <c r="AX1680" s="56" t="n"/>
      <c r="AY1680" s="24">
        <f>IF(M1680=0,"",M1680-$AX$2)</f>
        <v/>
      </c>
      <c r="AZ1680" s="66">
        <f>IF(AND(W1680="",AY1680&gt;0,AY1680&lt;15),1,0)</f>
        <v/>
      </c>
      <c r="BA1680" s="24">
        <f>IF(AND(W1680="",AY1680&gt;0,AY1680&lt;15),T1680,"")</f>
        <v/>
      </c>
      <c r="BB1680" s="87">
        <f>IF(R1680&lt;Q1680,"X","")</f>
        <v/>
      </c>
      <c r="BC1680" s="190" t="inlineStr">
        <is>
          <t>NO</t>
        </is>
      </c>
      <c r="BD1680" s="191" t="inlineStr">
        <is>
          <t>SI</t>
        </is>
      </c>
    </row>
    <row r="1681">
      <c r="A1681" s="7" t="n">
        <v>1680</v>
      </c>
      <c r="B1681" s="167" t="inlineStr">
        <is>
          <t>0973588330200</t>
        </is>
      </c>
      <c r="C1681" s="167" t="inlineStr">
        <is>
          <t>DOOR INTERNAL FRAME</t>
        </is>
      </c>
      <c r="D1681" s="167" t="inlineStr">
        <is>
          <t>1800128532</t>
        </is>
      </c>
      <c r="E1681" s="167" t="inlineStr">
        <is>
          <t>10</t>
        </is>
      </c>
      <c r="F1681" s="167" t="n">
        <v>45889</v>
      </c>
      <c r="G1681" s="167" t="inlineStr"/>
      <c r="H1681" s="167" t="inlineStr">
        <is>
          <t>4200629548</t>
        </is>
      </c>
      <c r="I1681" s="167" t="inlineStr">
        <is>
          <t>50</t>
        </is>
      </c>
      <c r="J1681" s="184" t="n">
        <v>45932</v>
      </c>
      <c r="K1681" s="184" t="n">
        <v>45945</v>
      </c>
      <c r="L1681" s="184" t="inlineStr"/>
      <c r="M1681" s="184" t="n">
        <v>45981</v>
      </c>
      <c r="N1681" s="167" t="n">
        <v>40</v>
      </c>
      <c r="O1681" s="167" t="n">
        <v>8</v>
      </c>
      <c r="P1681" s="167" t="inlineStr">
        <is>
          <t>Liberado</t>
        </is>
      </c>
      <c r="Q1681" s="167" t="n">
        <v>1</v>
      </c>
      <c r="R1681" s="167" t="n">
        <v>1</v>
      </c>
      <c r="S1681" s="167" t="n">
        <v>1</v>
      </c>
      <c r="T1681" s="167" t="n">
        <v>1</v>
      </c>
      <c r="U1681" s="167" t="n">
        <v>0</v>
      </c>
      <c r="V1681" s="167" t="n">
        <v>1</v>
      </c>
      <c r="W1681" s="167" t="inlineStr"/>
      <c r="X1681" s="167" t="inlineStr">
        <is>
          <t>289.60</t>
        </is>
      </c>
      <c r="Y1681" s="167" t="inlineStr"/>
      <c r="Z1681" s="167" t="inlineStr">
        <is>
          <t>PREFIMETAL, S.A.</t>
        </is>
      </c>
      <c r="AA1681" s="167" t="inlineStr">
        <is>
          <t>INDRA SISTEMAS S.A.</t>
        </is>
      </c>
      <c r="AB1681" s="167" t="inlineStr">
        <is>
          <t>0973588330200</t>
        </is>
      </c>
      <c r="AC1681" s="167" t="inlineStr"/>
      <c r="AD1681" s="167" t="n">
        <v>0</v>
      </c>
      <c r="AE1681" s="167" t="n">
        <v>0</v>
      </c>
      <c r="AG1681" s="167" t="inlineStr">
        <is>
          <t>7218|JA2582_1001</t>
        </is>
      </c>
      <c r="AH1681" s="47">
        <f>IF(M1681=0,"-",M1681-J1681)</f>
        <v/>
      </c>
      <c r="AI1681" s="46">
        <f>IF(AND(S1681=0,M1681&gt;0,L1681=0),IF(AH1681&gt;=120,"VERY HIGH",IF(AH1681&gt;=90,"HIGH",IF(AH1681&gt;=60,"MEDIUM",IF(AH1681&lt;60,"LOW")))),"-")</f>
        <v/>
      </c>
      <c r="AJ1681" s="12" t="n"/>
      <c r="AK1681" s="53">
        <f>IF(AND(W1681="X",M1681&lt;=$AJ$2),"YES","")</f>
        <v/>
      </c>
      <c r="AL1681" s="54">
        <f>IF(AND(W1681="X",M1681&lt;=$AJ$2),S1681,"")</f>
        <v/>
      </c>
      <c r="AM1681" s="35" t="n"/>
      <c r="AN1681" s="35">
        <f>IF(AND(W1681="X",M1681&gt;$AJ$2),S1681,"")</f>
        <v/>
      </c>
      <c r="AO1681" s="35">
        <f>IF(AND(W1681="",M1681&gt;0,$AJ$2&gt;M1681,L1681=""),1,0)</f>
        <v/>
      </c>
      <c r="AP1681" s="35">
        <f>IF(AND(AK1681="YES",W1681="X"),"X","")</f>
        <v/>
      </c>
      <c r="AQ1681" s="55">
        <f>IF(AP1681="X",100%,0%)</f>
        <v/>
      </c>
      <c r="AR1681" s="25">
        <f>IF(AND(T1681&gt;0,L1681=""),H1681,"")</f>
        <v/>
      </c>
      <c r="AS1681" s="25">
        <f>IF(AND(D1681&gt;0,H1681=0,G1681=""),1,"")</f>
        <v/>
      </c>
      <c r="AT1681" s="25">
        <f>IF(G1681="BLOQ",1,"")</f>
        <v/>
      </c>
      <c r="AU1681" s="25">
        <f>IF(L1681="BLOQ",1,"")</f>
        <v/>
      </c>
      <c r="AV1681" s="25">
        <f>MONTH(F1681)</f>
        <v/>
      </c>
      <c r="AW1681" s="65">
        <f>IF(AP1681="",100%,0%)</f>
        <v/>
      </c>
      <c r="AX1681" s="56" t="n"/>
      <c r="AY1681" s="24">
        <f>IF(M1681=0,"",M1681-$AX$2)</f>
        <v/>
      </c>
      <c r="AZ1681" s="66">
        <f>IF(AND(W1681="",AY1681&gt;0,AY1681&lt;15),1,0)</f>
        <v/>
      </c>
      <c r="BA1681" s="24">
        <f>IF(AND(W1681="",AY1681&gt;0,AY1681&lt;15),T1681,"")</f>
        <v/>
      </c>
      <c r="BB1681" s="87">
        <f>IF(R1681&lt;Q1681,"X","")</f>
        <v/>
      </c>
      <c r="BC1681" s="191" t="inlineStr">
        <is>
          <t>SI</t>
        </is>
      </c>
      <c r="BD1681" s="191" t="inlineStr">
        <is>
          <t>SI</t>
        </is>
      </c>
    </row>
    <row r="1682">
      <c r="A1682" s="7" t="n">
        <v>1681</v>
      </c>
      <c r="B1682" s="167" t="inlineStr">
        <is>
          <t>0973588330300</t>
        </is>
      </c>
      <c r="C1682" s="167" t="inlineStr">
        <is>
          <t>DOOR EXTERNAL FRAME</t>
        </is>
      </c>
      <c r="D1682" s="167" t="inlineStr">
        <is>
          <t>1800128532</t>
        </is>
      </c>
      <c r="E1682" s="167" t="inlineStr">
        <is>
          <t>20</t>
        </is>
      </c>
      <c r="F1682" s="167" t="n">
        <v>45889</v>
      </c>
      <c r="G1682" s="167" t="inlineStr"/>
      <c r="H1682" s="167" t="inlineStr">
        <is>
          <t>4200629548</t>
        </is>
      </c>
      <c r="I1682" s="167" t="inlineStr">
        <is>
          <t>60</t>
        </is>
      </c>
      <c r="J1682" s="184" t="n">
        <v>45932</v>
      </c>
      <c r="K1682" s="184" t="n">
        <v>45945</v>
      </c>
      <c r="L1682" s="184" t="inlineStr"/>
      <c r="M1682" s="184" t="n">
        <v>45981</v>
      </c>
      <c r="N1682" s="167" t="n">
        <v>40</v>
      </c>
      <c r="O1682" s="167" t="n">
        <v>8</v>
      </c>
      <c r="P1682" s="167" t="inlineStr">
        <is>
          <t>Liberado</t>
        </is>
      </c>
      <c r="Q1682" s="167" t="n">
        <v>1</v>
      </c>
      <c r="R1682" s="167" t="n">
        <v>1</v>
      </c>
      <c r="S1682" s="167" t="n">
        <v>1</v>
      </c>
      <c r="T1682" s="167" t="n">
        <v>0</v>
      </c>
      <c r="U1682" s="167" t="n">
        <v>1</v>
      </c>
      <c r="V1682" s="167" t="n">
        <v>0</v>
      </c>
      <c r="W1682" s="167" t="inlineStr">
        <is>
          <t>X</t>
        </is>
      </c>
      <c r="X1682" s="167" t="inlineStr">
        <is>
          <t>0.00</t>
        </is>
      </c>
      <c r="Y1682" s="167" t="inlineStr"/>
      <c r="Z1682" s="167" t="inlineStr">
        <is>
          <t>PREFIMETAL, S.A.</t>
        </is>
      </c>
      <c r="AA1682" s="167" t="inlineStr">
        <is>
          <t>INDRA SISTEMAS S.A.</t>
        </is>
      </c>
      <c r="AB1682" s="167" t="inlineStr">
        <is>
          <t>0973588330300</t>
        </is>
      </c>
      <c r="AC1682" s="167" t="inlineStr"/>
      <c r="AD1682" s="167" t="n">
        <v>0</v>
      </c>
      <c r="AE1682" s="167" t="n">
        <v>0</v>
      </c>
      <c r="AG1682" s="167" t="inlineStr">
        <is>
          <t>7218|JA2582_1001</t>
        </is>
      </c>
      <c r="AH1682" s="47">
        <f>IF(M1682=0,"-",M1682-J1682)</f>
        <v/>
      </c>
      <c r="AI1682" s="46">
        <f>IF(AND(S1682=0,M1682&gt;0,L1682=0),IF(AH1682&gt;=120,"VERY HIGH",IF(AH1682&gt;=90,"HIGH",IF(AH1682&gt;=60,"MEDIUM",IF(AH1682&lt;60,"LOW")))),"-")</f>
        <v/>
      </c>
      <c r="AJ1682" s="12" t="n"/>
      <c r="AK1682" s="53">
        <f>IF(AND(W1682="X",M1682&lt;=$AJ$2),"YES","")</f>
        <v/>
      </c>
      <c r="AL1682" s="54">
        <f>IF(AND(W1682="X",M1682&lt;=$AJ$2),S1682,"")</f>
        <v/>
      </c>
      <c r="AM1682" s="35" t="n"/>
      <c r="AN1682" s="35">
        <f>IF(AND(W1682="X",M1682&gt;$AJ$2),S1682,"")</f>
        <v/>
      </c>
      <c r="AO1682" s="35">
        <f>IF(AND(W1682="",M1682&gt;0,$AJ$2&gt;M1682,L1682=""),1,0)</f>
        <v/>
      </c>
      <c r="AP1682" s="35">
        <f>IF(AND(AK1682="YES",W1682="X"),"X","")</f>
        <v/>
      </c>
      <c r="AQ1682" s="55">
        <f>IF(AP1682="X",100%,0%)</f>
        <v/>
      </c>
      <c r="AR1682" s="25">
        <f>IF(AND(T1682&gt;0,L1682=""),H1682,"")</f>
        <v/>
      </c>
      <c r="AS1682" s="25">
        <f>IF(AND(D1682&gt;0,H1682=0,G1682=""),1,"")</f>
        <v/>
      </c>
      <c r="AT1682" s="25">
        <f>IF(G1682="BLOQ",1,"")</f>
        <v/>
      </c>
      <c r="AU1682" s="25">
        <f>IF(L1682="BLOQ",1,"")</f>
        <v/>
      </c>
      <c r="AV1682" s="25">
        <f>MONTH(F1682)</f>
        <v/>
      </c>
      <c r="AW1682" s="65">
        <f>IF(AP1682="",100%,0%)</f>
        <v/>
      </c>
      <c r="AX1682" s="56" t="n"/>
      <c r="AY1682" s="24">
        <f>IF(M1682=0,"",M1682-$AX$2)</f>
        <v/>
      </c>
      <c r="AZ1682" s="66">
        <f>IF(AND(W1682="",AY1682&gt;0,AY1682&lt;15),1,0)</f>
        <v/>
      </c>
      <c r="BA1682" s="24">
        <f>IF(AND(W1682="",AY1682&gt;0,AY1682&lt;15),T1682,"")</f>
        <v/>
      </c>
      <c r="BB1682" s="87">
        <f>IF(R1682&lt;Q1682,"X","")</f>
        <v/>
      </c>
      <c r="BC1682" s="191" t="inlineStr">
        <is>
          <t>SI</t>
        </is>
      </c>
      <c r="BD1682" s="191" t="inlineStr">
        <is>
          <t>SI</t>
        </is>
      </c>
    </row>
    <row r="1683">
      <c r="A1683" s="7" t="n">
        <v>1682</v>
      </c>
      <c r="B1683" s="167" t="inlineStr">
        <is>
          <t>1390701500700</t>
        </is>
      </c>
      <c r="C1683" s="167" t="inlineStr">
        <is>
          <t>MOD MCDU SEQ27901 C/DISPLAY</t>
        </is>
      </c>
      <c r="D1683" s="167" t="inlineStr">
        <is>
          <t>1800128840</t>
        </is>
      </c>
      <c r="E1683" s="167" t="inlineStr">
        <is>
          <t>10</t>
        </is>
      </c>
      <c r="F1683" s="167" t="n">
        <v>45898</v>
      </c>
      <c r="G1683" s="167" t="inlineStr"/>
      <c r="H1683" s="167" t="inlineStr">
        <is>
          <t>4200625222</t>
        </is>
      </c>
      <c r="I1683" s="167" t="inlineStr">
        <is>
          <t>10</t>
        </is>
      </c>
      <c r="J1683" s="184" t="n">
        <v>45902</v>
      </c>
      <c r="K1683" s="184" t="n">
        <v>45902</v>
      </c>
      <c r="L1683" s="184" t="inlineStr"/>
      <c r="M1683" s="184" t="n">
        <v>46130</v>
      </c>
      <c r="N1683" s="167" t="n">
        <v>245</v>
      </c>
      <c r="O1683" s="167" t="n">
        <v>8</v>
      </c>
      <c r="P1683" s="167" t="inlineStr">
        <is>
          <t>Liberado</t>
        </is>
      </c>
      <c r="Q1683" s="167" t="n">
        <v>1</v>
      </c>
      <c r="R1683" s="167" t="n">
        <v>1</v>
      </c>
      <c r="S1683" s="167" t="n">
        <v>0</v>
      </c>
      <c r="T1683" s="167" t="n">
        <v>1</v>
      </c>
      <c r="U1683" s="167" t="n">
        <v>0</v>
      </c>
      <c r="V1683" s="167" t="n">
        <v>0</v>
      </c>
      <c r="W1683" s="167" t="inlineStr"/>
      <c r="X1683" s="167" t="inlineStr">
        <is>
          <t>9315.00</t>
        </is>
      </c>
      <c r="Y1683" s="167" t="inlineStr"/>
      <c r="Z1683" s="167" t="inlineStr">
        <is>
          <t>SUMINISTROS, FRESADOS Y GRABADOS</t>
        </is>
      </c>
      <c r="AA1683" s="167" t="inlineStr">
        <is>
          <t>GRABYSUR</t>
        </is>
      </c>
      <c r="AB1683" s="167" t="inlineStr">
        <is>
          <t>GR-SEQ27901</t>
        </is>
      </c>
      <c r="AC1683" s="167" t="inlineStr"/>
      <c r="AD1683" s="167" t="n">
        <v>1</v>
      </c>
      <c r="AE1683" s="167" t="n">
        <v>1</v>
      </c>
      <c r="AG1683" s="167" t="inlineStr">
        <is>
          <t>7218|JA2591_1001</t>
        </is>
      </c>
      <c r="AH1683" s="47">
        <f>IF(M1683=0,"-",M1683-J1683)</f>
        <v/>
      </c>
      <c r="AI1683" s="46">
        <f>IF(AND(S1683=0,M1683&gt;0,L1683=0),IF(AH1683&gt;=120,"VERY HIGH",IF(AH1683&gt;=90,"HIGH",IF(AH1683&gt;=60,"MEDIUM",IF(AH1683&lt;60,"LOW")))),"-")</f>
        <v/>
      </c>
      <c r="AJ1683" s="12" t="n"/>
      <c r="AK1683" s="53">
        <f>IF(AND(W1683="X",M1683&lt;=$AJ$2),"YES","")</f>
        <v/>
      </c>
      <c r="AL1683" s="54">
        <f>IF(AND(W1683="X",M1683&lt;=$AJ$2),S1683,"")</f>
        <v/>
      </c>
      <c r="AM1683" s="35" t="n"/>
      <c r="AN1683" s="35">
        <f>IF(AND(W1683="X",M1683&gt;$AJ$2),S1683,"")</f>
        <v/>
      </c>
      <c r="AO1683" s="35">
        <f>IF(AND(W1683="",M1683&gt;0,$AJ$2&gt;M1683,L1683=""),1,0)</f>
        <v/>
      </c>
      <c r="AP1683" s="35">
        <f>IF(AND(AK1683="YES",W1683="X"),"X","")</f>
        <v/>
      </c>
      <c r="AQ1683" s="55">
        <f>IF(AP1683="X",100%,0%)</f>
        <v/>
      </c>
      <c r="AR1683" s="25">
        <f>IF(AND(T1683&gt;0,L1683=""),H1683,"")</f>
        <v/>
      </c>
      <c r="AS1683" s="25">
        <f>IF(AND(D1683&gt;0,H1683=0,G1683=""),1,"")</f>
        <v/>
      </c>
      <c r="AT1683" s="25">
        <f>IF(G1683="BLOQ",1,"")</f>
        <v/>
      </c>
      <c r="AU1683" s="25">
        <f>IF(L1683="BLOQ",1,"")</f>
        <v/>
      </c>
      <c r="AV1683" s="25">
        <f>MONTH(F1683)</f>
        <v/>
      </c>
      <c r="AW1683" s="65">
        <f>IF(AP1683="",100%,0%)</f>
        <v/>
      </c>
      <c r="AX1683" s="56" t="n"/>
      <c r="AY1683" s="24">
        <f>IF(M1683=0,"",M1683-$AX$2)</f>
        <v/>
      </c>
      <c r="AZ1683" s="66">
        <f>IF(AND(W1683="",AY1683&gt;0,AY1683&lt;15),1,0)</f>
        <v/>
      </c>
      <c r="BA1683" s="24">
        <f>IF(AND(W1683="",AY1683&gt;0,AY1683&lt;15),T1683,"")</f>
        <v/>
      </c>
      <c r="BB1683" s="87">
        <f>IF(R1683&lt;Q1683,"X","")</f>
        <v/>
      </c>
      <c r="BC1683" s="191" t="inlineStr">
        <is>
          <t>SI</t>
        </is>
      </c>
      <c r="BD1683" s="191" t="inlineStr">
        <is>
          <t>SI</t>
        </is>
      </c>
    </row>
    <row r="1684">
      <c r="A1684" s="7" t="n">
        <v>1683</v>
      </c>
      <c r="B1684" s="167" t="inlineStr">
        <is>
          <t>1390704693802</t>
        </is>
      </c>
      <c r="C1684" s="167" t="inlineStr">
        <is>
          <t>DISPLAY UNITS AIRBUS DU S/OF</t>
        </is>
      </c>
      <c r="D1684" s="167" t="inlineStr">
        <is>
          <t>1800128840</t>
        </is>
      </c>
      <c r="E1684" s="167" t="inlineStr">
        <is>
          <t>20</t>
        </is>
      </c>
      <c r="F1684" s="167" t="n">
        <v>45898</v>
      </c>
      <c r="G1684" s="167" t="inlineStr"/>
      <c r="H1684" s="167" t="inlineStr">
        <is>
          <t>4200625222</t>
        </is>
      </c>
      <c r="I1684" s="167" t="inlineStr">
        <is>
          <t>20</t>
        </is>
      </c>
      <c r="J1684" s="184" t="n">
        <v>45902</v>
      </c>
      <c r="K1684" s="184" t="n">
        <v>45902</v>
      </c>
      <c r="L1684" s="184" t="inlineStr"/>
      <c r="M1684" s="184" t="n">
        <v>46130</v>
      </c>
      <c r="N1684" s="167" t="n">
        <v>125</v>
      </c>
      <c r="O1684" s="167" t="n">
        <v>8</v>
      </c>
      <c r="P1684" s="167" t="inlineStr">
        <is>
          <t>Liberado</t>
        </is>
      </c>
      <c r="Q1684" s="167" t="n">
        <v>2</v>
      </c>
      <c r="R1684" s="167" t="n">
        <v>2</v>
      </c>
      <c r="S1684" s="167" t="n">
        <v>0</v>
      </c>
      <c r="T1684" s="167" t="n">
        <v>2</v>
      </c>
      <c r="U1684" s="167" t="n">
        <v>0</v>
      </c>
      <c r="V1684" s="167" t="n">
        <v>0</v>
      </c>
      <c r="W1684" s="167" t="inlineStr"/>
      <c r="X1684" s="167" t="inlineStr">
        <is>
          <t>12092.26</t>
        </is>
      </c>
      <c r="Y1684" s="167" t="inlineStr"/>
      <c r="Z1684" s="167" t="inlineStr">
        <is>
          <t>SUMINISTROS, FRESADOS Y GRABADOS</t>
        </is>
      </c>
      <c r="AA1684" s="167" t="inlineStr">
        <is>
          <t>GRABYSUR</t>
        </is>
      </c>
      <c r="AB1684" s="167" t="inlineStr">
        <is>
          <t>GR-SEQ47701</t>
        </is>
      </c>
      <c r="AC1684" s="167" t="inlineStr"/>
      <c r="AD1684" s="167" t="n">
        <v>1</v>
      </c>
      <c r="AE1684" s="167" t="n">
        <v>1</v>
      </c>
      <c r="AG1684" s="167" t="inlineStr">
        <is>
          <t>7218|JA2591_1001</t>
        </is>
      </c>
      <c r="AH1684" s="47">
        <f>IF(M1684=0,"-",M1684-J1684)</f>
        <v/>
      </c>
      <c r="AI1684" s="46">
        <f>IF(AND(S1684=0,M1684&gt;0,L1684=0),IF(AH1684&gt;=120,"VERY HIGH",IF(AH1684&gt;=90,"HIGH",IF(AH1684&gt;=60,"MEDIUM",IF(AH1684&lt;60,"LOW")))),"-")</f>
        <v/>
      </c>
      <c r="AJ1684" s="12" t="n"/>
      <c r="AK1684" s="53">
        <f>IF(AND(W1684="X",M1684&lt;=$AJ$2),"YES","")</f>
        <v/>
      </c>
      <c r="AL1684" s="54">
        <f>IF(AND(W1684="X",M1684&lt;=$AJ$2),S1684,"")</f>
        <v/>
      </c>
      <c r="AM1684" s="35" t="n"/>
      <c r="AN1684" s="35">
        <f>IF(AND(W1684="X",M1684&gt;$AJ$2),S1684,"")</f>
        <v/>
      </c>
      <c r="AO1684" s="35">
        <f>IF(AND(W1684="",M1684&gt;0,$AJ$2&gt;M1684,L1684=""),1,0)</f>
        <v/>
      </c>
      <c r="AP1684" s="35">
        <f>IF(AND(AK1684="YES",W1684="X"),"X","")</f>
        <v/>
      </c>
      <c r="AQ1684" s="55">
        <f>IF(AP1684="X",100%,0%)</f>
        <v/>
      </c>
      <c r="AR1684" s="25">
        <f>IF(AND(T1684&gt;0,L1684=""),H1684,"")</f>
        <v/>
      </c>
      <c r="AS1684" s="25">
        <f>IF(AND(D1684&gt;0,H1684=0,G1684=""),1,"")</f>
        <v/>
      </c>
      <c r="AT1684" s="25">
        <f>IF(G1684="BLOQ",1,"")</f>
        <v/>
      </c>
      <c r="AU1684" s="25">
        <f>IF(L1684="BLOQ",1,"")</f>
        <v/>
      </c>
      <c r="AV1684" s="25">
        <f>MONTH(F1684)</f>
        <v/>
      </c>
      <c r="AW1684" s="65">
        <f>IF(AP1684="",100%,0%)</f>
        <v/>
      </c>
      <c r="AX1684" s="56" t="n"/>
      <c r="AY1684" s="24">
        <f>IF(M1684=0,"",M1684-$AX$2)</f>
        <v/>
      </c>
      <c r="AZ1684" s="66">
        <f>IF(AND(W1684="",AY1684&gt;0,AY1684&lt;15),1,0)</f>
        <v/>
      </c>
      <c r="BA1684" s="24">
        <f>IF(AND(W1684="",AY1684&gt;0,AY1684&lt;15),T1684,"")</f>
        <v/>
      </c>
      <c r="BB1684" s="87">
        <f>IF(R1684&lt;Q1684,"X","")</f>
        <v/>
      </c>
      <c r="BC1684" s="191" t="inlineStr">
        <is>
          <t>SI</t>
        </is>
      </c>
      <c r="BD1684" s="191" t="inlineStr">
        <is>
          <t>SI</t>
        </is>
      </c>
    </row>
    <row r="1685">
      <c r="A1685" s="7" t="n">
        <v>1684</v>
      </c>
      <c r="B1685" s="167" t="inlineStr">
        <is>
          <t>1705502500000</t>
        </is>
      </c>
      <c r="C1685" s="167" t="inlineStr">
        <is>
          <t>PANEL FRONTAL 19" 1U ALUMINIO 3MM 43,6X3</t>
        </is>
      </c>
      <c r="D1685" s="167" t="inlineStr">
        <is>
          <t>1800128869</t>
        </is>
      </c>
      <c r="E1685" s="167" t="inlineStr">
        <is>
          <t>10</t>
        </is>
      </c>
      <c r="F1685" s="167" t="n">
        <v>45902</v>
      </c>
      <c r="G1685" s="167" t="inlineStr"/>
      <c r="H1685" s="167" t="inlineStr">
        <is>
          <t>4200626547</t>
        </is>
      </c>
      <c r="I1685" s="167" t="inlineStr">
        <is>
          <t>20</t>
        </is>
      </c>
      <c r="J1685" s="184" t="n">
        <v>45911</v>
      </c>
      <c r="K1685" s="184" t="n">
        <v>45919</v>
      </c>
      <c r="L1685" s="184" t="inlineStr"/>
      <c r="M1685" s="184" t="n">
        <v>45932</v>
      </c>
      <c r="N1685" s="167" t="n">
        <v>35</v>
      </c>
      <c r="O1685" s="167" t="n">
        <v>8</v>
      </c>
      <c r="P1685" s="167" t="inlineStr">
        <is>
          <t>Liberado</t>
        </is>
      </c>
      <c r="Q1685" s="167" t="n">
        <v>5</v>
      </c>
      <c r="R1685" s="167" t="n">
        <v>5</v>
      </c>
      <c r="S1685" s="167" t="n">
        <v>5</v>
      </c>
      <c r="T1685" s="167" t="n">
        <v>0</v>
      </c>
      <c r="U1685" s="167" t="n">
        <v>5</v>
      </c>
      <c r="V1685" s="167" t="n">
        <v>0</v>
      </c>
      <c r="W1685" s="167" t="inlineStr">
        <is>
          <t>X</t>
        </is>
      </c>
      <c r="X1685" s="167" t="inlineStr">
        <is>
          <t>0.00</t>
        </is>
      </c>
      <c r="Y1685" s="167" t="inlineStr"/>
      <c r="Z1685" s="167" t="inlineStr">
        <is>
          <t>CENVALSA, S.L.</t>
        </is>
      </c>
      <c r="AA1685" s="167" t="inlineStr">
        <is>
          <t>SCHROFF</t>
        </is>
      </c>
      <c r="AB1685" s="167" t="inlineStr">
        <is>
          <t>30118-948</t>
        </is>
      </c>
      <c r="AC1685" s="167" t="inlineStr"/>
      <c r="AD1685" s="167" t="n">
        <v>0</v>
      </c>
      <c r="AE1685" s="167" t="n">
        <v>0</v>
      </c>
      <c r="AG1685" s="167" t="inlineStr">
        <is>
          <t>7218|JA2593_1001</t>
        </is>
      </c>
      <c r="AH1685" s="47">
        <f>IF(M1685=0,"-",M1685-J1685)</f>
        <v/>
      </c>
      <c r="AI1685" s="46">
        <f>IF(AND(S1685=0,M1685&gt;0,L1685=0),IF(AH1685&gt;=120,"VERY HIGH",IF(AH1685&gt;=90,"HIGH",IF(AH1685&gt;=60,"MEDIUM",IF(AH1685&lt;60,"LOW")))),"-")</f>
        <v/>
      </c>
      <c r="AJ1685" s="12" t="n"/>
      <c r="AK1685" s="53">
        <f>IF(AND(W1685="X",M1685&lt;=$AJ$2),"YES","")</f>
        <v/>
      </c>
      <c r="AL1685" s="54">
        <f>IF(AND(W1685="X",M1685&lt;=$AJ$2),S1685,"")</f>
        <v/>
      </c>
      <c r="AM1685" s="35" t="n"/>
      <c r="AN1685" s="35">
        <f>IF(AND(W1685="X",M1685&gt;$AJ$2),S1685,"")</f>
        <v/>
      </c>
      <c r="AO1685" s="35">
        <f>IF(AND(W1685="",M1685&gt;0,$AJ$2&gt;M1685,L1685=""),1,0)</f>
        <v/>
      </c>
      <c r="AP1685" s="35">
        <f>IF(AND(AK1685="YES",W1685="X"),"X","")</f>
        <v/>
      </c>
      <c r="AQ1685" s="55">
        <f>IF(AP1685="X",100%,0%)</f>
        <v/>
      </c>
      <c r="AR1685" s="25">
        <f>IF(AND(T1685&gt;0,L1685=""),H1685,"")</f>
        <v/>
      </c>
      <c r="AS1685" s="25">
        <f>IF(AND(D1685&gt;0,H1685=0,G1685=""),1,"")</f>
        <v/>
      </c>
      <c r="AT1685" s="25">
        <f>IF(G1685="BLOQ",1,"")</f>
        <v/>
      </c>
      <c r="AU1685" s="25">
        <f>IF(L1685="BLOQ",1,"")</f>
        <v/>
      </c>
      <c r="AV1685" s="25">
        <f>MONTH(F1685)</f>
        <v/>
      </c>
      <c r="AW1685" s="65">
        <f>IF(AP1685="",100%,0%)</f>
        <v/>
      </c>
      <c r="AX1685" s="56" t="n"/>
      <c r="AY1685" s="24">
        <f>IF(M1685=0,"",M1685-$AX$2)</f>
        <v/>
      </c>
      <c r="AZ1685" s="66">
        <f>IF(AND(W1685="",AY1685&gt;0,AY1685&lt;15),1,0)</f>
        <v/>
      </c>
      <c r="BA1685" s="24">
        <f>IF(AND(W1685="",AY1685&gt;0,AY1685&lt;15),T1685,"")</f>
        <v/>
      </c>
      <c r="BB1685" s="87">
        <f>IF(R1685&lt;Q1685,"X","")</f>
        <v/>
      </c>
      <c r="BC1685" s="190" t="inlineStr">
        <is>
          <t>NO</t>
        </is>
      </c>
      <c r="BD1685" s="191" t="inlineStr">
        <is>
          <t>SI</t>
        </is>
      </c>
    </row>
    <row r="1686">
      <c r="A1686" s="7" t="n">
        <v>1685</v>
      </c>
      <c r="B1686" s="167" t="inlineStr">
        <is>
          <t>1250101570000</t>
        </is>
      </c>
      <c r="C1686" s="167" t="inlineStr">
        <is>
          <t>ALTAVOZ SUBWOOFER 170W 20-200HZ SUB/HPF</t>
        </is>
      </c>
      <c r="D1686" s="167" t="inlineStr">
        <is>
          <t>1800129554</t>
        </is>
      </c>
      <c r="E1686" s="167" t="inlineStr">
        <is>
          <t>10</t>
        </is>
      </c>
      <c r="F1686" s="167" t="n">
        <v>45919</v>
      </c>
      <c r="G1686" s="167" t="inlineStr">
        <is>
          <t>BORR</t>
        </is>
      </c>
      <c r="H1686" s="167" t="inlineStr">
        <is>
          <t>4200630060</t>
        </is>
      </c>
      <c r="I1686" s="167" t="inlineStr">
        <is>
          <t>10</t>
        </is>
      </c>
      <c r="J1686" s="184" t="n">
        <v>45936</v>
      </c>
      <c r="K1686" s="184" t="n">
        <v>45938</v>
      </c>
      <c r="L1686" s="184" t="inlineStr">
        <is>
          <t>BORR</t>
        </is>
      </c>
      <c r="M1686" s="184" t="n">
        <v>45985</v>
      </c>
      <c r="N1686" s="167" t="n">
        <v>85</v>
      </c>
      <c r="O1686" s="167" t="n">
        <v>8</v>
      </c>
      <c r="P1686" s="167" t="inlineStr"/>
      <c r="Q1686" s="167" t="n">
        <v>1</v>
      </c>
      <c r="R1686" s="167" t="n">
        <v>1</v>
      </c>
      <c r="S1686" s="167" t="n">
        <v>0</v>
      </c>
      <c r="T1686" s="167" t="n">
        <v>1</v>
      </c>
      <c r="U1686" s="167" t="n">
        <v>0</v>
      </c>
      <c r="V1686" s="167" t="n">
        <v>0</v>
      </c>
      <c r="W1686" s="167" t="inlineStr"/>
      <c r="X1686" s="167" t="inlineStr">
        <is>
          <t>1292.86</t>
        </is>
      </c>
      <c r="Y1686" s="167" t="inlineStr"/>
      <c r="Z1686" s="167" t="inlineStr">
        <is>
          <t>INFORMATICA CALCULO Y TECNICA, S.A.</t>
        </is>
      </c>
      <c r="AA1686" s="167" t="inlineStr">
        <is>
          <t>PRESONUS AUDIO</t>
        </is>
      </c>
      <c r="AB1686" s="167" t="inlineStr">
        <is>
          <t>TEMBLOR T10</t>
        </is>
      </c>
      <c r="AC1686" s="167" t="inlineStr"/>
      <c r="AD1686" s="167" t="n">
        <v>1</v>
      </c>
      <c r="AE1686" s="167" t="n">
        <v>0</v>
      </c>
      <c r="AG1686" s="167" t="inlineStr">
        <is>
          <t>7218|JA2583_1001</t>
        </is>
      </c>
      <c r="AH1686" s="47">
        <f>IF(M1686=0,"-",M1686-J1686)</f>
        <v/>
      </c>
      <c r="AI1686" s="46">
        <f>IF(AND(S1686=0,M1686&gt;0,L1686=0),IF(AH1686&gt;=120,"VERY HIGH",IF(AH1686&gt;=90,"HIGH",IF(AH1686&gt;=60,"MEDIUM",IF(AH1686&lt;60,"LOW")))),"-")</f>
        <v/>
      </c>
      <c r="AJ1686" s="12" t="n"/>
      <c r="AK1686" s="53">
        <f>IF(AND(W1686="X",M1686&lt;=$AJ$2),"YES","")</f>
        <v/>
      </c>
      <c r="AL1686" s="54">
        <f>IF(AND(W1686="X",M1686&lt;=$AJ$2),S1686,"")</f>
        <v/>
      </c>
      <c r="AM1686" s="35" t="n"/>
      <c r="AN1686" s="35">
        <f>IF(AND(W1686="X",M1686&gt;$AJ$2),S1686,"")</f>
        <v/>
      </c>
      <c r="AO1686" s="35">
        <f>IF(AND(W1686="",M1686&gt;0,$AJ$2&gt;M1686,L1686=""),1,0)</f>
        <v/>
      </c>
      <c r="AP1686" s="35">
        <f>IF(AND(AK1686="YES",W1686="X"),"X","")</f>
        <v/>
      </c>
      <c r="AQ1686" s="55">
        <f>IF(AP1686="X",100%,0%)</f>
        <v/>
      </c>
      <c r="AR1686" s="25">
        <f>IF(AND(T1686&gt;0,L1686=""),H1686,"")</f>
        <v/>
      </c>
      <c r="AS1686" s="25">
        <f>IF(AND(D1686&gt;0,H1686=0,G1686=""),1,"")</f>
        <v/>
      </c>
      <c r="AT1686" s="25">
        <f>IF(G1686="BLOQ",1,"")</f>
        <v/>
      </c>
      <c r="AU1686" s="25">
        <f>IF(L1686="BLOQ",1,"")</f>
        <v/>
      </c>
      <c r="AV1686" s="25">
        <f>MONTH(F1686)</f>
        <v/>
      </c>
      <c r="AW1686" s="65">
        <f>IF(AP1686="",100%,0%)</f>
        <v/>
      </c>
      <c r="AX1686" s="56" t="n"/>
      <c r="AY1686" s="24">
        <f>IF(M1686=0,"",M1686-$AX$2)</f>
        <v/>
      </c>
      <c r="AZ1686" s="66">
        <f>IF(AND(W1686="",AY1686&gt;0,AY1686&lt;15),1,0)</f>
        <v/>
      </c>
      <c r="BA1686" s="24">
        <f>IF(AND(W1686="",AY1686&gt;0,AY1686&lt;15),T1686,"")</f>
        <v/>
      </c>
      <c r="BB1686" s="87">
        <f>IF(R1686&lt;Q1686,"X","")</f>
        <v/>
      </c>
      <c r="BC1686" s="191" t="inlineStr">
        <is>
          <t>SI</t>
        </is>
      </c>
      <c r="BD1686" s="191" t="inlineStr">
        <is>
          <t>SI</t>
        </is>
      </c>
    </row>
    <row r="1687">
      <c r="A1687" s="7" t="n">
        <v>1686</v>
      </c>
      <c r="B1687" s="167" t="inlineStr">
        <is>
          <t>7883000582700</t>
        </is>
      </c>
      <c r="C1687" s="167" t="inlineStr">
        <is>
          <t>ALFOMBRA SEGURIDAD RKP 1890X750MM CBL=2/</t>
        </is>
      </c>
      <c r="D1687" s="167" t="inlineStr">
        <is>
          <t>1800130856</t>
        </is>
      </c>
      <c r="E1687" s="167" t="inlineStr">
        <is>
          <t>10</t>
        </is>
      </c>
      <c r="F1687" s="184" t="n">
        <v>45946</v>
      </c>
      <c r="G1687" s="167" t="inlineStr"/>
      <c r="H1687" s="167" t="inlineStr">
        <is>
          <t>4200639845</t>
        </is>
      </c>
      <c r="I1687" s="167" t="inlineStr">
        <is>
          <t>10</t>
        </is>
      </c>
      <c r="J1687" s="184" t="n">
        <v>45996</v>
      </c>
      <c r="K1687" s="184" t="n">
        <v>46001</v>
      </c>
      <c r="L1687" s="184" t="inlineStr"/>
      <c r="M1687" s="184" t="n">
        <v>46027</v>
      </c>
      <c r="N1687" s="167" t="n">
        <v>50</v>
      </c>
      <c r="O1687" s="167" t="n">
        <v>8</v>
      </c>
      <c r="P1687" s="167" t="inlineStr">
        <is>
          <t>Liberado</t>
        </is>
      </c>
      <c r="Q1687" s="167" t="n">
        <v>2</v>
      </c>
      <c r="R1687" s="167" t="n">
        <v>2</v>
      </c>
      <c r="S1687" s="167" t="n">
        <v>2</v>
      </c>
      <c r="T1687" s="167" t="n">
        <v>0</v>
      </c>
      <c r="U1687" s="167" t="n">
        <v>0</v>
      </c>
      <c r="V1687" s="167" t="n">
        <v>0</v>
      </c>
      <c r="W1687" s="167" t="inlineStr">
        <is>
          <t>X</t>
        </is>
      </c>
      <c r="X1687" s="167" t="inlineStr">
        <is>
          <t>0.00</t>
        </is>
      </c>
      <c r="Y1687" s="167" t="inlineStr"/>
      <c r="Z1687" s="167" t="inlineStr">
        <is>
          <t>SAFEWORK, S.L.</t>
        </is>
      </c>
      <c r="AA1687" s="167" t="inlineStr">
        <is>
          <t>SAFEWORK</t>
        </is>
      </c>
      <c r="AB1687" s="167" t="inlineStr">
        <is>
          <t>RKP TBC 9/1890X750MM</t>
        </is>
      </c>
      <c r="AC1687" s="167" t="inlineStr"/>
      <c r="AD1687" s="167" t="n">
        <v>0</v>
      </c>
      <c r="AE1687" s="167" t="n">
        <v>0</v>
      </c>
      <c r="AG1687" s="167" t="inlineStr">
        <is>
          <t>7218|JA2583_1001</t>
        </is>
      </c>
      <c r="AH1687" s="47">
        <f>IF(M1687=0,"-",M1687-J1687)</f>
        <v/>
      </c>
      <c r="AI1687" s="46">
        <f>IF(AND(S1687=0,M1687&gt;0,L1687=0),IF(AH1687&gt;=120,"VERY HIGH",IF(AH1687&gt;=90,"HIGH",IF(AH1687&gt;=60,"MEDIUM",IF(AH1687&lt;60,"LOW")))),"-")</f>
        <v/>
      </c>
      <c r="AJ1687" s="12" t="n"/>
      <c r="AK1687" s="53">
        <f>IF(AND(W1687="X",M1687&lt;=$AJ$2),"YES","")</f>
        <v/>
      </c>
      <c r="AL1687" s="54">
        <f>IF(AND(W1687="X",M1687&lt;=$AJ$2),S1687,"")</f>
        <v/>
      </c>
      <c r="AM1687" s="35" t="n"/>
      <c r="AN1687" s="35">
        <f>IF(AND(W1687="X",M1687&gt;$AJ$2),S1687,"")</f>
        <v/>
      </c>
      <c r="AO1687" s="35">
        <f>IF(AND(W1687="",M1687&gt;0,$AJ$2&gt;M1687,L1687=""),1,0)</f>
        <v/>
      </c>
      <c r="AP1687" s="35">
        <f>IF(AND(AK1687="YES",W1687="X"),"X","")</f>
        <v/>
      </c>
      <c r="AQ1687" s="55">
        <f>IF(AP1687="X",100%,0%)</f>
        <v/>
      </c>
      <c r="AR1687" s="25">
        <f>IF(AND(T1687&gt;0,L1687=""),H1687,"")</f>
        <v/>
      </c>
      <c r="AS1687" s="25">
        <f>IF(AND(D1687&gt;0,H1687=0,G1687=""),1,"")</f>
        <v/>
      </c>
      <c r="AT1687" s="25">
        <f>IF(G1687="BLOQ",1,"")</f>
        <v/>
      </c>
      <c r="AU1687" s="25">
        <f>IF(L1687="BLOQ",1,"")</f>
        <v/>
      </c>
      <c r="AV1687" s="25">
        <f>MONTH(F1687)</f>
        <v/>
      </c>
      <c r="AW1687" s="65">
        <f>IF(AP1687="",100%,0%)</f>
        <v/>
      </c>
      <c r="AX1687" s="56" t="n"/>
      <c r="AY1687" s="24">
        <f>IF(M1687=0,"",M1687-$AX$2)</f>
        <v/>
      </c>
      <c r="AZ1687" s="66">
        <f>IF(AND(W1687="",AY1687&gt;0,AY1687&lt;15),1,0)</f>
        <v/>
      </c>
      <c r="BA1687" s="24">
        <f>IF(AND(W1687="",AY1687&gt;0,AY1687&lt;15),T1687,"")</f>
        <v/>
      </c>
      <c r="BB1687" s="87">
        <f>IF(R1687&lt;Q1687,"X","")</f>
        <v/>
      </c>
      <c r="BC1687" s="191" t="inlineStr">
        <is>
          <t>SI</t>
        </is>
      </c>
      <c r="BD1687" s="191" t="inlineStr">
        <is>
          <t>SI</t>
        </is>
      </c>
    </row>
    <row r="1688">
      <c r="A1688" s="7" t="n">
        <v>1687</v>
      </c>
      <c r="B1688" s="167" t="inlineStr">
        <is>
          <t>3210402620000</t>
        </is>
      </c>
      <c r="C1688" s="167" t="inlineStr">
        <is>
          <t>ALTAVOZ SUBWOOFER 130W ERIS PRO SUB 10</t>
        </is>
      </c>
      <c r="D1688" s="167" t="inlineStr">
        <is>
          <t>1800131893</t>
        </is>
      </c>
      <c r="E1688" s="167" t="inlineStr">
        <is>
          <t>10</t>
        </is>
      </c>
      <c r="F1688" s="184" t="n">
        <v>45967</v>
      </c>
      <c r="G1688" s="167" t="inlineStr"/>
      <c r="H1688" s="167" t="inlineStr">
        <is>
          <t>4200636792</t>
        </is>
      </c>
      <c r="I1688" s="167" t="inlineStr">
        <is>
          <t>10</t>
        </is>
      </c>
      <c r="J1688" s="184" t="n">
        <v>45979</v>
      </c>
      <c r="K1688" s="184" t="n">
        <v>45979</v>
      </c>
      <c r="L1688" s="184" t="inlineStr"/>
      <c r="M1688" s="184" t="n">
        <v>45988</v>
      </c>
      <c r="N1688" s="167" t="n">
        <v>40</v>
      </c>
      <c r="O1688" s="167" t="n">
        <v>8</v>
      </c>
      <c r="P1688" s="167" t="inlineStr">
        <is>
          <t>Liberado</t>
        </is>
      </c>
      <c r="Q1688" s="167" t="n">
        <v>1</v>
      </c>
      <c r="R1688" s="167" t="n">
        <v>1</v>
      </c>
      <c r="S1688" s="167" t="n">
        <v>1</v>
      </c>
      <c r="T1688" s="167" t="n">
        <v>0</v>
      </c>
      <c r="U1688" s="167" t="n">
        <v>1</v>
      </c>
      <c r="V1688" s="167" t="n">
        <v>0</v>
      </c>
      <c r="W1688" s="167" t="inlineStr">
        <is>
          <t>X</t>
        </is>
      </c>
      <c r="X1688" s="167" t="inlineStr">
        <is>
          <t>0.00</t>
        </is>
      </c>
      <c r="Y1688" s="167" t="inlineStr"/>
      <c r="Z1688" s="167" t="inlineStr">
        <is>
          <t>INFORMATICA CALCULO Y TECNICA, S.A.</t>
        </is>
      </c>
      <c r="AA1688" s="167" t="inlineStr">
        <is>
          <t>PRESONUS</t>
        </is>
      </c>
      <c r="AB1688" s="167" t="inlineStr">
        <is>
          <t>2777504132</t>
        </is>
      </c>
      <c r="AC1688" s="167" t="inlineStr"/>
      <c r="AD1688" s="167" t="n">
        <v>0</v>
      </c>
      <c r="AE1688" s="167" t="n">
        <v>0</v>
      </c>
      <c r="AG1688" s="167" t="inlineStr">
        <is>
          <t>7218|JA2583_1001</t>
        </is>
      </c>
      <c r="AH1688" s="47">
        <f>IF(M1688=0,"-",M1688-J1688)</f>
        <v/>
      </c>
      <c r="AI1688" s="46">
        <f>IF(AND(S1688=0,M1688&gt;0,L1688=0),IF(AH1688&gt;=120,"VERY HIGH",IF(AH1688&gt;=90,"HIGH",IF(AH1688&gt;=60,"MEDIUM",IF(AH1688&lt;60,"LOW")))),"-")</f>
        <v/>
      </c>
      <c r="AJ1688" s="12" t="n"/>
      <c r="AK1688" s="53">
        <f>IF(AND(W1688="X",M1688&lt;=$AJ$2),"YES","")</f>
        <v/>
      </c>
      <c r="AL1688" s="54">
        <f>IF(AND(W1688="X",M1688&lt;=$AJ$2),S1688,"")</f>
        <v/>
      </c>
      <c r="AM1688" s="35" t="n"/>
      <c r="AN1688" s="35">
        <f>IF(AND(W1688="X",M1688&gt;$AJ$2),S1688,"")</f>
        <v/>
      </c>
      <c r="AO1688" s="35">
        <f>IF(AND(W1688="",M1688&gt;0,$AJ$2&gt;M1688,L1688=""),1,0)</f>
        <v/>
      </c>
      <c r="AP1688" s="35">
        <f>IF(AND(AK1688="YES",W1688="X"),"X","")</f>
        <v/>
      </c>
      <c r="AQ1688" s="55">
        <f>IF(AP1688="X",100%,0%)</f>
        <v/>
      </c>
      <c r="AR1688" s="25">
        <f>IF(AND(T1688&gt;0,L1688=""),H1688,"")</f>
        <v/>
      </c>
      <c r="AS1688" s="25">
        <f>IF(AND(D1688&gt;0,H1688=0,G1688=""),1,"")</f>
        <v/>
      </c>
      <c r="AT1688" s="25">
        <f>IF(G1688="BLOQ",1,"")</f>
        <v/>
      </c>
      <c r="AU1688" s="25">
        <f>IF(L1688="BLOQ",1,"")</f>
        <v/>
      </c>
      <c r="AV1688" s="25">
        <f>MONTH(F1688)</f>
        <v/>
      </c>
      <c r="AW1688" s="65">
        <f>IF(AP1688="",100%,0%)</f>
        <v/>
      </c>
      <c r="AX1688" s="56" t="n"/>
      <c r="AY1688" s="24">
        <f>IF(M1688=0,"",M1688-$AX$2)</f>
        <v/>
      </c>
      <c r="AZ1688" s="66">
        <f>IF(AND(W1688="",AY1688&gt;0,AY1688&lt;15),1,0)</f>
        <v/>
      </c>
      <c r="BA1688" s="24">
        <f>IF(AND(W1688="",AY1688&gt;0,AY1688&lt;15),T1688,"")</f>
        <v/>
      </c>
      <c r="BB1688" s="87">
        <f>IF(R1688&lt;Q1688,"X","")</f>
        <v/>
      </c>
      <c r="BC1688" s="190" t="inlineStr">
        <is>
          <t>NO</t>
        </is>
      </c>
      <c r="BD1688" s="190" t="inlineStr">
        <is>
          <t>NO</t>
        </is>
      </c>
    </row>
    <row r="1689">
      <c r="A1689" s="7" t="n">
        <v>1688</v>
      </c>
      <c r="B1689" s="167" t="inlineStr">
        <is>
          <t>0918530000000</t>
        </is>
      </c>
      <c r="C1689" s="167" t="inlineStr">
        <is>
          <t>CANIF-DIO32_TIPO11B</t>
        </is>
      </c>
      <c r="D1689" s="167" t="inlineStr">
        <is>
          <t>1800134174</t>
        </is>
      </c>
      <c r="E1689" s="167" t="inlineStr">
        <is>
          <t>10</t>
        </is>
      </c>
      <c r="F1689" s="167" t="n">
        <v>46013</v>
      </c>
      <c r="G1689" s="167" t="inlineStr"/>
      <c r="H1689" s="167" t="inlineStr"/>
      <c r="I1689" s="167" t="inlineStr">
        <is>
          <t>0</t>
        </is>
      </c>
      <c r="J1689" s="184" t="inlineStr"/>
      <c r="K1689" s="184" t="inlineStr"/>
      <c r="L1689" s="184" t="inlineStr"/>
      <c r="M1689" s="184" t="inlineStr"/>
      <c r="N1689" s="167" t="n">
        <v>50</v>
      </c>
      <c r="O1689" s="167" t="n">
        <v>8</v>
      </c>
      <c r="P1689" s="167" t="inlineStr"/>
      <c r="Q1689" s="167" t="n">
        <v>15</v>
      </c>
      <c r="R1689" s="167" t="n">
        <v>0</v>
      </c>
      <c r="S1689" s="167" t="n">
        <v>0</v>
      </c>
      <c r="T1689" s="167" t="n">
        <v>0</v>
      </c>
      <c r="U1689" s="167" t="n">
        <v>0</v>
      </c>
      <c r="V1689" s="167" t="n">
        <v>0</v>
      </c>
      <c r="W1689" s="167" t="inlineStr"/>
      <c r="X1689" s="167" t="inlineStr">
        <is>
          <t>0.00</t>
        </is>
      </c>
      <c r="Y1689" s="167" t="inlineStr"/>
      <c r="Z1689" s="167" t="inlineStr"/>
      <c r="AA1689" s="167" t="inlineStr"/>
      <c r="AB1689" s="167" t="inlineStr"/>
      <c r="AC1689" s="167" t="inlineStr"/>
      <c r="AD1689" s="167" t="n">
        <v>0</v>
      </c>
      <c r="AE1689" s="167" t="n">
        <v>0</v>
      </c>
      <c r="AG1689" s="167" t="inlineStr">
        <is>
          <t>7218|JA2581_1001</t>
        </is>
      </c>
      <c r="AH1689" s="47">
        <f>IF(M1689=0,"-",M1689-J1689)</f>
        <v/>
      </c>
      <c r="AI1689" s="46">
        <f>IF(AND(S1689=0,M1689&gt;0,L1689=0),IF(AH1689&gt;=120,"VERY HIGH",IF(AH1689&gt;=90,"HIGH",IF(AH1689&gt;=60,"MEDIUM",IF(AH1689&lt;60,"LOW")))),"-")</f>
        <v/>
      </c>
      <c r="AJ1689" s="12" t="n"/>
      <c r="AK1689" s="53">
        <f>IF(AND(W1689="X",M1689&lt;=$AJ$2),"YES","")</f>
        <v/>
      </c>
      <c r="AL1689" s="54">
        <f>IF(AND(W1689="X",M1689&lt;=$AJ$2),S1689,"")</f>
        <v/>
      </c>
      <c r="AM1689" s="35" t="n"/>
      <c r="AN1689" s="35">
        <f>IF(AND(W1689="X",M1689&gt;$AJ$2),S1689,"")</f>
        <v/>
      </c>
      <c r="AO1689" s="35">
        <f>IF(AND(W1689="",M1689&gt;0,$AJ$2&gt;M1689,L1689=""),1,0)</f>
        <v/>
      </c>
      <c r="AP1689" s="35">
        <f>IF(AND(AK1689="YES",W1689="X"),"X","")</f>
        <v/>
      </c>
      <c r="AQ1689" s="55">
        <f>IF(AP1689="X",100%,0%)</f>
        <v/>
      </c>
      <c r="AR1689" s="25">
        <f>IF(AND(T1689&gt;0,L1689=""),H1689,"")</f>
        <v/>
      </c>
      <c r="AS1689" s="25">
        <f>IF(AND(D1689&gt;0,H1689=0,G1689=""),1,"")</f>
        <v/>
      </c>
      <c r="AT1689" s="25">
        <f>IF(G1689="BLOQ",1,"")</f>
        <v/>
      </c>
      <c r="AU1689" s="25">
        <f>IF(L1689="BLOQ",1,"")</f>
        <v/>
      </c>
      <c r="AV1689" s="25">
        <f>MONTH(F1689)</f>
        <v/>
      </c>
      <c r="AW1689" s="65">
        <f>IF(AP1689="",100%,0%)</f>
        <v/>
      </c>
      <c r="AX1689" s="56" t="n"/>
      <c r="AY1689" s="24">
        <f>IF(M1689=0,"",M1689-$AX$2)</f>
        <v/>
      </c>
      <c r="AZ1689" s="66">
        <f>IF(AND(W1689="",AY1689&gt;0,AY1689&lt;15),1,0)</f>
        <v/>
      </c>
      <c r="BA1689" s="24">
        <f>IF(AND(W1689="",AY1689&gt;0,AY1689&lt;15),T1689,"")</f>
        <v/>
      </c>
      <c r="BB1689" s="87">
        <f>IF(R1689&lt;Q1689,"X","")</f>
        <v/>
      </c>
      <c r="BC1689" s="190" t="inlineStr">
        <is>
          <t>NO</t>
        </is>
      </c>
      <c r="BD1689" s="191" t="inlineStr">
        <is>
          <t>SI</t>
        </is>
      </c>
    </row>
    <row r="1690">
      <c r="A1690" s="7" t="n">
        <v>1689</v>
      </c>
      <c r="B1690" s="167" t="inlineStr">
        <is>
          <t>0918630000000</t>
        </is>
      </c>
      <c r="C1690" s="167" t="inlineStr">
        <is>
          <t>CANIF-DIO32 TIPO11A</t>
        </is>
      </c>
      <c r="D1690" s="167" t="inlineStr">
        <is>
          <t>1800134189</t>
        </is>
      </c>
      <c r="E1690" s="167" t="inlineStr">
        <is>
          <t>10</t>
        </is>
      </c>
      <c r="F1690" s="184" t="n">
        <v>46013</v>
      </c>
      <c r="G1690" s="167" t="inlineStr"/>
      <c r="H1690" s="167" t="inlineStr"/>
      <c r="I1690" s="167" t="inlineStr">
        <is>
          <t>0</t>
        </is>
      </c>
      <c r="J1690" s="184" t="inlineStr"/>
      <c r="K1690" s="184" t="inlineStr"/>
      <c r="L1690" s="184" t="inlineStr"/>
      <c r="M1690" s="184" t="inlineStr"/>
      <c r="N1690" s="167" t="n">
        <v>55</v>
      </c>
      <c r="O1690" s="167" t="n">
        <v>8</v>
      </c>
      <c r="P1690" s="167" t="inlineStr"/>
      <c r="Q1690" s="167" t="n">
        <v>15</v>
      </c>
      <c r="R1690" s="167" t="n">
        <v>0</v>
      </c>
      <c r="S1690" s="167" t="n">
        <v>0</v>
      </c>
      <c r="T1690" s="167" t="n">
        <v>0</v>
      </c>
      <c r="U1690" s="167" t="n">
        <v>0</v>
      </c>
      <c r="V1690" s="167" t="n">
        <v>0</v>
      </c>
      <c r="W1690" s="167" t="inlineStr"/>
      <c r="X1690" s="167" t="inlineStr">
        <is>
          <t>0.00</t>
        </is>
      </c>
      <c r="Y1690" s="167" t="inlineStr"/>
      <c r="Z1690" s="167" t="inlineStr"/>
      <c r="AA1690" s="167" t="inlineStr"/>
      <c r="AB1690" s="167" t="inlineStr"/>
      <c r="AC1690" s="167" t="inlineStr"/>
      <c r="AD1690" s="167" t="n">
        <v>0</v>
      </c>
      <c r="AE1690" s="167" t="n">
        <v>0</v>
      </c>
      <c r="AG1690" s="167" t="inlineStr">
        <is>
          <t>7218|JA2581_1001</t>
        </is>
      </c>
      <c r="AH1690" s="47">
        <f>IF(M1690=0,"-",M1690-J1690)</f>
        <v/>
      </c>
      <c r="AI1690" s="46">
        <f>IF(AND(S1690=0,M1690&gt;0,L1690=0),IF(AH1690&gt;=120,"VERY HIGH",IF(AH1690&gt;=90,"HIGH",IF(AH1690&gt;=60,"MEDIUM",IF(AH1690&lt;60,"LOW")))),"-")</f>
        <v/>
      </c>
      <c r="AJ1690" s="12" t="n"/>
      <c r="AK1690" s="53">
        <f>IF(AND(W1690="X",M1690&lt;=$AJ$2),"YES","")</f>
        <v/>
      </c>
      <c r="AL1690" s="54">
        <f>IF(AND(W1690="X",M1690&lt;=$AJ$2),S1690,"")</f>
        <v/>
      </c>
      <c r="AM1690" s="35" t="n"/>
      <c r="AN1690" s="35">
        <f>IF(AND(W1690="X",M1690&gt;$AJ$2),S1690,"")</f>
        <v/>
      </c>
      <c r="AO1690" s="35">
        <f>IF(AND(W1690="",M1690&gt;0,$AJ$2&gt;M1690,L1690=""),1,0)</f>
        <v/>
      </c>
      <c r="AP1690" s="35">
        <f>IF(AND(AK1690="YES",W1690="X"),"X","")</f>
        <v/>
      </c>
      <c r="AQ1690" s="55">
        <f>IF(AP1690="X",100%,0%)</f>
        <v/>
      </c>
      <c r="AR1690" s="25">
        <f>IF(AND(T1690&gt;0,L1690=""),H1690,"")</f>
        <v/>
      </c>
      <c r="AS1690" s="25">
        <f>IF(AND(D1690&gt;0,H1690=0,G1690=""),1,"")</f>
        <v/>
      </c>
      <c r="AT1690" s="25">
        <f>IF(G1690="BLOQ",1,"")</f>
        <v/>
      </c>
      <c r="AU1690" s="25">
        <f>IF(L1690="BLOQ",1,"")</f>
        <v/>
      </c>
      <c r="AV1690" s="25">
        <f>MONTH(F1690)</f>
        <v/>
      </c>
      <c r="AW1690" s="65">
        <f>IF(AP1690="",100%,0%)</f>
        <v/>
      </c>
      <c r="AX1690" s="56" t="n"/>
      <c r="AY1690" s="24">
        <f>IF(M1690=0,"",M1690-$AX$2)</f>
        <v/>
      </c>
      <c r="AZ1690" s="66">
        <f>IF(AND(W1690="",AY1690&gt;0,AY1690&lt;15),1,0)</f>
        <v/>
      </c>
      <c r="BA1690" s="24">
        <f>IF(AND(W1690="",AY1690&gt;0,AY1690&lt;15),T1690,"")</f>
        <v/>
      </c>
      <c r="BB1690" s="87">
        <f>IF(R1690&lt;Q1690,"X","")</f>
        <v/>
      </c>
      <c r="BC1690" s="190" t="inlineStr">
        <is>
          <t>NO</t>
        </is>
      </c>
      <c r="BD1690" s="191" t="inlineStr">
        <is>
          <t>SI</t>
        </is>
      </c>
    </row>
    <row r="1691">
      <c r="A1691" s="7" t="n">
        <v>1690</v>
      </c>
      <c r="B1691" s="167" t="inlineStr">
        <is>
          <t>1390705900595</t>
        </is>
      </c>
      <c r="C1691" s="167" t="inlineStr">
        <is>
          <t>MOD ALTERNATE SWITCH</t>
        </is>
      </c>
      <c r="D1691" s="167" t="inlineStr">
        <is>
          <t>1800134189</t>
        </is>
      </c>
      <c r="E1691" s="167" t="inlineStr">
        <is>
          <t>20</t>
        </is>
      </c>
      <c r="F1691" s="163" t="n">
        <v>46013</v>
      </c>
      <c r="G1691" s="167" t="inlineStr"/>
      <c r="H1691" s="167" t="inlineStr">
        <is>
          <t>4200645497</t>
        </is>
      </c>
      <c r="I1691" s="167" t="inlineStr">
        <is>
          <t>10</t>
        </is>
      </c>
      <c r="J1691" s="184" t="n">
        <v>46041</v>
      </c>
      <c r="K1691" s="184" t="n">
        <v>46041</v>
      </c>
      <c r="L1691" s="184" t="inlineStr"/>
      <c r="M1691" s="184" t="n">
        <v>46158</v>
      </c>
      <c r="N1691" s="167" t="n">
        <v>40</v>
      </c>
      <c r="O1691" s="167" t="n">
        <v>8</v>
      </c>
      <c r="P1691" s="167" t="inlineStr">
        <is>
          <t>Liberado</t>
        </is>
      </c>
      <c r="Q1691" s="167" t="n">
        <v>1</v>
      </c>
      <c r="R1691" s="167" t="n">
        <v>1</v>
      </c>
      <c r="S1691" s="167" t="n">
        <v>0</v>
      </c>
      <c r="T1691" s="167" t="n">
        <v>1</v>
      </c>
      <c r="U1691" s="167" t="n">
        <v>0</v>
      </c>
      <c r="V1691" s="167" t="n">
        <v>0</v>
      </c>
      <c r="W1691" s="167" t="inlineStr"/>
      <c r="X1691" s="167" t="inlineStr">
        <is>
          <t>875.00</t>
        </is>
      </c>
      <c r="Y1691" s="167" t="inlineStr"/>
      <c r="Z1691" s="167" t="inlineStr">
        <is>
          <t>SUMINISTROS, FRESADOS Y GRABADOS</t>
        </is>
      </c>
      <c r="AA1691" s="167" t="inlineStr">
        <is>
          <t>GRABYSUR</t>
        </is>
      </c>
      <c r="AB1691" s="167" t="inlineStr">
        <is>
          <t>GR-ABS26022</t>
        </is>
      </c>
      <c r="AC1691" s="167" t="inlineStr"/>
      <c r="AD1691" s="167" t="n">
        <v>0</v>
      </c>
      <c r="AE1691" s="167" t="n">
        <v>0</v>
      </c>
      <c r="AG1691" s="167" t="inlineStr">
        <is>
          <t>7218|JA2581_1001</t>
        </is>
      </c>
      <c r="AH1691" s="47">
        <f>IF(M1691=0,"-",M1691-J1691)</f>
        <v/>
      </c>
      <c r="AI1691" s="46">
        <f>IF(AND(S1691=0,M1691&gt;0,L1691=0),IF(AH1691&gt;=120,"VERY HIGH",IF(AH1691&gt;=90,"HIGH",IF(AH1691&gt;=60,"MEDIUM",IF(AH1691&lt;60,"LOW")))),"-")</f>
        <v/>
      </c>
      <c r="AJ1691" s="12" t="n"/>
      <c r="AK1691" s="53">
        <f>IF(AND(W1691="X",M1691&lt;=$AJ$2),"YES","")</f>
        <v/>
      </c>
      <c r="AL1691" s="54">
        <f>IF(AND(W1691="X",M1691&lt;=$AJ$2),S1691,"")</f>
        <v/>
      </c>
      <c r="AM1691" s="35" t="n"/>
      <c r="AN1691" s="35">
        <f>IF(AND(W1691="X",M1691&gt;$AJ$2),S1691,"")</f>
        <v/>
      </c>
      <c r="AO1691" s="35">
        <f>IF(AND(W1691="",M1691&gt;0,$AJ$2&gt;M1691,L1691=""),1,0)</f>
        <v/>
      </c>
      <c r="AP1691" s="35">
        <f>IF(AND(AK1691="YES",W1691="X"),"X","")</f>
        <v/>
      </c>
      <c r="AQ1691" s="55">
        <f>IF(AP1691="X",100%,0%)</f>
        <v/>
      </c>
      <c r="AR1691" s="25">
        <f>IF(AND(T1691&gt;0,L1691=""),H1691,"")</f>
        <v/>
      </c>
      <c r="AS1691" s="25">
        <f>IF(AND(D1691&gt;0,H1691=0,G1691=""),1,"")</f>
        <v/>
      </c>
      <c r="AT1691" s="25">
        <f>IF(G1691="BLOQ",1,"")</f>
        <v/>
      </c>
      <c r="AU1691" s="25">
        <f>IF(L1691="BLOQ",1,"")</f>
        <v/>
      </c>
      <c r="AV1691" s="25">
        <f>MONTH(F1691)</f>
        <v/>
      </c>
      <c r="AW1691" s="65">
        <f>IF(AP1691="",100%,0%)</f>
        <v/>
      </c>
      <c r="AX1691" s="56" t="n"/>
      <c r="AY1691" s="24">
        <f>IF(M1691=0,"",M1691-$AX$2)</f>
        <v/>
      </c>
      <c r="AZ1691" s="66">
        <f>IF(AND(W1691="",AY1691&gt;0,AY1691&lt;15),1,0)</f>
        <v/>
      </c>
      <c r="BA1691" s="24">
        <f>IF(AND(W1691="",AY1691&gt;0,AY1691&lt;15),T1691,"")</f>
        <v/>
      </c>
      <c r="BB1691" s="87">
        <f>IF(R1691&lt;Q1691,"X","")</f>
        <v/>
      </c>
      <c r="BC1691" s="190" t="inlineStr">
        <is>
          <t>NO</t>
        </is>
      </c>
      <c r="BD1691" s="190" t="inlineStr">
        <is>
          <t>NO</t>
        </is>
      </c>
    </row>
    <row r="1692" customFormat="1" s="167">
      <c r="A1692" s="7" t="n">
        <v>1691</v>
      </c>
      <c r="B1692" s="167" t="inlineStr">
        <is>
          <t>0918625900400</t>
        </is>
      </c>
      <c r="C1692" s="167" t="inlineStr">
        <is>
          <t>I/F CAN 21A-21S1</t>
        </is>
      </c>
      <c r="D1692" s="167" t="inlineStr">
        <is>
          <t>1800134280</t>
        </is>
      </c>
      <c r="E1692" s="167" t="inlineStr">
        <is>
          <t>10</t>
        </is>
      </c>
      <c r="F1692" s="184" t="n">
        <v>46031</v>
      </c>
      <c r="G1692" s="167" t="inlineStr">
        <is>
          <t>BLOQ</t>
        </is>
      </c>
      <c r="H1692" s="167" t="inlineStr"/>
      <c r="I1692" s="167" t="inlineStr">
        <is>
          <t>0</t>
        </is>
      </c>
      <c r="J1692" s="184" t="inlineStr"/>
      <c r="K1692" s="184" t="inlineStr"/>
      <c r="L1692" s="184" t="inlineStr"/>
      <c r="M1692" s="184" t="inlineStr"/>
      <c r="N1692" s="167" t="n">
        <v>0</v>
      </c>
      <c r="O1692" s="167" t="n">
        <v>3</v>
      </c>
      <c r="P1692" s="167" t="inlineStr"/>
      <c r="Q1692" s="167" t="n">
        <v>10</v>
      </c>
      <c r="R1692" s="167" t="n">
        <v>0</v>
      </c>
      <c r="S1692" s="167" t="n">
        <v>0</v>
      </c>
      <c r="T1692" s="167" t="n">
        <v>0</v>
      </c>
      <c r="U1692" s="167" t="n">
        <v>0</v>
      </c>
      <c r="V1692" s="167" t="n">
        <v>0</v>
      </c>
      <c r="W1692" s="167" t="inlineStr"/>
      <c r="X1692" s="167" t="inlineStr">
        <is>
          <t>0.00</t>
        </is>
      </c>
      <c r="Y1692" s="167" t="inlineStr"/>
      <c r="Z1692" s="167" t="inlineStr"/>
      <c r="AA1692" s="167" t="inlineStr"/>
      <c r="AB1692" s="167" t="inlineStr"/>
      <c r="AC1692" s="167" t="inlineStr"/>
      <c r="AD1692" s="167" t="n">
        <v>0</v>
      </c>
      <c r="AE1692" s="167" t="n">
        <v>0</v>
      </c>
      <c r="AG1692" s="167" t="inlineStr">
        <is>
          <t>7218|JA2581_1001</t>
        </is>
      </c>
      <c r="AH1692" s="47">
        <f>IF(M1692=0,"-",M1692-J1692)</f>
        <v/>
      </c>
      <c r="AI1692" s="46">
        <f>IF(AND(S1692=0,M1692&gt;0,L1692=0),IF(AH1692&gt;=120,"VERY HIGH",IF(AH1692&gt;=90,"HIGH",IF(AH1692&gt;=60,"MEDIUM",IF(AH1692&lt;60,"LOW")))),"-")</f>
        <v/>
      </c>
      <c r="AJ1692" s="12" t="n"/>
      <c r="AK1692" s="53">
        <f>IF(AND(W1692="X",M1692&lt;=$AJ$2),"YES","")</f>
        <v/>
      </c>
      <c r="AL1692" s="54">
        <f>IF(AND(W1692="X",M1692&lt;=$AJ$2),S1692,"")</f>
        <v/>
      </c>
      <c r="AM1692" s="35" t="n"/>
      <c r="AN1692" s="35">
        <f>IF(AND(W1692="X",M1692&gt;$AJ$2),S1692,"")</f>
        <v/>
      </c>
      <c r="AO1692" s="35">
        <f>IF(AND(W1692="",M1692&gt;0,$AJ$2&gt;M1692,L1692=""),1,0)</f>
        <v/>
      </c>
      <c r="AP1692" s="35">
        <f>IF(AND(AK1692="YES",W1692="X"),"X","")</f>
        <v/>
      </c>
      <c r="AQ1692" s="55">
        <f>IF(AP1692="X",100%,0%)</f>
        <v/>
      </c>
      <c r="AR1692" s="25">
        <f>IF(AND(T1692&gt;0,L1692=""),H1692,"")</f>
        <v/>
      </c>
      <c r="AS1692" s="25">
        <f>IF(AND(D1692&gt;0,H1692=0,G1692=""),1,"")</f>
        <v/>
      </c>
      <c r="AT1692" s="25">
        <f>IF(G1692="BLOQ",1,"")</f>
        <v/>
      </c>
      <c r="AU1692" s="25">
        <f>IF(L1692="BLOQ",1,"")</f>
        <v/>
      </c>
      <c r="AV1692" s="25">
        <f>MONTH(F1692)</f>
        <v/>
      </c>
      <c r="AW1692" s="65">
        <f>IF(AP1692="",100%,0%)</f>
        <v/>
      </c>
      <c r="AX1692" s="56" t="n"/>
      <c r="AY1692" s="24">
        <f>IF(M1692=0,"",M1692-$AX$2)</f>
        <v/>
      </c>
      <c r="AZ1692" s="66">
        <f>IF(AND(W1692="",AY1692&gt;0,AY1692&lt;15),1,0)</f>
        <v/>
      </c>
      <c r="BA1692" s="24">
        <f>IF(AND(W1692="",AY1692&gt;0,AY1692&lt;15),T1692,"")</f>
        <v/>
      </c>
      <c r="BB1692" s="87">
        <f>IF(R1692&lt;Q1692,"X","")</f>
        <v/>
      </c>
      <c r="BC1692" s="190" t="inlineStr">
        <is>
          <t>NO</t>
        </is>
      </c>
      <c r="BD1692" s="190" t="inlineStr">
        <is>
          <t>NO</t>
        </is>
      </c>
    </row>
    <row r="1693">
      <c r="A1693" s="7" t="n">
        <v>1692</v>
      </c>
      <c r="B1693" s="167" t="inlineStr">
        <is>
          <t>3010201822302</t>
        </is>
      </c>
      <c r="C1693" s="167" t="inlineStr">
        <is>
          <t>WS Z4 RACK G5 2X 675W T1000 RCTO S/OF</t>
        </is>
      </c>
      <c r="D1693" s="167" t="inlineStr">
        <is>
          <t>1800134780</t>
        </is>
      </c>
      <c r="E1693" s="167" t="inlineStr">
        <is>
          <t>10</t>
        </is>
      </c>
      <c r="F1693" s="184" t="n">
        <v>46041</v>
      </c>
      <c r="G1693" s="167" t="inlineStr"/>
      <c r="H1693" s="167" t="inlineStr">
        <is>
          <t>4200646214</t>
        </is>
      </c>
      <c r="I1693" s="167" t="inlineStr">
        <is>
          <t>10</t>
        </is>
      </c>
      <c r="J1693" s="184" t="n">
        <v>46044</v>
      </c>
      <c r="K1693" s="184" t="n">
        <v>46049</v>
      </c>
      <c r="L1693" s="184" t="inlineStr"/>
      <c r="M1693" s="184" t="n">
        <v>46100</v>
      </c>
      <c r="N1693" s="167" t="n">
        <v>40</v>
      </c>
      <c r="O1693" s="167" t="n">
        <v>8</v>
      </c>
      <c r="P1693" s="167" t="inlineStr">
        <is>
          <t>Liberado</t>
        </is>
      </c>
      <c r="Q1693" s="167" t="n">
        <v>3</v>
      </c>
      <c r="R1693" s="167" t="n">
        <v>1</v>
      </c>
      <c r="S1693" s="167" t="n">
        <v>0</v>
      </c>
      <c r="T1693" s="167" t="n">
        <v>1</v>
      </c>
      <c r="U1693" s="167" t="n">
        <v>0</v>
      </c>
      <c r="V1693" s="167" t="n">
        <v>0</v>
      </c>
      <c r="W1693" s="167" t="inlineStr"/>
      <c r="X1693" s="167" t="inlineStr">
        <is>
          <t>3756.31</t>
        </is>
      </c>
      <c r="Y1693" s="167" t="inlineStr"/>
      <c r="Z1693" s="167" t="inlineStr">
        <is>
          <t>HP PRINTING AND COMPUTING SOLUTIONS</t>
        </is>
      </c>
      <c r="AA1693" s="167" t="inlineStr">
        <is>
          <t>HEWLETT PACKARD</t>
        </is>
      </c>
      <c r="AB1693" s="167" t="inlineStr">
        <is>
          <t>52258775/7178862</t>
        </is>
      </c>
      <c r="AC1693" s="167" t="inlineStr">
        <is>
          <t>X</t>
        </is>
      </c>
      <c r="AD1693" s="167" t="n">
        <v>0</v>
      </c>
      <c r="AE1693" s="167" t="n">
        <v>0</v>
      </c>
      <c r="AG1693" s="167" t="inlineStr">
        <is>
          <t>7218|JA2581_1001</t>
        </is>
      </c>
      <c r="AH1693" s="47">
        <f>IF(M1693=0,"-",M1693-J1693)</f>
        <v/>
      </c>
      <c r="AI1693" s="46">
        <f>IF(AND(S1693=0,M1693&gt;0,L1693=0),IF(AH1693&gt;=120,"VERY HIGH",IF(AH1693&gt;=90,"HIGH",IF(AH1693&gt;=60,"MEDIUM",IF(AH1693&lt;60,"LOW")))),"-")</f>
        <v/>
      </c>
      <c r="AJ1693" s="12" t="n"/>
      <c r="AK1693" s="53">
        <f>IF(AND(W1693="X",M1693&lt;=$AJ$2),"YES","")</f>
        <v/>
      </c>
      <c r="AL1693" s="54">
        <f>IF(AND(W1693="X",M1693&lt;=$AJ$2),S1693,"")</f>
        <v/>
      </c>
      <c r="AM1693" s="35" t="n"/>
      <c r="AN1693" s="35">
        <f>IF(AND(W1693="X",M1693&gt;$AJ$2),S1693,"")</f>
        <v/>
      </c>
      <c r="AO1693" s="35">
        <f>IF(AND(W1693="",M1693&gt;0,$AJ$2&gt;M1693,L1693=""),1,0)</f>
        <v/>
      </c>
      <c r="AP1693" s="35">
        <f>IF(AND(AK1693="YES",W1693="X"),"X","")</f>
        <v/>
      </c>
      <c r="AQ1693" s="55">
        <f>IF(AP1693="X",100%,0%)</f>
        <v/>
      </c>
      <c r="AR1693" s="25">
        <f>IF(AND(T1693&gt;0,L1693=""),H1693,"")</f>
        <v/>
      </c>
      <c r="AS1693" s="25">
        <f>IF(AND(D1693&gt;0,H1693=0,G1693=""),1,"")</f>
        <v/>
      </c>
      <c r="AT1693" s="25">
        <f>IF(G1693="BLOQ",1,"")</f>
        <v/>
      </c>
      <c r="AU1693" s="25">
        <f>IF(L1693="BLOQ",1,"")</f>
        <v/>
      </c>
      <c r="AV1693" s="25">
        <f>MONTH(F1693)</f>
        <v/>
      </c>
      <c r="AW1693" s="65">
        <f>IF(AP1693="",100%,0%)</f>
        <v/>
      </c>
      <c r="AX1693" s="56" t="n"/>
      <c r="AY1693" s="24">
        <f>IF(M1693=0,"",M1693-$AX$2)</f>
        <v/>
      </c>
      <c r="AZ1693" s="66">
        <f>IF(AND(W1693="",AY1693&gt;0,AY1693&lt;15),1,0)</f>
        <v/>
      </c>
      <c r="BA1693" s="24">
        <f>IF(AND(W1693="",AY1693&gt;0,AY1693&lt;15),T1693,"")</f>
        <v/>
      </c>
      <c r="BB1693" s="87">
        <f>IF(R1693&lt;Q1693,"X","")</f>
        <v/>
      </c>
      <c r="BC1693" s="191" t="inlineStr">
        <is>
          <t>SI</t>
        </is>
      </c>
      <c r="BD1693" s="191" t="inlineStr">
        <is>
          <t>SI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style="162" min="1" max="1"/>
    <col width="16" customWidth="1" style="162" min="2" max="2"/>
  </cols>
  <sheetData>
    <row r="1">
      <c r="A1" s="192" t="inlineStr">
        <is>
          <t>Métrica</t>
        </is>
      </c>
      <c r="B1" s="193" t="inlineStr">
        <is>
          <t>Valor</t>
        </is>
      </c>
    </row>
    <row r="2">
      <c r="A2" s="194" t="inlineStr">
        <is>
          <t>Filas SAP Material Status</t>
        </is>
      </c>
      <c r="B2" s="195" t="n">
        <v>1692</v>
      </c>
    </row>
    <row r="3">
      <c r="A3" s="194" t="inlineStr">
        <is>
          <t>Materiales únicos SAP con código</t>
        </is>
      </c>
      <c r="B3" s="195" t="n">
        <v>1002</v>
      </c>
    </row>
    <row r="4">
      <c r="A4" s="194" t="inlineStr">
        <is>
          <t>Filas SAP cuyo Material está en PBS</t>
        </is>
      </c>
      <c r="B4" s="195" t="n">
        <v>180</v>
      </c>
    </row>
    <row r="5">
      <c r="A5" s="194" t="inlineStr">
        <is>
          <t>Filas SAP cuyo Material está en BOM</t>
        </is>
      </c>
      <c r="B5" s="195" t="n">
        <v>1028</v>
      </c>
    </row>
    <row r="6">
      <c r="A6" s="194" t="inlineStr">
        <is>
          <t>Filas SAP cuyo Material está en PBS y BOM</t>
        </is>
      </c>
      <c r="B6" s="195" t="n">
        <v>180</v>
      </c>
    </row>
    <row r="7">
      <c r="A7" s="194" t="inlineStr">
        <is>
          <t>Materiales únicos SAP presentes en PBS</t>
        </is>
      </c>
      <c r="B7" s="195" t="n">
        <v>149</v>
      </c>
    </row>
    <row r="8">
      <c r="A8" s="194" t="inlineStr">
        <is>
          <t>Materiales únicos SAP presentes en BOM</t>
        </is>
      </c>
      <c r="B8" s="195" t="n">
        <v>824</v>
      </c>
    </row>
    <row r="9">
      <c r="A9" s="194" t="inlineStr">
        <is>
          <t>Materiales únicos SAP presentes en PBS y BOM</t>
        </is>
      </c>
      <c r="B9" s="195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Martínez Olivares, Alma</dc:creator>
  <dcterms:created xmlns:dcterms="http://purl.org/dc/terms/" xmlns:xsi="http://www.w3.org/2001/XMLSchema-instance" xsi:type="dcterms:W3CDTF">2024-01-09T08:57:54Z</dcterms:created>
  <dcterms:modified xmlns:dcterms="http://purl.org/dc/terms/" xmlns:xsi="http://www.w3.org/2001/XMLSchema-instance" xsi:type="dcterms:W3CDTF">2026-04-26T21:46:37Z</dcterms:modified>
  <cp:lastModifiedBy>Rodrigo San Martín, Daniel</cp:lastModifiedBy>
  <cp:lastPrinted>2024-01-26T09:17:28Z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0x01010036A8348381230F4FB511F206BD2CE7BB</vt:lpwstr>
  </property>
</Properties>
</file>